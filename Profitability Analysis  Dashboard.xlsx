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C:\Users\shaki\OneDrive\文档\Excel\"/>
    </mc:Choice>
  </mc:AlternateContent>
  <xr:revisionPtr revIDLastSave="0" documentId="13_ncr:1_{89440B8A-D983-4DB6-A0AF-1AEC7A65EE12}" xr6:coauthVersionLast="47" xr6:coauthVersionMax="47" xr10:uidLastSave="{00000000-0000-0000-0000-000000000000}"/>
  <bookViews>
    <workbookView xWindow="-120" yWindow="-120" windowWidth="20730" windowHeight="11760" firstSheet="3" activeTab="3" xr2:uid="{00000000-000D-0000-FFFF-FFFF00000000}"/>
  </bookViews>
  <sheets>
    <sheet name="Raw Data" sheetId="1" state="hidden" r:id="rId1"/>
    <sheet name="Cleaned Data" sheetId="2" state="hidden" r:id="rId2"/>
    <sheet name="Pivot" sheetId="3" state="hidden" r:id="rId3"/>
    <sheet name="Dashboard" sheetId="4" r:id="rId4"/>
  </sheets>
  <definedNames>
    <definedName name="_xlnm._FilterDatabase" localSheetId="1" hidden="1">'Cleaned Data'!$D$1:$J$3799</definedName>
    <definedName name="_xlnm._FilterDatabase" localSheetId="0" hidden="1">'Raw Data'!$A$1:$H$4001</definedName>
    <definedName name="Slicer_Category">#N/A</definedName>
    <definedName name="Slicer_Month1">#N/A</definedName>
    <definedName name="Slicer_Product1">#N/A</definedName>
    <definedName name="Slicer_Region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5" i="3" l="1"/>
  <c r="S7" i="3"/>
  <c r="S4" i="3"/>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Q10" i="3"/>
  <c r="Q14" i="3" s="1"/>
  <c r="Q7" i="3"/>
  <c r="Q4" i="3"/>
  <c r="O7" i="3"/>
  <c r="M7" i="3"/>
  <c r="M4" i="3"/>
  <c r="L868" i="2"/>
  <c r="L900" i="2"/>
  <c r="L1044" i="2"/>
  <c r="L1580" i="2"/>
  <c r="L1660" i="2"/>
  <c r="L3229" i="2"/>
  <c r="L3628" i="2"/>
  <c r="K2" i="2"/>
  <c r="L2" i="2" s="1"/>
  <c r="K3" i="2"/>
  <c r="L3" i="2" s="1"/>
  <c r="K4" i="2"/>
  <c r="L4" i="2" s="1"/>
  <c r="K5" i="2"/>
  <c r="L5" i="2" s="1"/>
  <c r="K6" i="2"/>
  <c r="L6" i="2" s="1"/>
  <c r="K7" i="2"/>
  <c r="L7" i="2" s="1"/>
  <c r="K8" i="2"/>
  <c r="L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K36" i="2"/>
  <c r="L36" i="2" s="1"/>
  <c r="K37" i="2"/>
  <c r="L37" i="2" s="1"/>
  <c r="K38" i="2"/>
  <c r="L38" i="2" s="1"/>
  <c r="K39" i="2"/>
  <c r="L39" i="2" s="1"/>
  <c r="K40" i="2"/>
  <c r="L40" i="2" s="1"/>
  <c r="K41" i="2"/>
  <c r="L41" i="2" s="1"/>
  <c r="K42" i="2"/>
  <c r="L42" i="2" s="1"/>
  <c r="K43" i="2"/>
  <c r="L43" i="2" s="1"/>
  <c r="K44" i="2"/>
  <c r="L44" i="2" s="1"/>
  <c r="K45" i="2"/>
  <c r="L45" i="2" s="1"/>
  <c r="K46" i="2"/>
  <c r="L46" i="2" s="1"/>
  <c r="K47" i="2"/>
  <c r="L47" i="2" s="1"/>
  <c r="K48" i="2"/>
  <c r="L48" i="2" s="1"/>
  <c r="K49" i="2"/>
  <c r="L49" i="2" s="1"/>
  <c r="K50" i="2"/>
  <c r="L50" i="2" s="1"/>
  <c r="K51" i="2"/>
  <c r="L51" i="2" s="1"/>
  <c r="K52" i="2"/>
  <c r="L52" i="2" s="1"/>
  <c r="K53" i="2"/>
  <c r="L53" i="2" s="1"/>
  <c r="K54" i="2"/>
  <c r="L54" i="2" s="1"/>
  <c r="K55" i="2"/>
  <c r="L55" i="2" s="1"/>
  <c r="K56" i="2"/>
  <c r="L56" i="2" s="1"/>
  <c r="K57" i="2"/>
  <c r="L57" i="2" s="1"/>
  <c r="K58" i="2"/>
  <c r="L58" i="2" s="1"/>
  <c r="K59" i="2"/>
  <c r="L59" i="2" s="1"/>
  <c r="K60" i="2"/>
  <c r="L60" i="2" s="1"/>
  <c r="K61" i="2"/>
  <c r="L61" i="2" s="1"/>
  <c r="K62" i="2"/>
  <c r="L62" i="2" s="1"/>
  <c r="K63" i="2"/>
  <c r="L63" i="2" s="1"/>
  <c r="K64" i="2"/>
  <c r="L64" i="2" s="1"/>
  <c r="K65" i="2"/>
  <c r="L65" i="2" s="1"/>
  <c r="K66" i="2"/>
  <c r="L66" i="2" s="1"/>
  <c r="K67" i="2"/>
  <c r="L67" i="2" s="1"/>
  <c r="K68" i="2"/>
  <c r="L68" i="2" s="1"/>
  <c r="K69" i="2"/>
  <c r="L69" i="2" s="1"/>
  <c r="K70" i="2"/>
  <c r="L70" i="2" s="1"/>
  <c r="K71" i="2"/>
  <c r="L71" i="2" s="1"/>
  <c r="K72" i="2"/>
  <c r="L72" i="2" s="1"/>
  <c r="K73" i="2"/>
  <c r="L73" i="2" s="1"/>
  <c r="K74" i="2"/>
  <c r="L74" i="2" s="1"/>
  <c r="K75" i="2"/>
  <c r="L75" i="2" s="1"/>
  <c r="K76" i="2"/>
  <c r="L76" i="2" s="1"/>
  <c r="K77" i="2"/>
  <c r="L77" i="2" s="1"/>
  <c r="K78" i="2"/>
  <c r="L78" i="2" s="1"/>
  <c r="K79" i="2"/>
  <c r="L79" i="2" s="1"/>
  <c r="K80" i="2"/>
  <c r="L80" i="2" s="1"/>
  <c r="K81" i="2"/>
  <c r="L81" i="2" s="1"/>
  <c r="K82" i="2"/>
  <c r="L82" i="2" s="1"/>
  <c r="K83" i="2"/>
  <c r="L83" i="2" s="1"/>
  <c r="K84" i="2"/>
  <c r="L84" i="2" s="1"/>
  <c r="K85" i="2"/>
  <c r="L85" i="2" s="1"/>
  <c r="K86" i="2"/>
  <c r="L86" i="2" s="1"/>
  <c r="K87" i="2"/>
  <c r="L87" i="2" s="1"/>
  <c r="K88" i="2"/>
  <c r="L88" i="2" s="1"/>
  <c r="K89" i="2"/>
  <c r="L89" i="2" s="1"/>
  <c r="K90" i="2"/>
  <c r="L90" i="2" s="1"/>
  <c r="K91" i="2"/>
  <c r="L91" i="2" s="1"/>
  <c r="K92" i="2"/>
  <c r="L92" i="2" s="1"/>
  <c r="K93" i="2"/>
  <c r="L93" i="2" s="1"/>
  <c r="K94" i="2"/>
  <c r="L94" i="2" s="1"/>
  <c r="K95" i="2"/>
  <c r="L95" i="2" s="1"/>
  <c r="K96" i="2"/>
  <c r="L96" i="2" s="1"/>
  <c r="K97" i="2"/>
  <c r="L97" i="2" s="1"/>
  <c r="K98" i="2"/>
  <c r="L98" i="2" s="1"/>
  <c r="K99" i="2"/>
  <c r="L99" i="2" s="1"/>
  <c r="K100" i="2"/>
  <c r="L100" i="2" s="1"/>
  <c r="K101" i="2"/>
  <c r="L101" i="2" s="1"/>
  <c r="K102" i="2"/>
  <c r="L102" i="2" s="1"/>
  <c r="K103" i="2"/>
  <c r="L103" i="2" s="1"/>
  <c r="K104" i="2"/>
  <c r="L104" i="2" s="1"/>
  <c r="K105" i="2"/>
  <c r="L105" i="2" s="1"/>
  <c r="K106" i="2"/>
  <c r="L106" i="2" s="1"/>
  <c r="K107" i="2"/>
  <c r="L107" i="2" s="1"/>
  <c r="K108" i="2"/>
  <c r="L108" i="2" s="1"/>
  <c r="K109" i="2"/>
  <c r="L109" i="2" s="1"/>
  <c r="K110" i="2"/>
  <c r="L110" i="2" s="1"/>
  <c r="K111" i="2"/>
  <c r="L111" i="2" s="1"/>
  <c r="K112" i="2"/>
  <c r="L112" i="2" s="1"/>
  <c r="K113" i="2"/>
  <c r="L113" i="2" s="1"/>
  <c r="K114" i="2"/>
  <c r="L114" i="2" s="1"/>
  <c r="K115" i="2"/>
  <c r="L115" i="2" s="1"/>
  <c r="K116" i="2"/>
  <c r="L116" i="2" s="1"/>
  <c r="K117" i="2"/>
  <c r="L117" i="2" s="1"/>
  <c r="K118" i="2"/>
  <c r="L118" i="2" s="1"/>
  <c r="K119" i="2"/>
  <c r="L119" i="2" s="1"/>
  <c r="K120" i="2"/>
  <c r="L120" i="2" s="1"/>
  <c r="K121" i="2"/>
  <c r="L121" i="2" s="1"/>
  <c r="K122" i="2"/>
  <c r="L122" i="2" s="1"/>
  <c r="K123" i="2"/>
  <c r="L123" i="2" s="1"/>
  <c r="K124" i="2"/>
  <c r="L124" i="2" s="1"/>
  <c r="K125" i="2"/>
  <c r="L125" i="2" s="1"/>
  <c r="K126" i="2"/>
  <c r="L126" i="2" s="1"/>
  <c r="K127" i="2"/>
  <c r="L127" i="2" s="1"/>
  <c r="K128" i="2"/>
  <c r="L128" i="2" s="1"/>
  <c r="K129" i="2"/>
  <c r="L129" i="2" s="1"/>
  <c r="K130" i="2"/>
  <c r="L130" i="2" s="1"/>
  <c r="K131" i="2"/>
  <c r="L131" i="2" s="1"/>
  <c r="K132" i="2"/>
  <c r="L132" i="2" s="1"/>
  <c r="K133" i="2"/>
  <c r="L133" i="2" s="1"/>
  <c r="K134" i="2"/>
  <c r="L134" i="2" s="1"/>
  <c r="K135" i="2"/>
  <c r="L135" i="2" s="1"/>
  <c r="K136" i="2"/>
  <c r="L136" i="2" s="1"/>
  <c r="K137" i="2"/>
  <c r="L137" i="2" s="1"/>
  <c r="K138" i="2"/>
  <c r="L138" i="2" s="1"/>
  <c r="K139" i="2"/>
  <c r="L139" i="2" s="1"/>
  <c r="K140" i="2"/>
  <c r="L140" i="2" s="1"/>
  <c r="K141" i="2"/>
  <c r="L141" i="2" s="1"/>
  <c r="K142" i="2"/>
  <c r="L142" i="2" s="1"/>
  <c r="K143" i="2"/>
  <c r="L143" i="2" s="1"/>
  <c r="K144" i="2"/>
  <c r="L144" i="2" s="1"/>
  <c r="K145" i="2"/>
  <c r="L145" i="2" s="1"/>
  <c r="K146" i="2"/>
  <c r="L146" i="2" s="1"/>
  <c r="K147" i="2"/>
  <c r="L147" i="2" s="1"/>
  <c r="K148" i="2"/>
  <c r="L148" i="2" s="1"/>
  <c r="K149" i="2"/>
  <c r="L149" i="2" s="1"/>
  <c r="K150" i="2"/>
  <c r="L150" i="2" s="1"/>
  <c r="K151" i="2"/>
  <c r="L151" i="2" s="1"/>
  <c r="K152" i="2"/>
  <c r="L152" i="2" s="1"/>
  <c r="K153" i="2"/>
  <c r="L153" i="2" s="1"/>
  <c r="K154" i="2"/>
  <c r="L154" i="2" s="1"/>
  <c r="K155" i="2"/>
  <c r="L155" i="2" s="1"/>
  <c r="K156" i="2"/>
  <c r="L156" i="2" s="1"/>
  <c r="K157" i="2"/>
  <c r="L157" i="2" s="1"/>
  <c r="K158" i="2"/>
  <c r="L158" i="2" s="1"/>
  <c r="K159" i="2"/>
  <c r="L159" i="2" s="1"/>
  <c r="K160" i="2"/>
  <c r="L160" i="2" s="1"/>
  <c r="K161" i="2"/>
  <c r="L161" i="2" s="1"/>
  <c r="K162" i="2"/>
  <c r="L162" i="2" s="1"/>
  <c r="K163" i="2"/>
  <c r="L163" i="2" s="1"/>
  <c r="K164" i="2"/>
  <c r="L164" i="2" s="1"/>
  <c r="K165" i="2"/>
  <c r="L165" i="2" s="1"/>
  <c r="K166" i="2"/>
  <c r="L166" i="2" s="1"/>
  <c r="K167" i="2"/>
  <c r="L167" i="2" s="1"/>
  <c r="K168" i="2"/>
  <c r="L168" i="2" s="1"/>
  <c r="K169" i="2"/>
  <c r="L169" i="2" s="1"/>
  <c r="K170" i="2"/>
  <c r="L170" i="2" s="1"/>
  <c r="K171" i="2"/>
  <c r="L171" i="2" s="1"/>
  <c r="K172" i="2"/>
  <c r="L172" i="2" s="1"/>
  <c r="K173" i="2"/>
  <c r="L173" i="2" s="1"/>
  <c r="K174" i="2"/>
  <c r="L174" i="2" s="1"/>
  <c r="K175" i="2"/>
  <c r="L175" i="2" s="1"/>
  <c r="K176" i="2"/>
  <c r="L176" i="2" s="1"/>
  <c r="K177" i="2"/>
  <c r="L177" i="2" s="1"/>
  <c r="K178" i="2"/>
  <c r="L178" i="2" s="1"/>
  <c r="K179" i="2"/>
  <c r="L179" i="2" s="1"/>
  <c r="K180" i="2"/>
  <c r="L180" i="2" s="1"/>
  <c r="K181" i="2"/>
  <c r="L181" i="2" s="1"/>
  <c r="K182" i="2"/>
  <c r="L182" i="2" s="1"/>
  <c r="K183" i="2"/>
  <c r="L183" i="2" s="1"/>
  <c r="K184" i="2"/>
  <c r="L184" i="2" s="1"/>
  <c r="K185" i="2"/>
  <c r="L185" i="2" s="1"/>
  <c r="K186" i="2"/>
  <c r="L186" i="2" s="1"/>
  <c r="K187" i="2"/>
  <c r="L187" i="2" s="1"/>
  <c r="K188" i="2"/>
  <c r="L188" i="2" s="1"/>
  <c r="K189" i="2"/>
  <c r="L189" i="2" s="1"/>
  <c r="K190" i="2"/>
  <c r="L190" i="2" s="1"/>
  <c r="K191" i="2"/>
  <c r="L191" i="2" s="1"/>
  <c r="K192" i="2"/>
  <c r="L192" i="2" s="1"/>
  <c r="K193" i="2"/>
  <c r="L193" i="2" s="1"/>
  <c r="K194" i="2"/>
  <c r="L194" i="2" s="1"/>
  <c r="K195" i="2"/>
  <c r="L195" i="2" s="1"/>
  <c r="K196" i="2"/>
  <c r="L196" i="2" s="1"/>
  <c r="K197" i="2"/>
  <c r="L197" i="2" s="1"/>
  <c r="K198" i="2"/>
  <c r="L198" i="2" s="1"/>
  <c r="K199" i="2"/>
  <c r="L199" i="2" s="1"/>
  <c r="K200" i="2"/>
  <c r="L200" i="2" s="1"/>
  <c r="K201" i="2"/>
  <c r="L201" i="2" s="1"/>
  <c r="K202" i="2"/>
  <c r="L202" i="2" s="1"/>
  <c r="K203" i="2"/>
  <c r="L203" i="2" s="1"/>
  <c r="K204" i="2"/>
  <c r="L204" i="2" s="1"/>
  <c r="K205" i="2"/>
  <c r="L205" i="2" s="1"/>
  <c r="K206" i="2"/>
  <c r="L206" i="2" s="1"/>
  <c r="K207" i="2"/>
  <c r="L207" i="2" s="1"/>
  <c r="K208" i="2"/>
  <c r="L208" i="2" s="1"/>
  <c r="K209" i="2"/>
  <c r="L209" i="2" s="1"/>
  <c r="K210" i="2"/>
  <c r="L210" i="2" s="1"/>
  <c r="K211" i="2"/>
  <c r="L211" i="2" s="1"/>
  <c r="K212" i="2"/>
  <c r="L212" i="2" s="1"/>
  <c r="K213" i="2"/>
  <c r="L213" i="2" s="1"/>
  <c r="K214" i="2"/>
  <c r="L214" i="2" s="1"/>
  <c r="K215" i="2"/>
  <c r="L215" i="2" s="1"/>
  <c r="K216" i="2"/>
  <c r="L216" i="2" s="1"/>
  <c r="K217" i="2"/>
  <c r="L217" i="2" s="1"/>
  <c r="K218" i="2"/>
  <c r="L218" i="2" s="1"/>
  <c r="K219" i="2"/>
  <c r="L219" i="2" s="1"/>
  <c r="K220" i="2"/>
  <c r="L220" i="2" s="1"/>
  <c r="K221" i="2"/>
  <c r="L221" i="2" s="1"/>
  <c r="K222" i="2"/>
  <c r="L222" i="2" s="1"/>
  <c r="K223" i="2"/>
  <c r="L223" i="2" s="1"/>
  <c r="K224" i="2"/>
  <c r="L224" i="2" s="1"/>
  <c r="K225" i="2"/>
  <c r="L225" i="2" s="1"/>
  <c r="K226" i="2"/>
  <c r="L226" i="2" s="1"/>
  <c r="K227" i="2"/>
  <c r="L227" i="2" s="1"/>
  <c r="K228" i="2"/>
  <c r="L228" i="2" s="1"/>
  <c r="K229" i="2"/>
  <c r="L229" i="2" s="1"/>
  <c r="K230" i="2"/>
  <c r="L230" i="2" s="1"/>
  <c r="K231" i="2"/>
  <c r="L231" i="2" s="1"/>
  <c r="K232" i="2"/>
  <c r="L232" i="2" s="1"/>
  <c r="K233" i="2"/>
  <c r="L233" i="2" s="1"/>
  <c r="K234" i="2"/>
  <c r="L234" i="2" s="1"/>
  <c r="K235" i="2"/>
  <c r="L235" i="2" s="1"/>
  <c r="K236" i="2"/>
  <c r="L236" i="2" s="1"/>
  <c r="K237" i="2"/>
  <c r="L237" i="2" s="1"/>
  <c r="K238" i="2"/>
  <c r="L238" i="2" s="1"/>
  <c r="K239" i="2"/>
  <c r="L239" i="2" s="1"/>
  <c r="K240" i="2"/>
  <c r="L240" i="2" s="1"/>
  <c r="K241" i="2"/>
  <c r="L241" i="2" s="1"/>
  <c r="K242" i="2"/>
  <c r="L242" i="2" s="1"/>
  <c r="K243" i="2"/>
  <c r="L243" i="2" s="1"/>
  <c r="K244" i="2"/>
  <c r="L244" i="2" s="1"/>
  <c r="K245" i="2"/>
  <c r="L245" i="2" s="1"/>
  <c r="K246" i="2"/>
  <c r="L246" i="2" s="1"/>
  <c r="K247" i="2"/>
  <c r="L247" i="2" s="1"/>
  <c r="K248" i="2"/>
  <c r="L248" i="2" s="1"/>
  <c r="K249" i="2"/>
  <c r="L249" i="2" s="1"/>
  <c r="K250" i="2"/>
  <c r="L250" i="2" s="1"/>
  <c r="K251" i="2"/>
  <c r="L251" i="2" s="1"/>
  <c r="K252" i="2"/>
  <c r="L252" i="2" s="1"/>
  <c r="K253" i="2"/>
  <c r="L253" i="2" s="1"/>
  <c r="K254" i="2"/>
  <c r="L254" i="2" s="1"/>
  <c r="K255" i="2"/>
  <c r="L255" i="2" s="1"/>
  <c r="K256" i="2"/>
  <c r="L256" i="2" s="1"/>
  <c r="K257" i="2"/>
  <c r="L257" i="2" s="1"/>
  <c r="K258" i="2"/>
  <c r="L258" i="2" s="1"/>
  <c r="K259" i="2"/>
  <c r="L259" i="2" s="1"/>
  <c r="K260" i="2"/>
  <c r="L260" i="2" s="1"/>
  <c r="K261" i="2"/>
  <c r="L261" i="2" s="1"/>
  <c r="K262" i="2"/>
  <c r="L262" i="2" s="1"/>
  <c r="K263" i="2"/>
  <c r="L263" i="2" s="1"/>
  <c r="K264" i="2"/>
  <c r="L264" i="2" s="1"/>
  <c r="K265" i="2"/>
  <c r="L265" i="2" s="1"/>
  <c r="K266" i="2"/>
  <c r="L266" i="2" s="1"/>
  <c r="K267" i="2"/>
  <c r="L267" i="2" s="1"/>
  <c r="K268" i="2"/>
  <c r="L268" i="2" s="1"/>
  <c r="K269" i="2"/>
  <c r="L269" i="2" s="1"/>
  <c r="K270" i="2"/>
  <c r="L270" i="2" s="1"/>
  <c r="K271" i="2"/>
  <c r="L271" i="2" s="1"/>
  <c r="K272" i="2"/>
  <c r="L272" i="2" s="1"/>
  <c r="K273" i="2"/>
  <c r="L273" i="2" s="1"/>
  <c r="K274" i="2"/>
  <c r="L274" i="2" s="1"/>
  <c r="K275" i="2"/>
  <c r="L275" i="2" s="1"/>
  <c r="K276" i="2"/>
  <c r="L276" i="2" s="1"/>
  <c r="K277" i="2"/>
  <c r="L277" i="2" s="1"/>
  <c r="K278" i="2"/>
  <c r="L278" i="2" s="1"/>
  <c r="K279" i="2"/>
  <c r="L279" i="2" s="1"/>
  <c r="K280" i="2"/>
  <c r="L280" i="2" s="1"/>
  <c r="K281" i="2"/>
  <c r="L281" i="2" s="1"/>
  <c r="K282" i="2"/>
  <c r="L282" i="2" s="1"/>
  <c r="K283" i="2"/>
  <c r="L283" i="2" s="1"/>
  <c r="K284" i="2"/>
  <c r="L284" i="2" s="1"/>
  <c r="K285" i="2"/>
  <c r="L285" i="2" s="1"/>
  <c r="K286" i="2"/>
  <c r="L286" i="2" s="1"/>
  <c r="K287" i="2"/>
  <c r="L287" i="2" s="1"/>
  <c r="K288" i="2"/>
  <c r="L288" i="2" s="1"/>
  <c r="K289" i="2"/>
  <c r="L289" i="2" s="1"/>
  <c r="K290" i="2"/>
  <c r="L290" i="2" s="1"/>
  <c r="K291" i="2"/>
  <c r="L291" i="2" s="1"/>
  <c r="K292" i="2"/>
  <c r="L292" i="2" s="1"/>
  <c r="K293" i="2"/>
  <c r="L293" i="2" s="1"/>
  <c r="K294" i="2"/>
  <c r="L294" i="2" s="1"/>
  <c r="K295" i="2"/>
  <c r="L295" i="2" s="1"/>
  <c r="K296" i="2"/>
  <c r="L296" i="2" s="1"/>
  <c r="K297" i="2"/>
  <c r="L297" i="2" s="1"/>
  <c r="K298" i="2"/>
  <c r="L298" i="2" s="1"/>
  <c r="K299" i="2"/>
  <c r="L299" i="2" s="1"/>
  <c r="K300" i="2"/>
  <c r="L300" i="2" s="1"/>
  <c r="K301" i="2"/>
  <c r="L301" i="2" s="1"/>
  <c r="K302" i="2"/>
  <c r="L302" i="2" s="1"/>
  <c r="K303" i="2"/>
  <c r="L303" i="2" s="1"/>
  <c r="K304" i="2"/>
  <c r="L304" i="2" s="1"/>
  <c r="K305" i="2"/>
  <c r="L305" i="2" s="1"/>
  <c r="K306" i="2"/>
  <c r="L306" i="2" s="1"/>
  <c r="K307" i="2"/>
  <c r="L307" i="2" s="1"/>
  <c r="K308" i="2"/>
  <c r="L308" i="2" s="1"/>
  <c r="K309" i="2"/>
  <c r="L309" i="2" s="1"/>
  <c r="K310" i="2"/>
  <c r="L310" i="2" s="1"/>
  <c r="K311" i="2"/>
  <c r="L311" i="2" s="1"/>
  <c r="K312" i="2"/>
  <c r="L312" i="2" s="1"/>
  <c r="K313" i="2"/>
  <c r="L313" i="2" s="1"/>
  <c r="K314" i="2"/>
  <c r="L314" i="2" s="1"/>
  <c r="K315" i="2"/>
  <c r="L315" i="2" s="1"/>
  <c r="K316" i="2"/>
  <c r="L316" i="2" s="1"/>
  <c r="K317" i="2"/>
  <c r="L317" i="2" s="1"/>
  <c r="K318" i="2"/>
  <c r="L318" i="2" s="1"/>
  <c r="K319" i="2"/>
  <c r="L319" i="2" s="1"/>
  <c r="K320" i="2"/>
  <c r="L320" i="2" s="1"/>
  <c r="K321" i="2"/>
  <c r="L321" i="2" s="1"/>
  <c r="K322" i="2"/>
  <c r="L322" i="2" s="1"/>
  <c r="K323" i="2"/>
  <c r="L323" i="2" s="1"/>
  <c r="K324" i="2"/>
  <c r="L324" i="2" s="1"/>
  <c r="K325" i="2"/>
  <c r="L325" i="2" s="1"/>
  <c r="K326" i="2"/>
  <c r="L326" i="2" s="1"/>
  <c r="K327" i="2"/>
  <c r="L327" i="2" s="1"/>
  <c r="K328" i="2"/>
  <c r="L328" i="2" s="1"/>
  <c r="K329" i="2"/>
  <c r="L329" i="2" s="1"/>
  <c r="K330" i="2"/>
  <c r="L330" i="2" s="1"/>
  <c r="K331" i="2"/>
  <c r="L331" i="2" s="1"/>
  <c r="K332" i="2"/>
  <c r="L332" i="2" s="1"/>
  <c r="K333" i="2"/>
  <c r="L333" i="2" s="1"/>
  <c r="K334" i="2"/>
  <c r="L334" i="2" s="1"/>
  <c r="K335" i="2"/>
  <c r="L335" i="2" s="1"/>
  <c r="K336" i="2"/>
  <c r="L336" i="2" s="1"/>
  <c r="K337" i="2"/>
  <c r="L337" i="2" s="1"/>
  <c r="K338" i="2"/>
  <c r="L338" i="2" s="1"/>
  <c r="K339" i="2"/>
  <c r="L339" i="2" s="1"/>
  <c r="K340" i="2"/>
  <c r="L340" i="2" s="1"/>
  <c r="K341" i="2"/>
  <c r="L341" i="2" s="1"/>
  <c r="K342" i="2"/>
  <c r="L342" i="2" s="1"/>
  <c r="K343" i="2"/>
  <c r="L343" i="2" s="1"/>
  <c r="K344" i="2"/>
  <c r="L344" i="2" s="1"/>
  <c r="K345" i="2"/>
  <c r="L345" i="2" s="1"/>
  <c r="K346" i="2"/>
  <c r="L346" i="2" s="1"/>
  <c r="K347" i="2"/>
  <c r="L347" i="2" s="1"/>
  <c r="K348" i="2"/>
  <c r="L348" i="2" s="1"/>
  <c r="K349" i="2"/>
  <c r="L349" i="2" s="1"/>
  <c r="K350" i="2"/>
  <c r="L350" i="2" s="1"/>
  <c r="K351" i="2"/>
  <c r="L351" i="2" s="1"/>
  <c r="K352" i="2"/>
  <c r="L352" i="2" s="1"/>
  <c r="K353" i="2"/>
  <c r="L353" i="2" s="1"/>
  <c r="K354" i="2"/>
  <c r="L354" i="2" s="1"/>
  <c r="K355" i="2"/>
  <c r="L355" i="2" s="1"/>
  <c r="K356" i="2"/>
  <c r="L356" i="2" s="1"/>
  <c r="K357" i="2"/>
  <c r="L357" i="2" s="1"/>
  <c r="K358" i="2"/>
  <c r="L358" i="2" s="1"/>
  <c r="K359" i="2"/>
  <c r="L359" i="2" s="1"/>
  <c r="K360" i="2"/>
  <c r="L360" i="2" s="1"/>
  <c r="K361" i="2"/>
  <c r="L361" i="2" s="1"/>
  <c r="K362" i="2"/>
  <c r="L362" i="2" s="1"/>
  <c r="K363" i="2"/>
  <c r="L363" i="2" s="1"/>
  <c r="K364" i="2"/>
  <c r="L364" i="2" s="1"/>
  <c r="K365" i="2"/>
  <c r="L365" i="2" s="1"/>
  <c r="K366" i="2"/>
  <c r="L366" i="2" s="1"/>
  <c r="K367" i="2"/>
  <c r="L367" i="2" s="1"/>
  <c r="K368" i="2"/>
  <c r="L368" i="2" s="1"/>
  <c r="K369" i="2"/>
  <c r="L369" i="2" s="1"/>
  <c r="K370" i="2"/>
  <c r="L370" i="2" s="1"/>
  <c r="K371" i="2"/>
  <c r="L371" i="2" s="1"/>
  <c r="K372" i="2"/>
  <c r="L372" i="2" s="1"/>
  <c r="K373" i="2"/>
  <c r="L373" i="2" s="1"/>
  <c r="K374" i="2"/>
  <c r="L374" i="2" s="1"/>
  <c r="K375" i="2"/>
  <c r="L375" i="2" s="1"/>
  <c r="K376" i="2"/>
  <c r="L376" i="2" s="1"/>
  <c r="K377" i="2"/>
  <c r="L377" i="2" s="1"/>
  <c r="K378" i="2"/>
  <c r="L378" i="2" s="1"/>
  <c r="K379" i="2"/>
  <c r="L379" i="2" s="1"/>
  <c r="K380" i="2"/>
  <c r="L380" i="2" s="1"/>
  <c r="K381" i="2"/>
  <c r="L381" i="2" s="1"/>
  <c r="K382" i="2"/>
  <c r="L382" i="2" s="1"/>
  <c r="K383" i="2"/>
  <c r="L383" i="2" s="1"/>
  <c r="K384" i="2"/>
  <c r="L384" i="2" s="1"/>
  <c r="K385" i="2"/>
  <c r="L385" i="2" s="1"/>
  <c r="K386" i="2"/>
  <c r="L386" i="2" s="1"/>
  <c r="K387" i="2"/>
  <c r="L387" i="2" s="1"/>
  <c r="K388" i="2"/>
  <c r="L388" i="2" s="1"/>
  <c r="K389" i="2"/>
  <c r="L389" i="2" s="1"/>
  <c r="K390" i="2"/>
  <c r="L390" i="2" s="1"/>
  <c r="K391" i="2"/>
  <c r="L391" i="2" s="1"/>
  <c r="K392" i="2"/>
  <c r="L392" i="2" s="1"/>
  <c r="K393" i="2"/>
  <c r="L393" i="2" s="1"/>
  <c r="K394" i="2"/>
  <c r="L394" i="2" s="1"/>
  <c r="K395" i="2"/>
  <c r="L395" i="2" s="1"/>
  <c r="K396" i="2"/>
  <c r="L396" i="2" s="1"/>
  <c r="K397" i="2"/>
  <c r="L397" i="2" s="1"/>
  <c r="K398" i="2"/>
  <c r="L398" i="2" s="1"/>
  <c r="K399" i="2"/>
  <c r="L399" i="2" s="1"/>
  <c r="K400" i="2"/>
  <c r="L400" i="2" s="1"/>
  <c r="K401" i="2"/>
  <c r="L401" i="2" s="1"/>
  <c r="K402" i="2"/>
  <c r="L402" i="2" s="1"/>
  <c r="K403" i="2"/>
  <c r="L403" i="2" s="1"/>
  <c r="K404" i="2"/>
  <c r="L404" i="2" s="1"/>
  <c r="K405" i="2"/>
  <c r="L405" i="2" s="1"/>
  <c r="K406" i="2"/>
  <c r="L406" i="2" s="1"/>
  <c r="K407" i="2"/>
  <c r="L407" i="2" s="1"/>
  <c r="K408" i="2"/>
  <c r="L408" i="2" s="1"/>
  <c r="K409" i="2"/>
  <c r="L409" i="2" s="1"/>
  <c r="K410" i="2"/>
  <c r="L410" i="2" s="1"/>
  <c r="K411" i="2"/>
  <c r="L411" i="2" s="1"/>
  <c r="K412" i="2"/>
  <c r="L412" i="2" s="1"/>
  <c r="K413" i="2"/>
  <c r="L413" i="2" s="1"/>
  <c r="K414" i="2"/>
  <c r="L414" i="2" s="1"/>
  <c r="K415" i="2"/>
  <c r="L415" i="2" s="1"/>
  <c r="K416" i="2"/>
  <c r="L416" i="2" s="1"/>
  <c r="K417" i="2"/>
  <c r="L417" i="2" s="1"/>
  <c r="K418" i="2"/>
  <c r="L418" i="2" s="1"/>
  <c r="K419" i="2"/>
  <c r="L419" i="2" s="1"/>
  <c r="K420" i="2"/>
  <c r="L420" i="2" s="1"/>
  <c r="K421" i="2"/>
  <c r="L421" i="2" s="1"/>
  <c r="K422" i="2"/>
  <c r="L422" i="2" s="1"/>
  <c r="K423" i="2"/>
  <c r="L423" i="2" s="1"/>
  <c r="K424" i="2"/>
  <c r="L424" i="2" s="1"/>
  <c r="K425" i="2"/>
  <c r="L425" i="2" s="1"/>
  <c r="K426" i="2"/>
  <c r="L426" i="2" s="1"/>
  <c r="K427" i="2"/>
  <c r="L427" i="2" s="1"/>
  <c r="K428" i="2"/>
  <c r="L428" i="2" s="1"/>
  <c r="K429" i="2"/>
  <c r="L429" i="2" s="1"/>
  <c r="K430" i="2"/>
  <c r="L430" i="2" s="1"/>
  <c r="K431" i="2"/>
  <c r="L431" i="2" s="1"/>
  <c r="K432" i="2"/>
  <c r="L432" i="2" s="1"/>
  <c r="K433" i="2"/>
  <c r="L433" i="2" s="1"/>
  <c r="K434" i="2"/>
  <c r="L434" i="2" s="1"/>
  <c r="K435" i="2"/>
  <c r="L435" i="2" s="1"/>
  <c r="K436" i="2"/>
  <c r="L436" i="2" s="1"/>
  <c r="K437" i="2"/>
  <c r="L437" i="2" s="1"/>
  <c r="K438" i="2"/>
  <c r="L438" i="2" s="1"/>
  <c r="K439" i="2"/>
  <c r="L439" i="2" s="1"/>
  <c r="K440" i="2"/>
  <c r="L440" i="2" s="1"/>
  <c r="K441" i="2"/>
  <c r="L441" i="2" s="1"/>
  <c r="K442" i="2"/>
  <c r="L442" i="2" s="1"/>
  <c r="K443" i="2"/>
  <c r="L443" i="2" s="1"/>
  <c r="K444" i="2"/>
  <c r="L444" i="2" s="1"/>
  <c r="K445" i="2"/>
  <c r="L445" i="2" s="1"/>
  <c r="K446" i="2"/>
  <c r="L446" i="2" s="1"/>
  <c r="K447" i="2"/>
  <c r="L447" i="2" s="1"/>
  <c r="K448" i="2"/>
  <c r="L448" i="2" s="1"/>
  <c r="K449" i="2"/>
  <c r="L449" i="2" s="1"/>
  <c r="K450" i="2"/>
  <c r="L450" i="2" s="1"/>
  <c r="K451" i="2"/>
  <c r="L451" i="2" s="1"/>
  <c r="K452" i="2"/>
  <c r="L452" i="2" s="1"/>
  <c r="K453" i="2"/>
  <c r="L453" i="2" s="1"/>
  <c r="K454" i="2"/>
  <c r="L454" i="2" s="1"/>
  <c r="K455" i="2"/>
  <c r="L455" i="2" s="1"/>
  <c r="K456" i="2"/>
  <c r="L456" i="2" s="1"/>
  <c r="K457" i="2"/>
  <c r="L457" i="2" s="1"/>
  <c r="K458" i="2"/>
  <c r="L458" i="2" s="1"/>
  <c r="K459" i="2"/>
  <c r="L459" i="2" s="1"/>
  <c r="K460" i="2"/>
  <c r="L460" i="2" s="1"/>
  <c r="K461" i="2"/>
  <c r="L461" i="2" s="1"/>
  <c r="K462" i="2"/>
  <c r="L462" i="2" s="1"/>
  <c r="K463" i="2"/>
  <c r="L463" i="2" s="1"/>
  <c r="K464" i="2"/>
  <c r="L464" i="2" s="1"/>
  <c r="K465" i="2"/>
  <c r="L465" i="2" s="1"/>
  <c r="K466" i="2"/>
  <c r="L466" i="2" s="1"/>
  <c r="K467" i="2"/>
  <c r="L467" i="2" s="1"/>
  <c r="K468" i="2"/>
  <c r="L468" i="2" s="1"/>
  <c r="K469" i="2"/>
  <c r="L469" i="2" s="1"/>
  <c r="K470" i="2"/>
  <c r="L470" i="2" s="1"/>
  <c r="K471" i="2"/>
  <c r="L471" i="2" s="1"/>
  <c r="K472" i="2"/>
  <c r="L472" i="2" s="1"/>
  <c r="K473" i="2"/>
  <c r="L473" i="2" s="1"/>
  <c r="K474" i="2"/>
  <c r="L474" i="2" s="1"/>
  <c r="K475" i="2"/>
  <c r="L475" i="2" s="1"/>
  <c r="K476" i="2"/>
  <c r="L476" i="2" s="1"/>
  <c r="K477" i="2"/>
  <c r="L477" i="2" s="1"/>
  <c r="K478" i="2"/>
  <c r="L478" i="2" s="1"/>
  <c r="K479" i="2"/>
  <c r="L479" i="2" s="1"/>
  <c r="K480" i="2"/>
  <c r="L480" i="2" s="1"/>
  <c r="K481" i="2"/>
  <c r="L481" i="2" s="1"/>
  <c r="K482" i="2"/>
  <c r="L482" i="2" s="1"/>
  <c r="K483" i="2"/>
  <c r="L483" i="2" s="1"/>
  <c r="K484" i="2"/>
  <c r="L484" i="2" s="1"/>
  <c r="K485" i="2"/>
  <c r="L485" i="2" s="1"/>
  <c r="K486" i="2"/>
  <c r="L486" i="2" s="1"/>
  <c r="K487" i="2"/>
  <c r="L487" i="2" s="1"/>
  <c r="K488" i="2"/>
  <c r="L488" i="2" s="1"/>
  <c r="K489" i="2"/>
  <c r="L489" i="2" s="1"/>
  <c r="K490" i="2"/>
  <c r="L490" i="2" s="1"/>
  <c r="K491" i="2"/>
  <c r="L491" i="2" s="1"/>
  <c r="K492" i="2"/>
  <c r="L492" i="2" s="1"/>
  <c r="K493" i="2"/>
  <c r="L493" i="2" s="1"/>
  <c r="K494" i="2"/>
  <c r="L494" i="2" s="1"/>
  <c r="K495" i="2"/>
  <c r="L495" i="2" s="1"/>
  <c r="K496" i="2"/>
  <c r="L496" i="2" s="1"/>
  <c r="K497" i="2"/>
  <c r="L497" i="2" s="1"/>
  <c r="K498" i="2"/>
  <c r="L498" i="2" s="1"/>
  <c r="K499" i="2"/>
  <c r="L499" i="2" s="1"/>
  <c r="K500" i="2"/>
  <c r="L500" i="2" s="1"/>
  <c r="K501" i="2"/>
  <c r="L501" i="2" s="1"/>
  <c r="K502" i="2"/>
  <c r="L502" i="2" s="1"/>
  <c r="K503" i="2"/>
  <c r="L503" i="2" s="1"/>
  <c r="K504" i="2"/>
  <c r="L504" i="2" s="1"/>
  <c r="K505" i="2"/>
  <c r="L505" i="2" s="1"/>
  <c r="K506" i="2"/>
  <c r="L506" i="2" s="1"/>
  <c r="K507" i="2"/>
  <c r="L507" i="2" s="1"/>
  <c r="K508" i="2"/>
  <c r="L508" i="2" s="1"/>
  <c r="K509" i="2"/>
  <c r="L509" i="2" s="1"/>
  <c r="K510" i="2"/>
  <c r="L510" i="2" s="1"/>
  <c r="K511" i="2"/>
  <c r="L511" i="2" s="1"/>
  <c r="K512" i="2"/>
  <c r="L512" i="2" s="1"/>
  <c r="K513" i="2"/>
  <c r="L513" i="2" s="1"/>
  <c r="K514" i="2"/>
  <c r="L514" i="2" s="1"/>
  <c r="K515" i="2"/>
  <c r="L515" i="2" s="1"/>
  <c r="K516" i="2"/>
  <c r="L516" i="2" s="1"/>
  <c r="K517" i="2"/>
  <c r="L517" i="2" s="1"/>
  <c r="K518" i="2"/>
  <c r="L518" i="2" s="1"/>
  <c r="K519" i="2"/>
  <c r="L519" i="2" s="1"/>
  <c r="K520" i="2"/>
  <c r="L520" i="2" s="1"/>
  <c r="K521" i="2"/>
  <c r="L521" i="2" s="1"/>
  <c r="K522" i="2"/>
  <c r="L522" i="2" s="1"/>
  <c r="K523" i="2"/>
  <c r="L523" i="2" s="1"/>
  <c r="K524" i="2"/>
  <c r="L524" i="2" s="1"/>
  <c r="K525" i="2"/>
  <c r="L525" i="2" s="1"/>
  <c r="K526" i="2"/>
  <c r="L526" i="2" s="1"/>
  <c r="K527" i="2"/>
  <c r="L527" i="2" s="1"/>
  <c r="K528" i="2"/>
  <c r="L528" i="2" s="1"/>
  <c r="K529" i="2"/>
  <c r="L529" i="2" s="1"/>
  <c r="K530" i="2"/>
  <c r="L530" i="2" s="1"/>
  <c r="K531" i="2"/>
  <c r="L531" i="2" s="1"/>
  <c r="K532" i="2"/>
  <c r="L532" i="2" s="1"/>
  <c r="K533" i="2"/>
  <c r="L533" i="2" s="1"/>
  <c r="K534" i="2"/>
  <c r="L534" i="2" s="1"/>
  <c r="K535" i="2"/>
  <c r="L535" i="2" s="1"/>
  <c r="K536" i="2"/>
  <c r="L536" i="2" s="1"/>
  <c r="K537" i="2"/>
  <c r="L537" i="2" s="1"/>
  <c r="K538" i="2"/>
  <c r="L538" i="2" s="1"/>
  <c r="K539" i="2"/>
  <c r="L539" i="2" s="1"/>
  <c r="K540" i="2"/>
  <c r="L540" i="2" s="1"/>
  <c r="K541" i="2"/>
  <c r="L541" i="2" s="1"/>
  <c r="K542" i="2"/>
  <c r="L542" i="2" s="1"/>
  <c r="K543" i="2"/>
  <c r="L543" i="2" s="1"/>
  <c r="K544" i="2"/>
  <c r="L544" i="2" s="1"/>
  <c r="K545" i="2"/>
  <c r="L545" i="2" s="1"/>
  <c r="K546" i="2"/>
  <c r="L546" i="2" s="1"/>
  <c r="K547" i="2"/>
  <c r="L547" i="2" s="1"/>
  <c r="K548" i="2"/>
  <c r="L548" i="2" s="1"/>
  <c r="K549" i="2"/>
  <c r="L549" i="2" s="1"/>
  <c r="K550" i="2"/>
  <c r="L550" i="2" s="1"/>
  <c r="K551" i="2"/>
  <c r="L551" i="2" s="1"/>
  <c r="K552" i="2"/>
  <c r="L552" i="2" s="1"/>
  <c r="K553" i="2"/>
  <c r="L553" i="2" s="1"/>
  <c r="K554" i="2"/>
  <c r="L554" i="2" s="1"/>
  <c r="K555" i="2"/>
  <c r="L555" i="2" s="1"/>
  <c r="K556" i="2"/>
  <c r="L556" i="2" s="1"/>
  <c r="K557" i="2"/>
  <c r="L557" i="2" s="1"/>
  <c r="K558" i="2"/>
  <c r="L558" i="2" s="1"/>
  <c r="K559" i="2"/>
  <c r="L559" i="2" s="1"/>
  <c r="K560" i="2"/>
  <c r="L560" i="2" s="1"/>
  <c r="K561" i="2"/>
  <c r="L561" i="2" s="1"/>
  <c r="K562" i="2"/>
  <c r="L562" i="2" s="1"/>
  <c r="K563" i="2"/>
  <c r="L563" i="2" s="1"/>
  <c r="K564" i="2"/>
  <c r="L564" i="2" s="1"/>
  <c r="K565" i="2"/>
  <c r="L565" i="2" s="1"/>
  <c r="K566" i="2"/>
  <c r="L566" i="2" s="1"/>
  <c r="K567" i="2"/>
  <c r="L567" i="2" s="1"/>
  <c r="K568" i="2"/>
  <c r="L568" i="2" s="1"/>
  <c r="K569" i="2"/>
  <c r="L569" i="2" s="1"/>
  <c r="K570" i="2"/>
  <c r="L570" i="2" s="1"/>
  <c r="K571" i="2"/>
  <c r="L571" i="2" s="1"/>
  <c r="K572" i="2"/>
  <c r="L572" i="2" s="1"/>
  <c r="K573" i="2"/>
  <c r="L573" i="2" s="1"/>
  <c r="K574" i="2"/>
  <c r="L574" i="2" s="1"/>
  <c r="K575" i="2"/>
  <c r="L575" i="2" s="1"/>
  <c r="K576" i="2"/>
  <c r="L576" i="2" s="1"/>
  <c r="K577" i="2"/>
  <c r="L577" i="2" s="1"/>
  <c r="K578" i="2"/>
  <c r="L578" i="2" s="1"/>
  <c r="K579" i="2"/>
  <c r="L579" i="2" s="1"/>
  <c r="K580" i="2"/>
  <c r="L580" i="2" s="1"/>
  <c r="K581" i="2"/>
  <c r="L581" i="2" s="1"/>
  <c r="K582" i="2"/>
  <c r="L582" i="2" s="1"/>
  <c r="K583" i="2"/>
  <c r="L583" i="2" s="1"/>
  <c r="K584" i="2"/>
  <c r="L584" i="2" s="1"/>
  <c r="K585" i="2"/>
  <c r="L585" i="2" s="1"/>
  <c r="K586" i="2"/>
  <c r="L586" i="2" s="1"/>
  <c r="K587" i="2"/>
  <c r="L587" i="2" s="1"/>
  <c r="K588" i="2"/>
  <c r="L588" i="2" s="1"/>
  <c r="K589" i="2"/>
  <c r="L589" i="2" s="1"/>
  <c r="K590" i="2"/>
  <c r="L590" i="2" s="1"/>
  <c r="K591" i="2"/>
  <c r="L591" i="2" s="1"/>
  <c r="K592" i="2"/>
  <c r="L592" i="2" s="1"/>
  <c r="K593" i="2"/>
  <c r="L593" i="2" s="1"/>
  <c r="K594" i="2"/>
  <c r="L594" i="2" s="1"/>
  <c r="K595" i="2"/>
  <c r="L595" i="2" s="1"/>
  <c r="K596" i="2"/>
  <c r="L596" i="2" s="1"/>
  <c r="K597" i="2"/>
  <c r="L597" i="2" s="1"/>
  <c r="K598" i="2"/>
  <c r="L598" i="2" s="1"/>
  <c r="K599" i="2"/>
  <c r="L599" i="2" s="1"/>
  <c r="K600" i="2"/>
  <c r="L600" i="2" s="1"/>
  <c r="K601" i="2"/>
  <c r="L601" i="2" s="1"/>
  <c r="K602" i="2"/>
  <c r="L602" i="2" s="1"/>
  <c r="K603" i="2"/>
  <c r="L603" i="2" s="1"/>
  <c r="K604" i="2"/>
  <c r="L604" i="2" s="1"/>
  <c r="K605" i="2"/>
  <c r="L605" i="2" s="1"/>
  <c r="K606" i="2"/>
  <c r="L606" i="2" s="1"/>
  <c r="K607" i="2"/>
  <c r="L607" i="2" s="1"/>
  <c r="K608" i="2"/>
  <c r="L608" i="2" s="1"/>
  <c r="K609" i="2"/>
  <c r="L609" i="2" s="1"/>
  <c r="K610" i="2"/>
  <c r="L610" i="2" s="1"/>
  <c r="K611" i="2"/>
  <c r="L611" i="2" s="1"/>
  <c r="K612" i="2"/>
  <c r="L612" i="2" s="1"/>
  <c r="K613" i="2"/>
  <c r="L613" i="2" s="1"/>
  <c r="K614" i="2"/>
  <c r="L614" i="2" s="1"/>
  <c r="K615" i="2"/>
  <c r="L615" i="2" s="1"/>
  <c r="K616" i="2"/>
  <c r="L616" i="2" s="1"/>
  <c r="K617" i="2"/>
  <c r="L617" i="2" s="1"/>
  <c r="K618" i="2"/>
  <c r="L618" i="2" s="1"/>
  <c r="K619" i="2"/>
  <c r="L619" i="2" s="1"/>
  <c r="K620" i="2"/>
  <c r="L620" i="2" s="1"/>
  <c r="K621" i="2"/>
  <c r="L621" i="2" s="1"/>
  <c r="K622" i="2"/>
  <c r="L622" i="2" s="1"/>
  <c r="K623" i="2"/>
  <c r="L623" i="2" s="1"/>
  <c r="K624" i="2"/>
  <c r="L624" i="2" s="1"/>
  <c r="K625" i="2"/>
  <c r="L625" i="2" s="1"/>
  <c r="K626" i="2"/>
  <c r="L626" i="2" s="1"/>
  <c r="K627" i="2"/>
  <c r="L627" i="2" s="1"/>
  <c r="K628" i="2"/>
  <c r="L628" i="2" s="1"/>
  <c r="K629" i="2"/>
  <c r="L629" i="2" s="1"/>
  <c r="K630" i="2"/>
  <c r="L630" i="2" s="1"/>
  <c r="K631" i="2"/>
  <c r="L631" i="2" s="1"/>
  <c r="K632" i="2"/>
  <c r="L632" i="2" s="1"/>
  <c r="K633" i="2"/>
  <c r="L633" i="2" s="1"/>
  <c r="K634" i="2"/>
  <c r="L634" i="2" s="1"/>
  <c r="K635" i="2"/>
  <c r="L635" i="2" s="1"/>
  <c r="K636" i="2"/>
  <c r="L636" i="2" s="1"/>
  <c r="K637" i="2"/>
  <c r="L637" i="2" s="1"/>
  <c r="K638" i="2"/>
  <c r="L638" i="2" s="1"/>
  <c r="K639" i="2"/>
  <c r="L639" i="2" s="1"/>
  <c r="K640" i="2"/>
  <c r="L640" i="2" s="1"/>
  <c r="K641" i="2"/>
  <c r="L641" i="2" s="1"/>
  <c r="K642" i="2"/>
  <c r="L642" i="2" s="1"/>
  <c r="K643" i="2"/>
  <c r="L643" i="2" s="1"/>
  <c r="K644" i="2"/>
  <c r="L644" i="2" s="1"/>
  <c r="K645" i="2"/>
  <c r="L645" i="2" s="1"/>
  <c r="K646" i="2"/>
  <c r="L646" i="2" s="1"/>
  <c r="K647" i="2"/>
  <c r="L647" i="2" s="1"/>
  <c r="K648" i="2"/>
  <c r="L648" i="2" s="1"/>
  <c r="K649" i="2"/>
  <c r="L649" i="2" s="1"/>
  <c r="K650" i="2"/>
  <c r="L650" i="2" s="1"/>
  <c r="K651" i="2"/>
  <c r="L651" i="2" s="1"/>
  <c r="K652" i="2"/>
  <c r="L652" i="2" s="1"/>
  <c r="K653" i="2"/>
  <c r="L653" i="2" s="1"/>
  <c r="K654" i="2"/>
  <c r="L654" i="2" s="1"/>
  <c r="K655" i="2"/>
  <c r="L655" i="2" s="1"/>
  <c r="K656" i="2"/>
  <c r="L656" i="2" s="1"/>
  <c r="K657" i="2"/>
  <c r="L657" i="2" s="1"/>
  <c r="K658" i="2"/>
  <c r="L658" i="2" s="1"/>
  <c r="K659" i="2"/>
  <c r="L659" i="2" s="1"/>
  <c r="K660" i="2"/>
  <c r="L660" i="2" s="1"/>
  <c r="K661" i="2"/>
  <c r="L661" i="2" s="1"/>
  <c r="K662" i="2"/>
  <c r="L662" i="2" s="1"/>
  <c r="K663" i="2"/>
  <c r="L663" i="2" s="1"/>
  <c r="K664" i="2"/>
  <c r="L664" i="2" s="1"/>
  <c r="K665" i="2"/>
  <c r="L665" i="2" s="1"/>
  <c r="K666" i="2"/>
  <c r="L666" i="2" s="1"/>
  <c r="K667" i="2"/>
  <c r="L667" i="2" s="1"/>
  <c r="K668" i="2"/>
  <c r="L668" i="2" s="1"/>
  <c r="K669" i="2"/>
  <c r="L669" i="2" s="1"/>
  <c r="K670" i="2"/>
  <c r="L670" i="2" s="1"/>
  <c r="K671" i="2"/>
  <c r="L671" i="2" s="1"/>
  <c r="K672" i="2"/>
  <c r="L672" i="2" s="1"/>
  <c r="K673" i="2"/>
  <c r="L673" i="2" s="1"/>
  <c r="K674" i="2"/>
  <c r="L674" i="2" s="1"/>
  <c r="K675" i="2"/>
  <c r="L675" i="2" s="1"/>
  <c r="K676" i="2"/>
  <c r="L676" i="2" s="1"/>
  <c r="K677" i="2"/>
  <c r="L677" i="2" s="1"/>
  <c r="K678" i="2"/>
  <c r="L678" i="2" s="1"/>
  <c r="K679" i="2"/>
  <c r="L679" i="2" s="1"/>
  <c r="K680" i="2"/>
  <c r="L680" i="2" s="1"/>
  <c r="K681" i="2"/>
  <c r="L681" i="2" s="1"/>
  <c r="K682" i="2"/>
  <c r="L682" i="2" s="1"/>
  <c r="K683" i="2"/>
  <c r="L683" i="2" s="1"/>
  <c r="K684" i="2"/>
  <c r="L684" i="2" s="1"/>
  <c r="K685" i="2"/>
  <c r="L685" i="2" s="1"/>
  <c r="K686" i="2"/>
  <c r="L686" i="2" s="1"/>
  <c r="K687" i="2"/>
  <c r="L687" i="2" s="1"/>
  <c r="K688" i="2"/>
  <c r="L688" i="2" s="1"/>
  <c r="K689" i="2"/>
  <c r="L689" i="2" s="1"/>
  <c r="K690" i="2"/>
  <c r="L690" i="2" s="1"/>
  <c r="K691" i="2"/>
  <c r="L691" i="2" s="1"/>
  <c r="K692" i="2"/>
  <c r="L692" i="2" s="1"/>
  <c r="K693" i="2"/>
  <c r="L693" i="2" s="1"/>
  <c r="K694" i="2"/>
  <c r="L694" i="2" s="1"/>
  <c r="K695" i="2"/>
  <c r="L695" i="2" s="1"/>
  <c r="K696" i="2"/>
  <c r="L696" i="2" s="1"/>
  <c r="K697" i="2"/>
  <c r="L697" i="2" s="1"/>
  <c r="K698" i="2"/>
  <c r="L698" i="2" s="1"/>
  <c r="K699" i="2"/>
  <c r="L699" i="2" s="1"/>
  <c r="K700" i="2"/>
  <c r="L700" i="2" s="1"/>
  <c r="K701" i="2"/>
  <c r="L701" i="2" s="1"/>
  <c r="K702" i="2"/>
  <c r="L702" i="2" s="1"/>
  <c r="K703" i="2"/>
  <c r="L703" i="2" s="1"/>
  <c r="K704" i="2"/>
  <c r="L704" i="2" s="1"/>
  <c r="K705" i="2"/>
  <c r="L705" i="2" s="1"/>
  <c r="K706" i="2"/>
  <c r="L706" i="2" s="1"/>
  <c r="K707" i="2"/>
  <c r="L707" i="2" s="1"/>
  <c r="K708" i="2"/>
  <c r="L708" i="2" s="1"/>
  <c r="K709" i="2"/>
  <c r="L709" i="2" s="1"/>
  <c r="K710" i="2"/>
  <c r="L710" i="2" s="1"/>
  <c r="K711" i="2"/>
  <c r="L711" i="2" s="1"/>
  <c r="K712" i="2"/>
  <c r="L712" i="2" s="1"/>
  <c r="K713" i="2"/>
  <c r="L713" i="2" s="1"/>
  <c r="K714" i="2"/>
  <c r="L714" i="2" s="1"/>
  <c r="K715" i="2"/>
  <c r="L715" i="2" s="1"/>
  <c r="K716" i="2"/>
  <c r="L716" i="2" s="1"/>
  <c r="K717" i="2"/>
  <c r="L717" i="2" s="1"/>
  <c r="K718" i="2"/>
  <c r="L718" i="2" s="1"/>
  <c r="K719" i="2"/>
  <c r="L719" i="2" s="1"/>
  <c r="K720" i="2"/>
  <c r="L720" i="2" s="1"/>
  <c r="K721" i="2"/>
  <c r="L721" i="2" s="1"/>
  <c r="K722" i="2"/>
  <c r="L722" i="2" s="1"/>
  <c r="K723" i="2"/>
  <c r="L723" i="2" s="1"/>
  <c r="K724" i="2"/>
  <c r="L724" i="2" s="1"/>
  <c r="K725" i="2"/>
  <c r="L725" i="2" s="1"/>
  <c r="K726" i="2"/>
  <c r="L726" i="2" s="1"/>
  <c r="K727" i="2"/>
  <c r="L727" i="2" s="1"/>
  <c r="K728" i="2"/>
  <c r="L728" i="2" s="1"/>
  <c r="K729" i="2"/>
  <c r="L729" i="2" s="1"/>
  <c r="K730" i="2"/>
  <c r="L730" i="2" s="1"/>
  <c r="K731" i="2"/>
  <c r="L731" i="2" s="1"/>
  <c r="K732" i="2"/>
  <c r="L732" i="2" s="1"/>
  <c r="K733" i="2"/>
  <c r="L733" i="2" s="1"/>
  <c r="K734" i="2"/>
  <c r="L734" i="2" s="1"/>
  <c r="K735" i="2"/>
  <c r="L735" i="2" s="1"/>
  <c r="K736" i="2"/>
  <c r="L736" i="2" s="1"/>
  <c r="K737" i="2"/>
  <c r="L737" i="2" s="1"/>
  <c r="K738" i="2"/>
  <c r="L738" i="2" s="1"/>
  <c r="K739" i="2"/>
  <c r="L739" i="2" s="1"/>
  <c r="K740" i="2"/>
  <c r="L740" i="2" s="1"/>
  <c r="K741" i="2"/>
  <c r="L741" i="2" s="1"/>
  <c r="K742" i="2"/>
  <c r="L742" i="2" s="1"/>
  <c r="K743" i="2"/>
  <c r="L743" i="2" s="1"/>
  <c r="K744" i="2"/>
  <c r="L744" i="2" s="1"/>
  <c r="K745" i="2"/>
  <c r="L745" i="2" s="1"/>
  <c r="K746" i="2"/>
  <c r="L746" i="2" s="1"/>
  <c r="K747" i="2"/>
  <c r="L747" i="2" s="1"/>
  <c r="K748" i="2"/>
  <c r="L748" i="2" s="1"/>
  <c r="K749" i="2"/>
  <c r="L749" i="2" s="1"/>
  <c r="K750" i="2"/>
  <c r="L750" i="2" s="1"/>
  <c r="K751" i="2"/>
  <c r="L751" i="2" s="1"/>
  <c r="K752" i="2"/>
  <c r="L752" i="2" s="1"/>
  <c r="K753" i="2"/>
  <c r="L753" i="2" s="1"/>
  <c r="K754" i="2"/>
  <c r="L754" i="2" s="1"/>
  <c r="K755" i="2"/>
  <c r="L755" i="2" s="1"/>
  <c r="K756" i="2"/>
  <c r="L756" i="2" s="1"/>
  <c r="K757" i="2"/>
  <c r="L757" i="2" s="1"/>
  <c r="K758" i="2"/>
  <c r="L758" i="2" s="1"/>
  <c r="K759" i="2"/>
  <c r="L759" i="2" s="1"/>
  <c r="K760" i="2"/>
  <c r="L760" i="2" s="1"/>
  <c r="K761" i="2"/>
  <c r="L761" i="2" s="1"/>
  <c r="K762" i="2"/>
  <c r="L762" i="2" s="1"/>
  <c r="K763" i="2"/>
  <c r="L763" i="2" s="1"/>
  <c r="K764" i="2"/>
  <c r="L764" i="2" s="1"/>
  <c r="K765" i="2"/>
  <c r="L765" i="2" s="1"/>
  <c r="K766" i="2"/>
  <c r="L766" i="2" s="1"/>
  <c r="K767" i="2"/>
  <c r="L767" i="2" s="1"/>
  <c r="K768" i="2"/>
  <c r="L768" i="2" s="1"/>
  <c r="K769" i="2"/>
  <c r="L769" i="2" s="1"/>
  <c r="K770" i="2"/>
  <c r="L770" i="2" s="1"/>
  <c r="K771" i="2"/>
  <c r="L771" i="2" s="1"/>
  <c r="K772" i="2"/>
  <c r="L772" i="2" s="1"/>
  <c r="K773" i="2"/>
  <c r="L773" i="2" s="1"/>
  <c r="K774" i="2"/>
  <c r="L774" i="2" s="1"/>
  <c r="K775" i="2"/>
  <c r="L775" i="2" s="1"/>
  <c r="K776" i="2"/>
  <c r="L776" i="2" s="1"/>
  <c r="K777" i="2"/>
  <c r="L777" i="2" s="1"/>
  <c r="K778" i="2"/>
  <c r="L778" i="2" s="1"/>
  <c r="K779" i="2"/>
  <c r="L779" i="2" s="1"/>
  <c r="K780" i="2"/>
  <c r="L780" i="2" s="1"/>
  <c r="K781" i="2"/>
  <c r="L781" i="2" s="1"/>
  <c r="K782" i="2"/>
  <c r="L782" i="2" s="1"/>
  <c r="K783" i="2"/>
  <c r="L783" i="2" s="1"/>
  <c r="K784" i="2"/>
  <c r="L784" i="2" s="1"/>
  <c r="K785" i="2"/>
  <c r="L785" i="2" s="1"/>
  <c r="K786" i="2"/>
  <c r="L786" i="2" s="1"/>
  <c r="K787" i="2"/>
  <c r="L787" i="2" s="1"/>
  <c r="K788" i="2"/>
  <c r="L788" i="2" s="1"/>
  <c r="K789" i="2"/>
  <c r="L789" i="2" s="1"/>
  <c r="K790" i="2"/>
  <c r="L790" i="2" s="1"/>
  <c r="K791" i="2"/>
  <c r="L791" i="2" s="1"/>
  <c r="K792" i="2"/>
  <c r="L792" i="2" s="1"/>
  <c r="K793" i="2"/>
  <c r="L793" i="2" s="1"/>
  <c r="K794" i="2"/>
  <c r="L794" i="2" s="1"/>
  <c r="K795" i="2"/>
  <c r="L795" i="2" s="1"/>
  <c r="K796" i="2"/>
  <c r="L796" i="2" s="1"/>
  <c r="K797" i="2"/>
  <c r="L797" i="2" s="1"/>
  <c r="K798" i="2"/>
  <c r="L798" i="2" s="1"/>
  <c r="K799" i="2"/>
  <c r="L799" i="2" s="1"/>
  <c r="K800" i="2"/>
  <c r="L800" i="2" s="1"/>
  <c r="K801" i="2"/>
  <c r="L801" i="2" s="1"/>
  <c r="K802" i="2"/>
  <c r="L802" i="2" s="1"/>
  <c r="K803" i="2"/>
  <c r="L803" i="2" s="1"/>
  <c r="K804" i="2"/>
  <c r="L804" i="2" s="1"/>
  <c r="K805" i="2"/>
  <c r="L805" i="2" s="1"/>
  <c r="K806" i="2"/>
  <c r="L806" i="2" s="1"/>
  <c r="K807" i="2"/>
  <c r="L807" i="2" s="1"/>
  <c r="K808" i="2"/>
  <c r="L808" i="2" s="1"/>
  <c r="K809" i="2"/>
  <c r="L809" i="2" s="1"/>
  <c r="K810" i="2"/>
  <c r="L810" i="2" s="1"/>
  <c r="K811" i="2"/>
  <c r="L811" i="2" s="1"/>
  <c r="K812" i="2"/>
  <c r="L812" i="2" s="1"/>
  <c r="K813" i="2"/>
  <c r="L813" i="2" s="1"/>
  <c r="K814" i="2"/>
  <c r="L814" i="2" s="1"/>
  <c r="K815" i="2"/>
  <c r="L815" i="2" s="1"/>
  <c r="K816" i="2"/>
  <c r="L816" i="2" s="1"/>
  <c r="K817" i="2"/>
  <c r="L817" i="2" s="1"/>
  <c r="K818" i="2"/>
  <c r="L818" i="2" s="1"/>
  <c r="K819" i="2"/>
  <c r="L819" i="2" s="1"/>
  <c r="K820" i="2"/>
  <c r="L820" i="2" s="1"/>
  <c r="K821" i="2"/>
  <c r="L821" i="2" s="1"/>
  <c r="K822" i="2"/>
  <c r="L822" i="2" s="1"/>
  <c r="K823" i="2"/>
  <c r="L823" i="2" s="1"/>
  <c r="K824" i="2"/>
  <c r="L824" i="2" s="1"/>
  <c r="K825" i="2"/>
  <c r="L825" i="2" s="1"/>
  <c r="K826" i="2"/>
  <c r="L826" i="2" s="1"/>
  <c r="K827" i="2"/>
  <c r="L827" i="2" s="1"/>
  <c r="K828" i="2"/>
  <c r="L828" i="2" s="1"/>
  <c r="K829" i="2"/>
  <c r="L829" i="2" s="1"/>
  <c r="K830" i="2"/>
  <c r="L830" i="2" s="1"/>
  <c r="K831" i="2"/>
  <c r="L831" i="2" s="1"/>
  <c r="K832" i="2"/>
  <c r="L832" i="2" s="1"/>
  <c r="K833" i="2"/>
  <c r="L833" i="2" s="1"/>
  <c r="K834" i="2"/>
  <c r="L834" i="2" s="1"/>
  <c r="K835" i="2"/>
  <c r="L835" i="2" s="1"/>
  <c r="K836" i="2"/>
  <c r="L836" i="2" s="1"/>
  <c r="K837" i="2"/>
  <c r="L837" i="2" s="1"/>
  <c r="K838" i="2"/>
  <c r="L838" i="2" s="1"/>
  <c r="K839" i="2"/>
  <c r="L839" i="2" s="1"/>
  <c r="K840" i="2"/>
  <c r="L840" i="2" s="1"/>
  <c r="K841" i="2"/>
  <c r="L841" i="2" s="1"/>
  <c r="K842" i="2"/>
  <c r="L842" i="2" s="1"/>
  <c r="K843" i="2"/>
  <c r="L843" i="2" s="1"/>
  <c r="K844" i="2"/>
  <c r="L844" i="2" s="1"/>
  <c r="K845" i="2"/>
  <c r="L845" i="2" s="1"/>
  <c r="K846" i="2"/>
  <c r="L846" i="2" s="1"/>
  <c r="K847" i="2"/>
  <c r="L847" i="2" s="1"/>
  <c r="K848" i="2"/>
  <c r="L848" i="2" s="1"/>
  <c r="K849" i="2"/>
  <c r="L849" i="2" s="1"/>
  <c r="K850" i="2"/>
  <c r="L850" i="2" s="1"/>
  <c r="K851" i="2"/>
  <c r="L851" i="2" s="1"/>
  <c r="K852" i="2"/>
  <c r="L852" i="2" s="1"/>
  <c r="K853" i="2"/>
  <c r="L853" i="2" s="1"/>
  <c r="K854" i="2"/>
  <c r="L854" i="2" s="1"/>
  <c r="K855" i="2"/>
  <c r="L855" i="2" s="1"/>
  <c r="K856" i="2"/>
  <c r="L856" i="2" s="1"/>
  <c r="K857" i="2"/>
  <c r="L857" i="2" s="1"/>
  <c r="K858" i="2"/>
  <c r="L858" i="2" s="1"/>
  <c r="K859" i="2"/>
  <c r="L859" i="2" s="1"/>
  <c r="K860" i="2"/>
  <c r="L860" i="2" s="1"/>
  <c r="K861" i="2"/>
  <c r="L861" i="2" s="1"/>
  <c r="K862" i="2"/>
  <c r="L862" i="2" s="1"/>
  <c r="K863" i="2"/>
  <c r="L863" i="2" s="1"/>
  <c r="K864" i="2"/>
  <c r="L864" i="2" s="1"/>
  <c r="K865" i="2"/>
  <c r="L865" i="2" s="1"/>
  <c r="K866" i="2"/>
  <c r="L866" i="2" s="1"/>
  <c r="K867" i="2"/>
  <c r="L867" i="2" s="1"/>
  <c r="K868" i="2"/>
  <c r="K869" i="2"/>
  <c r="L869" i="2" s="1"/>
  <c r="K870" i="2"/>
  <c r="L870" i="2" s="1"/>
  <c r="K871" i="2"/>
  <c r="L871" i="2" s="1"/>
  <c r="K872" i="2"/>
  <c r="L872" i="2" s="1"/>
  <c r="K873" i="2"/>
  <c r="L873" i="2" s="1"/>
  <c r="K874" i="2"/>
  <c r="L874" i="2" s="1"/>
  <c r="K875" i="2"/>
  <c r="L875" i="2" s="1"/>
  <c r="K876" i="2"/>
  <c r="L876" i="2" s="1"/>
  <c r="K877" i="2"/>
  <c r="L877" i="2" s="1"/>
  <c r="K878" i="2"/>
  <c r="L878" i="2" s="1"/>
  <c r="K879" i="2"/>
  <c r="L879" i="2" s="1"/>
  <c r="K880" i="2"/>
  <c r="L880" i="2" s="1"/>
  <c r="K881" i="2"/>
  <c r="L881" i="2" s="1"/>
  <c r="K882" i="2"/>
  <c r="L882" i="2" s="1"/>
  <c r="K883" i="2"/>
  <c r="L883" i="2" s="1"/>
  <c r="K884" i="2"/>
  <c r="L884" i="2" s="1"/>
  <c r="K885" i="2"/>
  <c r="L885" i="2" s="1"/>
  <c r="K886" i="2"/>
  <c r="L886" i="2" s="1"/>
  <c r="K887" i="2"/>
  <c r="L887" i="2" s="1"/>
  <c r="K888" i="2"/>
  <c r="L888" i="2" s="1"/>
  <c r="K889" i="2"/>
  <c r="L889" i="2" s="1"/>
  <c r="K890" i="2"/>
  <c r="L890" i="2" s="1"/>
  <c r="K891" i="2"/>
  <c r="L891" i="2" s="1"/>
  <c r="K892" i="2"/>
  <c r="L892" i="2" s="1"/>
  <c r="K893" i="2"/>
  <c r="L893" i="2" s="1"/>
  <c r="K894" i="2"/>
  <c r="L894" i="2" s="1"/>
  <c r="K895" i="2"/>
  <c r="L895" i="2" s="1"/>
  <c r="K896" i="2"/>
  <c r="L896" i="2" s="1"/>
  <c r="K897" i="2"/>
  <c r="L897" i="2" s="1"/>
  <c r="K898" i="2"/>
  <c r="L898" i="2" s="1"/>
  <c r="K899" i="2"/>
  <c r="L899" i="2" s="1"/>
  <c r="K900" i="2"/>
  <c r="K901" i="2"/>
  <c r="L901" i="2" s="1"/>
  <c r="K902" i="2"/>
  <c r="L902" i="2" s="1"/>
  <c r="K903" i="2"/>
  <c r="L903" i="2" s="1"/>
  <c r="K904" i="2"/>
  <c r="L904" i="2" s="1"/>
  <c r="K905" i="2"/>
  <c r="L905" i="2" s="1"/>
  <c r="K906" i="2"/>
  <c r="L906" i="2" s="1"/>
  <c r="K907" i="2"/>
  <c r="L907" i="2" s="1"/>
  <c r="K908" i="2"/>
  <c r="L908" i="2" s="1"/>
  <c r="K909" i="2"/>
  <c r="L909" i="2" s="1"/>
  <c r="K910" i="2"/>
  <c r="L910" i="2" s="1"/>
  <c r="K911" i="2"/>
  <c r="L911" i="2" s="1"/>
  <c r="K912" i="2"/>
  <c r="L912" i="2" s="1"/>
  <c r="K913" i="2"/>
  <c r="L913" i="2" s="1"/>
  <c r="K914" i="2"/>
  <c r="L914" i="2" s="1"/>
  <c r="K915" i="2"/>
  <c r="L915" i="2" s="1"/>
  <c r="K916" i="2"/>
  <c r="L916" i="2" s="1"/>
  <c r="K917" i="2"/>
  <c r="L917" i="2" s="1"/>
  <c r="K918" i="2"/>
  <c r="L918" i="2" s="1"/>
  <c r="K919" i="2"/>
  <c r="L919" i="2" s="1"/>
  <c r="K920" i="2"/>
  <c r="L920" i="2" s="1"/>
  <c r="K921" i="2"/>
  <c r="L921" i="2" s="1"/>
  <c r="K922" i="2"/>
  <c r="L922" i="2" s="1"/>
  <c r="K923" i="2"/>
  <c r="L923" i="2" s="1"/>
  <c r="K924" i="2"/>
  <c r="L924" i="2" s="1"/>
  <c r="K925" i="2"/>
  <c r="L925" i="2" s="1"/>
  <c r="K926" i="2"/>
  <c r="L926" i="2" s="1"/>
  <c r="K927" i="2"/>
  <c r="L927" i="2" s="1"/>
  <c r="K928" i="2"/>
  <c r="L928" i="2" s="1"/>
  <c r="K929" i="2"/>
  <c r="L929" i="2" s="1"/>
  <c r="K930" i="2"/>
  <c r="L930" i="2" s="1"/>
  <c r="K931" i="2"/>
  <c r="L931" i="2" s="1"/>
  <c r="K932" i="2"/>
  <c r="L932" i="2" s="1"/>
  <c r="K933" i="2"/>
  <c r="L933" i="2" s="1"/>
  <c r="K934" i="2"/>
  <c r="L934" i="2" s="1"/>
  <c r="K935" i="2"/>
  <c r="L935" i="2" s="1"/>
  <c r="K936" i="2"/>
  <c r="L936" i="2" s="1"/>
  <c r="K937" i="2"/>
  <c r="L937" i="2" s="1"/>
  <c r="K938" i="2"/>
  <c r="L938" i="2" s="1"/>
  <c r="K939" i="2"/>
  <c r="L939" i="2" s="1"/>
  <c r="K940" i="2"/>
  <c r="L940" i="2" s="1"/>
  <c r="K941" i="2"/>
  <c r="L941" i="2" s="1"/>
  <c r="K942" i="2"/>
  <c r="L942" i="2" s="1"/>
  <c r="K943" i="2"/>
  <c r="L943" i="2" s="1"/>
  <c r="K944" i="2"/>
  <c r="L944" i="2" s="1"/>
  <c r="K945" i="2"/>
  <c r="L945" i="2" s="1"/>
  <c r="K946" i="2"/>
  <c r="L946" i="2" s="1"/>
  <c r="K947" i="2"/>
  <c r="L947" i="2" s="1"/>
  <c r="K948" i="2"/>
  <c r="L948" i="2" s="1"/>
  <c r="K949" i="2"/>
  <c r="L949" i="2" s="1"/>
  <c r="K950" i="2"/>
  <c r="L950" i="2" s="1"/>
  <c r="K951" i="2"/>
  <c r="L951" i="2" s="1"/>
  <c r="K952" i="2"/>
  <c r="L952" i="2" s="1"/>
  <c r="K953" i="2"/>
  <c r="L953" i="2" s="1"/>
  <c r="K954" i="2"/>
  <c r="L954" i="2" s="1"/>
  <c r="K955" i="2"/>
  <c r="L955" i="2" s="1"/>
  <c r="K956" i="2"/>
  <c r="L956" i="2" s="1"/>
  <c r="K957" i="2"/>
  <c r="L957" i="2" s="1"/>
  <c r="K958" i="2"/>
  <c r="L958" i="2" s="1"/>
  <c r="K959" i="2"/>
  <c r="L959" i="2" s="1"/>
  <c r="K960" i="2"/>
  <c r="L960" i="2" s="1"/>
  <c r="K961" i="2"/>
  <c r="L961" i="2" s="1"/>
  <c r="K962" i="2"/>
  <c r="L962" i="2" s="1"/>
  <c r="K963" i="2"/>
  <c r="L963" i="2" s="1"/>
  <c r="K964" i="2"/>
  <c r="L964" i="2" s="1"/>
  <c r="K965" i="2"/>
  <c r="L965" i="2" s="1"/>
  <c r="K966" i="2"/>
  <c r="L966" i="2" s="1"/>
  <c r="K967" i="2"/>
  <c r="L967" i="2" s="1"/>
  <c r="K968" i="2"/>
  <c r="L968" i="2" s="1"/>
  <c r="K969" i="2"/>
  <c r="L969" i="2" s="1"/>
  <c r="K970" i="2"/>
  <c r="L970" i="2" s="1"/>
  <c r="K971" i="2"/>
  <c r="L971" i="2" s="1"/>
  <c r="K972" i="2"/>
  <c r="L972" i="2" s="1"/>
  <c r="K973" i="2"/>
  <c r="L973" i="2" s="1"/>
  <c r="K974" i="2"/>
  <c r="L974" i="2" s="1"/>
  <c r="K975" i="2"/>
  <c r="L975" i="2" s="1"/>
  <c r="K976" i="2"/>
  <c r="L976" i="2" s="1"/>
  <c r="K977" i="2"/>
  <c r="L977" i="2" s="1"/>
  <c r="K978" i="2"/>
  <c r="L978" i="2" s="1"/>
  <c r="K979" i="2"/>
  <c r="L979" i="2" s="1"/>
  <c r="K980" i="2"/>
  <c r="L980" i="2" s="1"/>
  <c r="K981" i="2"/>
  <c r="L981" i="2" s="1"/>
  <c r="K982" i="2"/>
  <c r="L982" i="2" s="1"/>
  <c r="K983" i="2"/>
  <c r="L983" i="2" s="1"/>
  <c r="K984" i="2"/>
  <c r="L984" i="2" s="1"/>
  <c r="K985" i="2"/>
  <c r="L985" i="2" s="1"/>
  <c r="K986" i="2"/>
  <c r="L986" i="2" s="1"/>
  <c r="K987" i="2"/>
  <c r="L987" i="2" s="1"/>
  <c r="K988" i="2"/>
  <c r="L988" i="2" s="1"/>
  <c r="K989" i="2"/>
  <c r="L989" i="2" s="1"/>
  <c r="K990" i="2"/>
  <c r="L990" i="2" s="1"/>
  <c r="K991" i="2"/>
  <c r="L991" i="2" s="1"/>
  <c r="K992" i="2"/>
  <c r="L992" i="2" s="1"/>
  <c r="K993" i="2"/>
  <c r="L993" i="2" s="1"/>
  <c r="K994" i="2"/>
  <c r="L994" i="2" s="1"/>
  <c r="K995" i="2"/>
  <c r="L995" i="2" s="1"/>
  <c r="K996" i="2"/>
  <c r="L996" i="2" s="1"/>
  <c r="K997" i="2"/>
  <c r="L997" i="2" s="1"/>
  <c r="K998" i="2"/>
  <c r="L998" i="2" s="1"/>
  <c r="K999" i="2"/>
  <c r="L999" i="2" s="1"/>
  <c r="K1000" i="2"/>
  <c r="L1000" i="2" s="1"/>
  <c r="K1001" i="2"/>
  <c r="L1001" i="2" s="1"/>
  <c r="K1002" i="2"/>
  <c r="L1002" i="2" s="1"/>
  <c r="K1003" i="2"/>
  <c r="L1003" i="2" s="1"/>
  <c r="K1004" i="2"/>
  <c r="L1004" i="2" s="1"/>
  <c r="K1005" i="2"/>
  <c r="L1005" i="2" s="1"/>
  <c r="K1006" i="2"/>
  <c r="L1006" i="2" s="1"/>
  <c r="K1007" i="2"/>
  <c r="L1007" i="2" s="1"/>
  <c r="K1008" i="2"/>
  <c r="L1008" i="2" s="1"/>
  <c r="K1009" i="2"/>
  <c r="L1009" i="2" s="1"/>
  <c r="K1010" i="2"/>
  <c r="L1010" i="2" s="1"/>
  <c r="K1011" i="2"/>
  <c r="L1011" i="2" s="1"/>
  <c r="K1012" i="2"/>
  <c r="L1012" i="2" s="1"/>
  <c r="K1013" i="2"/>
  <c r="L1013" i="2" s="1"/>
  <c r="K1014" i="2"/>
  <c r="L1014" i="2" s="1"/>
  <c r="K1015" i="2"/>
  <c r="L1015" i="2" s="1"/>
  <c r="K1016" i="2"/>
  <c r="L1016" i="2" s="1"/>
  <c r="K1017" i="2"/>
  <c r="L1017" i="2" s="1"/>
  <c r="K1018" i="2"/>
  <c r="L1018" i="2" s="1"/>
  <c r="K1019" i="2"/>
  <c r="L1019" i="2" s="1"/>
  <c r="K1020" i="2"/>
  <c r="L1020" i="2" s="1"/>
  <c r="K1021" i="2"/>
  <c r="L1021" i="2" s="1"/>
  <c r="K1022" i="2"/>
  <c r="L1022" i="2" s="1"/>
  <c r="K1023" i="2"/>
  <c r="L1023" i="2" s="1"/>
  <c r="K1024" i="2"/>
  <c r="L1024" i="2" s="1"/>
  <c r="K1025" i="2"/>
  <c r="L1025" i="2" s="1"/>
  <c r="K1026" i="2"/>
  <c r="L1026" i="2" s="1"/>
  <c r="K1027" i="2"/>
  <c r="L1027" i="2" s="1"/>
  <c r="K1028" i="2"/>
  <c r="L1028" i="2" s="1"/>
  <c r="K1029" i="2"/>
  <c r="L1029" i="2" s="1"/>
  <c r="K1030" i="2"/>
  <c r="L1030" i="2" s="1"/>
  <c r="K1031" i="2"/>
  <c r="L1031" i="2" s="1"/>
  <c r="K1032" i="2"/>
  <c r="L1032" i="2" s="1"/>
  <c r="K1033" i="2"/>
  <c r="L1033" i="2" s="1"/>
  <c r="K1034" i="2"/>
  <c r="L1034" i="2" s="1"/>
  <c r="K1035" i="2"/>
  <c r="L1035" i="2" s="1"/>
  <c r="K1036" i="2"/>
  <c r="L1036" i="2" s="1"/>
  <c r="K1037" i="2"/>
  <c r="L1037" i="2" s="1"/>
  <c r="K1038" i="2"/>
  <c r="L1038" i="2" s="1"/>
  <c r="K1039" i="2"/>
  <c r="L1039" i="2" s="1"/>
  <c r="K1040" i="2"/>
  <c r="L1040" i="2" s="1"/>
  <c r="K1041" i="2"/>
  <c r="L1041" i="2" s="1"/>
  <c r="K1042" i="2"/>
  <c r="L1042" i="2" s="1"/>
  <c r="K1043" i="2"/>
  <c r="L1043" i="2" s="1"/>
  <c r="K1044" i="2"/>
  <c r="K1045" i="2"/>
  <c r="L1045" i="2" s="1"/>
  <c r="K1046" i="2"/>
  <c r="L1046" i="2" s="1"/>
  <c r="K1047" i="2"/>
  <c r="L1047" i="2" s="1"/>
  <c r="K1048" i="2"/>
  <c r="L1048" i="2" s="1"/>
  <c r="K1049" i="2"/>
  <c r="L1049" i="2" s="1"/>
  <c r="K1050" i="2"/>
  <c r="L1050" i="2" s="1"/>
  <c r="K1051" i="2"/>
  <c r="L1051" i="2" s="1"/>
  <c r="K1052" i="2"/>
  <c r="L1052" i="2" s="1"/>
  <c r="K1053" i="2"/>
  <c r="L1053" i="2" s="1"/>
  <c r="K1054" i="2"/>
  <c r="L1054" i="2" s="1"/>
  <c r="K1055" i="2"/>
  <c r="L1055" i="2" s="1"/>
  <c r="K1056" i="2"/>
  <c r="L1056" i="2" s="1"/>
  <c r="K1057" i="2"/>
  <c r="L1057" i="2" s="1"/>
  <c r="K1058" i="2"/>
  <c r="L1058" i="2" s="1"/>
  <c r="K1059" i="2"/>
  <c r="L1059" i="2" s="1"/>
  <c r="K1060" i="2"/>
  <c r="L1060" i="2" s="1"/>
  <c r="K1061" i="2"/>
  <c r="L1061" i="2" s="1"/>
  <c r="K1062" i="2"/>
  <c r="L1062" i="2" s="1"/>
  <c r="K1063" i="2"/>
  <c r="L1063" i="2" s="1"/>
  <c r="K1064" i="2"/>
  <c r="L1064" i="2" s="1"/>
  <c r="K1065" i="2"/>
  <c r="L1065" i="2" s="1"/>
  <c r="K1066" i="2"/>
  <c r="L1066" i="2" s="1"/>
  <c r="K1067" i="2"/>
  <c r="L1067" i="2" s="1"/>
  <c r="K1068" i="2"/>
  <c r="L1068" i="2" s="1"/>
  <c r="K1069" i="2"/>
  <c r="L1069" i="2" s="1"/>
  <c r="K1070" i="2"/>
  <c r="L1070" i="2" s="1"/>
  <c r="K1071" i="2"/>
  <c r="L1071" i="2" s="1"/>
  <c r="K1072" i="2"/>
  <c r="L1072" i="2" s="1"/>
  <c r="K1073" i="2"/>
  <c r="L1073" i="2" s="1"/>
  <c r="K1074" i="2"/>
  <c r="L1074" i="2" s="1"/>
  <c r="K1075" i="2"/>
  <c r="L1075" i="2" s="1"/>
  <c r="K1076" i="2"/>
  <c r="L1076" i="2" s="1"/>
  <c r="K1077" i="2"/>
  <c r="L1077" i="2" s="1"/>
  <c r="K1078" i="2"/>
  <c r="L1078" i="2" s="1"/>
  <c r="K1079" i="2"/>
  <c r="L1079" i="2" s="1"/>
  <c r="K1080" i="2"/>
  <c r="L1080" i="2" s="1"/>
  <c r="K1081" i="2"/>
  <c r="L1081" i="2" s="1"/>
  <c r="K1082" i="2"/>
  <c r="L1082" i="2" s="1"/>
  <c r="K1083" i="2"/>
  <c r="L1083" i="2" s="1"/>
  <c r="K1084" i="2"/>
  <c r="L1084" i="2" s="1"/>
  <c r="K1085" i="2"/>
  <c r="L1085" i="2" s="1"/>
  <c r="K1086" i="2"/>
  <c r="L1086" i="2" s="1"/>
  <c r="K1087" i="2"/>
  <c r="L1087" i="2" s="1"/>
  <c r="K1088" i="2"/>
  <c r="L1088" i="2" s="1"/>
  <c r="K1089" i="2"/>
  <c r="L1089" i="2" s="1"/>
  <c r="K1090" i="2"/>
  <c r="L1090" i="2" s="1"/>
  <c r="K1091" i="2"/>
  <c r="L1091" i="2" s="1"/>
  <c r="K1092" i="2"/>
  <c r="L1092" i="2" s="1"/>
  <c r="K1093" i="2"/>
  <c r="L1093" i="2" s="1"/>
  <c r="K1094" i="2"/>
  <c r="L1094" i="2" s="1"/>
  <c r="K1095" i="2"/>
  <c r="L1095" i="2" s="1"/>
  <c r="K1096" i="2"/>
  <c r="L1096" i="2" s="1"/>
  <c r="K1097" i="2"/>
  <c r="L1097" i="2" s="1"/>
  <c r="K1098" i="2"/>
  <c r="L1098" i="2" s="1"/>
  <c r="K1099" i="2"/>
  <c r="L1099" i="2" s="1"/>
  <c r="K1100" i="2"/>
  <c r="L1100" i="2" s="1"/>
  <c r="K1101" i="2"/>
  <c r="L1101" i="2" s="1"/>
  <c r="K1102" i="2"/>
  <c r="L1102" i="2" s="1"/>
  <c r="K1103" i="2"/>
  <c r="L1103" i="2" s="1"/>
  <c r="K1104" i="2"/>
  <c r="L1104" i="2" s="1"/>
  <c r="K1105" i="2"/>
  <c r="L1105" i="2" s="1"/>
  <c r="K1106" i="2"/>
  <c r="L1106" i="2" s="1"/>
  <c r="K1107" i="2"/>
  <c r="L1107" i="2" s="1"/>
  <c r="K1108" i="2"/>
  <c r="L1108" i="2" s="1"/>
  <c r="K1109" i="2"/>
  <c r="L1109" i="2" s="1"/>
  <c r="K1110" i="2"/>
  <c r="L1110" i="2" s="1"/>
  <c r="K1111" i="2"/>
  <c r="L1111" i="2" s="1"/>
  <c r="K1112" i="2"/>
  <c r="L1112" i="2" s="1"/>
  <c r="K1113" i="2"/>
  <c r="L1113" i="2" s="1"/>
  <c r="K1114" i="2"/>
  <c r="L1114" i="2" s="1"/>
  <c r="K1115" i="2"/>
  <c r="L1115" i="2" s="1"/>
  <c r="K1116" i="2"/>
  <c r="L1116" i="2" s="1"/>
  <c r="K1117" i="2"/>
  <c r="L1117" i="2" s="1"/>
  <c r="K1118" i="2"/>
  <c r="L1118" i="2" s="1"/>
  <c r="K1119" i="2"/>
  <c r="L1119" i="2" s="1"/>
  <c r="K1120" i="2"/>
  <c r="L1120" i="2" s="1"/>
  <c r="K1121" i="2"/>
  <c r="L1121" i="2" s="1"/>
  <c r="K1122" i="2"/>
  <c r="L1122" i="2" s="1"/>
  <c r="K1123" i="2"/>
  <c r="L1123" i="2" s="1"/>
  <c r="K1124" i="2"/>
  <c r="L1124" i="2" s="1"/>
  <c r="K1125" i="2"/>
  <c r="L1125" i="2" s="1"/>
  <c r="K1126" i="2"/>
  <c r="L1126" i="2" s="1"/>
  <c r="K1127" i="2"/>
  <c r="L1127" i="2" s="1"/>
  <c r="K1128" i="2"/>
  <c r="L1128" i="2" s="1"/>
  <c r="K1129" i="2"/>
  <c r="L1129" i="2" s="1"/>
  <c r="K1130" i="2"/>
  <c r="L1130" i="2" s="1"/>
  <c r="K1131" i="2"/>
  <c r="L1131" i="2" s="1"/>
  <c r="K1132" i="2"/>
  <c r="L1132" i="2" s="1"/>
  <c r="K1133" i="2"/>
  <c r="L1133" i="2" s="1"/>
  <c r="K1134" i="2"/>
  <c r="L1134" i="2" s="1"/>
  <c r="K1135" i="2"/>
  <c r="L1135" i="2" s="1"/>
  <c r="K1136" i="2"/>
  <c r="L1136" i="2" s="1"/>
  <c r="K1137" i="2"/>
  <c r="L1137" i="2" s="1"/>
  <c r="K1138" i="2"/>
  <c r="L1138" i="2" s="1"/>
  <c r="K1139" i="2"/>
  <c r="L1139" i="2" s="1"/>
  <c r="K1140" i="2"/>
  <c r="L1140" i="2" s="1"/>
  <c r="K1141" i="2"/>
  <c r="L1141" i="2" s="1"/>
  <c r="K1142" i="2"/>
  <c r="L1142" i="2" s="1"/>
  <c r="K1143" i="2"/>
  <c r="L1143" i="2" s="1"/>
  <c r="K1144" i="2"/>
  <c r="L1144" i="2" s="1"/>
  <c r="K1145" i="2"/>
  <c r="L1145" i="2" s="1"/>
  <c r="K1146" i="2"/>
  <c r="L1146" i="2" s="1"/>
  <c r="K1147" i="2"/>
  <c r="L1147" i="2" s="1"/>
  <c r="K1148" i="2"/>
  <c r="L1148" i="2" s="1"/>
  <c r="K1149" i="2"/>
  <c r="L1149" i="2" s="1"/>
  <c r="K1150" i="2"/>
  <c r="L1150" i="2" s="1"/>
  <c r="K1151" i="2"/>
  <c r="L1151" i="2" s="1"/>
  <c r="K1152" i="2"/>
  <c r="L1152" i="2" s="1"/>
  <c r="K1153" i="2"/>
  <c r="L1153" i="2" s="1"/>
  <c r="K1154" i="2"/>
  <c r="L1154" i="2" s="1"/>
  <c r="K1155" i="2"/>
  <c r="L1155" i="2" s="1"/>
  <c r="K1156" i="2"/>
  <c r="L1156" i="2" s="1"/>
  <c r="K1157" i="2"/>
  <c r="L1157" i="2" s="1"/>
  <c r="K1158" i="2"/>
  <c r="L1158" i="2" s="1"/>
  <c r="K1159" i="2"/>
  <c r="L1159" i="2" s="1"/>
  <c r="K1160" i="2"/>
  <c r="L1160" i="2" s="1"/>
  <c r="K1161" i="2"/>
  <c r="L1161" i="2" s="1"/>
  <c r="K1162" i="2"/>
  <c r="L1162" i="2" s="1"/>
  <c r="K1163" i="2"/>
  <c r="L1163" i="2" s="1"/>
  <c r="K1164" i="2"/>
  <c r="L1164" i="2" s="1"/>
  <c r="K1165" i="2"/>
  <c r="L1165" i="2" s="1"/>
  <c r="K1166" i="2"/>
  <c r="L1166" i="2" s="1"/>
  <c r="K1167" i="2"/>
  <c r="L1167" i="2" s="1"/>
  <c r="K1168" i="2"/>
  <c r="L1168" i="2" s="1"/>
  <c r="K1169" i="2"/>
  <c r="L1169" i="2" s="1"/>
  <c r="K1170" i="2"/>
  <c r="L1170" i="2" s="1"/>
  <c r="K1171" i="2"/>
  <c r="L1171" i="2" s="1"/>
  <c r="K1172" i="2"/>
  <c r="L1172" i="2" s="1"/>
  <c r="K1173" i="2"/>
  <c r="L1173" i="2" s="1"/>
  <c r="K1174" i="2"/>
  <c r="L1174" i="2" s="1"/>
  <c r="K1175" i="2"/>
  <c r="L1175" i="2" s="1"/>
  <c r="K1176" i="2"/>
  <c r="L1176" i="2" s="1"/>
  <c r="K1177" i="2"/>
  <c r="L1177" i="2" s="1"/>
  <c r="K1178" i="2"/>
  <c r="L1178" i="2" s="1"/>
  <c r="K1179" i="2"/>
  <c r="L1179" i="2" s="1"/>
  <c r="K1180" i="2"/>
  <c r="L1180" i="2" s="1"/>
  <c r="K1181" i="2"/>
  <c r="L1181" i="2" s="1"/>
  <c r="K1182" i="2"/>
  <c r="L1182" i="2" s="1"/>
  <c r="K1183" i="2"/>
  <c r="L1183" i="2" s="1"/>
  <c r="K1184" i="2"/>
  <c r="L1184" i="2" s="1"/>
  <c r="K1185" i="2"/>
  <c r="L1185" i="2" s="1"/>
  <c r="K1186" i="2"/>
  <c r="L1186" i="2" s="1"/>
  <c r="K1187" i="2"/>
  <c r="L1187" i="2" s="1"/>
  <c r="K1188" i="2"/>
  <c r="L1188" i="2" s="1"/>
  <c r="K1189" i="2"/>
  <c r="L1189" i="2" s="1"/>
  <c r="K1190" i="2"/>
  <c r="L1190" i="2" s="1"/>
  <c r="K1191" i="2"/>
  <c r="L1191" i="2" s="1"/>
  <c r="K1192" i="2"/>
  <c r="L1192" i="2" s="1"/>
  <c r="K1193" i="2"/>
  <c r="L1193" i="2" s="1"/>
  <c r="K1194" i="2"/>
  <c r="L1194" i="2" s="1"/>
  <c r="K1195" i="2"/>
  <c r="L1195" i="2" s="1"/>
  <c r="K1196" i="2"/>
  <c r="L1196" i="2" s="1"/>
  <c r="K1197" i="2"/>
  <c r="L1197" i="2" s="1"/>
  <c r="K1198" i="2"/>
  <c r="L1198" i="2" s="1"/>
  <c r="K1199" i="2"/>
  <c r="L1199" i="2" s="1"/>
  <c r="K1200" i="2"/>
  <c r="L1200" i="2" s="1"/>
  <c r="K1201" i="2"/>
  <c r="L1201" i="2" s="1"/>
  <c r="K1202" i="2"/>
  <c r="L1202" i="2" s="1"/>
  <c r="K1203" i="2"/>
  <c r="L1203" i="2" s="1"/>
  <c r="K1204" i="2"/>
  <c r="L1204" i="2" s="1"/>
  <c r="K1205" i="2"/>
  <c r="L1205" i="2" s="1"/>
  <c r="K1206" i="2"/>
  <c r="L1206" i="2" s="1"/>
  <c r="K1207" i="2"/>
  <c r="L1207" i="2" s="1"/>
  <c r="K1208" i="2"/>
  <c r="L1208" i="2" s="1"/>
  <c r="K1209" i="2"/>
  <c r="L1209" i="2" s="1"/>
  <c r="K1210" i="2"/>
  <c r="L1210" i="2" s="1"/>
  <c r="K1211" i="2"/>
  <c r="L1211" i="2" s="1"/>
  <c r="K1212" i="2"/>
  <c r="L1212" i="2" s="1"/>
  <c r="K1213" i="2"/>
  <c r="L1213" i="2" s="1"/>
  <c r="K1214" i="2"/>
  <c r="L1214" i="2" s="1"/>
  <c r="K1215" i="2"/>
  <c r="L1215" i="2" s="1"/>
  <c r="K1216" i="2"/>
  <c r="L1216" i="2" s="1"/>
  <c r="K1217" i="2"/>
  <c r="L1217" i="2" s="1"/>
  <c r="K1218" i="2"/>
  <c r="L1218" i="2" s="1"/>
  <c r="K1219" i="2"/>
  <c r="L1219" i="2" s="1"/>
  <c r="K1220" i="2"/>
  <c r="L1220" i="2" s="1"/>
  <c r="K1221" i="2"/>
  <c r="L1221" i="2" s="1"/>
  <c r="K1222" i="2"/>
  <c r="L1222" i="2" s="1"/>
  <c r="K1223" i="2"/>
  <c r="L1223" i="2" s="1"/>
  <c r="K1224" i="2"/>
  <c r="L1224" i="2" s="1"/>
  <c r="K1225" i="2"/>
  <c r="L1225" i="2" s="1"/>
  <c r="K1226" i="2"/>
  <c r="L1226" i="2" s="1"/>
  <c r="K1227" i="2"/>
  <c r="L1227" i="2" s="1"/>
  <c r="K1228" i="2"/>
  <c r="L1228" i="2" s="1"/>
  <c r="K1229" i="2"/>
  <c r="L1229" i="2" s="1"/>
  <c r="K1230" i="2"/>
  <c r="L1230" i="2" s="1"/>
  <c r="K1231" i="2"/>
  <c r="L1231" i="2" s="1"/>
  <c r="K1232" i="2"/>
  <c r="L1232" i="2" s="1"/>
  <c r="K1233" i="2"/>
  <c r="L1233" i="2" s="1"/>
  <c r="K1234" i="2"/>
  <c r="L1234" i="2" s="1"/>
  <c r="K1235" i="2"/>
  <c r="L1235" i="2" s="1"/>
  <c r="K1236" i="2"/>
  <c r="L1236" i="2" s="1"/>
  <c r="K1237" i="2"/>
  <c r="L1237" i="2" s="1"/>
  <c r="K1238" i="2"/>
  <c r="L1238" i="2" s="1"/>
  <c r="K1239" i="2"/>
  <c r="L1239" i="2" s="1"/>
  <c r="K1240" i="2"/>
  <c r="L1240" i="2" s="1"/>
  <c r="K1241" i="2"/>
  <c r="L1241" i="2" s="1"/>
  <c r="K1242" i="2"/>
  <c r="L1242" i="2" s="1"/>
  <c r="K1243" i="2"/>
  <c r="L1243" i="2" s="1"/>
  <c r="K1244" i="2"/>
  <c r="L1244" i="2" s="1"/>
  <c r="K1245" i="2"/>
  <c r="L1245" i="2" s="1"/>
  <c r="K1246" i="2"/>
  <c r="L1246" i="2" s="1"/>
  <c r="K1247" i="2"/>
  <c r="L1247" i="2" s="1"/>
  <c r="K1248" i="2"/>
  <c r="L1248" i="2" s="1"/>
  <c r="K1249" i="2"/>
  <c r="L1249" i="2" s="1"/>
  <c r="K1250" i="2"/>
  <c r="L1250" i="2" s="1"/>
  <c r="K1251" i="2"/>
  <c r="L1251" i="2" s="1"/>
  <c r="K1252" i="2"/>
  <c r="L1252" i="2" s="1"/>
  <c r="K1253" i="2"/>
  <c r="L1253" i="2" s="1"/>
  <c r="K1254" i="2"/>
  <c r="L1254" i="2" s="1"/>
  <c r="K1255" i="2"/>
  <c r="L1255" i="2" s="1"/>
  <c r="K1256" i="2"/>
  <c r="L1256" i="2" s="1"/>
  <c r="K1257" i="2"/>
  <c r="L1257" i="2" s="1"/>
  <c r="K1258" i="2"/>
  <c r="L1258" i="2" s="1"/>
  <c r="K1259" i="2"/>
  <c r="L1259" i="2" s="1"/>
  <c r="K1260" i="2"/>
  <c r="L1260" i="2" s="1"/>
  <c r="K1261" i="2"/>
  <c r="L1261" i="2" s="1"/>
  <c r="K1262" i="2"/>
  <c r="L1262" i="2" s="1"/>
  <c r="K1263" i="2"/>
  <c r="L1263" i="2" s="1"/>
  <c r="K1264" i="2"/>
  <c r="L1264" i="2" s="1"/>
  <c r="K1265" i="2"/>
  <c r="L1265" i="2" s="1"/>
  <c r="K1266" i="2"/>
  <c r="L1266" i="2" s="1"/>
  <c r="K1267" i="2"/>
  <c r="L1267" i="2" s="1"/>
  <c r="K1268" i="2"/>
  <c r="L1268" i="2" s="1"/>
  <c r="K1269" i="2"/>
  <c r="L1269" i="2" s="1"/>
  <c r="K1270" i="2"/>
  <c r="L1270" i="2" s="1"/>
  <c r="K1271" i="2"/>
  <c r="L1271" i="2" s="1"/>
  <c r="K1272" i="2"/>
  <c r="L1272" i="2" s="1"/>
  <c r="K1273" i="2"/>
  <c r="L1273" i="2" s="1"/>
  <c r="K1274" i="2"/>
  <c r="L1274" i="2" s="1"/>
  <c r="K1275" i="2"/>
  <c r="L1275" i="2" s="1"/>
  <c r="K1276" i="2"/>
  <c r="L1276" i="2" s="1"/>
  <c r="K1277" i="2"/>
  <c r="L1277" i="2" s="1"/>
  <c r="K1278" i="2"/>
  <c r="L1278" i="2" s="1"/>
  <c r="K1279" i="2"/>
  <c r="L1279" i="2" s="1"/>
  <c r="K1280" i="2"/>
  <c r="L1280" i="2" s="1"/>
  <c r="K1281" i="2"/>
  <c r="L1281" i="2" s="1"/>
  <c r="K1282" i="2"/>
  <c r="L1282" i="2" s="1"/>
  <c r="K1283" i="2"/>
  <c r="L1283" i="2" s="1"/>
  <c r="K1284" i="2"/>
  <c r="L1284" i="2" s="1"/>
  <c r="K1285" i="2"/>
  <c r="L1285" i="2" s="1"/>
  <c r="K1286" i="2"/>
  <c r="L1286" i="2" s="1"/>
  <c r="K1287" i="2"/>
  <c r="L1287" i="2" s="1"/>
  <c r="K1288" i="2"/>
  <c r="L1288" i="2" s="1"/>
  <c r="K1289" i="2"/>
  <c r="L1289" i="2" s="1"/>
  <c r="K1290" i="2"/>
  <c r="L1290" i="2" s="1"/>
  <c r="K1291" i="2"/>
  <c r="L1291" i="2" s="1"/>
  <c r="K1292" i="2"/>
  <c r="L1292" i="2" s="1"/>
  <c r="K1293" i="2"/>
  <c r="L1293" i="2" s="1"/>
  <c r="K1294" i="2"/>
  <c r="L1294" i="2" s="1"/>
  <c r="K1295" i="2"/>
  <c r="L1295" i="2" s="1"/>
  <c r="K1296" i="2"/>
  <c r="L1296" i="2" s="1"/>
  <c r="K1297" i="2"/>
  <c r="L1297" i="2" s="1"/>
  <c r="K1298" i="2"/>
  <c r="L1298" i="2" s="1"/>
  <c r="K1299" i="2"/>
  <c r="L1299" i="2" s="1"/>
  <c r="K1300" i="2"/>
  <c r="L1300" i="2" s="1"/>
  <c r="K1301" i="2"/>
  <c r="L1301" i="2" s="1"/>
  <c r="K1302" i="2"/>
  <c r="L1302" i="2" s="1"/>
  <c r="K1303" i="2"/>
  <c r="L1303" i="2" s="1"/>
  <c r="K1304" i="2"/>
  <c r="L1304" i="2" s="1"/>
  <c r="K1305" i="2"/>
  <c r="L1305" i="2" s="1"/>
  <c r="K1306" i="2"/>
  <c r="L1306" i="2" s="1"/>
  <c r="K1307" i="2"/>
  <c r="L1307" i="2" s="1"/>
  <c r="K1308" i="2"/>
  <c r="L1308" i="2" s="1"/>
  <c r="K1309" i="2"/>
  <c r="L1309" i="2" s="1"/>
  <c r="K1310" i="2"/>
  <c r="L1310" i="2" s="1"/>
  <c r="K1311" i="2"/>
  <c r="L1311" i="2" s="1"/>
  <c r="K1312" i="2"/>
  <c r="L1312" i="2" s="1"/>
  <c r="K1313" i="2"/>
  <c r="L1313" i="2" s="1"/>
  <c r="K1314" i="2"/>
  <c r="L1314" i="2" s="1"/>
  <c r="K1315" i="2"/>
  <c r="L1315" i="2" s="1"/>
  <c r="K1316" i="2"/>
  <c r="L1316" i="2" s="1"/>
  <c r="K1317" i="2"/>
  <c r="L1317" i="2" s="1"/>
  <c r="K1318" i="2"/>
  <c r="L1318" i="2" s="1"/>
  <c r="K1319" i="2"/>
  <c r="L1319" i="2" s="1"/>
  <c r="K1320" i="2"/>
  <c r="L1320" i="2" s="1"/>
  <c r="K1321" i="2"/>
  <c r="L1321" i="2" s="1"/>
  <c r="K1322" i="2"/>
  <c r="L1322" i="2" s="1"/>
  <c r="K1323" i="2"/>
  <c r="L1323" i="2" s="1"/>
  <c r="K1324" i="2"/>
  <c r="L1324" i="2" s="1"/>
  <c r="K1325" i="2"/>
  <c r="L1325" i="2" s="1"/>
  <c r="K1326" i="2"/>
  <c r="L1326" i="2" s="1"/>
  <c r="K1327" i="2"/>
  <c r="L1327" i="2" s="1"/>
  <c r="K1328" i="2"/>
  <c r="L1328" i="2" s="1"/>
  <c r="K1329" i="2"/>
  <c r="L1329" i="2" s="1"/>
  <c r="K1330" i="2"/>
  <c r="L1330" i="2" s="1"/>
  <c r="K1331" i="2"/>
  <c r="L1331" i="2" s="1"/>
  <c r="K1332" i="2"/>
  <c r="L1332" i="2" s="1"/>
  <c r="K1333" i="2"/>
  <c r="L1333" i="2" s="1"/>
  <c r="K1334" i="2"/>
  <c r="L1334" i="2" s="1"/>
  <c r="K1335" i="2"/>
  <c r="L1335" i="2" s="1"/>
  <c r="K1336" i="2"/>
  <c r="L1336" i="2" s="1"/>
  <c r="K1337" i="2"/>
  <c r="L1337" i="2" s="1"/>
  <c r="K1338" i="2"/>
  <c r="L1338" i="2" s="1"/>
  <c r="K1339" i="2"/>
  <c r="L1339" i="2" s="1"/>
  <c r="K1340" i="2"/>
  <c r="L1340" i="2" s="1"/>
  <c r="K1341" i="2"/>
  <c r="L1341" i="2" s="1"/>
  <c r="K1342" i="2"/>
  <c r="L1342" i="2" s="1"/>
  <c r="K1343" i="2"/>
  <c r="L1343" i="2" s="1"/>
  <c r="K1344" i="2"/>
  <c r="L1344" i="2" s="1"/>
  <c r="K1345" i="2"/>
  <c r="L1345" i="2" s="1"/>
  <c r="K1346" i="2"/>
  <c r="L1346" i="2" s="1"/>
  <c r="K1347" i="2"/>
  <c r="L1347" i="2" s="1"/>
  <c r="K1348" i="2"/>
  <c r="L1348" i="2" s="1"/>
  <c r="K1349" i="2"/>
  <c r="L1349" i="2" s="1"/>
  <c r="K1350" i="2"/>
  <c r="L1350" i="2" s="1"/>
  <c r="K1351" i="2"/>
  <c r="L1351" i="2" s="1"/>
  <c r="K1352" i="2"/>
  <c r="L1352" i="2" s="1"/>
  <c r="K1353" i="2"/>
  <c r="L1353" i="2" s="1"/>
  <c r="K1354" i="2"/>
  <c r="L1354" i="2" s="1"/>
  <c r="K1355" i="2"/>
  <c r="L1355" i="2" s="1"/>
  <c r="K1356" i="2"/>
  <c r="L1356" i="2" s="1"/>
  <c r="K1357" i="2"/>
  <c r="L1357" i="2" s="1"/>
  <c r="K1358" i="2"/>
  <c r="L1358" i="2" s="1"/>
  <c r="K1359" i="2"/>
  <c r="L1359" i="2" s="1"/>
  <c r="K1360" i="2"/>
  <c r="L1360" i="2" s="1"/>
  <c r="K1361" i="2"/>
  <c r="L1361" i="2" s="1"/>
  <c r="K1362" i="2"/>
  <c r="L1362" i="2" s="1"/>
  <c r="K1363" i="2"/>
  <c r="L1363" i="2" s="1"/>
  <c r="K1364" i="2"/>
  <c r="L1364" i="2" s="1"/>
  <c r="K1365" i="2"/>
  <c r="L1365" i="2" s="1"/>
  <c r="K1366" i="2"/>
  <c r="L1366" i="2" s="1"/>
  <c r="K1367" i="2"/>
  <c r="L1367" i="2" s="1"/>
  <c r="K1368" i="2"/>
  <c r="L1368" i="2" s="1"/>
  <c r="K1369" i="2"/>
  <c r="L1369" i="2" s="1"/>
  <c r="K1370" i="2"/>
  <c r="L1370" i="2" s="1"/>
  <c r="K1371" i="2"/>
  <c r="L1371" i="2" s="1"/>
  <c r="K1372" i="2"/>
  <c r="L1372" i="2" s="1"/>
  <c r="K1373" i="2"/>
  <c r="L1373" i="2" s="1"/>
  <c r="K1374" i="2"/>
  <c r="L1374" i="2" s="1"/>
  <c r="K1375" i="2"/>
  <c r="L1375" i="2" s="1"/>
  <c r="K1376" i="2"/>
  <c r="L1376" i="2" s="1"/>
  <c r="K1377" i="2"/>
  <c r="L1377" i="2" s="1"/>
  <c r="K1378" i="2"/>
  <c r="L1378" i="2" s="1"/>
  <c r="K1379" i="2"/>
  <c r="L1379" i="2" s="1"/>
  <c r="K1380" i="2"/>
  <c r="L1380" i="2" s="1"/>
  <c r="K1381" i="2"/>
  <c r="L1381" i="2" s="1"/>
  <c r="K1382" i="2"/>
  <c r="L1382" i="2" s="1"/>
  <c r="K1383" i="2"/>
  <c r="L1383" i="2" s="1"/>
  <c r="K1384" i="2"/>
  <c r="L1384" i="2" s="1"/>
  <c r="K1385" i="2"/>
  <c r="L1385" i="2" s="1"/>
  <c r="K1386" i="2"/>
  <c r="L1386" i="2" s="1"/>
  <c r="K1387" i="2"/>
  <c r="L1387" i="2" s="1"/>
  <c r="K1388" i="2"/>
  <c r="L1388" i="2" s="1"/>
  <c r="K1389" i="2"/>
  <c r="L1389" i="2" s="1"/>
  <c r="K1390" i="2"/>
  <c r="L1390" i="2" s="1"/>
  <c r="K1391" i="2"/>
  <c r="L1391" i="2" s="1"/>
  <c r="K1392" i="2"/>
  <c r="L1392" i="2" s="1"/>
  <c r="K1393" i="2"/>
  <c r="L1393" i="2" s="1"/>
  <c r="K1394" i="2"/>
  <c r="L1394" i="2" s="1"/>
  <c r="K1395" i="2"/>
  <c r="L1395" i="2" s="1"/>
  <c r="K1396" i="2"/>
  <c r="L1396" i="2" s="1"/>
  <c r="K1397" i="2"/>
  <c r="L1397" i="2" s="1"/>
  <c r="K1398" i="2"/>
  <c r="L1398" i="2" s="1"/>
  <c r="K1399" i="2"/>
  <c r="L1399" i="2" s="1"/>
  <c r="K1400" i="2"/>
  <c r="L1400" i="2" s="1"/>
  <c r="K1401" i="2"/>
  <c r="L1401" i="2" s="1"/>
  <c r="K1402" i="2"/>
  <c r="L1402" i="2" s="1"/>
  <c r="K1403" i="2"/>
  <c r="L1403" i="2" s="1"/>
  <c r="K1404" i="2"/>
  <c r="L1404" i="2" s="1"/>
  <c r="K1405" i="2"/>
  <c r="L1405" i="2" s="1"/>
  <c r="K1406" i="2"/>
  <c r="L1406" i="2" s="1"/>
  <c r="K1407" i="2"/>
  <c r="L1407" i="2" s="1"/>
  <c r="K1408" i="2"/>
  <c r="L1408" i="2" s="1"/>
  <c r="K1409" i="2"/>
  <c r="L1409" i="2" s="1"/>
  <c r="K1410" i="2"/>
  <c r="L1410" i="2" s="1"/>
  <c r="K1411" i="2"/>
  <c r="L1411" i="2" s="1"/>
  <c r="K1412" i="2"/>
  <c r="L1412" i="2" s="1"/>
  <c r="K1413" i="2"/>
  <c r="L1413" i="2" s="1"/>
  <c r="K1414" i="2"/>
  <c r="L1414" i="2" s="1"/>
  <c r="K1415" i="2"/>
  <c r="L1415" i="2" s="1"/>
  <c r="K1416" i="2"/>
  <c r="L1416" i="2" s="1"/>
  <c r="K1417" i="2"/>
  <c r="L1417" i="2" s="1"/>
  <c r="K1418" i="2"/>
  <c r="L1418" i="2" s="1"/>
  <c r="K1419" i="2"/>
  <c r="L1419" i="2" s="1"/>
  <c r="K1420" i="2"/>
  <c r="L1420" i="2" s="1"/>
  <c r="K1421" i="2"/>
  <c r="L1421" i="2" s="1"/>
  <c r="K1422" i="2"/>
  <c r="L1422" i="2" s="1"/>
  <c r="K1423" i="2"/>
  <c r="L1423" i="2" s="1"/>
  <c r="K1424" i="2"/>
  <c r="L1424" i="2" s="1"/>
  <c r="K1425" i="2"/>
  <c r="L1425" i="2" s="1"/>
  <c r="K1426" i="2"/>
  <c r="L1426" i="2" s="1"/>
  <c r="K1427" i="2"/>
  <c r="L1427" i="2" s="1"/>
  <c r="K1428" i="2"/>
  <c r="L1428" i="2" s="1"/>
  <c r="K1429" i="2"/>
  <c r="L1429" i="2" s="1"/>
  <c r="K1430" i="2"/>
  <c r="L1430" i="2" s="1"/>
  <c r="K1431" i="2"/>
  <c r="L1431" i="2" s="1"/>
  <c r="K1432" i="2"/>
  <c r="L1432" i="2" s="1"/>
  <c r="K1433" i="2"/>
  <c r="L1433" i="2" s="1"/>
  <c r="K1434" i="2"/>
  <c r="L1434" i="2" s="1"/>
  <c r="K1435" i="2"/>
  <c r="L1435" i="2" s="1"/>
  <c r="K1436" i="2"/>
  <c r="L1436" i="2" s="1"/>
  <c r="K1437" i="2"/>
  <c r="L1437" i="2" s="1"/>
  <c r="K1438" i="2"/>
  <c r="L1438" i="2" s="1"/>
  <c r="K1439" i="2"/>
  <c r="L1439" i="2" s="1"/>
  <c r="K1440" i="2"/>
  <c r="L1440" i="2" s="1"/>
  <c r="K1441" i="2"/>
  <c r="L1441" i="2" s="1"/>
  <c r="K1442" i="2"/>
  <c r="L1442" i="2" s="1"/>
  <c r="K1443" i="2"/>
  <c r="L1443" i="2" s="1"/>
  <c r="K1444" i="2"/>
  <c r="L1444" i="2" s="1"/>
  <c r="K1445" i="2"/>
  <c r="L1445" i="2" s="1"/>
  <c r="K1446" i="2"/>
  <c r="L1446" i="2" s="1"/>
  <c r="K1447" i="2"/>
  <c r="L1447" i="2" s="1"/>
  <c r="K1448" i="2"/>
  <c r="L1448" i="2" s="1"/>
  <c r="K1449" i="2"/>
  <c r="L1449" i="2" s="1"/>
  <c r="K1450" i="2"/>
  <c r="L1450" i="2" s="1"/>
  <c r="K1451" i="2"/>
  <c r="L1451" i="2" s="1"/>
  <c r="K1452" i="2"/>
  <c r="L1452" i="2" s="1"/>
  <c r="K1453" i="2"/>
  <c r="L1453" i="2" s="1"/>
  <c r="K1454" i="2"/>
  <c r="L1454" i="2" s="1"/>
  <c r="K1455" i="2"/>
  <c r="L1455" i="2" s="1"/>
  <c r="K1456" i="2"/>
  <c r="L1456" i="2" s="1"/>
  <c r="K1457" i="2"/>
  <c r="L1457" i="2" s="1"/>
  <c r="K1458" i="2"/>
  <c r="L1458" i="2" s="1"/>
  <c r="K1459" i="2"/>
  <c r="L1459" i="2" s="1"/>
  <c r="K1460" i="2"/>
  <c r="L1460" i="2" s="1"/>
  <c r="K1461" i="2"/>
  <c r="L1461" i="2" s="1"/>
  <c r="K1462" i="2"/>
  <c r="L1462" i="2" s="1"/>
  <c r="K1463" i="2"/>
  <c r="L1463" i="2" s="1"/>
  <c r="K1464" i="2"/>
  <c r="L1464" i="2" s="1"/>
  <c r="K1465" i="2"/>
  <c r="L1465" i="2" s="1"/>
  <c r="K1466" i="2"/>
  <c r="L1466" i="2" s="1"/>
  <c r="K1467" i="2"/>
  <c r="L1467" i="2" s="1"/>
  <c r="K1468" i="2"/>
  <c r="L1468" i="2" s="1"/>
  <c r="K1469" i="2"/>
  <c r="L1469" i="2" s="1"/>
  <c r="K1470" i="2"/>
  <c r="L1470" i="2" s="1"/>
  <c r="K1471" i="2"/>
  <c r="L1471" i="2" s="1"/>
  <c r="K1472" i="2"/>
  <c r="L1472" i="2" s="1"/>
  <c r="K1473" i="2"/>
  <c r="L1473" i="2" s="1"/>
  <c r="K1474" i="2"/>
  <c r="L1474" i="2" s="1"/>
  <c r="K1475" i="2"/>
  <c r="L1475" i="2" s="1"/>
  <c r="K1476" i="2"/>
  <c r="L1476" i="2" s="1"/>
  <c r="K1477" i="2"/>
  <c r="L1477" i="2" s="1"/>
  <c r="K1478" i="2"/>
  <c r="L1478" i="2" s="1"/>
  <c r="K1479" i="2"/>
  <c r="L1479" i="2" s="1"/>
  <c r="K1480" i="2"/>
  <c r="L1480" i="2" s="1"/>
  <c r="K1481" i="2"/>
  <c r="L1481" i="2" s="1"/>
  <c r="K1482" i="2"/>
  <c r="L1482" i="2" s="1"/>
  <c r="K1483" i="2"/>
  <c r="L1483" i="2" s="1"/>
  <c r="K1484" i="2"/>
  <c r="L1484" i="2" s="1"/>
  <c r="K1485" i="2"/>
  <c r="L1485" i="2" s="1"/>
  <c r="K1486" i="2"/>
  <c r="L1486" i="2" s="1"/>
  <c r="K1487" i="2"/>
  <c r="L1487" i="2" s="1"/>
  <c r="K1488" i="2"/>
  <c r="L1488" i="2" s="1"/>
  <c r="K1489" i="2"/>
  <c r="L1489" i="2" s="1"/>
  <c r="K1490" i="2"/>
  <c r="L1490" i="2" s="1"/>
  <c r="K1491" i="2"/>
  <c r="L1491" i="2" s="1"/>
  <c r="K1492" i="2"/>
  <c r="L1492" i="2" s="1"/>
  <c r="K1493" i="2"/>
  <c r="L1493" i="2" s="1"/>
  <c r="K1494" i="2"/>
  <c r="L1494" i="2" s="1"/>
  <c r="K1495" i="2"/>
  <c r="L1495" i="2" s="1"/>
  <c r="K1496" i="2"/>
  <c r="L1496" i="2" s="1"/>
  <c r="K1497" i="2"/>
  <c r="L1497" i="2" s="1"/>
  <c r="K1498" i="2"/>
  <c r="L1498" i="2" s="1"/>
  <c r="K1499" i="2"/>
  <c r="L1499" i="2" s="1"/>
  <c r="K1500" i="2"/>
  <c r="L1500" i="2" s="1"/>
  <c r="K1501" i="2"/>
  <c r="L1501" i="2" s="1"/>
  <c r="K1502" i="2"/>
  <c r="L1502" i="2" s="1"/>
  <c r="K1503" i="2"/>
  <c r="L1503" i="2" s="1"/>
  <c r="K1504" i="2"/>
  <c r="L1504" i="2" s="1"/>
  <c r="K1505" i="2"/>
  <c r="L1505" i="2" s="1"/>
  <c r="K1506" i="2"/>
  <c r="L1506" i="2" s="1"/>
  <c r="K1507" i="2"/>
  <c r="L1507" i="2" s="1"/>
  <c r="K1508" i="2"/>
  <c r="L1508" i="2" s="1"/>
  <c r="K1509" i="2"/>
  <c r="L1509" i="2" s="1"/>
  <c r="K1510" i="2"/>
  <c r="L1510" i="2" s="1"/>
  <c r="K1511" i="2"/>
  <c r="L1511" i="2" s="1"/>
  <c r="K1512" i="2"/>
  <c r="L1512" i="2" s="1"/>
  <c r="K1513" i="2"/>
  <c r="L1513" i="2" s="1"/>
  <c r="K1514" i="2"/>
  <c r="L1514" i="2" s="1"/>
  <c r="K1515" i="2"/>
  <c r="L1515" i="2" s="1"/>
  <c r="K1516" i="2"/>
  <c r="L1516" i="2" s="1"/>
  <c r="K1517" i="2"/>
  <c r="L1517" i="2" s="1"/>
  <c r="K1518" i="2"/>
  <c r="L1518" i="2" s="1"/>
  <c r="K1519" i="2"/>
  <c r="L1519" i="2" s="1"/>
  <c r="K1520" i="2"/>
  <c r="L1520" i="2" s="1"/>
  <c r="K1521" i="2"/>
  <c r="L1521" i="2" s="1"/>
  <c r="K1522" i="2"/>
  <c r="L1522" i="2" s="1"/>
  <c r="K1523" i="2"/>
  <c r="L1523" i="2" s="1"/>
  <c r="K1524" i="2"/>
  <c r="L1524" i="2" s="1"/>
  <c r="K1525" i="2"/>
  <c r="L1525" i="2" s="1"/>
  <c r="K1526" i="2"/>
  <c r="L1526" i="2" s="1"/>
  <c r="K1527" i="2"/>
  <c r="L1527" i="2" s="1"/>
  <c r="K1528" i="2"/>
  <c r="L1528" i="2" s="1"/>
  <c r="K1529" i="2"/>
  <c r="L1529" i="2" s="1"/>
  <c r="K1530" i="2"/>
  <c r="L1530" i="2" s="1"/>
  <c r="K1531" i="2"/>
  <c r="L1531" i="2" s="1"/>
  <c r="K1532" i="2"/>
  <c r="L1532" i="2" s="1"/>
  <c r="K1533" i="2"/>
  <c r="L1533" i="2" s="1"/>
  <c r="K1534" i="2"/>
  <c r="L1534" i="2" s="1"/>
  <c r="K1535" i="2"/>
  <c r="L1535" i="2" s="1"/>
  <c r="K1536" i="2"/>
  <c r="L1536" i="2" s="1"/>
  <c r="K1537" i="2"/>
  <c r="L1537" i="2" s="1"/>
  <c r="K1538" i="2"/>
  <c r="L1538" i="2" s="1"/>
  <c r="K1539" i="2"/>
  <c r="L1539" i="2" s="1"/>
  <c r="K1540" i="2"/>
  <c r="L1540" i="2" s="1"/>
  <c r="K1541" i="2"/>
  <c r="L1541" i="2" s="1"/>
  <c r="K1542" i="2"/>
  <c r="L1542" i="2" s="1"/>
  <c r="K1543" i="2"/>
  <c r="L1543" i="2" s="1"/>
  <c r="K1544" i="2"/>
  <c r="L1544" i="2" s="1"/>
  <c r="K1545" i="2"/>
  <c r="L1545" i="2" s="1"/>
  <c r="K1546" i="2"/>
  <c r="L1546" i="2" s="1"/>
  <c r="K1547" i="2"/>
  <c r="L1547" i="2" s="1"/>
  <c r="K1548" i="2"/>
  <c r="L1548" i="2" s="1"/>
  <c r="K1549" i="2"/>
  <c r="L1549" i="2" s="1"/>
  <c r="K1550" i="2"/>
  <c r="L1550" i="2" s="1"/>
  <c r="K1551" i="2"/>
  <c r="L1551" i="2" s="1"/>
  <c r="K1552" i="2"/>
  <c r="L1552" i="2" s="1"/>
  <c r="K1553" i="2"/>
  <c r="L1553" i="2" s="1"/>
  <c r="K1554" i="2"/>
  <c r="L1554" i="2" s="1"/>
  <c r="K1555" i="2"/>
  <c r="L1555" i="2" s="1"/>
  <c r="K1556" i="2"/>
  <c r="L1556" i="2" s="1"/>
  <c r="K1557" i="2"/>
  <c r="L1557" i="2" s="1"/>
  <c r="K1558" i="2"/>
  <c r="L1558" i="2" s="1"/>
  <c r="K1559" i="2"/>
  <c r="L1559" i="2" s="1"/>
  <c r="K1560" i="2"/>
  <c r="L1560" i="2" s="1"/>
  <c r="K1561" i="2"/>
  <c r="L1561" i="2" s="1"/>
  <c r="K1562" i="2"/>
  <c r="L1562" i="2" s="1"/>
  <c r="K1563" i="2"/>
  <c r="L1563" i="2" s="1"/>
  <c r="K1564" i="2"/>
  <c r="L1564" i="2" s="1"/>
  <c r="K1565" i="2"/>
  <c r="L1565" i="2" s="1"/>
  <c r="K1566" i="2"/>
  <c r="L1566" i="2" s="1"/>
  <c r="K1567" i="2"/>
  <c r="L1567" i="2" s="1"/>
  <c r="K1568" i="2"/>
  <c r="L1568" i="2" s="1"/>
  <c r="K1569" i="2"/>
  <c r="L1569" i="2" s="1"/>
  <c r="K1570" i="2"/>
  <c r="L1570" i="2" s="1"/>
  <c r="K1571" i="2"/>
  <c r="L1571" i="2" s="1"/>
  <c r="K1572" i="2"/>
  <c r="L1572" i="2" s="1"/>
  <c r="K1573" i="2"/>
  <c r="L1573" i="2" s="1"/>
  <c r="K1574" i="2"/>
  <c r="L1574" i="2" s="1"/>
  <c r="K1575" i="2"/>
  <c r="L1575" i="2" s="1"/>
  <c r="K1576" i="2"/>
  <c r="L1576" i="2" s="1"/>
  <c r="K1577" i="2"/>
  <c r="L1577" i="2" s="1"/>
  <c r="K1578" i="2"/>
  <c r="L1578" i="2" s="1"/>
  <c r="K1579" i="2"/>
  <c r="L1579" i="2" s="1"/>
  <c r="K1580" i="2"/>
  <c r="K1581" i="2"/>
  <c r="L1581" i="2" s="1"/>
  <c r="K1582" i="2"/>
  <c r="L1582" i="2" s="1"/>
  <c r="K1583" i="2"/>
  <c r="L1583" i="2" s="1"/>
  <c r="K1584" i="2"/>
  <c r="L1584" i="2" s="1"/>
  <c r="K1585" i="2"/>
  <c r="L1585" i="2" s="1"/>
  <c r="K1586" i="2"/>
  <c r="L1586" i="2" s="1"/>
  <c r="K1587" i="2"/>
  <c r="L1587" i="2" s="1"/>
  <c r="K1588" i="2"/>
  <c r="L1588" i="2" s="1"/>
  <c r="K1589" i="2"/>
  <c r="L1589" i="2" s="1"/>
  <c r="K1590" i="2"/>
  <c r="L1590" i="2" s="1"/>
  <c r="K1591" i="2"/>
  <c r="L1591" i="2" s="1"/>
  <c r="K1592" i="2"/>
  <c r="L1592" i="2" s="1"/>
  <c r="K1593" i="2"/>
  <c r="L1593" i="2" s="1"/>
  <c r="K1594" i="2"/>
  <c r="L1594" i="2" s="1"/>
  <c r="K1595" i="2"/>
  <c r="L1595" i="2" s="1"/>
  <c r="K1596" i="2"/>
  <c r="L1596" i="2" s="1"/>
  <c r="K1597" i="2"/>
  <c r="L1597" i="2" s="1"/>
  <c r="K1598" i="2"/>
  <c r="L1598" i="2" s="1"/>
  <c r="K1599" i="2"/>
  <c r="L1599" i="2" s="1"/>
  <c r="K1600" i="2"/>
  <c r="L1600" i="2" s="1"/>
  <c r="K1601" i="2"/>
  <c r="L1601" i="2" s="1"/>
  <c r="K1602" i="2"/>
  <c r="L1602" i="2" s="1"/>
  <c r="K1603" i="2"/>
  <c r="L1603" i="2" s="1"/>
  <c r="K1604" i="2"/>
  <c r="L1604" i="2" s="1"/>
  <c r="K1605" i="2"/>
  <c r="L1605" i="2" s="1"/>
  <c r="K1606" i="2"/>
  <c r="L1606" i="2" s="1"/>
  <c r="K1607" i="2"/>
  <c r="L1607" i="2" s="1"/>
  <c r="K1608" i="2"/>
  <c r="L1608" i="2" s="1"/>
  <c r="K1609" i="2"/>
  <c r="L1609" i="2" s="1"/>
  <c r="K1610" i="2"/>
  <c r="L1610" i="2" s="1"/>
  <c r="K1611" i="2"/>
  <c r="L1611" i="2" s="1"/>
  <c r="K1612" i="2"/>
  <c r="L1612" i="2" s="1"/>
  <c r="K1613" i="2"/>
  <c r="L1613" i="2" s="1"/>
  <c r="K1614" i="2"/>
  <c r="L1614" i="2" s="1"/>
  <c r="K1615" i="2"/>
  <c r="L1615" i="2" s="1"/>
  <c r="K1616" i="2"/>
  <c r="L1616" i="2" s="1"/>
  <c r="K1617" i="2"/>
  <c r="L1617" i="2" s="1"/>
  <c r="K1618" i="2"/>
  <c r="L1618" i="2" s="1"/>
  <c r="K1619" i="2"/>
  <c r="L1619" i="2" s="1"/>
  <c r="K1620" i="2"/>
  <c r="L1620" i="2" s="1"/>
  <c r="K1621" i="2"/>
  <c r="L1621" i="2" s="1"/>
  <c r="K1622" i="2"/>
  <c r="L1622" i="2" s="1"/>
  <c r="K1623" i="2"/>
  <c r="L1623" i="2" s="1"/>
  <c r="K1624" i="2"/>
  <c r="L1624" i="2" s="1"/>
  <c r="K1625" i="2"/>
  <c r="L1625" i="2" s="1"/>
  <c r="K1626" i="2"/>
  <c r="L1626" i="2" s="1"/>
  <c r="K1627" i="2"/>
  <c r="L1627" i="2" s="1"/>
  <c r="K1628" i="2"/>
  <c r="L1628" i="2" s="1"/>
  <c r="K1629" i="2"/>
  <c r="L1629" i="2" s="1"/>
  <c r="K1630" i="2"/>
  <c r="L1630" i="2" s="1"/>
  <c r="K1631" i="2"/>
  <c r="L1631" i="2" s="1"/>
  <c r="K1632" i="2"/>
  <c r="L1632" i="2" s="1"/>
  <c r="K1633" i="2"/>
  <c r="L1633" i="2" s="1"/>
  <c r="K1634" i="2"/>
  <c r="L1634" i="2" s="1"/>
  <c r="K1635" i="2"/>
  <c r="L1635" i="2" s="1"/>
  <c r="K1636" i="2"/>
  <c r="L1636" i="2" s="1"/>
  <c r="K1637" i="2"/>
  <c r="L1637" i="2" s="1"/>
  <c r="K1638" i="2"/>
  <c r="L1638" i="2" s="1"/>
  <c r="K1639" i="2"/>
  <c r="L1639" i="2" s="1"/>
  <c r="K1640" i="2"/>
  <c r="L1640" i="2" s="1"/>
  <c r="K1641" i="2"/>
  <c r="L1641" i="2" s="1"/>
  <c r="K1642" i="2"/>
  <c r="L1642" i="2" s="1"/>
  <c r="K1643" i="2"/>
  <c r="L1643" i="2" s="1"/>
  <c r="K1644" i="2"/>
  <c r="L1644" i="2" s="1"/>
  <c r="K1645" i="2"/>
  <c r="L1645" i="2" s="1"/>
  <c r="K1646" i="2"/>
  <c r="L1646" i="2" s="1"/>
  <c r="K1647" i="2"/>
  <c r="L1647" i="2" s="1"/>
  <c r="K1648" i="2"/>
  <c r="L1648" i="2" s="1"/>
  <c r="K1649" i="2"/>
  <c r="L1649" i="2" s="1"/>
  <c r="K1650" i="2"/>
  <c r="L1650" i="2" s="1"/>
  <c r="K1651" i="2"/>
  <c r="L1651" i="2" s="1"/>
  <c r="K1652" i="2"/>
  <c r="L1652" i="2" s="1"/>
  <c r="K1653" i="2"/>
  <c r="L1653" i="2" s="1"/>
  <c r="K1654" i="2"/>
  <c r="L1654" i="2" s="1"/>
  <c r="K1655" i="2"/>
  <c r="L1655" i="2" s="1"/>
  <c r="K1656" i="2"/>
  <c r="L1656" i="2" s="1"/>
  <c r="K1657" i="2"/>
  <c r="L1657" i="2" s="1"/>
  <c r="K1658" i="2"/>
  <c r="L1658" i="2" s="1"/>
  <c r="K1659" i="2"/>
  <c r="L1659" i="2" s="1"/>
  <c r="K1660" i="2"/>
  <c r="K1661" i="2"/>
  <c r="L1661" i="2" s="1"/>
  <c r="K1662" i="2"/>
  <c r="L1662" i="2" s="1"/>
  <c r="K1663" i="2"/>
  <c r="L1663" i="2" s="1"/>
  <c r="K1664" i="2"/>
  <c r="L1664" i="2" s="1"/>
  <c r="K1665" i="2"/>
  <c r="L1665" i="2" s="1"/>
  <c r="K1666" i="2"/>
  <c r="L1666" i="2" s="1"/>
  <c r="K1667" i="2"/>
  <c r="L1667" i="2" s="1"/>
  <c r="K1668" i="2"/>
  <c r="L1668" i="2" s="1"/>
  <c r="K1669" i="2"/>
  <c r="L1669" i="2" s="1"/>
  <c r="K1670" i="2"/>
  <c r="L1670" i="2" s="1"/>
  <c r="K1671" i="2"/>
  <c r="L1671" i="2" s="1"/>
  <c r="K1672" i="2"/>
  <c r="L1672" i="2" s="1"/>
  <c r="K1673" i="2"/>
  <c r="L1673" i="2" s="1"/>
  <c r="K1674" i="2"/>
  <c r="L1674" i="2" s="1"/>
  <c r="K1675" i="2"/>
  <c r="L1675" i="2" s="1"/>
  <c r="K1676" i="2"/>
  <c r="L1676" i="2" s="1"/>
  <c r="K1677" i="2"/>
  <c r="L1677" i="2" s="1"/>
  <c r="K1678" i="2"/>
  <c r="L1678" i="2" s="1"/>
  <c r="K1679" i="2"/>
  <c r="L1679" i="2" s="1"/>
  <c r="K1680" i="2"/>
  <c r="L1680" i="2" s="1"/>
  <c r="K1681" i="2"/>
  <c r="L1681" i="2" s="1"/>
  <c r="K1682" i="2"/>
  <c r="L1682" i="2" s="1"/>
  <c r="K1683" i="2"/>
  <c r="L1683" i="2" s="1"/>
  <c r="K1684" i="2"/>
  <c r="L1684" i="2" s="1"/>
  <c r="K1685" i="2"/>
  <c r="L1685" i="2" s="1"/>
  <c r="K1686" i="2"/>
  <c r="L1686" i="2" s="1"/>
  <c r="K1687" i="2"/>
  <c r="L1687" i="2" s="1"/>
  <c r="K1688" i="2"/>
  <c r="L1688" i="2" s="1"/>
  <c r="K1689" i="2"/>
  <c r="L1689" i="2" s="1"/>
  <c r="K1690" i="2"/>
  <c r="L1690" i="2" s="1"/>
  <c r="K1691" i="2"/>
  <c r="L1691" i="2" s="1"/>
  <c r="K1692" i="2"/>
  <c r="L1692" i="2" s="1"/>
  <c r="K1693" i="2"/>
  <c r="L1693" i="2" s="1"/>
  <c r="K1694" i="2"/>
  <c r="L1694" i="2" s="1"/>
  <c r="K1695" i="2"/>
  <c r="L1695" i="2" s="1"/>
  <c r="K1696" i="2"/>
  <c r="L1696" i="2" s="1"/>
  <c r="K1697" i="2"/>
  <c r="L1697" i="2" s="1"/>
  <c r="K1698" i="2"/>
  <c r="L1698" i="2" s="1"/>
  <c r="K1699" i="2"/>
  <c r="L1699" i="2" s="1"/>
  <c r="K1700" i="2"/>
  <c r="L1700" i="2" s="1"/>
  <c r="K1701" i="2"/>
  <c r="L1701" i="2" s="1"/>
  <c r="K1702" i="2"/>
  <c r="L1702" i="2" s="1"/>
  <c r="K1703" i="2"/>
  <c r="L1703" i="2" s="1"/>
  <c r="K1704" i="2"/>
  <c r="L1704" i="2" s="1"/>
  <c r="K1705" i="2"/>
  <c r="L1705" i="2" s="1"/>
  <c r="K1706" i="2"/>
  <c r="L1706" i="2" s="1"/>
  <c r="K1707" i="2"/>
  <c r="L1707" i="2" s="1"/>
  <c r="K1708" i="2"/>
  <c r="L1708" i="2" s="1"/>
  <c r="K1709" i="2"/>
  <c r="L1709" i="2" s="1"/>
  <c r="K1710" i="2"/>
  <c r="L1710" i="2" s="1"/>
  <c r="K1711" i="2"/>
  <c r="L1711" i="2" s="1"/>
  <c r="K1712" i="2"/>
  <c r="L1712" i="2" s="1"/>
  <c r="K1713" i="2"/>
  <c r="L1713" i="2" s="1"/>
  <c r="K1714" i="2"/>
  <c r="L1714" i="2" s="1"/>
  <c r="K1715" i="2"/>
  <c r="L1715" i="2" s="1"/>
  <c r="K1716" i="2"/>
  <c r="L1716" i="2" s="1"/>
  <c r="K1717" i="2"/>
  <c r="L1717" i="2" s="1"/>
  <c r="K1718" i="2"/>
  <c r="L1718" i="2" s="1"/>
  <c r="K1719" i="2"/>
  <c r="L1719" i="2" s="1"/>
  <c r="K1720" i="2"/>
  <c r="L1720" i="2" s="1"/>
  <c r="K1721" i="2"/>
  <c r="L1721" i="2" s="1"/>
  <c r="K1722" i="2"/>
  <c r="L1722" i="2" s="1"/>
  <c r="K1723" i="2"/>
  <c r="L1723" i="2" s="1"/>
  <c r="K1724" i="2"/>
  <c r="L1724" i="2" s="1"/>
  <c r="K1725" i="2"/>
  <c r="L1725" i="2" s="1"/>
  <c r="K1726" i="2"/>
  <c r="L1726" i="2" s="1"/>
  <c r="K1727" i="2"/>
  <c r="L1727" i="2" s="1"/>
  <c r="K1728" i="2"/>
  <c r="L1728" i="2" s="1"/>
  <c r="K1729" i="2"/>
  <c r="L1729" i="2" s="1"/>
  <c r="K1730" i="2"/>
  <c r="L1730" i="2" s="1"/>
  <c r="K1731" i="2"/>
  <c r="L1731" i="2" s="1"/>
  <c r="K1732" i="2"/>
  <c r="L1732" i="2" s="1"/>
  <c r="K1733" i="2"/>
  <c r="L1733" i="2" s="1"/>
  <c r="K1734" i="2"/>
  <c r="L1734" i="2" s="1"/>
  <c r="K1735" i="2"/>
  <c r="L1735" i="2" s="1"/>
  <c r="K1736" i="2"/>
  <c r="L1736" i="2" s="1"/>
  <c r="K1737" i="2"/>
  <c r="L1737" i="2" s="1"/>
  <c r="K1738" i="2"/>
  <c r="L1738" i="2" s="1"/>
  <c r="K1739" i="2"/>
  <c r="L1739" i="2" s="1"/>
  <c r="K1740" i="2"/>
  <c r="L1740" i="2" s="1"/>
  <c r="K1741" i="2"/>
  <c r="L1741" i="2" s="1"/>
  <c r="K1742" i="2"/>
  <c r="L1742" i="2" s="1"/>
  <c r="K1743" i="2"/>
  <c r="L1743" i="2" s="1"/>
  <c r="K1744" i="2"/>
  <c r="L1744" i="2" s="1"/>
  <c r="K1745" i="2"/>
  <c r="L1745" i="2" s="1"/>
  <c r="K1746" i="2"/>
  <c r="L1746" i="2" s="1"/>
  <c r="K1747" i="2"/>
  <c r="L1747" i="2" s="1"/>
  <c r="K1748" i="2"/>
  <c r="L1748" i="2" s="1"/>
  <c r="K1749" i="2"/>
  <c r="L1749" i="2" s="1"/>
  <c r="K1750" i="2"/>
  <c r="L1750" i="2" s="1"/>
  <c r="K1751" i="2"/>
  <c r="L1751" i="2" s="1"/>
  <c r="K1752" i="2"/>
  <c r="L1752" i="2" s="1"/>
  <c r="K1753" i="2"/>
  <c r="L1753" i="2" s="1"/>
  <c r="K1754" i="2"/>
  <c r="L1754" i="2" s="1"/>
  <c r="K1755" i="2"/>
  <c r="L1755" i="2" s="1"/>
  <c r="K1756" i="2"/>
  <c r="L1756" i="2" s="1"/>
  <c r="K1757" i="2"/>
  <c r="L1757" i="2" s="1"/>
  <c r="K1758" i="2"/>
  <c r="L1758" i="2" s="1"/>
  <c r="K1759" i="2"/>
  <c r="L1759" i="2" s="1"/>
  <c r="K1760" i="2"/>
  <c r="L1760" i="2" s="1"/>
  <c r="K1761" i="2"/>
  <c r="L1761" i="2" s="1"/>
  <c r="K1762" i="2"/>
  <c r="L1762" i="2" s="1"/>
  <c r="K1763" i="2"/>
  <c r="L1763" i="2" s="1"/>
  <c r="K1764" i="2"/>
  <c r="L1764" i="2" s="1"/>
  <c r="K1765" i="2"/>
  <c r="L1765" i="2" s="1"/>
  <c r="K1766" i="2"/>
  <c r="L1766" i="2" s="1"/>
  <c r="K1767" i="2"/>
  <c r="L1767" i="2" s="1"/>
  <c r="K1768" i="2"/>
  <c r="L1768" i="2" s="1"/>
  <c r="K1769" i="2"/>
  <c r="L1769" i="2" s="1"/>
  <c r="K1770" i="2"/>
  <c r="L1770" i="2" s="1"/>
  <c r="K1771" i="2"/>
  <c r="L1771" i="2" s="1"/>
  <c r="K1772" i="2"/>
  <c r="L1772" i="2" s="1"/>
  <c r="K1773" i="2"/>
  <c r="L1773" i="2" s="1"/>
  <c r="K1774" i="2"/>
  <c r="L1774" i="2" s="1"/>
  <c r="K1775" i="2"/>
  <c r="L1775" i="2" s="1"/>
  <c r="K1776" i="2"/>
  <c r="L1776" i="2" s="1"/>
  <c r="K1777" i="2"/>
  <c r="L1777" i="2" s="1"/>
  <c r="K1778" i="2"/>
  <c r="L1778" i="2" s="1"/>
  <c r="K1779" i="2"/>
  <c r="L1779" i="2" s="1"/>
  <c r="K1780" i="2"/>
  <c r="L1780" i="2" s="1"/>
  <c r="K1781" i="2"/>
  <c r="L1781" i="2" s="1"/>
  <c r="K1782" i="2"/>
  <c r="L1782" i="2" s="1"/>
  <c r="K1783" i="2"/>
  <c r="L1783" i="2" s="1"/>
  <c r="K1784" i="2"/>
  <c r="L1784" i="2" s="1"/>
  <c r="K1785" i="2"/>
  <c r="L1785" i="2" s="1"/>
  <c r="K1786" i="2"/>
  <c r="L1786" i="2" s="1"/>
  <c r="K1787" i="2"/>
  <c r="L1787" i="2" s="1"/>
  <c r="K1788" i="2"/>
  <c r="L1788" i="2" s="1"/>
  <c r="K1789" i="2"/>
  <c r="L1789" i="2" s="1"/>
  <c r="K1790" i="2"/>
  <c r="L1790" i="2" s="1"/>
  <c r="K1791" i="2"/>
  <c r="L1791" i="2" s="1"/>
  <c r="K1792" i="2"/>
  <c r="L1792" i="2" s="1"/>
  <c r="K1793" i="2"/>
  <c r="L1793" i="2" s="1"/>
  <c r="K1794" i="2"/>
  <c r="L1794" i="2" s="1"/>
  <c r="K1795" i="2"/>
  <c r="L1795" i="2" s="1"/>
  <c r="K1796" i="2"/>
  <c r="L1796" i="2" s="1"/>
  <c r="K1797" i="2"/>
  <c r="L1797" i="2" s="1"/>
  <c r="K1798" i="2"/>
  <c r="L1798" i="2" s="1"/>
  <c r="K1799" i="2"/>
  <c r="L1799" i="2" s="1"/>
  <c r="K1800" i="2"/>
  <c r="L1800" i="2" s="1"/>
  <c r="K1801" i="2"/>
  <c r="L1801" i="2" s="1"/>
  <c r="K1802" i="2"/>
  <c r="L1802" i="2" s="1"/>
  <c r="K1803" i="2"/>
  <c r="L1803" i="2" s="1"/>
  <c r="K1804" i="2"/>
  <c r="L1804" i="2" s="1"/>
  <c r="K1805" i="2"/>
  <c r="L1805" i="2" s="1"/>
  <c r="K1806" i="2"/>
  <c r="L1806" i="2" s="1"/>
  <c r="K1807" i="2"/>
  <c r="L1807" i="2" s="1"/>
  <c r="K1808" i="2"/>
  <c r="L1808" i="2" s="1"/>
  <c r="K1809" i="2"/>
  <c r="L1809" i="2" s="1"/>
  <c r="K1810" i="2"/>
  <c r="L1810" i="2" s="1"/>
  <c r="K1811" i="2"/>
  <c r="L1811" i="2" s="1"/>
  <c r="K1812" i="2"/>
  <c r="L1812" i="2" s="1"/>
  <c r="K1813" i="2"/>
  <c r="L1813" i="2" s="1"/>
  <c r="K1814" i="2"/>
  <c r="L1814" i="2" s="1"/>
  <c r="K1815" i="2"/>
  <c r="L1815" i="2" s="1"/>
  <c r="K1816" i="2"/>
  <c r="L1816" i="2" s="1"/>
  <c r="K1817" i="2"/>
  <c r="L1817" i="2" s="1"/>
  <c r="K1818" i="2"/>
  <c r="L1818" i="2" s="1"/>
  <c r="K1819" i="2"/>
  <c r="L1819" i="2" s="1"/>
  <c r="K1820" i="2"/>
  <c r="L1820" i="2" s="1"/>
  <c r="K1821" i="2"/>
  <c r="L1821" i="2" s="1"/>
  <c r="K1822" i="2"/>
  <c r="L1822" i="2" s="1"/>
  <c r="K1823" i="2"/>
  <c r="L1823" i="2" s="1"/>
  <c r="K1824" i="2"/>
  <c r="L1824" i="2" s="1"/>
  <c r="K1825" i="2"/>
  <c r="L1825" i="2" s="1"/>
  <c r="K1826" i="2"/>
  <c r="L1826" i="2" s="1"/>
  <c r="K1827" i="2"/>
  <c r="L1827" i="2" s="1"/>
  <c r="K1828" i="2"/>
  <c r="L1828" i="2" s="1"/>
  <c r="K1829" i="2"/>
  <c r="L1829" i="2" s="1"/>
  <c r="K1830" i="2"/>
  <c r="L1830" i="2" s="1"/>
  <c r="K1831" i="2"/>
  <c r="L1831" i="2" s="1"/>
  <c r="K1832" i="2"/>
  <c r="L1832" i="2" s="1"/>
  <c r="K1833" i="2"/>
  <c r="L1833" i="2" s="1"/>
  <c r="K1834" i="2"/>
  <c r="L1834" i="2" s="1"/>
  <c r="K1835" i="2"/>
  <c r="L1835" i="2" s="1"/>
  <c r="K1836" i="2"/>
  <c r="L1836" i="2" s="1"/>
  <c r="K1837" i="2"/>
  <c r="L1837" i="2" s="1"/>
  <c r="K1838" i="2"/>
  <c r="L1838" i="2" s="1"/>
  <c r="K1839" i="2"/>
  <c r="L1839" i="2" s="1"/>
  <c r="K1840" i="2"/>
  <c r="L1840" i="2" s="1"/>
  <c r="K1841" i="2"/>
  <c r="L1841" i="2" s="1"/>
  <c r="K1842" i="2"/>
  <c r="L1842" i="2" s="1"/>
  <c r="K1843" i="2"/>
  <c r="L1843" i="2" s="1"/>
  <c r="K1844" i="2"/>
  <c r="L1844" i="2" s="1"/>
  <c r="K1845" i="2"/>
  <c r="L1845" i="2" s="1"/>
  <c r="K1846" i="2"/>
  <c r="L1846" i="2" s="1"/>
  <c r="K1847" i="2"/>
  <c r="L1847" i="2" s="1"/>
  <c r="K1848" i="2"/>
  <c r="L1848" i="2" s="1"/>
  <c r="K1849" i="2"/>
  <c r="L1849" i="2" s="1"/>
  <c r="K1850" i="2"/>
  <c r="L1850" i="2" s="1"/>
  <c r="K1851" i="2"/>
  <c r="L1851" i="2" s="1"/>
  <c r="K1852" i="2"/>
  <c r="L1852" i="2" s="1"/>
  <c r="K1853" i="2"/>
  <c r="L1853" i="2" s="1"/>
  <c r="K1854" i="2"/>
  <c r="L1854" i="2" s="1"/>
  <c r="K1855" i="2"/>
  <c r="L1855" i="2" s="1"/>
  <c r="K1856" i="2"/>
  <c r="L1856" i="2" s="1"/>
  <c r="K1857" i="2"/>
  <c r="L1857" i="2" s="1"/>
  <c r="K1858" i="2"/>
  <c r="L1858" i="2" s="1"/>
  <c r="K1859" i="2"/>
  <c r="L1859" i="2" s="1"/>
  <c r="K1860" i="2"/>
  <c r="L1860" i="2" s="1"/>
  <c r="K1861" i="2"/>
  <c r="L1861" i="2" s="1"/>
  <c r="K1862" i="2"/>
  <c r="L1862" i="2" s="1"/>
  <c r="K1863" i="2"/>
  <c r="L1863" i="2" s="1"/>
  <c r="K1864" i="2"/>
  <c r="L1864" i="2" s="1"/>
  <c r="K1865" i="2"/>
  <c r="L1865" i="2" s="1"/>
  <c r="K1866" i="2"/>
  <c r="L1866" i="2" s="1"/>
  <c r="K1867" i="2"/>
  <c r="L1867" i="2" s="1"/>
  <c r="K1868" i="2"/>
  <c r="L1868" i="2" s="1"/>
  <c r="K1869" i="2"/>
  <c r="L1869" i="2" s="1"/>
  <c r="K1870" i="2"/>
  <c r="L1870" i="2" s="1"/>
  <c r="K1871" i="2"/>
  <c r="L1871" i="2" s="1"/>
  <c r="K1872" i="2"/>
  <c r="L1872" i="2" s="1"/>
  <c r="K1873" i="2"/>
  <c r="L1873" i="2" s="1"/>
  <c r="K1874" i="2"/>
  <c r="L1874" i="2" s="1"/>
  <c r="K1875" i="2"/>
  <c r="L1875" i="2" s="1"/>
  <c r="K1876" i="2"/>
  <c r="L1876" i="2" s="1"/>
  <c r="K1877" i="2"/>
  <c r="L1877" i="2" s="1"/>
  <c r="K1878" i="2"/>
  <c r="L1878" i="2" s="1"/>
  <c r="K1879" i="2"/>
  <c r="L1879" i="2" s="1"/>
  <c r="K1880" i="2"/>
  <c r="L1880" i="2" s="1"/>
  <c r="K1881" i="2"/>
  <c r="L1881" i="2" s="1"/>
  <c r="K1882" i="2"/>
  <c r="L1882" i="2" s="1"/>
  <c r="K1883" i="2"/>
  <c r="L1883" i="2" s="1"/>
  <c r="K1884" i="2"/>
  <c r="L1884" i="2" s="1"/>
  <c r="K1885" i="2"/>
  <c r="L1885" i="2" s="1"/>
  <c r="K1886" i="2"/>
  <c r="L1886" i="2" s="1"/>
  <c r="K1887" i="2"/>
  <c r="L1887" i="2" s="1"/>
  <c r="K1888" i="2"/>
  <c r="L1888" i="2" s="1"/>
  <c r="K1889" i="2"/>
  <c r="L1889" i="2" s="1"/>
  <c r="K1890" i="2"/>
  <c r="L1890" i="2" s="1"/>
  <c r="K1891" i="2"/>
  <c r="L1891" i="2" s="1"/>
  <c r="K1892" i="2"/>
  <c r="L1892" i="2" s="1"/>
  <c r="K1893" i="2"/>
  <c r="L1893" i="2" s="1"/>
  <c r="K1894" i="2"/>
  <c r="L1894" i="2" s="1"/>
  <c r="K1895" i="2"/>
  <c r="L1895" i="2" s="1"/>
  <c r="K1896" i="2"/>
  <c r="L1896" i="2" s="1"/>
  <c r="K1897" i="2"/>
  <c r="L1897" i="2" s="1"/>
  <c r="K1898" i="2"/>
  <c r="L1898" i="2" s="1"/>
  <c r="K1899" i="2"/>
  <c r="L1899" i="2" s="1"/>
  <c r="K1900" i="2"/>
  <c r="L1900" i="2" s="1"/>
  <c r="K1901" i="2"/>
  <c r="L1901" i="2" s="1"/>
  <c r="K1902" i="2"/>
  <c r="L1902" i="2" s="1"/>
  <c r="K1903" i="2"/>
  <c r="L1903" i="2" s="1"/>
  <c r="K1904" i="2"/>
  <c r="L1904" i="2" s="1"/>
  <c r="K1905" i="2"/>
  <c r="L1905" i="2" s="1"/>
  <c r="K1906" i="2"/>
  <c r="L1906" i="2" s="1"/>
  <c r="K1907" i="2"/>
  <c r="L1907" i="2" s="1"/>
  <c r="K1908" i="2"/>
  <c r="L1908" i="2" s="1"/>
  <c r="K1909" i="2"/>
  <c r="L1909" i="2" s="1"/>
  <c r="K1910" i="2"/>
  <c r="L1910" i="2" s="1"/>
  <c r="K1911" i="2"/>
  <c r="L1911" i="2" s="1"/>
  <c r="K1912" i="2"/>
  <c r="L1912" i="2" s="1"/>
  <c r="K1913" i="2"/>
  <c r="L1913" i="2" s="1"/>
  <c r="K1914" i="2"/>
  <c r="L1914" i="2" s="1"/>
  <c r="K1915" i="2"/>
  <c r="L1915" i="2" s="1"/>
  <c r="K1916" i="2"/>
  <c r="L1916" i="2" s="1"/>
  <c r="K1917" i="2"/>
  <c r="L1917" i="2" s="1"/>
  <c r="K1918" i="2"/>
  <c r="L1918" i="2" s="1"/>
  <c r="K1919" i="2"/>
  <c r="L1919" i="2" s="1"/>
  <c r="K1920" i="2"/>
  <c r="L1920" i="2" s="1"/>
  <c r="K1921" i="2"/>
  <c r="L1921" i="2" s="1"/>
  <c r="K1922" i="2"/>
  <c r="L1922" i="2" s="1"/>
  <c r="K1923" i="2"/>
  <c r="L1923" i="2" s="1"/>
  <c r="K1924" i="2"/>
  <c r="L1924" i="2" s="1"/>
  <c r="K1925" i="2"/>
  <c r="L1925" i="2" s="1"/>
  <c r="K1926" i="2"/>
  <c r="L1926" i="2" s="1"/>
  <c r="K1927" i="2"/>
  <c r="L1927" i="2" s="1"/>
  <c r="K1928" i="2"/>
  <c r="L1928" i="2" s="1"/>
  <c r="K1929" i="2"/>
  <c r="L1929" i="2" s="1"/>
  <c r="K1930" i="2"/>
  <c r="L1930" i="2" s="1"/>
  <c r="K1931" i="2"/>
  <c r="L1931" i="2" s="1"/>
  <c r="K1932" i="2"/>
  <c r="L1932" i="2" s="1"/>
  <c r="K1933" i="2"/>
  <c r="L1933" i="2" s="1"/>
  <c r="K1934" i="2"/>
  <c r="L1934" i="2" s="1"/>
  <c r="K1935" i="2"/>
  <c r="L1935" i="2" s="1"/>
  <c r="K1936" i="2"/>
  <c r="L1936" i="2" s="1"/>
  <c r="K1937" i="2"/>
  <c r="L1937" i="2" s="1"/>
  <c r="K1938" i="2"/>
  <c r="L1938" i="2" s="1"/>
  <c r="K1939" i="2"/>
  <c r="L1939" i="2" s="1"/>
  <c r="K1940" i="2"/>
  <c r="L1940" i="2" s="1"/>
  <c r="K1941" i="2"/>
  <c r="L1941" i="2" s="1"/>
  <c r="K1942" i="2"/>
  <c r="L1942" i="2" s="1"/>
  <c r="K1943" i="2"/>
  <c r="L1943" i="2" s="1"/>
  <c r="K1944" i="2"/>
  <c r="L1944" i="2" s="1"/>
  <c r="K1945" i="2"/>
  <c r="L1945" i="2" s="1"/>
  <c r="K1946" i="2"/>
  <c r="L1946" i="2" s="1"/>
  <c r="K1947" i="2"/>
  <c r="L1947" i="2" s="1"/>
  <c r="K1948" i="2"/>
  <c r="L1948" i="2" s="1"/>
  <c r="K1949" i="2"/>
  <c r="L1949" i="2" s="1"/>
  <c r="K1950" i="2"/>
  <c r="L1950" i="2" s="1"/>
  <c r="K1951" i="2"/>
  <c r="L1951" i="2" s="1"/>
  <c r="K1952" i="2"/>
  <c r="L1952" i="2" s="1"/>
  <c r="K1953" i="2"/>
  <c r="L1953" i="2" s="1"/>
  <c r="K1954" i="2"/>
  <c r="L1954" i="2" s="1"/>
  <c r="K1955" i="2"/>
  <c r="L1955" i="2" s="1"/>
  <c r="K1956" i="2"/>
  <c r="L1956" i="2" s="1"/>
  <c r="K1957" i="2"/>
  <c r="L1957" i="2" s="1"/>
  <c r="K1958" i="2"/>
  <c r="L1958" i="2" s="1"/>
  <c r="K1959" i="2"/>
  <c r="L1959" i="2" s="1"/>
  <c r="K1960" i="2"/>
  <c r="L1960" i="2" s="1"/>
  <c r="K1961" i="2"/>
  <c r="L1961" i="2" s="1"/>
  <c r="K1962" i="2"/>
  <c r="L1962" i="2" s="1"/>
  <c r="K1963" i="2"/>
  <c r="L1963" i="2" s="1"/>
  <c r="K1964" i="2"/>
  <c r="L1964" i="2" s="1"/>
  <c r="K1965" i="2"/>
  <c r="L1965" i="2" s="1"/>
  <c r="K1966" i="2"/>
  <c r="L1966" i="2" s="1"/>
  <c r="K1967" i="2"/>
  <c r="L1967" i="2" s="1"/>
  <c r="K1968" i="2"/>
  <c r="L1968" i="2" s="1"/>
  <c r="K1969" i="2"/>
  <c r="L1969" i="2" s="1"/>
  <c r="K1970" i="2"/>
  <c r="L1970" i="2" s="1"/>
  <c r="K1971" i="2"/>
  <c r="L1971" i="2" s="1"/>
  <c r="K1972" i="2"/>
  <c r="L1972" i="2" s="1"/>
  <c r="K1973" i="2"/>
  <c r="L1973" i="2" s="1"/>
  <c r="K1974" i="2"/>
  <c r="L1974" i="2" s="1"/>
  <c r="K1975" i="2"/>
  <c r="L1975" i="2" s="1"/>
  <c r="K1976" i="2"/>
  <c r="L1976" i="2" s="1"/>
  <c r="K1977" i="2"/>
  <c r="L1977" i="2" s="1"/>
  <c r="K1978" i="2"/>
  <c r="L1978" i="2" s="1"/>
  <c r="K1979" i="2"/>
  <c r="L1979" i="2" s="1"/>
  <c r="K1980" i="2"/>
  <c r="L1980" i="2" s="1"/>
  <c r="K1981" i="2"/>
  <c r="L1981" i="2" s="1"/>
  <c r="K1982" i="2"/>
  <c r="L1982" i="2" s="1"/>
  <c r="K1983" i="2"/>
  <c r="L1983" i="2" s="1"/>
  <c r="K1984" i="2"/>
  <c r="L1984" i="2" s="1"/>
  <c r="K1985" i="2"/>
  <c r="L1985" i="2" s="1"/>
  <c r="K1986" i="2"/>
  <c r="L1986" i="2" s="1"/>
  <c r="K1987" i="2"/>
  <c r="L1987" i="2" s="1"/>
  <c r="K1988" i="2"/>
  <c r="L1988" i="2" s="1"/>
  <c r="K1989" i="2"/>
  <c r="L1989" i="2" s="1"/>
  <c r="K1990" i="2"/>
  <c r="L1990" i="2" s="1"/>
  <c r="K1991" i="2"/>
  <c r="L1991" i="2" s="1"/>
  <c r="K1992" i="2"/>
  <c r="L1992" i="2" s="1"/>
  <c r="K1993" i="2"/>
  <c r="L1993" i="2" s="1"/>
  <c r="K1994" i="2"/>
  <c r="L1994" i="2" s="1"/>
  <c r="K1995" i="2"/>
  <c r="L1995" i="2" s="1"/>
  <c r="K1996" i="2"/>
  <c r="L1996" i="2" s="1"/>
  <c r="K1997" i="2"/>
  <c r="L1997" i="2" s="1"/>
  <c r="K1998" i="2"/>
  <c r="L1998" i="2" s="1"/>
  <c r="K1999" i="2"/>
  <c r="L1999" i="2" s="1"/>
  <c r="K2000" i="2"/>
  <c r="L2000" i="2" s="1"/>
  <c r="K2001" i="2"/>
  <c r="L2001" i="2" s="1"/>
  <c r="K2002" i="2"/>
  <c r="L2002" i="2" s="1"/>
  <c r="K2003" i="2"/>
  <c r="L2003" i="2" s="1"/>
  <c r="K2004" i="2"/>
  <c r="L2004" i="2" s="1"/>
  <c r="K2005" i="2"/>
  <c r="L2005" i="2" s="1"/>
  <c r="K2006" i="2"/>
  <c r="L2006" i="2" s="1"/>
  <c r="K2007" i="2"/>
  <c r="L2007" i="2" s="1"/>
  <c r="K2008" i="2"/>
  <c r="L2008" i="2" s="1"/>
  <c r="K2009" i="2"/>
  <c r="L2009" i="2" s="1"/>
  <c r="K2010" i="2"/>
  <c r="L2010" i="2" s="1"/>
  <c r="K2011" i="2"/>
  <c r="L2011" i="2" s="1"/>
  <c r="K2012" i="2"/>
  <c r="L2012" i="2" s="1"/>
  <c r="K2013" i="2"/>
  <c r="L2013" i="2" s="1"/>
  <c r="K2014" i="2"/>
  <c r="L2014" i="2" s="1"/>
  <c r="K2015" i="2"/>
  <c r="L2015" i="2" s="1"/>
  <c r="K2016" i="2"/>
  <c r="L2016" i="2" s="1"/>
  <c r="K2017" i="2"/>
  <c r="L2017" i="2" s="1"/>
  <c r="K2018" i="2"/>
  <c r="L2018" i="2" s="1"/>
  <c r="K2019" i="2"/>
  <c r="L2019" i="2" s="1"/>
  <c r="K2020" i="2"/>
  <c r="L2020" i="2" s="1"/>
  <c r="K2021" i="2"/>
  <c r="L2021" i="2" s="1"/>
  <c r="K2022" i="2"/>
  <c r="L2022" i="2" s="1"/>
  <c r="K2023" i="2"/>
  <c r="L2023" i="2" s="1"/>
  <c r="K2024" i="2"/>
  <c r="L2024" i="2" s="1"/>
  <c r="K2025" i="2"/>
  <c r="L2025" i="2" s="1"/>
  <c r="K2026" i="2"/>
  <c r="L2026" i="2" s="1"/>
  <c r="K2027" i="2"/>
  <c r="L2027" i="2" s="1"/>
  <c r="K2028" i="2"/>
  <c r="L2028" i="2" s="1"/>
  <c r="K2029" i="2"/>
  <c r="L2029" i="2" s="1"/>
  <c r="K2030" i="2"/>
  <c r="L2030" i="2" s="1"/>
  <c r="K2031" i="2"/>
  <c r="L2031" i="2" s="1"/>
  <c r="K2032" i="2"/>
  <c r="L2032" i="2" s="1"/>
  <c r="K2033" i="2"/>
  <c r="L2033" i="2" s="1"/>
  <c r="K2034" i="2"/>
  <c r="L2034" i="2" s="1"/>
  <c r="K2035" i="2"/>
  <c r="L2035" i="2" s="1"/>
  <c r="K2036" i="2"/>
  <c r="L2036" i="2" s="1"/>
  <c r="K2037" i="2"/>
  <c r="L2037" i="2" s="1"/>
  <c r="K2038" i="2"/>
  <c r="L2038" i="2" s="1"/>
  <c r="K2039" i="2"/>
  <c r="L2039" i="2" s="1"/>
  <c r="K2040" i="2"/>
  <c r="L2040" i="2" s="1"/>
  <c r="K2041" i="2"/>
  <c r="L2041" i="2" s="1"/>
  <c r="K2042" i="2"/>
  <c r="L2042" i="2" s="1"/>
  <c r="K2043" i="2"/>
  <c r="L2043" i="2" s="1"/>
  <c r="K2044" i="2"/>
  <c r="L2044" i="2" s="1"/>
  <c r="K2045" i="2"/>
  <c r="L2045" i="2" s="1"/>
  <c r="K2046" i="2"/>
  <c r="L2046" i="2" s="1"/>
  <c r="K2047" i="2"/>
  <c r="L2047" i="2" s="1"/>
  <c r="K2048" i="2"/>
  <c r="L2048" i="2" s="1"/>
  <c r="K2049" i="2"/>
  <c r="L2049" i="2" s="1"/>
  <c r="K2050" i="2"/>
  <c r="L2050" i="2" s="1"/>
  <c r="K2051" i="2"/>
  <c r="L2051" i="2" s="1"/>
  <c r="K2052" i="2"/>
  <c r="L2052" i="2" s="1"/>
  <c r="K2053" i="2"/>
  <c r="L2053" i="2" s="1"/>
  <c r="K2054" i="2"/>
  <c r="L2054" i="2" s="1"/>
  <c r="K2055" i="2"/>
  <c r="L2055" i="2" s="1"/>
  <c r="K2056" i="2"/>
  <c r="L2056" i="2" s="1"/>
  <c r="K2057" i="2"/>
  <c r="L2057" i="2" s="1"/>
  <c r="K2058" i="2"/>
  <c r="L2058" i="2" s="1"/>
  <c r="K2059" i="2"/>
  <c r="L2059" i="2" s="1"/>
  <c r="K2060" i="2"/>
  <c r="L2060" i="2" s="1"/>
  <c r="K2061" i="2"/>
  <c r="L2061" i="2" s="1"/>
  <c r="K2062" i="2"/>
  <c r="L2062" i="2" s="1"/>
  <c r="K2063" i="2"/>
  <c r="L2063" i="2" s="1"/>
  <c r="K2064" i="2"/>
  <c r="L2064" i="2" s="1"/>
  <c r="K2065" i="2"/>
  <c r="L2065" i="2" s="1"/>
  <c r="K2066" i="2"/>
  <c r="L2066" i="2" s="1"/>
  <c r="K2067" i="2"/>
  <c r="L2067" i="2" s="1"/>
  <c r="K2068" i="2"/>
  <c r="L2068" i="2" s="1"/>
  <c r="K2069" i="2"/>
  <c r="L2069" i="2" s="1"/>
  <c r="K2070" i="2"/>
  <c r="L2070" i="2" s="1"/>
  <c r="K2071" i="2"/>
  <c r="L2071" i="2" s="1"/>
  <c r="K2072" i="2"/>
  <c r="L2072" i="2" s="1"/>
  <c r="K2073" i="2"/>
  <c r="L2073" i="2" s="1"/>
  <c r="K2074" i="2"/>
  <c r="L2074" i="2" s="1"/>
  <c r="K2075" i="2"/>
  <c r="L2075" i="2" s="1"/>
  <c r="K2076" i="2"/>
  <c r="L2076" i="2" s="1"/>
  <c r="K2077" i="2"/>
  <c r="L2077" i="2" s="1"/>
  <c r="K2078" i="2"/>
  <c r="L2078" i="2" s="1"/>
  <c r="K2079" i="2"/>
  <c r="L2079" i="2" s="1"/>
  <c r="K2080" i="2"/>
  <c r="L2080" i="2" s="1"/>
  <c r="K2081" i="2"/>
  <c r="L2081" i="2" s="1"/>
  <c r="K2082" i="2"/>
  <c r="L2082" i="2" s="1"/>
  <c r="K2083" i="2"/>
  <c r="L2083" i="2" s="1"/>
  <c r="K2084" i="2"/>
  <c r="L2084" i="2" s="1"/>
  <c r="K2085" i="2"/>
  <c r="L2085" i="2" s="1"/>
  <c r="K2086" i="2"/>
  <c r="L2086" i="2" s="1"/>
  <c r="K2087" i="2"/>
  <c r="L2087" i="2" s="1"/>
  <c r="K2088" i="2"/>
  <c r="L2088" i="2" s="1"/>
  <c r="K2089" i="2"/>
  <c r="L2089" i="2" s="1"/>
  <c r="K2090" i="2"/>
  <c r="L2090" i="2" s="1"/>
  <c r="K2091" i="2"/>
  <c r="L2091" i="2" s="1"/>
  <c r="K2092" i="2"/>
  <c r="L2092" i="2" s="1"/>
  <c r="K2093" i="2"/>
  <c r="L2093" i="2" s="1"/>
  <c r="K2094" i="2"/>
  <c r="L2094" i="2" s="1"/>
  <c r="K2095" i="2"/>
  <c r="L2095" i="2" s="1"/>
  <c r="K2096" i="2"/>
  <c r="L2096" i="2" s="1"/>
  <c r="K2097" i="2"/>
  <c r="L2097" i="2" s="1"/>
  <c r="K2098" i="2"/>
  <c r="L2098" i="2" s="1"/>
  <c r="K2099" i="2"/>
  <c r="L2099" i="2" s="1"/>
  <c r="K2100" i="2"/>
  <c r="L2100" i="2" s="1"/>
  <c r="K2101" i="2"/>
  <c r="L2101" i="2" s="1"/>
  <c r="K2102" i="2"/>
  <c r="L2102" i="2" s="1"/>
  <c r="K2103" i="2"/>
  <c r="L2103" i="2" s="1"/>
  <c r="K2104" i="2"/>
  <c r="L2104" i="2" s="1"/>
  <c r="K2105" i="2"/>
  <c r="L2105" i="2" s="1"/>
  <c r="K2106" i="2"/>
  <c r="L2106" i="2" s="1"/>
  <c r="K2107" i="2"/>
  <c r="L2107" i="2" s="1"/>
  <c r="K2108" i="2"/>
  <c r="L2108" i="2" s="1"/>
  <c r="K2109" i="2"/>
  <c r="L2109" i="2" s="1"/>
  <c r="K2110" i="2"/>
  <c r="L2110" i="2" s="1"/>
  <c r="K2111" i="2"/>
  <c r="L2111" i="2" s="1"/>
  <c r="K2112" i="2"/>
  <c r="L2112" i="2" s="1"/>
  <c r="K2113" i="2"/>
  <c r="L2113" i="2" s="1"/>
  <c r="K2114" i="2"/>
  <c r="L2114" i="2" s="1"/>
  <c r="K2115" i="2"/>
  <c r="L2115" i="2" s="1"/>
  <c r="K2116" i="2"/>
  <c r="L2116" i="2" s="1"/>
  <c r="K2117" i="2"/>
  <c r="L2117" i="2" s="1"/>
  <c r="K2118" i="2"/>
  <c r="L2118" i="2" s="1"/>
  <c r="K2119" i="2"/>
  <c r="L2119" i="2" s="1"/>
  <c r="K2120" i="2"/>
  <c r="L2120" i="2" s="1"/>
  <c r="K2121" i="2"/>
  <c r="L2121" i="2" s="1"/>
  <c r="K2122" i="2"/>
  <c r="L2122" i="2" s="1"/>
  <c r="K2123" i="2"/>
  <c r="L2123" i="2" s="1"/>
  <c r="K2124" i="2"/>
  <c r="L2124" i="2" s="1"/>
  <c r="K2125" i="2"/>
  <c r="L2125" i="2" s="1"/>
  <c r="K2126" i="2"/>
  <c r="L2126" i="2" s="1"/>
  <c r="K2127" i="2"/>
  <c r="L2127" i="2" s="1"/>
  <c r="K2128" i="2"/>
  <c r="L2128" i="2" s="1"/>
  <c r="K2129" i="2"/>
  <c r="L2129" i="2" s="1"/>
  <c r="K2130" i="2"/>
  <c r="L2130" i="2" s="1"/>
  <c r="K2131" i="2"/>
  <c r="L2131" i="2" s="1"/>
  <c r="K2132" i="2"/>
  <c r="L2132" i="2" s="1"/>
  <c r="K2133" i="2"/>
  <c r="L2133" i="2" s="1"/>
  <c r="K2134" i="2"/>
  <c r="L2134" i="2" s="1"/>
  <c r="K2135" i="2"/>
  <c r="L2135" i="2" s="1"/>
  <c r="K2136" i="2"/>
  <c r="L2136" i="2" s="1"/>
  <c r="K2137" i="2"/>
  <c r="L2137" i="2" s="1"/>
  <c r="K2138" i="2"/>
  <c r="L2138" i="2" s="1"/>
  <c r="K2139" i="2"/>
  <c r="L2139" i="2" s="1"/>
  <c r="K2140" i="2"/>
  <c r="L2140" i="2" s="1"/>
  <c r="K2141" i="2"/>
  <c r="L2141" i="2" s="1"/>
  <c r="K2142" i="2"/>
  <c r="L2142" i="2" s="1"/>
  <c r="K2143" i="2"/>
  <c r="L2143" i="2" s="1"/>
  <c r="K2144" i="2"/>
  <c r="L2144" i="2" s="1"/>
  <c r="K2145" i="2"/>
  <c r="L2145" i="2" s="1"/>
  <c r="K2146" i="2"/>
  <c r="L2146" i="2" s="1"/>
  <c r="K2147" i="2"/>
  <c r="L2147" i="2" s="1"/>
  <c r="K2148" i="2"/>
  <c r="L2148" i="2" s="1"/>
  <c r="K2149" i="2"/>
  <c r="L2149" i="2" s="1"/>
  <c r="K2150" i="2"/>
  <c r="L2150" i="2" s="1"/>
  <c r="K2151" i="2"/>
  <c r="L2151" i="2" s="1"/>
  <c r="K2152" i="2"/>
  <c r="L2152" i="2" s="1"/>
  <c r="K2153" i="2"/>
  <c r="L2153" i="2" s="1"/>
  <c r="K2154" i="2"/>
  <c r="L2154" i="2" s="1"/>
  <c r="K2155" i="2"/>
  <c r="L2155" i="2" s="1"/>
  <c r="K2156" i="2"/>
  <c r="L2156" i="2" s="1"/>
  <c r="K2157" i="2"/>
  <c r="L2157" i="2" s="1"/>
  <c r="K2158" i="2"/>
  <c r="L2158" i="2" s="1"/>
  <c r="K2159" i="2"/>
  <c r="L2159" i="2" s="1"/>
  <c r="K2160" i="2"/>
  <c r="L2160" i="2" s="1"/>
  <c r="K2161" i="2"/>
  <c r="L2161" i="2" s="1"/>
  <c r="K2162" i="2"/>
  <c r="L2162" i="2" s="1"/>
  <c r="K2163" i="2"/>
  <c r="L2163" i="2" s="1"/>
  <c r="K2164" i="2"/>
  <c r="L2164" i="2" s="1"/>
  <c r="K2165" i="2"/>
  <c r="L2165" i="2" s="1"/>
  <c r="K2166" i="2"/>
  <c r="L2166" i="2" s="1"/>
  <c r="K2167" i="2"/>
  <c r="L2167" i="2" s="1"/>
  <c r="K2168" i="2"/>
  <c r="L2168" i="2" s="1"/>
  <c r="K2169" i="2"/>
  <c r="L2169" i="2" s="1"/>
  <c r="K2170" i="2"/>
  <c r="L2170" i="2" s="1"/>
  <c r="K2171" i="2"/>
  <c r="L2171" i="2" s="1"/>
  <c r="K2172" i="2"/>
  <c r="L2172" i="2" s="1"/>
  <c r="K2173" i="2"/>
  <c r="L2173" i="2" s="1"/>
  <c r="K2174" i="2"/>
  <c r="L2174" i="2" s="1"/>
  <c r="K2175" i="2"/>
  <c r="L2175" i="2" s="1"/>
  <c r="K2176" i="2"/>
  <c r="L2176" i="2" s="1"/>
  <c r="K2177" i="2"/>
  <c r="L2177" i="2" s="1"/>
  <c r="K2178" i="2"/>
  <c r="L2178" i="2" s="1"/>
  <c r="K2179" i="2"/>
  <c r="L2179" i="2" s="1"/>
  <c r="K2180" i="2"/>
  <c r="L2180" i="2" s="1"/>
  <c r="K2181" i="2"/>
  <c r="L2181" i="2" s="1"/>
  <c r="K2182" i="2"/>
  <c r="L2182" i="2" s="1"/>
  <c r="K2183" i="2"/>
  <c r="L2183" i="2" s="1"/>
  <c r="K2184" i="2"/>
  <c r="L2184" i="2" s="1"/>
  <c r="K2185" i="2"/>
  <c r="L2185" i="2" s="1"/>
  <c r="K2186" i="2"/>
  <c r="L2186" i="2" s="1"/>
  <c r="K2187" i="2"/>
  <c r="L2187" i="2" s="1"/>
  <c r="K2188" i="2"/>
  <c r="L2188" i="2" s="1"/>
  <c r="K2189" i="2"/>
  <c r="L2189" i="2" s="1"/>
  <c r="K2190" i="2"/>
  <c r="L2190" i="2" s="1"/>
  <c r="K2191" i="2"/>
  <c r="L2191" i="2" s="1"/>
  <c r="K2192" i="2"/>
  <c r="L2192" i="2" s="1"/>
  <c r="K2193" i="2"/>
  <c r="L2193" i="2" s="1"/>
  <c r="K2194" i="2"/>
  <c r="L2194" i="2" s="1"/>
  <c r="K2195" i="2"/>
  <c r="L2195" i="2" s="1"/>
  <c r="K2196" i="2"/>
  <c r="L2196" i="2" s="1"/>
  <c r="K2197" i="2"/>
  <c r="L2197" i="2" s="1"/>
  <c r="K2198" i="2"/>
  <c r="L2198" i="2" s="1"/>
  <c r="K2199" i="2"/>
  <c r="L2199" i="2" s="1"/>
  <c r="K2200" i="2"/>
  <c r="L2200" i="2" s="1"/>
  <c r="K2201" i="2"/>
  <c r="L2201" i="2" s="1"/>
  <c r="K2202" i="2"/>
  <c r="L2202" i="2" s="1"/>
  <c r="K2203" i="2"/>
  <c r="L2203" i="2" s="1"/>
  <c r="K2204" i="2"/>
  <c r="L2204" i="2" s="1"/>
  <c r="K2205" i="2"/>
  <c r="L2205" i="2" s="1"/>
  <c r="K2206" i="2"/>
  <c r="L2206" i="2" s="1"/>
  <c r="K2207" i="2"/>
  <c r="L2207" i="2" s="1"/>
  <c r="K2208" i="2"/>
  <c r="L2208" i="2" s="1"/>
  <c r="K2209" i="2"/>
  <c r="L2209" i="2" s="1"/>
  <c r="K2210" i="2"/>
  <c r="L2210" i="2" s="1"/>
  <c r="K2211" i="2"/>
  <c r="L2211" i="2" s="1"/>
  <c r="K2212" i="2"/>
  <c r="L2212" i="2" s="1"/>
  <c r="K2213" i="2"/>
  <c r="L2213" i="2" s="1"/>
  <c r="K2214" i="2"/>
  <c r="L2214" i="2" s="1"/>
  <c r="K2215" i="2"/>
  <c r="L2215" i="2" s="1"/>
  <c r="K2216" i="2"/>
  <c r="L2216" i="2" s="1"/>
  <c r="K2217" i="2"/>
  <c r="L2217" i="2" s="1"/>
  <c r="K2218" i="2"/>
  <c r="L2218" i="2" s="1"/>
  <c r="K2219" i="2"/>
  <c r="L2219" i="2" s="1"/>
  <c r="K2220" i="2"/>
  <c r="L2220" i="2" s="1"/>
  <c r="K2221" i="2"/>
  <c r="L2221" i="2" s="1"/>
  <c r="K2222" i="2"/>
  <c r="L2222" i="2" s="1"/>
  <c r="K2223" i="2"/>
  <c r="L2223" i="2" s="1"/>
  <c r="K2224" i="2"/>
  <c r="L2224" i="2" s="1"/>
  <c r="K2225" i="2"/>
  <c r="L2225" i="2" s="1"/>
  <c r="K2226" i="2"/>
  <c r="L2226" i="2" s="1"/>
  <c r="K2227" i="2"/>
  <c r="L2227" i="2" s="1"/>
  <c r="K2228" i="2"/>
  <c r="L2228" i="2" s="1"/>
  <c r="K2229" i="2"/>
  <c r="L2229" i="2" s="1"/>
  <c r="K2230" i="2"/>
  <c r="L2230" i="2" s="1"/>
  <c r="K2231" i="2"/>
  <c r="L2231" i="2" s="1"/>
  <c r="K2232" i="2"/>
  <c r="L2232" i="2" s="1"/>
  <c r="K2233" i="2"/>
  <c r="L2233" i="2" s="1"/>
  <c r="K2234" i="2"/>
  <c r="L2234" i="2" s="1"/>
  <c r="K2235" i="2"/>
  <c r="L2235" i="2" s="1"/>
  <c r="K2236" i="2"/>
  <c r="L2236" i="2" s="1"/>
  <c r="K2237" i="2"/>
  <c r="L2237" i="2" s="1"/>
  <c r="K2238" i="2"/>
  <c r="L2238" i="2" s="1"/>
  <c r="K2239" i="2"/>
  <c r="L2239" i="2" s="1"/>
  <c r="K2240" i="2"/>
  <c r="L2240" i="2" s="1"/>
  <c r="K2241" i="2"/>
  <c r="L2241" i="2" s="1"/>
  <c r="K2242" i="2"/>
  <c r="L2242" i="2" s="1"/>
  <c r="K2243" i="2"/>
  <c r="L2243" i="2" s="1"/>
  <c r="K2244" i="2"/>
  <c r="L2244" i="2" s="1"/>
  <c r="K2245" i="2"/>
  <c r="L2245" i="2" s="1"/>
  <c r="K2246" i="2"/>
  <c r="L2246" i="2" s="1"/>
  <c r="K2247" i="2"/>
  <c r="L2247" i="2" s="1"/>
  <c r="K2248" i="2"/>
  <c r="L2248" i="2" s="1"/>
  <c r="K2249" i="2"/>
  <c r="L2249" i="2" s="1"/>
  <c r="K2250" i="2"/>
  <c r="L2250" i="2" s="1"/>
  <c r="K2251" i="2"/>
  <c r="L2251" i="2" s="1"/>
  <c r="K2252" i="2"/>
  <c r="L2252" i="2" s="1"/>
  <c r="K2253" i="2"/>
  <c r="L2253" i="2" s="1"/>
  <c r="K2254" i="2"/>
  <c r="L2254" i="2" s="1"/>
  <c r="K2255" i="2"/>
  <c r="L2255" i="2" s="1"/>
  <c r="K2256" i="2"/>
  <c r="L2256" i="2" s="1"/>
  <c r="K2257" i="2"/>
  <c r="L2257" i="2" s="1"/>
  <c r="K2258" i="2"/>
  <c r="L2258" i="2" s="1"/>
  <c r="K2259" i="2"/>
  <c r="L2259" i="2" s="1"/>
  <c r="K2260" i="2"/>
  <c r="L2260" i="2" s="1"/>
  <c r="K2261" i="2"/>
  <c r="L2261" i="2" s="1"/>
  <c r="K2262" i="2"/>
  <c r="L2262" i="2" s="1"/>
  <c r="K2263" i="2"/>
  <c r="L2263" i="2" s="1"/>
  <c r="K2264" i="2"/>
  <c r="L2264" i="2" s="1"/>
  <c r="K2265" i="2"/>
  <c r="L2265" i="2" s="1"/>
  <c r="K2266" i="2"/>
  <c r="L2266" i="2" s="1"/>
  <c r="K2267" i="2"/>
  <c r="L2267" i="2" s="1"/>
  <c r="K2268" i="2"/>
  <c r="L2268" i="2" s="1"/>
  <c r="K2269" i="2"/>
  <c r="L2269" i="2" s="1"/>
  <c r="K2270" i="2"/>
  <c r="L2270" i="2" s="1"/>
  <c r="K2271" i="2"/>
  <c r="L2271" i="2" s="1"/>
  <c r="K2272" i="2"/>
  <c r="L2272" i="2" s="1"/>
  <c r="K2273" i="2"/>
  <c r="L2273" i="2" s="1"/>
  <c r="K2274" i="2"/>
  <c r="L2274" i="2" s="1"/>
  <c r="K2275" i="2"/>
  <c r="L2275" i="2" s="1"/>
  <c r="K2276" i="2"/>
  <c r="L2276" i="2" s="1"/>
  <c r="K2277" i="2"/>
  <c r="L2277" i="2" s="1"/>
  <c r="K2278" i="2"/>
  <c r="L2278" i="2" s="1"/>
  <c r="K2279" i="2"/>
  <c r="L2279" i="2" s="1"/>
  <c r="K2280" i="2"/>
  <c r="L2280" i="2" s="1"/>
  <c r="K2281" i="2"/>
  <c r="L2281" i="2" s="1"/>
  <c r="K2282" i="2"/>
  <c r="L2282" i="2" s="1"/>
  <c r="K2283" i="2"/>
  <c r="L2283" i="2" s="1"/>
  <c r="K2284" i="2"/>
  <c r="L2284" i="2" s="1"/>
  <c r="K2285" i="2"/>
  <c r="L2285" i="2" s="1"/>
  <c r="K2286" i="2"/>
  <c r="L2286" i="2" s="1"/>
  <c r="K2287" i="2"/>
  <c r="L2287" i="2" s="1"/>
  <c r="K2288" i="2"/>
  <c r="L2288" i="2" s="1"/>
  <c r="K2289" i="2"/>
  <c r="L2289" i="2" s="1"/>
  <c r="K2290" i="2"/>
  <c r="L2290" i="2" s="1"/>
  <c r="K2291" i="2"/>
  <c r="L2291" i="2" s="1"/>
  <c r="K2292" i="2"/>
  <c r="L2292" i="2" s="1"/>
  <c r="K2293" i="2"/>
  <c r="L2293" i="2" s="1"/>
  <c r="K2294" i="2"/>
  <c r="L2294" i="2" s="1"/>
  <c r="K2295" i="2"/>
  <c r="L2295" i="2" s="1"/>
  <c r="K2296" i="2"/>
  <c r="L2296" i="2" s="1"/>
  <c r="K2297" i="2"/>
  <c r="L2297" i="2" s="1"/>
  <c r="K2298" i="2"/>
  <c r="L2298" i="2" s="1"/>
  <c r="K2299" i="2"/>
  <c r="L2299" i="2" s="1"/>
  <c r="K2300" i="2"/>
  <c r="L2300" i="2" s="1"/>
  <c r="K2301" i="2"/>
  <c r="L2301" i="2" s="1"/>
  <c r="K2302" i="2"/>
  <c r="L2302" i="2" s="1"/>
  <c r="K2303" i="2"/>
  <c r="L2303" i="2" s="1"/>
  <c r="K2304" i="2"/>
  <c r="L2304" i="2" s="1"/>
  <c r="K2305" i="2"/>
  <c r="L2305" i="2" s="1"/>
  <c r="K2306" i="2"/>
  <c r="L2306" i="2" s="1"/>
  <c r="K2307" i="2"/>
  <c r="L2307" i="2" s="1"/>
  <c r="K2308" i="2"/>
  <c r="L2308" i="2" s="1"/>
  <c r="K2309" i="2"/>
  <c r="L2309" i="2" s="1"/>
  <c r="K2310" i="2"/>
  <c r="L2310" i="2" s="1"/>
  <c r="K2311" i="2"/>
  <c r="L2311" i="2" s="1"/>
  <c r="K2312" i="2"/>
  <c r="L2312" i="2" s="1"/>
  <c r="K2313" i="2"/>
  <c r="L2313" i="2" s="1"/>
  <c r="K2314" i="2"/>
  <c r="L2314" i="2" s="1"/>
  <c r="K2315" i="2"/>
  <c r="L2315" i="2" s="1"/>
  <c r="K2316" i="2"/>
  <c r="L2316" i="2" s="1"/>
  <c r="K2317" i="2"/>
  <c r="L2317" i="2" s="1"/>
  <c r="K2318" i="2"/>
  <c r="L2318" i="2" s="1"/>
  <c r="K2319" i="2"/>
  <c r="L2319" i="2" s="1"/>
  <c r="K2320" i="2"/>
  <c r="L2320" i="2" s="1"/>
  <c r="K2321" i="2"/>
  <c r="L2321" i="2" s="1"/>
  <c r="K2322" i="2"/>
  <c r="L2322" i="2" s="1"/>
  <c r="K2323" i="2"/>
  <c r="L2323" i="2" s="1"/>
  <c r="K2324" i="2"/>
  <c r="L2324" i="2" s="1"/>
  <c r="K2325" i="2"/>
  <c r="L2325" i="2" s="1"/>
  <c r="K2326" i="2"/>
  <c r="L2326" i="2" s="1"/>
  <c r="K2327" i="2"/>
  <c r="L2327" i="2" s="1"/>
  <c r="K2328" i="2"/>
  <c r="L2328" i="2" s="1"/>
  <c r="K2329" i="2"/>
  <c r="L2329" i="2" s="1"/>
  <c r="K2330" i="2"/>
  <c r="L2330" i="2" s="1"/>
  <c r="K2331" i="2"/>
  <c r="L2331" i="2" s="1"/>
  <c r="K2332" i="2"/>
  <c r="L2332" i="2" s="1"/>
  <c r="K2333" i="2"/>
  <c r="L2333" i="2" s="1"/>
  <c r="K2334" i="2"/>
  <c r="L2334" i="2" s="1"/>
  <c r="K2335" i="2"/>
  <c r="L2335" i="2" s="1"/>
  <c r="K2336" i="2"/>
  <c r="L2336" i="2" s="1"/>
  <c r="K2337" i="2"/>
  <c r="L2337" i="2" s="1"/>
  <c r="K2338" i="2"/>
  <c r="L2338" i="2" s="1"/>
  <c r="K2339" i="2"/>
  <c r="L2339" i="2" s="1"/>
  <c r="K2340" i="2"/>
  <c r="L2340" i="2" s="1"/>
  <c r="K2341" i="2"/>
  <c r="L2341" i="2" s="1"/>
  <c r="K2342" i="2"/>
  <c r="L2342" i="2" s="1"/>
  <c r="K2343" i="2"/>
  <c r="L2343" i="2" s="1"/>
  <c r="K2344" i="2"/>
  <c r="L2344" i="2" s="1"/>
  <c r="K2345" i="2"/>
  <c r="L2345" i="2" s="1"/>
  <c r="K2346" i="2"/>
  <c r="L2346" i="2" s="1"/>
  <c r="K2347" i="2"/>
  <c r="L2347" i="2" s="1"/>
  <c r="K2348" i="2"/>
  <c r="L2348" i="2" s="1"/>
  <c r="K2349" i="2"/>
  <c r="L2349" i="2" s="1"/>
  <c r="K2350" i="2"/>
  <c r="L2350" i="2" s="1"/>
  <c r="K2351" i="2"/>
  <c r="L2351" i="2" s="1"/>
  <c r="K2352" i="2"/>
  <c r="L2352" i="2" s="1"/>
  <c r="K2353" i="2"/>
  <c r="L2353" i="2" s="1"/>
  <c r="K2354" i="2"/>
  <c r="L2354" i="2" s="1"/>
  <c r="K2355" i="2"/>
  <c r="L2355" i="2" s="1"/>
  <c r="K2356" i="2"/>
  <c r="L2356" i="2" s="1"/>
  <c r="K2357" i="2"/>
  <c r="L2357" i="2" s="1"/>
  <c r="K2358" i="2"/>
  <c r="L2358" i="2" s="1"/>
  <c r="K2359" i="2"/>
  <c r="L2359" i="2" s="1"/>
  <c r="K2360" i="2"/>
  <c r="L2360" i="2" s="1"/>
  <c r="K2361" i="2"/>
  <c r="L2361" i="2" s="1"/>
  <c r="K2362" i="2"/>
  <c r="L2362" i="2" s="1"/>
  <c r="K2363" i="2"/>
  <c r="L2363" i="2" s="1"/>
  <c r="K2364" i="2"/>
  <c r="L2364" i="2" s="1"/>
  <c r="K2365" i="2"/>
  <c r="L2365" i="2" s="1"/>
  <c r="K2366" i="2"/>
  <c r="L2366" i="2" s="1"/>
  <c r="K2367" i="2"/>
  <c r="L2367" i="2" s="1"/>
  <c r="K2368" i="2"/>
  <c r="L2368" i="2" s="1"/>
  <c r="K2369" i="2"/>
  <c r="L2369" i="2" s="1"/>
  <c r="K2370" i="2"/>
  <c r="L2370" i="2" s="1"/>
  <c r="K2371" i="2"/>
  <c r="L2371" i="2" s="1"/>
  <c r="K2372" i="2"/>
  <c r="L2372" i="2" s="1"/>
  <c r="K2373" i="2"/>
  <c r="L2373" i="2" s="1"/>
  <c r="K2374" i="2"/>
  <c r="L2374" i="2" s="1"/>
  <c r="K2375" i="2"/>
  <c r="L2375" i="2" s="1"/>
  <c r="K2376" i="2"/>
  <c r="L2376" i="2" s="1"/>
  <c r="K2377" i="2"/>
  <c r="L2377" i="2" s="1"/>
  <c r="K2378" i="2"/>
  <c r="L2378" i="2" s="1"/>
  <c r="K2379" i="2"/>
  <c r="L2379" i="2" s="1"/>
  <c r="K2380" i="2"/>
  <c r="L2380" i="2" s="1"/>
  <c r="K2381" i="2"/>
  <c r="L2381" i="2" s="1"/>
  <c r="K2382" i="2"/>
  <c r="L2382" i="2" s="1"/>
  <c r="K2383" i="2"/>
  <c r="L2383" i="2" s="1"/>
  <c r="K2384" i="2"/>
  <c r="L2384" i="2" s="1"/>
  <c r="K2385" i="2"/>
  <c r="L2385" i="2" s="1"/>
  <c r="K2386" i="2"/>
  <c r="L2386" i="2" s="1"/>
  <c r="K2387" i="2"/>
  <c r="L2387" i="2" s="1"/>
  <c r="K2388" i="2"/>
  <c r="L2388" i="2" s="1"/>
  <c r="K2389" i="2"/>
  <c r="L2389" i="2" s="1"/>
  <c r="K2390" i="2"/>
  <c r="L2390" i="2" s="1"/>
  <c r="K2391" i="2"/>
  <c r="L2391" i="2" s="1"/>
  <c r="K2392" i="2"/>
  <c r="L2392" i="2" s="1"/>
  <c r="K2393" i="2"/>
  <c r="L2393" i="2" s="1"/>
  <c r="K2394" i="2"/>
  <c r="L2394" i="2" s="1"/>
  <c r="K2395" i="2"/>
  <c r="L2395" i="2" s="1"/>
  <c r="K2396" i="2"/>
  <c r="L2396" i="2" s="1"/>
  <c r="K2397" i="2"/>
  <c r="L2397" i="2" s="1"/>
  <c r="K2398" i="2"/>
  <c r="L2398" i="2" s="1"/>
  <c r="K2399" i="2"/>
  <c r="L2399" i="2" s="1"/>
  <c r="K2400" i="2"/>
  <c r="L2400" i="2" s="1"/>
  <c r="K2401" i="2"/>
  <c r="L2401" i="2" s="1"/>
  <c r="K2402" i="2"/>
  <c r="L2402" i="2" s="1"/>
  <c r="K2403" i="2"/>
  <c r="L2403" i="2" s="1"/>
  <c r="K2404" i="2"/>
  <c r="L2404" i="2" s="1"/>
  <c r="K2405" i="2"/>
  <c r="L2405" i="2" s="1"/>
  <c r="K2406" i="2"/>
  <c r="L2406" i="2" s="1"/>
  <c r="K2407" i="2"/>
  <c r="L2407" i="2" s="1"/>
  <c r="K2408" i="2"/>
  <c r="L2408" i="2" s="1"/>
  <c r="K2409" i="2"/>
  <c r="L2409" i="2" s="1"/>
  <c r="K2410" i="2"/>
  <c r="L2410" i="2" s="1"/>
  <c r="K2411" i="2"/>
  <c r="L2411" i="2" s="1"/>
  <c r="K2412" i="2"/>
  <c r="L2412" i="2" s="1"/>
  <c r="K2413" i="2"/>
  <c r="L2413" i="2" s="1"/>
  <c r="K2414" i="2"/>
  <c r="L2414" i="2" s="1"/>
  <c r="K2415" i="2"/>
  <c r="L2415" i="2" s="1"/>
  <c r="K2416" i="2"/>
  <c r="L2416" i="2" s="1"/>
  <c r="K2417" i="2"/>
  <c r="L2417" i="2" s="1"/>
  <c r="K2418" i="2"/>
  <c r="L2418" i="2" s="1"/>
  <c r="K2419" i="2"/>
  <c r="L2419" i="2" s="1"/>
  <c r="K2420" i="2"/>
  <c r="L2420" i="2" s="1"/>
  <c r="K2421" i="2"/>
  <c r="L2421" i="2" s="1"/>
  <c r="K2422" i="2"/>
  <c r="L2422" i="2" s="1"/>
  <c r="K2423" i="2"/>
  <c r="L2423" i="2" s="1"/>
  <c r="K2424" i="2"/>
  <c r="L2424" i="2" s="1"/>
  <c r="K2425" i="2"/>
  <c r="L2425" i="2" s="1"/>
  <c r="K2426" i="2"/>
  <c r="L2426" i="2" s="1"/>
  <c r="K2427" i="2"/>
  <c r="L2427" i="2" s="1"/>
  <c r="K2428" i="2"/>
  <c r="L2428" i="2" s="1"/>
  <c r="K2429" i="2"/>
  <c r="L2429" i="2" s="1"/>
  <c r="K2430" i="2"/>
  <c r="L2430" i="2" s="1"/>
  <c r="K2431" i="2"/>
  <c r="L2431" i="2" s="1"/>
  <c r="K2432" i="2"/>
  <c r="L2432" i="2" s="1"/>
  <c r="K2433" i="2"/>
  <c r="L2433" i="2" s="1"/>
  <c r="K2434" i="2"/>
  <c r="L2434" i="2" s="1"/>
  <c r="K2435" i="2"/>
  <c r="L2435" i="2" s="1"/>
  <c r="K2436" i="2"/>
  <c r="L2436" i="2" s="1"/>
  <c r="K2437" i="2"/>
  <c r="L2437" i="2" s="1"/>
  <c r="K2438" i="2"/>
  <c r="L2438" i="2" s="1"/>
  <c r="K2439" i="2"/>
  <c r="L2439" i="2" s="1"/>
  <c r="K2440" i="2"/>
  <c r="L2440" i="2" s="1"/>
  <c r="K2441" i="2"/>
  <c r="L2441" i="2" s="1"/>
  <c r="K2442" i="2"/>
  <c r="L2442" i="2" s="1"/>
  <c r="K2443" i="2"/>
  <c r="L2443" i="2" s="1"/>
  <c r="K2444" i="2"/>
  <c r="L2444" i="2" s="1"/>
  <c r="K2445" i="2"/>
  <c r="L2445" i="2" s="1"/>
  <c r="K2446" i="2"/>
  <c r="L2446" i="2" s="1"/>
  <c r="K2447" i="2"/>
  <c r="L2447" i="2" s="1"/>
  <c r="K2448" i="2"/>
  <c r="L2448" i="2" s="1"/>
  <c r="K2449" i="2"/>
  <c r="L2449" i="2" s="1"/>
  <c r="K2450" i="2"/>
  <c r="L2450" i="2" s="1"/>
  <c r="K2451" i="2"/>
  <c r="L2451" i="2" s="1"/>
  <c r="K2452" i="2"/>
  <c r="L2452" i="2" s="1"/>
  <c r="K2453" i="2"/>
  <c r="L2453" i="2" s="1"/>
  <c r="K2454" i="2"/>
  <c r="L2454" i="2" s="1"/>
  <c r="K2455" i="2"/>
  <c r="L2455" i="2" s="1"/>
  <c r="K2456" i="2"/>
  <c r="L2456" i="2" s="1"/>
  <c r="K2457" i="2"/>
  <c r="L2457" i="2" s="1"/>
  <c r="K2458" i="2"/>
  <c r="L2458" i="2" s="1"/>
  <c r="K2459" i="2"/>
  <c r="L2459" i="2" s="1"/>
  <c r="K2460" i="2"/>
  <c r="L2460" i="2" s="1"/>
  <c r="K2461" i="2"/>
  <c r="L2461" i="2" s="1"/>
  <c r="K2462" i="2"/>
  <c r="L2462" i="2" s="1"/>
  <c r="K2463" i="2"/>
  <c r="L2463" i="2" s="1"/>
  <c r="K2464" i="2"/>
  <c r="L2464" i="2" s="1"/>
  <c r="K2465" i="2"/>
  <c r="L2465" i="2" s="1"/>
  <c r="K2466" i="2"/>
  <c r="L2466" i="2" s="1"/>
  <c r="K2467" i="2"/>
  <c r="L2467" i="2" s="1"/>
  <c r="K2468" i="2"/>
  <c r="L2468" i="2" s="1"/>
  <c r="K2469" i="2"/>
  <c r="L2469" i="2" s="1"/>
  <c r="K2470" i="2"/>
  <c r="L2470" i="2" s="1"/>
  <c r="K2471" i="2"/>
  <c r="L2471" i="2" s="1"/>
  <c r="K2472" i="2"/>
  <c r="L2472" i="2" s="1"/>
  <c r="K2473" i="2"/>
  <c r="L2473" i="2" s="1"/>
  <c r="K2474" i="2"/>
  <c r="L2474" i="2" s="1"/>
  <c r="K2475" i="2"/>
  <c r="L2475" i="2" s="1"/>
  <c r="K2476" i="2"/>
  <c r="L2476" i="2" s="1"/>
  <c r="K2477" i="2"/>
  <c r="L2477" i="2" s="1"/>
  <c r="K2478" i="2"/>
  <c r="L2478" i="2" s="1"/>
  <c r="K2479" i="2"/>
  <c r="L2479" i="2" s="1"/>
  <c r="K2480" i="2"/>
  <c r="L2480" i="2" s="1"/>
  <c r="K2481" i="2"/>
  <c r="L2481" i="2" s="1"/>
  <c r="K2482" i="2"/>
  <c r="L2482" i="2" s="1"/>
  <c r="K2483" i="2"/>
  <c r="L2483" i="2" s="1"/>
  <c r="K2484" i="2"/>
  <c r="L2484" i="2" s="1"/>
  <c r="K2485" i="2"/>
  <c r="L2485" i="2" s="1"/>
  <c r="K2486" i="2"/>
  <c r="L2486" i="2" s="1"/>
  <c r="K2487" i="2"/>
  <c r="L2487" i="2" s="1"/>
  <c r="K2488" i="2"/>
  <c r="L2488" i="2" s="1"/>
  <c r="K2489" i="2"/>
  <c r="L2489" i="2" s="1"/>
  <c r="K2490" i="2"/>
  <c r="L2490" i="2" s="1"/>
  <c r="K2491" i="2"/>
  <c r="L2491" i="2" s="1"/>
  <c r="K2492" i="2"/>
  <c r="L2492" i="2" s="1"/>
  <c r="K2493" i="2"/>
  <c r="L2493" i="2" s="1"/>
  <c r="K2494" i="2"/>
  <c r="L2494" i="2" s="1"/>
  <c r="K2495" i="2"/>
  <c r="L2495" i="2" s="1"/>
  <c r="K2496" i="2"/>
  <c r="L2496" i="2" s="1"/>
  <c r="K2497" i="2"/>
  <c r="L2497" i="2" s="1"/>
  <c r="K2498" i="2"/>
  <c r="L2498" i="2" s="1"/>
  <c r="K2499" i="2"/>
  <c r="L2499" i="2" s="1"/>
  <c r="K2500" i="2"/>
  <c r="L2500" i="2" s="1"/>
  <c r="K2501" i="2"/>
  <c r="L2501" i="2" s="1"/>
  <c r="K2502" i="2"/>
  <c r="L2502" i="2" s="1"/>
  <c r="K2503" i="2"/>
  <c r="L2503" i="2" s="1"/>
  <c r="K2504" i="2"/>
  <c r="L2504" i="2" s="1"/>
  <c r="K2505" i="2"/>
  <c r="L2505" i="2" s="1"/>
  <c r="K2506" i="2"/>
  <c r="L2506" i="2" s="1"/>
  <c r="K2507" i="2"/>
  <c r="L2507" i="2" s="1"/>
  <c r="K2508" i="2"/>
  <c r="L2508" i="2" s="1"/>
  <c r="K2509" i="2"/>
  <c r="L2509" i="2" s="1"/>
  <c r="K2510" i="2"/>
  <c r="L2510" i="2" s="1"/>
  <c r="K2511" i="2"/>
  <c r="L2511" i="2" s="1"/>
  <c r="K2512" i="2"/>
  <c r="L2512" i="2" s="1"/>
  <c r="K2513" i="2"/>
  <c r="L2513" i="2" s="1"/>
  <c r="K2514" i="2"/>
  <c r="L2514" i="2" s="1"/>
  <c r="K2515" i="2"/>
  <c r="L2515" i="2" s="1"/>
  <c r="K2516" i="2"/>
  <c r="L2516" i="2" s="1"/>
  <c r="K2517" i="2"/>
  <c r="L2517" i="2" s="1"/>
  <c r="K2518" i="2"/>
  <c r="L2518" i="2" s="1"/>
  <c r="K2519" i="2"/>
  <c r="L2519" i="2" s="1"/>
  <c r="K2520" i="2"/>
  <c r="L2520" i="2" s="1"/>
  <c r="K2521" i="2"/>
  <c r="L2521" i="2" s="1"/>
  <c r="K2522" i="2"/>
  <c r="L2522" i="2" s="1"/>
  <c r="K2523" i="2"/>
  <c r="L2523" i="2" s="1"/>
  <c r="K2524" i="2"/>
  <c r="L2524" i="2" s="1"/>
  <c r="K2525" i="2"/>
  <c r="L2525" i="2" s="1"/>
  <c r="K2526" i="2"/>
  <c r="L2526" i="2" s="1"/>
  <c r="K2527" i="2"/>
  <c r="L2527" i="2" s="1"/>
  <c r="K2528" i="2"/>
  <c r="L2528" i="2" s="1"/>
  <c r="K2529" i="2"/>
  <c r="L2529" i="2" s="1"/>
  <c r="K2530" i="2"/>
  <c r="L2530" i="2" s="1"/>
  <c r="K2531" i="2"/>
  <c r="L2531" i="2" s="1"/>
  <c r="K2532" i="2"/>
  <c r="L2532" i="2" s="1"/>
  <c r="K2533" i="2"/>
  <c r="L2533" i="2" s="1"/>
  <c r="K2534" i="2"/>
  <c r="L2534" i="2" s="1"/>
  <c r="K2535" i="2"/>
  <c r="L2535" i="2" s="1"/>
  <c r="K2536" i="2"/>
  <c r="L2536" i="2" s="1"/>
  <c r="K2537" i="2"/>
  <c r="L2537" i="2" s="1"/>
  <c r="K2538" i="2"/>
  <c r="L2538" i="2" s="1"/>
  <c r="K2539" i="2"/>
  <c r="L2539" i="2" s="1"/>
  <c r="K2540" i="2"/>
  <c r="L2540" i="2" s="1"/>
  <c r="K2541" i="2"/>
  <c r="L2541" i="2" s="1"/>
  <c r="K2542" i="2"/>
  <c r="L2542" i="2" s="1"/>
  <c r="K2543" i="2"/>
  <c r="L2543" i="2" s="1"/>
  <c r="K2544" i="2"/>
  <c r="L2544" i="2" s="1"/>
  <c r="K2545" i="2"/>
  <c r="L2545" i="2" s="1"/>
  <c r="K2546" i="2"/>
  <c r="L2546" i="2" s="1"/>
  <c r="K2547" i="2"/>
  <c r="L2547" i="2" s="1"/>
  <c r="K2548" i="2"/>
  <c r="L2548" i="2" s="1"/>
  <c r="K2549" i="2"/>
  <c r="L2549" i="2" s="1"/>
  <c r="K2550" i="2"/>
  <c r="L2550" i="2" s="1"/>
  <c r="K2551" i="2"/>
  <c r="L2551" i="2" s="1"/>
  <c r="K2552" i="2"/>
  <c r="L2552" i="2" s="1"/>
  <c r="K2553" i="2"/>
  <c r="L2553" i="2" s="1"/>
  <c r="K2554" i="2"/>
  <c r="L2554" i="2" s="1"/>
  <c r="K2555" i="2"/>
  <c r="L2555" i="2" s="1"/>
  <c r="K2556" i="2"/>
  <c r="L2556" i="2" s="1"/>
  <c r="K2557" i="2"/>
  <c r="L2557" i="2" s="1"/>
  <c r="K2558" i="2"/>
  <c r="L2558" i="2" s="1"/>
  <c r="K2559" i="2"/>
  <c r="L2559" i="2" s="1"/>
  <c r="K2560" i="2"/>
  <c r="L2560" i="2" s="1"/>
  <c r="K2561" i="2"/>
  <c r="L2561" i="2" s="1"/>
  <c r="K2562" i="2"/>
  <c r="L2562" i="2" s="1"/>
  <c r="K2563" i="2"/>
  <c r="L2563" i="2" s="1"/>
  <c r="K2564" i="2"/>
  <c r="L2564" i="2" s="1"/>
  <c r="K2565" i="2"/>
  <c r="L2565" i="2" s="1"/>
  <c r="K2566" i="2"/>
  <c r="L2566" i="2" s="1"/>
  <c r="K2567" i="2"/>
  <c r="L2567" i="2" s="1"/>
  <c r="K2568" i="2"/>
  <c r="L2568" i="2" s="1"/>
  <c r="K2569" i="2"/>
  <c r="L2569" i="2" s="1"/>
  <c r="K2570" i="2"/>
  <c r="L2570" i="2" s="1"/>
  <c r="K2571" i="2"/>
  <c r="L2571" i="2" s="1"/>
  <c r="K2572" i="2"/>
  <c r="L2572" i="2" s="1"/>
  <c r="K2573" i="2"/>
  <c r="L2573" i="2" s="1"/>
  <c r="K2574" i="2"/>
  <c r="L2574" i="2" s="1"/>
  <c r="K2575" i="2"/>
  <c r="L2575" i="2" s="1"/>
  <c r="K2576" i="2"/>
  <c r="L2576" i="2" s="1"/>
  <c r="K2577" i="2"/>
  <c r="L2577" i="2" s="1"/>
  <c r="K2578" i="2"/>
  <c r="L2578" i="2" s="1"/>
  <c r="K2579" i="2"/>
  <c r="L2579" i="2" s="1"/>
  <c r="K2580" i="2"/>
  <c r="L2580" i="2" s="1"/>
  <c r="K2581" i="2"/>
  <c r="L2581" i="2" s="1"/>
  <c r="K2582" i="2"/>
  <c r="L2582" i="2" s="1"/>
  <c r="K2583" i="2"/>
  <c r="L2583" i="2" s="1"/>
  <c r="K2584" i="2"/>
  <c r="L2584" i="2" s="1"/>
  <c r="K2585" i="2"/>
  <c r="L2585" i="2" s="1"/>
  <c r="K2586" i="2"/>
  <c r="L2586" i="2" s="1"/>
  <c r="K2587" i="2"/>
  <c r="L2587" i="2" s="1"/>
  <c r="K2588" i="2"/>
  <c r="L2588" i="2" s="1"/>
  <c r="K2589" i="2"/>
  <c r="L2589" i="2" s="1"/>
  <c r="K2590" i="2"/>
  <c r="L2590" i="2" s="1"/>
  <c r="K2591" i="2"/>
  <c r="L2591" i="2" s="1"/>
  <c r="K2592" i="2"/>
  <c r="L2592" i="2" s="1"/>
  <c r="K2593" i="2"/>
  <c r="L2593" i="2" s="1"/>
  <c r="K2594" i="2"/>
  <c r="L2594" i="2" s="1"/>
  <c r="K2595" i="2"/>
  <c r="L2595" i="2" s="1"/>
  <c r="K2596" i="2"/>
  <c r="L2596" i="2" s="1"/>
  <c r="K2597" i="2"/>
  <c r="L2597" i="2" s="1"/>
  <c r="K2598" i="2"/>
  <c r="L2598" i="2" s="1"/>
  <c r="K2599" i="2"/>
  <c r="L2599" i="2" s="1"/>
  <c r="K2600" i="2"/>
  <c r="L2600" i="2" s="1"/>
  <c r="K2601" i="2"/>
  <c r="L2601" i="2" s="1"/>
  <c r="K2602" i="2"/>
  <c r="L2602" i="2" s="1"/>
  <c r="K2603" i="2"/>
  <c r="L2603" i="2" s="1"/>
  <c r="K2604" i="2"/>
  <c r="L2604" i="2" s="1"/>
  <c r="K2605" i="2"/>
  <c r="L2605" i="2" s="1"/>
  <c r="K2606" i="2"/>
  <c r="L2606" i="2" s="1"/>
  <c r="K2607" i="2"/>
  <c r="L2607" i="2" s="1"/>
  <c r="K2608" i="2"/>
  <c r="L2608" i="2" s="1"/>
  <c r="K2609" i="2"/>
  <c r="L2609" i="2" s="1"/>
  <c r="K2610" i="2"/>
  <c r="L2610" i="2" s="1"/>
  <c r="K2611" i="2"/>
  <c r="L2611" i="2" s="1"/>
  <c r="K2612" i="2"/>
  <c r="L2612" i="2" s="1"/>
  <c r="K2613" i="2"/>
  <c r="L2613" i="2" s="1"/>
  <c r="K2614" i="2"/>
  <c r="L2614" i="2" s="1"/>
  <c r="K2615" i="2"/>
  <c r="L2615" i="2" s="1"/>
  <c r="K2616" i="2"/>
  <c r="L2616" i="2" s="1"/>
  <c r="K2617" i="2"/>
  <c r="L2617" i="2" s="1"/>
  <c r="K2618" i="2"/>
  <c r="L2618" i="2" s="1"/>
  <c r="K2619" i="2"/>
  <c r="L2619" i="2" s="1"/>
  <c r="K2620" i="2"/>
  <c r="L2620" i="2" s="1"/>
  <c r="K2621" i="2"/>
  <c r="L2621" i="2" s="1"/>
  <c r="K2622" i="2"/>
  <c r="L2622" i="2" s="1"/>
  <c r="K2623" i="2"/>
  <c r="L2623" i="2" s="1"/>
  <c r="K2624" i="2"/>
  <c r="L2624" i="2" s="1"/>
  <c r="K2625" i="2"/>
  <c r="L2625" i="2" s="1"/>
  <c r="K2626" i="2"/>
  <c r="L2626" i="2" s="1"/>
  <c r="K2627" i="2"/>
  <c r="L2627" i="2" s="1"/>
  <c r="K2628" i="2"/>
  <c r="L2628" i="2" s="1"/>
  <c r="K2629" i="2"/>
  <c r="L2629" i="2" s="1"/>
  <c r="K2630" i="2"/>
  <c r="L2630" i="2" s="1"/>
  <c r="K2631" i="2"/>
  <c r="L2631" i="2" s="1"/>
  <c r="K2632" i="2"/>
  <c r="L2632" i="2" s="1"/>
  <c r="K2633" i="2"/>
  <c r="L2633" i="2" s="1"/>
  <c r="K2634" i="2"/>
  <c r="L2634" i="2" s="1"/>
  <c r="K2635" i="2"/>
  <c r="L2635" i="2" s="1"/>
  <c r="K2636" i="2"/>
  <c r="L2636" i="2" s="1"/>
  <c r="K2637" i="2"/>
  <c r="L2637" i="2" s="1"/>
  <c r="K2638" i="2"/>
  <c r="L2638" i="2" s="1"/>
  <c r="K2639" i="2"/>
  <c r="L2639" i="2" s="1"/>
  <c r="K2640" i="2"/>
  <c r="L2640" i="2" s="1"/>
  <c r="K2641" i="2"/>
  <c r="L2641" i="2" s="1"/>
  <c r="K2642" i="2"/>
  <c r="L2642" i="2" s="1"/>
  <c r="K2643" i="2"/>
  <c r="L2643" i="2" s="1"/>
  <c r="K2644" i="2"/>
  <c r="L2644" i="2" s="1"/>
  <c r="K2645" i="2"/>
  <c r="L2645" i="2" s="1"/>
  <c r="K2646" i="2"/>
  <c r="L2646" i="2" s="1"/>
  <c r="K2647" i="2"/>
  <c r="L2647" i="2" s="1"/>
  <c r="K2648" i="2"/>
  <c r="L2648" i="2" s="1"/>
  <c r="K2649" i="2"/>
  <c r="L2649" i="2" s="1"/>
  <c r="K2650" i="2"/>
  <c r="L2650" i="2" s="1"/>
  <c r="K2651" i="2"/>
  <c r="L2651" i="2" s="1"/>
  <c r="K2652" i="2"/>
  <c r="L2652" i="2" s="1"/>
  <c r="K2653" i="2"/>
  <c r="L2653" i="2" s="1"/>
  <c r="K2654" i="2"/>
  <c r="L2654" i="2" s="1"/>
  <c r="K2655" i="2"/>
  <c r="L2655" i="2" s="1"/>
  <c r="K2656" i="2"/>
  <c r="L2656" i="2" s="1"/>
  <c r="K2657" i="2"/>
  <c r="L2657" i="2" s="1"/>
  <c r="K2658" i="2"/>
  <c r="L2658" i="2" s="1"/>
  <c r="K2659" i="2"/>
  <c r="L2659" i="2" s="1"/>
  <c r="K2660" i="2"/>
  <c r="L2660" i="2" s="1"/>
  <c r="K2661" i="2"/>
  <c r="L2661" i="2" s="1"/>
  <c r="K2662" i="2"/>
  <c r="L2662" i="2" s="1"/>
  <c r="K2663" i="2"/>
  <c r="L2663" i="2" s="1"/>
  <c r="K2664" i="2"/>
  <c r="L2664" i="2" s="1"/>
  <c r="K2665" i="2"/>
  <c r="L2665" i="2" s="1"/>
  <c r="K2666" i="2"/>
  <c r="L2666" i="2" s="1"/>
  <c r="K2667" i="2"/>
  <c r="L2667" i="2" s="1"/>
  <c r="K2668" i="2"/>
  <c r="L2668" i="2" s="1"/>
  <c r="K2669" i="2"/>
  <c r="L2669" i="2" s="1"/>
  <c r="K2670" i="2"/>
  <c r="L2670" i="2" s="1"/>
  <c r="K2671" i="2"/>
  <c r="L2671" i="2" s="1"/>
  <c r="K2672" i="2"/>
  <c r="L2672" i="2" s="1"/>
  <c r="K2673" i="2"/>
  <c r="L2673" i="2" s="1"/>
  <c r="K2674" i="2"/>
  <c r="L2674" i="2" s="1"/>
  <c r="K2675" i="2"/>
  <c r="L2675" i="2" s="1"/>
  <c r="K2676" i="2"/>
  <c r="L2676" i="2" s="1"/>
  <c r="K2677" i="2"/>
  <c r="L2677" i="2" s="1"/>
  <c r="K2678" i="2"/>
  <c r="L2678" i="2" s="1"/>
  <c r="K2679" i="2"/>
  <c r="L2679" i="2" s="1"/>
  <c r="K2680" i="2"/>
  <c r="L2680" i="2" s="1"/>
  <c r="K2681" i="2"/>
  <c r="L2681" i="2" s="1"/>
  <c r="K2682" i="2"/>
  <c r="L2682" i="2" s="1"/>
  <c r="K2683" i="2"/>
  <c r="L2683" i="2" s="1"/>
  <c r="K2684" i="2"/>
  <c r="L2684" i="2" s="1"/>
  <c r="K2685" i="2"/>
  <c r="L2685" i="2" s="1"/>
  <c r="K2686" i="2"/>
  <c r="L2686" i="2" s="1"/>
  <c r="K2687" i="2"/>
  <c r="L2687" i="2" s="1"/>
  <c r="K2688" i="2"/>
  <c r="L2688" i="2" s="1"/>
  <c r="K2689" i="2"/>
  <c r="L2689" i="2" s="1"/>
  <c r="K2690" i="2"/>
  <c r="L2690" i="2" s="1"/>
  <c r="K2691" i="2"/>
  <c r="L2691" i="2" s="1"/>
  <c r="K2692" i="2"/>
  <c r="L2692" i="2" s="1"/>
  <c r="K2693" i="2"/>
  <c r="L2693" i="2" s="1"/>
  <c r="K2694" i="2"/>
  <c r="L2694" i="2" s="1"/>
  <c r="K2695" i="2"/>
  <c r="L2695" i="2" s="1"/>
  <c r="K2696" i="2"/>
  <c r="L2696" i="2" s="1"/>
  <c r="K2697" i="2"/>
  <c r="L2697" i="2" s="1"/>
  <c r="K2698" i="2"/>
  <c r="L2698" i="2" s="1"/>
  <c r="K2699" i="2"/>
  <c r="L2699" i="2" s="1"/>
  <c r="K2700" i="2"/>
  <c r="L2700" i="2" s="1"/>
  <c r="K2701" i="2"/>
  <c r="L2701" i="2" s="1"/>
  <c r="K2702" i="2"/>
  <c r="L2702" i="2" s="1"/>
  <c r="K2703" i="2"/>
  <c r="L2703" i="2" s="1"/>
  <c r="K2704" i="2"/>
  <c r="L2704" i="2" s="1"/>
  <c r="K2705" i="2"/>
  <c r="L2705" i="2" s="1"/>
  <c r="K2706" i="2"/>
  <c r="L2706" i="2" s="1"/>
  <c r="K2707" i="2"/>
  <c r="L2707" i="2" s="1"/>
  <c r="K2708" i="2"/>
  <c r="L2708" i="2" s="1"/>
  <c r="K2709" i="2"/>
  <c r="L2709" i="2" s="1"/>
  <c r="K2710" i="2"/>
  <c r="L2710" i="2" s="1"/>
  <c r="K2711" i="2"/>
  <c r="L2711" i="2" s="1"/>
  <c r="K2712" i="2"/>
  <c r="L2712" i="2" s="1"/>
  <c r="K2713" i="2"/>
  <c r="L2713" i="2" s="1"/>
  <c r="K2714" i="2"/>
  <c r="L2714" i="2" s="1"/>
  <c r="K2715" i="2"/>
  <c r="L2715" i="2" s="1"/>
  <c r="K2716" i="2"/>
  <c r="L2716" i="2" s="1"/>
  <c r="K2717" i="2"/>
  <c r="L2717" i="2" s="1"/>
  <c r="K2718" i="2"/>
  <c r="L2718" i="2" s="1"/>
  <c r="K2719" i="2"/>
  <c r="L2719" i="2" s="1"/>
  <c r="K2720" i="2"/>
  <c r="L2720" i="2" s="1"/>
  <c r="K2721" i="2"/>
  <c r="L2721" i="2" s="1"/>
  <c r="K2722" i="2"/>
  <c r="L2722" i="2" s="1"/>
  <c r="K2723" i="2"/>
  <c r="L2723" i="2" s="1"/>
  <c r="K2724" i="2"/>
  <c r="L2724" i="2" s="1"/>
  <c r="K2725" i="2"/>
  <c r="L2725" i="2" s="1"/>
  <c r="K2726" i="2"/>
  <c r="L2726" i="2" s="1"/>
  <c r="K2727" i="2"/>
  <c r="L2727" i="2" s="1"/>
  <c r="K2728" i="2"/>
  <c r="L2728" i="2" s="1"/>
  <c r="K2729" i="2"/>
  <c r="L2729" i="2" s="1"/>
  <c r="K2730" i="2"/>
  <c r="L2730" i="2" s="1"/>
  <c r="K2731" i="2"/>
  <c r="L2731" i="2" s="1"/>
  <c r="K2732" i="2"/>
  <c r="L2732" i="2" s="1"/>
  <c r="K2733" i="2"/>
  <c r="L2733" i="2" s="1"/>
  <c r="K2734" i="2"/>
  <c r="L2734" i="2" s="1"/>
  <c r="K2735" i="2"/>
  <c r="L2735" i="2" s="1"/>
  <c r="K2736" i="2"/>
  <c r="L2736" i="2" s="1"/>
  <c r="K2737" i="2"/>
  <c r="L2737" i="2" s="1"/>
  <c r="K2738" i="2"/>
  <c r="L2738" i="2" s="1"/>
  <c r="K2739" i="2"/>
  <c r="L2739" i="2" s="1"/>
  <c r="K2740" i="2"/>
  <c r="L2740" i="2" s="1"/>
  <c r="K2741" i="2"/>
  <c r="L2741" i="2" s="1"/>
  <c r="K2742" i="2"/>
  <c r="L2742" i="2" s="1"/>
  <c r="K2743" i="2"/>
  <c r="L2743" i="2" s="1"/>
  <c r="K2744" i="2"/>
  <c r="L2744" i="2" s="1"/>
  <c r="K2745" i="2"/>
  <c r="L2745" i="2" s="1"/>
  <c r="K2746" i="2"/>
  <c r="L2746" i="2" s="1"/>
  <c r="K2747" i="2"/>
  <c r="L2747" i="2" s="1"/>
  <c r="K2748" i="2"/>
  <c r="L2748" i="2" s="1"/>
  <c r="K2749" i="2"/>
  <c r="L2749" i="2" s="1"/>
  <c r="K2750" i="2"/>
  <c r="L2750" i="2" s="1"/>
  <c r="K2751" i="2"/>
  <c r="L2751" i="2" s="1"/>
  <c r="K2752" i="2"/>
  <c r="L2752" i="2" s="1"/>
  <c r="K2753" i="2"/>
  <c r="L2753" i="2" s="1"/>
  <c r="K2754" i="2"/>
  <c r="L2754" i="2" s="1"/>
  <c r="K2755" i="2"/>
  <c r="L2755" i="2" s="1"/>
  <c r="K2756" i="2"/>
  <c r="L2756" i="2" s="1"/>
  <c r="K2757" i="2"/>
  <c r="L2757" i="2" s="1"/>
  <c r="K2758" i="2"/>
  <c r="L2758" i="2" s="1"/>
  <c r="K2759" i="2"/>
  <c r="L2759" i="2" s="1"/>
  <c r="K2760" i="2"/>
  <c r="L2760" i="2" s="1"/>
  <c r="K2761" i="2"/>
  <c r="L2761" i="2" s="1"/>
  <c r="K2762" i="2"/>
  <c r="L2762" i="2" s="1"/>
  <c r="K2763" i="2"/>
  <c r="L2763" i="2" s="1"/>
  <c r="K2764" i="2"/>
  <c r="L2764" i="2" s="1"/>
  <c r="K2765" i="2"/>
  <c r="L2765" i="2" s="1"/>
  <c r="K2766" i="2"/>
  <c r="L2766" i="2" s="1"/>
  <c r="K2767" i="2"/>
  <c r="L2767" i="2" s="1"/>
  <c r="K2768" i="2"/>
  <c r="L2768" i="2" s="1"/>
  <c r="K2769" i="2"/>
  <c r="L2769" i="2" s="1"/>
  <c r="K2770" i="2"/>
  <c r="L2770" i="2" s="1"/>
  <c r="K2771" i="2"/>
  <c r="L2771" i="2" s="1"/>
  <c r="K2772" i="2"/>
  <c r="L2772" i="2" s="1"/>
  <c r="K2773" i="2"/>
  <c r="L2773" i="2" s="1"/>
  <c r="K2774" i="2"/>
  <c r="L2774" i="2" s="1"/>
  <c r="K2775" i="2"/>
  <c r="L2775" i="2" s="1"/>
  <c r="K2776" i="2"/>
  <c r="L2776" i="2" s="1"/>
  <c r="K2777" i="2"/>
  <c r="L2777" i="2" s="1"/>
  <c r="K2778" i="2"/>
  <c r="L2778" i="2" s="1"/>
  <c r="K2779" i="2"/>
  <c r="L2779" i="2" s="1"/>
  <c r="K2780" i="2"/>
  <c r="L2780" i="2" s="1"/>
  <c r="K2781" i="2"/>
  <c r="L2781" i="2" s="1"/>
  <c r="K2782" i="2"/>
  <c r="L2782" i="2" s="1"/>
  <c r="K2783" i="2"/>
  <c r="L2783" i="2" s="1"/>
  <c r="K2784" i="2"/>
  <c r="L2784" i="2" s="1"/>
  <c r="K2785" i="2"/>
  <c r="L2785" i="2" s="1"/>
  <c r="K2786" i="2"/>
  <c r="L2786" i="2" s="1"/>
  <c r="K2787" i="2"/>
  <c r="L2787" i="2" s="1"/>
  <c r="K2788" i="2"/>
  <c r="L2788" i="2" s="1"/>
  <c r="K2789" i="2"/>
  <c r="L2789" i="2" s="1"/>
  <c r="K2790" i="2"/>
  <c r="L2790" i="2" s="1"/>
  <c r="K2791" i="2"/>
  <c r="L2791" i="2" s="1"/>
  <c r="K2792" i="2"/>
  <c r="L2792" i="2" s="1"/>
  <c r="K2793" i="2"/>
  <c r="L2793" i="2" s="1"/>
  <c r="K2794" i="2"/>
  <c r="L2794" i="2" s="1"/>
  <c r="K2795" i="2"/>
  <c r="L2795" i="2" s="1"/>
  <c r="K2796" i="2"/>
  <c r="L2796" i="2" s="1"/>
  <c r="K2797" i="2"/>
  <c r="L2797" i="2" s="1"/>
  <c r="K2798" i="2"/>
  <c r="L2798" i="2" s="1"/>
  <c r="K2799" i="2"/>
  <c r="L2799" i="2" s="1"/>
  <c r="K2800" i="2"/>
  <c r="L2800" i="2" s="1"/>
  <c r="K2801" i="2"/>
  <c r="L2801" i="2" s="1"/>
  <c r="K2802" i="2"/>
  <c r="L2802" i="2" s="1"/>
  <c r="K2803" i="2"/>
  <c r="L2803" i="2" s="1"/>
  <c r="K2804" i="2"/>
  <c r="L2804" i="2" s="1"/>
  <c r="K2805" i="2"/>
  <c r="L2805" i="2" s="1"/>
  <c r="K2806" i="2"/>
  <c r="L2806" i="2" s="1"/>
  <c r="K2807" i="2"/>
  <c r="L2807" i="2" s="1"/>
  <c r="K2808" i="2"/>
  <c r="L2808" i="2" s="1"/>
  <c r="K2809" i="2"/>
  <c r="L2809" i="2" s="1"/>
  <c r="K2810" i="2"/>
  <c r="L2810" i="2" s="1"/>
  <c r="K2811" i="2"/>
  <c r="L2811" i="2" s="1"/>
  <c r="K2812" i="2"/>
  <c r="L2812" i="2" s="1"/>
  <c r="K2813" i="2"/>
  <c r="L2813" i="2" s="1"/>
  <c r="K2814" i="2"/>
  <c r="L2814" i="2" s="1"/>
  <c r="K2815" i="2"/>
  <c r="L2815" i="2" s="1"/>
  <c r="K2816" i="2"/>
  <c r="L2816" i="2" s="1"/>
  <c r="K2817" i="2"/>
  <c r="L2817" i="2" s="1"/>
  <c r="K2818" i="2"/>
  <c r="L2818" i="2" s="1"/>
  <c r="K2819" i="2"/>
  <c r="L2819" i="2" s="1"/>
  <c r="K2820" i="2"/>
  <c r="L2820" i="2" s="1"/>
  <c r="K2821" i="2"/>
  <c r="L2821" i="2" s="1"/>
  <c r="K2822" i="2"/>
  <c r="L2822" i="2" s="1"/>
  <c r="K2823" i="2"/>
  <c r="L2823" i="2" s="1"/>
  <c r="K2824" i="2"/>
  <c r="L2824" i="2" s="1"/>
  <c r="K2825" i="2"/>
  <c r="L2825" i="2" s="1"/>
  <c r="K2826" i="2"/>
  <c r="L2826" i="2" s="1"/>
  <c r="K2827" i="2"/>
  <c r="L2827" i="2" s="1"/>
  <c r="K2828" i="2"/>
  <c r="L2828" i="2" s="1"/>
  <c r="K2829" i="2"/>
  <c r="L2829" i="2" s="1"/>
  <c r="K2830" i="2"/>
  <c r="L2830" i="2" s="1"/>
  <c r="K2831" i="2"/>
  <c r="L2831" i="2" s="1"/>
  <c r="K2832" i="2"/>
  <c r="L2832" i="2" s="1"/>
  <c r="K2833" i="2"/>
  <c r="L2833" i="2" s="1"/>
  <c r="K2834" i="2"/>
  <c r="L2834" i="2" s="1"/>
  <c r="K2835" i="2"/>
  <c r="L2835" i="2" s="1"/>
  <c r="K2836" i="2"/>
  <c r="L2836" i="2" s="1"/>
  <c r="K2837" i="2"/>
  <c r="L2837" i="2" s="1"/>
  <c r="K2838" i="2"/>
  <c r="L2838" i="2" s="1"/>
  <c r="K2839" i="2"/>
  <c r="L2839" i="2" s="1"/>
  <c r="K2840" i="2"/>
  <c r="L2840" i="2" s="1"/>
  <c r="K2841" i="2"/>
  <c r="L2841" i="2" s="1"/>
  <c r="K2842" i="2"/>
  <c r="L2842" i="2" s="1"/>
  <c r="K2843" i="2"/>
  <c r="L2843" i="2" s="1"/>
  <c r="K2844" i="2"/>
  <c r="L2844" i="2" s="1"/>
  <c r="K2845" i="2"/>
  <c r="L2845" i="2" s="1"/>
  <c r="K2846" i="2"/>
  <c r="L2846" i="2" s="1"/>
  <c r="K2847" i="2"/>
  <c r="L2847" i="2" s="1"/>
  <c r="K2848" i="2"/>
  <c r="L2848" i="2" s="1"/>
  <c r="K2849" i="2"/>
  <c r="L2849" i="2" s="1"/>
  <c r="K2850" i="2"/>
  <c r="L2850" i="2" s="1"/>
  <c r="K2851" i="2"/>
  <c r="L2851" i="2" s="1"/>
  <c r="K2852" i="2"/>
  <c r="L2852" i="2" s="1"/>
  <c r="K2853" i="2"/>
  <c r="L2853" i="2" s="1"/>
  <c r="K2854" i="2"/>
  <c r="L2854" i="2" s="1"/>
  <c r="K2855" i="2"/>
  <c r="L2855" i="2" s="1"/>
  <c r="K2856" i="2"/>
  <c r="L2856" i="2" s="1"/>
  <c r="K2857" i="2"/>
  <c r="L2857" i="2" s="1"/>
  <c r="K2858" i="2"/>
  <c r="L2858" i="2" s="1"/>
  <c r="K2859" i="2"/>
  <c r="L2859" i="2" s="1"/>
  <c r="K2860" i="2"/>
  <c r="L2860" i="2" s="1"/>
  <c r="K2861" i="2"/>
  <c r="L2861" i="2" s="1"/>
  <c r="K2862" i="2"/>
  <c r="L2862" i="2" s="1"/>
  <c r="K2863" i="2"/>
  <c r="L2863" i="2" s="1"/>
  <c r="K2864" i="2"/>
  <c r="L2864" i="2" s="1"/>
  <c r="K2865" i="2"/>
  <c r="L2865" i="2" s="1"/>
  <c r="K2866" i="2"/>
  <c r="L2866" i="2" s="1"/>
  <c r="K2867" i="2"/>
  <c r="L2867" i="2" s="1"/>
  <c r="K2868" i="2"/>
  <c r="L2868" i="2" s="1"/>
  <c r="K2869" i="2"/>
  <c r="L2869" i="2" s="1"/>
  <c r="K2870" i="2"/>
  <c r="L2870" i="2" s="1"/>
  <c r="K2871" i="2"/>
  <c r="L2871" i="2" s="1"/>
  <c r="K2872" i="2"/>
  <c r="L2872" i="2" s="1"/>
  <c r="K2873" i="2"/>
  <c r="L2873" i="2" s="1"/>
  <c r="K2874" i="2"/>
  <c r="L2874" i="2" s="1"/>
  <c r="K2875" i="2"/>
  <c r="L2875" i="2" s="1"/>
  <c r="K2876" i="2"/>
  <c r="L2876" i="2" s="1"/>
  <c r="K2877" i="2"/>
  <c r="L2877" i="2" s="1"/>
  <c r="K2878" i="2"/>
  <c r="L2878" i="2" s="1"/>
  <c r="K2879" i="2"/>
  <c r="L2879" i="2" s="1"/>
  <c r="K2880" i="2"/>
  <c r="L2880" i="2" s="1"/>
  <c r="K2881" i="2"/>
  <c r="L2881" i="2" s="1"/>
  <c r="K2882" i="2"/>
  <c r="L2882" i="2" s="1"/>
  <c r="K2883" i="2"/>
  <c r="L2883" i="2" s="1"/>
  <c r="K2884" i="2"/>
  <c r="L2884" i="2" s="1"/>
  <c r="K2885" i="2"/>
  <c r="L2885" i="2" s="1"/>
  <c r="K2886" i="2"/>
  <c r="L2886" i="2" s="1"/>
  <c r="K2887" i="2"/>
  <c r="L2887" i="2" s="1"/>
  <c r="K2888" i="2"/>
  <c r="L2888" i="2" s="1"/>
  <c r="K2889" i="2"/>
  <c r="L2889" i="2" s="1"/>
  <c r="K2890" i="2"/>
  <c r="L2890" i="2" s="1"/>
  <c r="K2891" i="2"/>
  <c r="L2891" i="2" s="1"/>
  <c r="K2892" i="2"/>
  <c r="L2892" i="2" s="1"/>
  <c r="K2893" i="2"/>
  <c r="L2893" i="2" s="1"/>
  <c r="K2894" i="2"/>
  <c r="L2894" i="2" s="1"/>
  <c r="K2895" i="2"/>
  <c r="L2895" i="2" s="1"/>
  <c r="K2896" i="2"/>
  <c r="L2896" i="2" s="1"/>
  <c r="K2897" i="2"/>
  <c r="L2897" i="2" s="1"/>
  <c r="K2898" i="2"/>
  <c r="L2898" i="2" s="1"/>
  <c r="K2899" i="2"/>
  <c r="L2899" i="2" s="1"/>
  <c r="K2900" i="2"/>
  <c r="L2900" i="2" s="1"/>
  <c r="K2901" i="2"/>
  <c r="L2901" i="2" s="1"/>
  <c r="K2902" i="2"/>
  <c r="L2902" i="2" s="1"/>
  <c r="K2903" i="2"/>
  <c r="L2903" i="2" s="1"/>
  <c r="K2904" i="2"/>
  <c r="L2904" i="2" s="1"/>
  <c r="K2905" i="2"/>
  <c r="L2905" i="2" s="1"/>
  <c r="K2906" i="2"/>
  <c r="L2906" i="2" s="1"/>
  <c r="K2907" i="2"/>
  <c r="L2907" i="2" s="1"/>
  <c r="K2908" i="2"/>
  <c r="L2908" i="2" s="1"/>
  <c r="K2909" i="2"/>
  <c r="L2909" i="2" s="1"/>
  <c r="K2910" i="2"/>
  <c r="L2910" i="2" s="1"/>
  <c r="K2911" i="2"/>
  <c r="L2911" i="2" s="1"/>
  <c r="K2912" i="2"/>
  <c r="L2912" i="2" s="1"/>
  <c r="K2913" i="2"/>
  <c r="L2913" i="2" s="1"/>
  <c r="K2914" i="2"/>
  <c r="L2914" i="2" s="1"/>
  <c r="K2915" i="2"/>
  <c r="L2915" i="2" s="1"/>
  <c r="K2916" i="2"/>
  <c r="L2916" i="2" s="1"/>
  <c r="K2917" i="2"/>
  <c r="L2917" i="2" s="1"/>
  <c r="K2918" i="2"/>
  <c r="L2918" i="2" s="1"/>
  <c r="K2919" i="2"/>
  <c r="L2919" i="2" s="1"/>
  <c r="K2920" i="2"/>
  <c r="L2920" i="2" s="1"/>
  <c r="K2921" i="2"/>
  <c r="L2921" i="2" s="1"/>
  <c r="K2922" i="2"/>
  <c r="L2922" i="2" s="1"/>
  <c r="K2923" i="2"/>
  <c r="L2923" i="2" s="1"/>
  <c r="K2924" i="2"/>
  <c r="L2924" i="2" s="1"/>
  <c r="K2925" i="2"/>
  <c r="L2925" i="2" s="1"/>
  <c r="K2926" i="2"/>
  <c r="L2926" i="2" s="1"/>
  <c r="K2927" i="2"/>
  <c r="L2927" i="2" s="1"/>
  <c r="K2928" i="2"/>
  <c r="L2928" i="2" s="1"/>
  <c r="K2929" i="2"/>
  <c r="L2929" i="2" s="1"/>
  <c r="K2930" i="2"/>
  <c r="L2930" i="2" s="1"/>
  <c r="K2931" i="2"/>
  <c r="L2931" i="2" s="1"/>
  <c r="K2932" i="2"/>
  <c r="L2932" i="2" s="1"/>
  <c r="K2933" i="2"/>
  <c r="L2933" i="2" s="1"/>
  <c r="K2934" i="2"/>
  <c r="L2934" i="2" s="1"/>
  <c r="K2935" i="2"/>
  <c r="L2935" i="2" s="1"/>
  <c r="K2936" i="2"/>
  <c r="L2936" i="2" s="1"/>
  <c r="K2937" i="2"/>
  <c r="L2937" i="2" s="1"/>
  <c r="K2938" i="2"/>
  <c r="L2938" i="2" s="1"/>
  <c r="K2939" i="2"/>
  <c r="L2939" i="2" s="1"/>
  <c r="K2940" i="2"/>
  <c r="L2940" i="2" s="1"/>
  <c r="K2941" i="2"/>
  <c r="L2941" i="2" s="1"/>
  <c r="K2942" i="2"/>
  <c r="L2942" i="2" s="1"/>
  <c r="K2943" i="2"/>
  <c r="L2943" i="2" s="1"/>
  <c r="K2944" i="2"/>
  <c r="L2944" i="2" s="1"/>
  <c r="K2945" i="2"/>
  <c r="L2945" i="2" s="1"/>
  <c r="K2946" i="2"/>
  <c r="L2946" i="2" s="1"/>
  <c r="K2947" i="2"/>
  <c r="L2947" i="2" s="1"/>
  <c r="K2948" i="2"/>
  <c r="L2948" i="2" s="1"/>
  <c r="K2949" i="2"/>
  <c r="L2949" i="2" s="1"/>
  <c r="K2950" i="2"/>
  <c r="L2950" i="2" s="1"/>
  <c r="K2951" i="2"/>
  <c r="L2951" i="2" s="1"/>
  <c r="K2952" i="2"/>
  <c r="L2952" i="2" s="1"/>
  <c r="K2953" i="2"/>
  <c r="L2953" i="2" s="1"/>
  <c r="K2954" i="2"/>
  <c r="L2954" i="2" s="1"/>
  <c r="K2955" i="2"/>
  <c r="L2955" i="2" s="1"/>
  <c r="K2956" i="2"/>
  <c r="L2956" i="2" s="1"/>
  <c r="K2957" i="2"/>
  <c r="L2957" i="2" s="1"/>
  <c r="K2958" i="2"/>
  <c r="L2958" i="2" s="1"/>
  <c r="K2959" i="2"/>
  <c r="L2959" i="2" s="1"/>
  <c r="K2960" i="2"/>
  <c r="L2960" i="2" s="1"/>
  <c r="K2961" i="2"/>
  <c r="L2961" i="2" s="1"/>
  <c r="K2962" i="2"/>
  <c r="L2962" i="2" s="1"/>
  <c r="K2963" i="2"/>
  <c r="L2963" i="2" s="1"/>
  <c r="K2964" i="2"/>
  <c r="L2964" i="2" s="1"/>
  <c r="K2965" i="2"/>
  <c r="L2965" i="2" s="1"/>
  <c r="K2966" i="2"/>
  <c r="L2966" i="2" s="1"/>
  <c r="K2967" i="2"/>
  <c r="L2967" i="2" s="1"/>
  <c r="K2968" i="2"/>
  <c r="L2968" i="2" s="1"/>
  <c r="K2969" i="2"/>
  <c r="L2969" i="2" s="1"/>
  <c r="K2970" i="2"/>
  <c r="L2970" i="2" s="1"/>
  <c r="K2971" i="2"/>
  <c r="L2971" i="2" s="1"/>
  <c r="K2972" i="2"/>
  <c r="L2972" i="2" s="1"/>
  <c r="K2973" i="2"/>
  <c r="L2973" i="2" s="1"/>
  <c r="K2974" i="2"/>
  <c r="L2974" i="2" s="1"/>
  <c r="K2975" i="2"/>
  <c r="L2975" i="2" s="1"/>
  <c r="K2976" i="2"/>
  <c r="L2976" i="2" s="1"/>
  <c r="K2977" i="2"/>
  <c r="L2977" i="2" s="1"/>
  <c r="K2978" i="2"/>
  <c r="L2978" i="2" s="1"/>
  <c r="K2979" i="2"/>
  <c r="L2979" i="2" s="1"/>
  <c r="K2980" i="2"/>
  <c r="L2980" i="2" s="1"/>
  <c r="K2981" i="2"/>
  <c r="L2981" i="2" s="1"/>
  <c r="K2982" i="2"/>
  <c r="L2982" i="2" s="1"/>
  <c r="K2983" i="2"/>
  <c r="L2983" i="2" s="1"/>
  <c r="K2984" i="2"/>
  <c r="L2984" i="2" s="1"/>
  <c r="K2985" i="2"/>
  <c r="L2985" i="2" s="1"/>
  <c r="K2986" i="2"/>
  <c r="L2986" i="2" s="1"/>
  <c r="K2987" i="2"/>
  <c r="L2987" i="2" s="1"/>
  <c r="K2988" i="2"/>
  <c r="L2988" i="2" s="1"/>
  <c r="K2989" i="2"/>
  <c r="L2989" i="2" s="1"/>
  <c r="K2990" i="2"/>
  <c r="L2990" i="2" s="1"/>
  <c r="K2991" i="2"/>
  <c r="L2991" i="2" s="1"/>
  <c r="K2992" i="2"/>
  <c r="L2992" i="2" s="1"/>
  <c r="K2993" i="2"/>
  <c r="L2993" i="2" s="1"/>
  <c r="K2994" i="2"/>
  <c r="L2994" i="2" s="1"/>
  <c r="K2995" i="2"/>
  <c r="L2995" i="2" s="1"/>
  <c r="K2996" i="2"/>
  <c r="L2996" i="2" s="1"/>
  <c r="K2997" i="2"/>
  <c r="L2997" i="2" s="1"/>
  <c r="K2998" i="2"/>
  <c r="L2998" i="2" s="1"/>
  <c r="K2999" i="2"/>
  <c r="L2999" i="2" s="1"/>
  <c r="K3000" i="2"/>
  <c r="L3000" i="2" s="1"/>
  <c r="K3001" i="2"/>
  <c r="L3001" i="2" s="1"/>
  <c r="K3002" i="2"/>
  <c r="L3002" i="2" s="1"/>
  <c r="K3003" i="2"/>
  <c r="L3003" i="2" s="1"/>
  <c r="K3004" i="2"/>
  <c r="L3004" i="2" s="1"/>
  <c r="K3005" i="2"/>
  <c r="L3005" i="2" s="1"/>
  <c r="K3006" i="2"/>
  <c r="L3006" i="2" s="1"/>
  <c r="K3007" i="2"/>
  <c r="L3007" i="2" s="1"/>
  <c r="K3008" i="2"/>
  <c r="L3008" i="2" s="1"/>
  <c r="K3009" i="2"/>
  <c r="L3009" i="2" s="1"/>
  <c r="K3010" i="2"/>
  <c r="L3010" i="2" s="1"/>
  <c r="K3011" i="2"/>
  <c r="L3011" i="2" s="1"/>
  <c r="K3012" i="2"/>
  <c r="L3012" i="2" s="1"/>
  <c r="K3013" i="2"/>
  <c r="L3013" i="2" s="1"/>
  <c r="K3014" i="2"/>
  <c r="L3014" i="2" s="1"/>
  <c r="K3015" i="2"/>
  <c r="L3015" i="2" s="1"/>
  <c r="K3016" i="2"/>
  <c r="L3016" i="2" s="1"/>
  <c r="K3017" i="2"/>
  <c r="L3017" i="2" s="1"/>
  <c r="K3018" i="2"/>
  <c r="L3018" i="2" s="1"/>
  <c r="K3019" i="2"/>
  <c r="L3019" i="2" s="1"/>
  <c r="K3020" i="2"/>
  <c r="L3020" i="2" s="1"/>
  <c r="K3021" i="2"/>
  <c r="L3021" i="2" s="1"/>
  <c r="K3022" i="2"/>
  <c r="L3022" i="2" s="1"/>
  <c r="K3023" i="2"/>
  <c r="L3023" i="2" s="1"/>
  <c r="K3024" i="2"/>
  <c r="L3024" i="2" s="1"/>
  <c r="K3025" i="2"/>
  <c r="L3025" i="2" s="1"/>
  <c r="K3026" i="2"/>
  <c r="L3026" i="2" s="1"/>
  <c r="K3027" i="2"/>
  <c r="L3027" i="2" s="1"/>
  <c r="K3028" i="2"/>
  <c r="L3028" i="2" s="1"/>
  <c r="K3029" i="2"/>
  <c r="L3029" i="2" s="1"/>
  <c r="K3030" i="2"/>
  <c r="L3030" i="2" s="1"/>
  <c r="K3031" i="2"/>
  <c r="L3031" i="2" s="1"/>
  <c r="K3032" i="2"/>
  <c r="L3032" i="2" s="1"/>
  <c r="K3033" i="2"/>
  <c r="L3033" i="2" s="1"/>
  <c r="K3034" i="2"/>
  <c r="L3034" i="2" s="1"/>
  <c r="K3035" i="2"/>
  <c r="L3035" i="2" s="1"/>
  <c r="K3036" i="2"/>
  <c r="L3036" i="2" s="1"/>
  <c r="K3037" i="2"/>
  <c r="L3037" i="2" s="1"/>
  <c r="K3038" i="2"/>
  <c r="L3038" i="2" s="1"/>
  <c r="K3039" i="2"/>
  <c r="L3039" i="2" s="1"/>
  <c r="K3040" i="2"/>
  <c r="L3040" i="2" s="1"/>
  <c r="K3041" i="2"/>
  <c r="L3041" i="2" s="1"/>
  <c r="K3042" i="2"/>
  <c r="L3042" i="2" s="1"/>
  <c r="K3043" i="2"/>
  <c r="L3043" i="2" s="1"/>
  <c r="K3044" i="2"/>
  <c r="L3044" i="2" s="1"/>
  <c r="K3045" i="2"/>
  <c r="L3045" i="2" s="1"/>
  <c r="K3046" i="2"/>
  <c r="L3046" i="2" s="1"/>
  <c r="K3047" i="2"/>
  <c r="L3047" i="2" s="1"/>
  <c r="K3048" i="2"/>
  <c r="L3048" i="2" s="1"/>
  <c r="K3049" i="2"/>
  <c r="L3049" i="2" s="1"/>
  <c r="K3050" i="2"/>
  <c r="L3050" i="2" s="1"/>
  <c r="K3051" i="2"/>
  <c r="L3051" i="2" s="1"/>
  <c r="K3052" i="2"/>
  <c r="L3052" i="2" s="1"/>
  <c r="K3053" i="2"/>
  <c r="L3053" i="2" s="1"/>
  <c r="K3054" i="2"/>
  <c r="L3054" i="2" s="1"/>
  <c r="K3055" i="2"/>
  <c r="L3055" i="2" s="1"/>
  <c r="K3056" i="2"/>
  <c r="L3056" i="2" s="1"/>
  <c r="K3057" i="2"/>
  <c r="L3057" i="2" s="1"/>
  <c r="K3058" i="2"/>
  <c r="L3058" i="2" s="1"/>
  <c r="K3059" i="2"/>
  <c r="L3059" i="2" s="1"/>
  <c r="K3060" i="2"/>
  <c r="L3060" i="2" s="1"/>
  <c r="K3061" i="2"/>
  <c r="L3061" i="2" s="1"/>
  <c r="K3062" i="2"/>
  <c r="L3062" i="2" s="1"/>
  <c r="K3063" i="2"/>
  <c r="L3063" i="2" s="1"/>
  <c r="K3064" i="2"/>
  <c r="L3064" i="2" s="1"/>
  <c r="K3065" i="2"/>
  <c r="L3065" i="2" s="1"/>
  <c r="K3066" i="2"/>
  <c r="L3066" i="2" s="1"/>
  <c r="K3067" i="2"/>
  <c r="L3067" i="2" s="1"/>
  <c r="K3068" i="2"/>
  <c r="L3068" i="2" s="1"/>
  <c r="K3069" i="2"/>
  <c r="L3069" i="2" s="1"/>
  <c r="K3070" i="2"/>
  <c r="L3070" i="2" s="1"/>
  <c r="K3071" i="2"/>
  <c r="L3071" i="2" s="1"/>
  <c r="K3072" i="2"/>
  <c r="L3072" i="2" s="1"/>
  <c r="K3073" i="2"/>
  <c r="L3073" i="2" s="1"/>
  <c r="K3074" i="2"/>
  <c r="L3074" i="2" s="1"/>
  <c r="K3075" i="2"/>
  <c r="L3075" i="2" s="1"/>
  <c r="K3076" i="2"/>
  <c r="L3076" i="2" s="1"/>
  <c r="K3077" i="2"/>
  <c r="L3077" i="2" s="1"/>
  <c r="K3078" i="2"/>
  <c r="L3078" i="2" s="1"/>
  <c r="K3079" i="2"/>
  <c r="L3079" i="2" s="1"/>
  <c r="K3080" i="2"/>
  <c r="L3080" i="2" s="1"/>
  <c r="K3081" i="2"/>
  <c r="L3081" i="2" s="1"/>
  <c r="K3082" i="2"/>
  <c r="L3082" i="2" s="1"/>
  <c r="K3083" i="2"/>
  <c r="L3083" i="2" s="1"/>
  <c r="K3084" i="2"/>
  <c r="L3084" i="2" s="1"/>
  <c r="K3085" i="2"/>
  <c r="L3085" i="2" s="1"/>
  <c r="K3086" i="2"/>
  <c r="L3086" i="2" s="1"/>
  <c r="K3087" i="2"/>
  <c r="L3087" i="2" s="1"/>
  <c r="K3088" i="2"/>
  <c r="L3088" i="2" s="1"/>
  <c r="K3089" i="2"/>
  <c r="L3089" i="2" s="1"/>
  <c r="K3090" i="2"/>
  <c r="L3090" i="2" s="1"/>
  <c r="K3091" i="2"/>
  <c r="L3091" i="2" s="1"/>
  <c r="K3092" i="2"/>
  <c r="L3092" i="2" s="1"/>
  <c r="K3093" i="2"/>
  <c r="L3093" i="2" s="1"/>
  <c r="K3094" i="2"/>
  <c r="L3094" i="2" s="1"/>
  <c r="K3095" i="2"/>
  <c r="L3095" i="2" s="1"/>
  <c r="K3096" i="2"/>
  <c r="L3096" i="2" s="1"/>
  <c r="K3097" i="2"/>
  <c r="L3097" i="2" s="1"/>
  <c r="K3098" i="2"/>
  <c r="L3098" i="2" s="1"/>
  <c r="K3099" i="2"/>
  <c r="L3099" i="2" s="1"/>
  <c r="K3100" i="2"/>
  <c r="L3100" i="2" s="1"/>
  <c r="K3101" i="2"/>
  <c r="L3101" i="2" s="1"/>
  <c r="K3102" i="2"/>
  <c r="L3102" i="2" s="1"/>
  <c r="K3103" i="2"/>
  <c r="L3103" i="2" s="1"/>
  <c r="K3104" i="2"/>
  <c r="L3104" i="2" s="1"/>
  <c r="K3105" i="2"/>
  <c r="L3105" i="2" s="1"/>
  <c r="K3106" i="2"/>
  <c r="L3106" i="2" s="1"/>
  <c r="K3107" i="2"/>
  <c r="L3107" i="2" s="1"/>
  <c r="K3108" i="2"/>
  <c r="L3108" i="2" s="1"/>
  <c r="K3109" i="2"/>
  <c r="L3109" i="2" s="1"/>
  <c r="K3110" i="2"/>
  <c r="L3110" i="2" s="1"/>
  <c r="K3111" i="2"/>
  <c r="L3111" i="2" s="1"/>
  <c r="K3112" i="2"/>
  <c r="L3112" i="2" s="1"/>
  <c r="K3113" i="2"/>
  <c r="L3113" i="2" s="1"/>
  <c r="K3114" i="2"/>
  <c r="L3114" i="2" s="1"/>
  <c r="K3115" i="2"/>
  <c r="L3115" i="2" s="1"/>
  <c r="K3116" i="2"/>
  <c r="L3116" i="2" s="1"/>
  <c r="K3117" i="2"/>
  <c r="L3117" i="2" s="1"/>
  <c r="K3118" i="2"/>
  <c r="L3118" i="2" s="1"/>
  <c r="K3119" i="2"/>
  <c r="L3119" i="2" s="1"/>
  <c r="K3120" i="2"/>
  <c r="L3120" i="2" s="1"/>
  <c r="K3121" i="2"/>
  <c r="L3121" i="2" s="1"/>
  <c r="K3122" i="2"/>
  <c r="L3122" i="2" s="1"/>
  <c r="K3123" i="2"/>
  <c r="L3123" i="2" s="1"/>
  <c r="K3124" i="2"/>
  <c r="L3124" i="2" s="1"/>
  <c r="K3125" i="2"/>
  <c r="L3125" i="2" s="1"/>
  <c r="K3126" i="2"/>
  <c r="L3126" i="2" s="1"/>
  <c r="K3127" i="2"/>
  <c r="L3127" i="2" s="1"/>
  <c r="K3128" i="2"/>
  <c r="L3128" i="2" s="1"/>
  <c r="K3129" i="2"/>
  <c r="L3129" i="2" s="1"/>
  <c r="K3130" i="2"/>
  <c r="L3130" i="2" s="1"/>
  <c r="K3131" i="2"/>
  <c r="L3131" i="2" s="1"/>
  <c r="K3132" i="2"/>
  <c r="L3132" i="2" s="1"/>
  <c r="K3133" i="2"/>
  <c r="L3133" i="2" s="1"/>
  <c r="K3134" i="2"/>
  <c r="L3134" i="2" s="1"/>
  <c r="K3135" i="2"/>
  <c r="L3135" i="2" s="1"/>
  <c r="K3136" i="2"/>
  <c r="L3136" i="2" s="1"/>
  <c r="K3137" i="2"/>
  <c r="L3137" i="2" s="1"/>
  <c r="K3138" i="2"/>
  <c r="L3138" i="2" s="1"/>
  <c r="K3139" i="2"/>
  <c r="L3139" i="2" s="1"/>
  <c r="K3140" i="2"/>
  <c r="L3140" i="2" s="1"/>
  <c r="K3141" i="2"/>
  <c r="L3141" i="2" s="1"/>
  <c r="K3142" i="2"/>
  <c r="L3142" i="2" s="1"/>
  <c r="K3143" i="2"/>
  <c r="L3143" i="2" s="1"/>
  <c r="K3144" i="2"/>
  <c r="L3144" i="2" s="1"/>
  <c r="K3145" i="2"/>
  <c r="L3145" i="2" s="1"/>
  <c r="K3146" i="2"/>
  <c r="L3146" i="2" s="1"/>
  <c r="K3147" i="2"/>
  <c r="L3147" i="2" s="1"/>
  <c r="K3148" i="2"/>
  <c r="L3148" i="2" s="1"/>
  <c r="K3149" i="2"/>
  <c r="L3149" i="2" s="1"/>
  <c r="K3150" i="2"/>
  <c r="L3150" i="2" s="1"/>
  <c r="K3151" i="2"/>
  <c r="L3151" i="2" s="1"/>
  <c r="K3152" i="2"/>
  <c r="L3152" i="2" s="1"/>
  <c r="K3153" i="2"/>
  <c r="L3153" i="2" s="1"/>
  <c r="K3154" i="2"/>
  <c r="L3154" i="2" s="1"/>
  <c r="K3155" i="2"/>
  <c r="L3155" i="2" s="1"/>
  <c r="K3156" i="2"/>
  <c r="L3156" i="2" s="1"/>
  <c r="K3157" i="2"/>
  <c r="L3157" i="2" s="1"/>
  <c r="K3158" i="2"/>
  <c r="L3158" i="2" s="1"/>
  <c r="K3159" i="2"/>
  <c r="L3159" i="2" s="1"/>
  <c r="K3160" i="2"/>
  <c r="L3160" i="2" s="1"/>
  <c r="K3161" i="2"/>
  <c r="L3161" i="2" s="1"/>
  <c r="K3162" i="2"/>
  <c r="L3162" i="2" s="1"/>
  <c r="K3163" i="2"/>
  <c r="L3163" i="2" s="1"/>
  <c r="K3164" i="2"/>
  <c r="L3164" i="2" s="1"/>
  <c r="K3165" i="2"/>
  <c r="L3165" i="2" s="1"/>
  <c r="K3166" i="2"/>
  <c r="L3166" i="2" s="1"/>
  <c r="K3167" i="2"/>
  <c r="L3167" i="2" s="1"/>
  <c r="K3168" i="2"/>
  <c r="L3168" i="2" s="1"/>
  <c r="K3169" i="2"/>
  <c r="L3169" i="2" s="1"/>
  <c r="K3170" i="2"/>
  <c r="L3170" i="2" s="1"/>
  <c r="K3171" i="2"/>
  <c r="L3171" i="2" s="1"/>
  <c r="K3172" i="2"/>
  <c r="L3172" i="2" s="1"/>
  <c r="K3173" i="2"/>
  <c r="L3173" i="2" s="1"/>
  <c r="K3174" i="2"/>
  <c r="L3174" i="2" s="1"/>
  <c r="K3175" i="2"/>
  <c r="L3175" i="2" s="1"/>
  <c r="K3176" i="2"/>
  <c r="L3176" i="2" s="1"/>
  <c r="K3177" i="2"/>
  <c r="L3177" i="2" s="1"/>
  <c r="K3178" i="2"/>
  <c r="L3178" i="2" s="1"/>
  <c r="K3179" i="2"/>
  <c r="L3179" i="2" s="1"/>
  <c r="K3180" i="2"/>
  <c r="L3180" i="2" s="1"/>
  <c r="K3181" i="2"/>
  <c r="L3181" i="2" s="1"/>
  <c r="K3182" i="2"/>
  <c r="L3182" i="2" s="1"/>
  <c r="K3183" i="2"/>
  <c r="L3183" i="2" s="1"/>
  <c r="K3184" i="2"/>
  <c r="L3184" i="2" s="1"/>
  <c r="K3185" i="2"/>
  <c r="L3185" i="2" s="1"/>
  <c r="K3186" i="2"/>
  <c r="L3186" i="2" s="1"/>
  <c r="K3187" i="2"/>
  <c r="L3187" i="2" s="1"/>
  <c r="K3188" i="2"/>
  <c r="L3188" i="2" s="1"/>
  <c r="K3189" i="2"/>
  <c r="L3189" i="2" s="1"/>
  <c r="K3190" i="2"/>
  <c r="L3190" i="2" s="1"/>
  <c r="K3191" i="2"/>
  <c r="L3191" i="2" s="1"/>
  <c r="K3192" i="2"/>
  <c r="L3192" i="2" s="1"/>
  <c r="K3193" i="2"/>
  <c r="L3193" i="2" s="1"/>
  <c r="K3194" i="2"/>
  <c r="L3194" i="2" s="1"/>
  <c r="K3195" i="2"/>
  <c r="L3195" i="2" s="1"/>
  <c r="K3196" i="2"/>
  <c r="L3196" i="2" s="1"/>
  <c r="K3197" i="2"/>
  <c r="L3197" i="2" s="1"/>
  <c r="K3198" i="2"/>
  <c r="L3198" i="2" s="1"/>
  <c r="K3199" i="2"/>
  <c r="L3199" i="2" s="1"/>
  <c r="K3200" i="2"/>
  <c r="L3200" i="2" s="1"/>
  <c r="K3201" i="2"/>
  <c r="L3201" i="2" s="1"/>
  <c r="K3202" i="2"/>
  <c r="L3202" i="2" s="1"/>
  <c r="K3203" i="2"/>
  <c r="L3203" i="2" s="1"/>
  <c r="K3204" i="2"/>
  <c r="L3204" i="2" s="1"/>
  <c r="K3205" i="2"/>
  <c r="L3205" i="2" s="1"/>
  <c r="K3206" i="2"/>
  <c r="L3206" i="2" s="1"/>
  <c r="K3207" i="2"/>
  <c r="L3207" i="2" s="1"/>
  <c r="K3208" i="2"/>
  <c r="L3208" i="2" s="1"/>
  <c r="K3209" i="2"/>
  <c r="L3209" i="2" s="1"/>
  <c r="K3210" i="2"/>
  <c r="L3210" i="2" s="1"/>
  <c r="K3211" i="2"/>
  <c r="L3211" i="2" s="1"/>
  <c r="K3212" i="2"/>
  <c r="L3212" i="2" s="1"/>
  <c r="K3213" i="2"/>
  <c r="L3213" i="2" s="1"/>
  <c r="K3214" i="2"/>
  <c r="L3214" i="2" s="1"/>
  <c r="K3215" i="2"/>
  <c r="L3215" i="2" s="1"/>
  <c r="K3216" i="2"/>
  <c r="L3216" i="2" s="1"/>
  <c r="K3217" i="2"/>
  <c r="L3217" i="2" s="1"/>
  <c r="K3218" i="2"/>
  <c r="L3218" i="2" s="1"/>
  <c r="K3219" i="2"/>
  <c r="L3219" i="2" s="1"/>
  <c r="K3220" i="2"/>
  <c r="L3220" i="2" s="1"/>
  <c r="K3221" i="2"/>
  <c r="L3221" i="2" s="1"/>
  <c r="K3222" i="2"/>
  <c r="L3222" i="2" s="1"/>
  <c r="K3223" i="2"/>
  <c r="L3223" i="2" s="1"/>
  <c r="K3224" i="2"/>
  <c r="L3224" i="2" s="1"/>
  <c r="K3225" i="2"/>
  <c r="L3225" i="2" s="1"/>
  <c r="K3226" i="2"/>
  <c r="L3226" i="2" s="1"/>
  <c r="K3227" i="2"/>
  <c r="L3227" i="2" s="1"/>
  <c r="K3228" i="2"/>
  <c r="L3228" i="2" s="1"/>
  <c r="K3229" i="2"/>
  <c r="K3230" i="2"/>
  <c r="L3230" i="2" s="1"/>
  <c r="K3231" i="2"/>
  <c r="L3231" i="2" s="1"/>
  <c r="K3232" i="2"/>
  <c r="L3232" i="2" s="1"/>
  <c r="K3233" i="2"/>
  <c r="L3233" i="2" s="1"/>
  <c r="K3234" i="2"/>
  <c r="L3234" i="2" s="1"/>
  <c r="K3235" i="2"/>
  <c r="L3235" i="2" s="1"/>
  <c r="K3236" i="2"/>
  <c r="L3236" i="2" s="1"/>
  <c r="K3237" i="2"/>
  <c r="L3237" i="2" s="1"/>
  <c r="K3238" i="2"/>
  <c r="L3238" i="2" s="1"/>
  <c r="K3239" i="2"/>
  <c r="L3239" i="2" s="1"/>
  <c r="K3240" i="2"/>
  <c r="L3240" i="2" s="1"/>
  <c r="K3241" i="2"/>
  <c r="L3241" i="2" s="1"/>
  <c r="K3242" i="2"/>
  <c r="L3242" i="2" s="1"/>
  <c r="K3243" i="2"/>
  <c r="L3243" i="2" s="1"/>
  <c r="K3244" i="2"/>
  <c r="L3244" i="2" s="1"/>
  <c r="K3245" i="2"/>
  <c r="L3245" i="2" s="1"/>
  <c r="K3246" i="2"/>
  <c r="L3246" i="2" s="1"/>
  <c r="K3247" i="2"/>
  <c r="L3247" i="2" s="1"/>
  <c r="K3248" i="2"/>
  <c r="L3248" i="2" s="1"/>
  <c r="K3249" i="2"/>
  <c r="L3249" i="2" s="1"/>
  <c r="K3250" i="2"/>
  <c r="L3250" i="2" s="1"/>
  <c r="K3251" i="2"/>
  <c r="L3251" i="2" s="1"/>
  <c r="K3252" i="2"/>
  <c r="L3252" i="2" s="1"/>
  <c r="K3253" i="2"/>
  <c r="L3253" i="2" s="1"/>
  <c r="K3254" i="2"/>
  <c r="L3254" i="2" s="1"/>
  <c r="K3255" i="2"/>
  <c r="L3255" i="2" s="1"/>
  <c r="K3256" i="2"/>
  <c r="L3256" i="2" s="1"/>
  <c r="K3257" i="2"/>
  <c r="L3257" i="2" s="1"/>
  <c r="K3258" i="2"/>
  <c r="L3258" i="2" s="1"/>
  <c r="K3259" i="2"/>
  <c r="L3259" i="2" s="1"/>
  <c r="K3260" i="2"/>
  <c r="L3260" i="2" s="1"/>
  <c r="K3261" i="2"/>
  <c r="L3261" i="2" s="1"/>
  <c r="K3262" i="2"/>
  <c r="L3262" i="2" s="1"/>
  <c r="K3263" i="2"/>
  <c r="L3263" i="2" s="1"/>
  <c r="K3264" i="2"/>
  <c r="L3264" i="2" s="1"/>
  <c r="K3265" i="2"/>
  <c r="L3265" i="2" s="1"/>
  <c r="K3266" i="2"/>
  <c r="L3266" i="2" s="1"/>
  <c r="K3267" i="2"/>
  <c r="L3267" i="2" s="1"/>
  <c r="K3268" i="2"/>
  <c r="L3268" i="2" s="1"/>
  <c r="K3269" i="2"/>
  <c r="L3269" i="2" s="1"/>
  <c r="K3270" i="2"/>
  <c r="L3270" i="2" s="1"/>
  <c r="K3271" i="2"/>
  <c r="L3271" i="2" s="1"/>
  <c r="K3272" i="2"/>
  <c r="L3272" i="2" s="1"/>
  <c r="K3273" i="2"/>
  <c r="L3273" i="2" s="1"/>
  <c r="K3274" i="2"/>
  <c r="L3274" i="2" s="1"/>
  <c r="K3275" i="2"/>
  <c r="L3275" i="2" s="1"/>
  <c r="K3276" i="2"/>
  <c r="L3276" i="2" s="1"/>
  <c r="K3277" i="2"/>
  <c r="L3277" i="2" s="1"/>
  <c r="K3278" i="2"/>
  <c r="L3278" i="2" s="1"/>
  <c r="K3279" i="2"/>
  <c r="L3279" i="2" s="1"/>
  <c r="K3280" i="2"/>
  <c r="L3280" i="2" s="1"/>
  <c r="K3281" i="2"/>
  <c r="L3281" i="2" s="1"/>
  <c r="K3282" i="2"/>
  <c r="L3282" i="2" s="1"/>
  <c r="K3283" i="2"/>
  <c r="L3283" i="2" s="1"/>
  <c r="K3284" i="2"/>
  <c r="L3284" i="2" s="1"/>
  <c r="K3285" i="2"/>
  <c r="L3285" i="2" s="1"/>
  <c r="K3286" i="2"/>
  <c r="L3286" i="2" s="1"/>
  <c r="K3287" i="2"/>
  <c r="L3287" i="2" s="1"/>
  <c r="K3288" i="2"/>
  <c r="L3288" i="2" s="1"/>
  <c r="K3289" i="2"/>
  <c r="L3289" i="2" s="1"/>
  <c r="K3290" i="2"/>
  <c r="L3290" i="2" s="1"/>
  <c r="K3291" i="2"/>
  <c r="L3291" i="2" s="1"/>
  <c r="K3292" i="2"/>
  <c r="L3292" i="2" s="1"/>
  <c r="K3293" i="2"/>
  <c r="L3293" i="2" s="1"/>
  <c r="K3294" i="2"/>
  <c r="L3294" i="2" s="1"/>
  <c r="K3295" i="2"/>
  <c r="L3295" i="2" s="1"/>
  <c r="K3296" i="2"/>
  <c r="L3296" i="2" s="1"/>
  <c r="K3297" i="2"/>
  <c r="L3297" i="2" s="1"/>
  <c r="K3298" i="2"/>
  <c r="L3298" i="2" s="1"/>
  <c r="K3299" i="2"/>
  <c r="L3299" i="2" s="1"/>
  <c r="K3300" i="2"/>
  <c r="L3300" i="2" s="1"/>
  <c r="K3301" i="2"/>
  <c r="L3301" i="2" s="1"/>
  <c r="K3302" i="2"/>
  <c r="L3302" i="2" s="1"/>
  <c r="K3303" i="2"/>
  <c r="L3303" i="2" s="1"/>
  <c r="K3304" i="2"/>
  <c r="L3304" i="2" s="1"/>
  <c r="K3305" i="2"/>
  <c r="L3305" i="2" s="1"/>
  <c r="K3306" i="2"/>
  <c r="L3306" i="2" s="1"/>
  <c r="K3307" i="2"/>
  <c r="L3307" i="2" s="1"/>
  <c r="K3308" i="2"/>
  <c r="L3308" i="2" s="1"/>
  <c r="K3309" i="2"/>
  <c r="L3309" i="2" s="1"/>
  <c r="K3310" i="2"/>
  <c r="L3310" i="2" s="1"/>
  <c r="K3311" i="2"/>
  <c r="L3311" i="2" s="1"/>
  <c r="K3312" i="2"/>
  <c r="L3312" i="2" s="1"/>
  <c r="K3313" i="2"/>
  <c r="L3313" i="2" s="1"/>
  <c r="K3314" i="2"/>
  <c r="L3314" i="2" s="1"/>
  <c r="K3315" i="2"/>
  <c r="L3315" i="2" s="1"/>
  <c r="K3316" i="2"/>
  <c r="L3316" i="2" s="1"/>
  <c r="K3317" i="2"/>
  <c r="L3317" i="2" s="1"/>
  <c r="K3318" i="2"/>
  <c r="L3318" i="2" s="1"/>
  <c r="K3319" i="2"/>
  <c r="L3319" i="2" s="1"/>
  <c r="K3320" i="2"/>
  <c r="L3320" i="2" s="1"/>
  <c r="K3321" i="2"/>
  <c r="L3321" i="2" s="1"/>
  <c r="K3322" i="2"/>
  <c r="L3322" i="2" s="1"/>
  <c r="K3323" i="2"/>
  <c r="L3323" i="2" s="1"/>
  <c r="K3324" i="2"/>
  <c r="L3324" i="2" s="1"/>
  <c r="K3325" i="2"/>
  <c r="L3325" i="2" s="1"/>
  <c r="K3326" i="2"/>
  <c r="L3326" i="2" s="1"/>
  <c r="K3327" i="2"/>
  <c r="L3327" i="2" s="1"/>
  <c r="K3328" i="2"/>
  <c r="L3328" i="2" s="1"/>
  <c r="K3329" i="2"/>
  <c r="L3329" i="2" s="1"/>
  <c r="K3330" i="2"/>
  <c r="L3330" i="2" s="1"/>
  <c r="K3331" i="2"/>
  <c r="L3331" i="2" s="1"/>
  <c r="K3332" i="2"/>
  <c r="L3332" i="2" s="1"/>
  <c r="K3333" i="2"/>
  <c r="L3333" i="2" s="1"/>
  <c r="K3334" i="2"/>
  <c r="L3334" i="2" s="1"/>
  <c r="K3335" i="2"/>
  <c r="L3335" i="2" s="1"/>
  <c r="K3336" i="2"/>
  <c r="L3336" i="2" s="1"/>
  <c r="K3337" i="2"/>
  <c r="L3337" i="2" s="1"/>
  <c r="K3338" i="2"/>
  <c r="L3338" i="2" s="1"/>
  <c r="K3339" i="2"/>
  <c r="L3339" i="2" s="1"/>
  <c r="K3340" i="2"/>
  <c r="L3340" i="2" s="1"/>
  <c r="K3341" i="2"/>
  <c r="L3341" i="2" s="1"/>
  <c r="K3342" i="2"/>
  <c r="L3342" i="2" s="1"/>
  <c r="K3343" i="2"/>
  <c r="L3343" i="2" s="1"/>
  <c r="K3344" i="2"/>
  <c r="L3344" i="2" s="1"/>
  <c r="K3345" i="2"/>
  <c r="L3345" i="2" s="1"/>
  <c r="K3346" i="2"/>
  <c r="L3346" i="2" s="1"/>
  <c r="K3347" i="2"/>
  <c r="L3347" i="2" s="1"/>
  <c r="K3348" i="2"/>
  <c r="L3348" i="2" s="1"/>
  <c r="K3349" i="2"/>
  <c r="L3349" i="2" s="1"/>
  <c r="K3350" i="2"/>
  <c r="L3350" i="2" s="1"/>
  <c r="K3351" i="2"/>
  <c r="L3351" i="2" s="1"/>
  <c r="K3352" i="2"/>
  <c r="L3352" i="2" s="1"/>
  <c r="K3353" i="2"/>
  <c r="L3353" i="2" s="1"/>
  <c r="K3354" i="2"/>
  <c r="L3354" i="2" s="1"/>
  <c r="K3355" i="2"/>
  <c r="L3355" i="2" s="1"/>
  <c r="K3356" i="2"/>
  <c r="L3356" i="2" s="1"/>
  <c r="K3357" i="2"/>
  <c r="L3357" i="2" s="1"/>
  <c r="K3358" i="2"/>
  <c r="L3358" i="2" s="1"/>
  <c r="K3359" i="2"/>
  <c r="L3359" i="2" s="1"/>
  <c r="K3360" i="2"/>
  <c r="L3360" i="2" s="1"/>
  <c r="K3361" i="2"/>
  <c r="L3361" i="2" s="1"/>
  <c r="K3362" i="2"/>
  <c r="L3362" i="2" s="1"/>
  <c r="K3363" i="2"/>
  <c r="L3363" i="2" s="1"/>
  <c r="K3364" i="2"/>
  <c r="L3364" i="2" s="1"/>
  <c r="K3365" i="2"/>
  <c r="L3365" i="2" s="1"/>
  <c r="K3366" i="2"/>
  <c r="L3366" i="2" s="1"/>
  <c r="K3367" i="2"/>
  <c r="L3367" i="2" s="1"/>
  <c r="K3368" i="2"/>
  <c r="L3368" i="2" s="1"/>
  <c r="K3369" i="2"/>
  <c r="L3369" i="2" s="1"/>
  <c r="K3370" i="2"/>
  <c r="L3370" i="2" s="1"/>
  <c r="K3371" i="2"/>
  <c r="L3371" i="2" s="1"/>
  <c r="K3372" i="2"/>
  <c r="L3372" i="2" s="1"/>
  <c r="K3373" i="2"/>
  <c r="L3373" i="2" s="1"/>
  <c r="K3374" i="2"/>
  <c r="L3374" i="2" s="1"/>
  <c r="K3375" i="2"/>
  <c r="L3375" i="2" s="1"/>
  <c r="K3376" i="2"/>
  <c r="L3376" i="2" s="1"/>
  <c r="K3377" i="2"/>
  <c r="L3377" i="2" s="1"/>
  <c r="K3378" i="2"/>
  <c r="L3378" i="2" s="1"/>
  <c r="K3379" i="2"/>
  <c r="L3379" i="2" s="1"/>
  <c r="K3380" i="2"/>
  <c r="L3380" i="2" s="1"/>
  <c r="K3381" i="2"/>
  <c r="L3381" i="2" s="1"/>
  <c r="K3382" i="2"/>
  <c r="L3382" i="2" s="1"/>
  <c r="K3383" i="2"/>
  <c r="L3383" i="2" s="1"/>
  <c r="K3384" i="2"/>
  <c r="L3384" i="2" s="1"/>
  <c r="K3385" i="2"/>
  <c r="L3385" i="2" s="1"/>
  <c r="K3386" i="2"/>
  <c r="L3386" i="2" s="1"/>
  <c r="K3387" i="2"/>
  <c r="L3387" i="2" s="1"/>
  <c r="K3388" i="2"/>
  <c r="L3388" i="2" s="1"/>
  <c r="K3389" i="2"/>
  <c r="L3389" i="2" s="1"/>
  <c r="K3390" i="2"/>
  <c r="L3390" i="2" s="1"/>
  <c r="K3391" i="2"/>
  <c r="L3391" i="2" s="1"/>
  <c r="K3392" i="2"/>
  <c r="L3392" i="2" s="1"/>
  <c r="K3393" i="2"/>
  <c r="L3393" i="2" s="1"/>
  <c r="K3394" i="2"/>
  <c r="L3394" i="2" s="1"/>
  <c r="K3395" i="2"/>
  <c r="L3395" i="2" s="1"/>
  <c r="K3396" i="2"/>
  <c r="L3396" i="2" s="1"/>
  <c r="K3397" i="2"/>
  <c r="L3397" i="2" s="1"/>
  <c r="K3398" i="2"/>
  <c r="L3398" i="2" s="1"/>
  <c r="K3399" i="2"/>
  <c r="L3399" i="2" s="1"/>
  <c r="K3400" i="2"/>
  <c r="L3400" i="2" s="1"/>
  <c r="K3401" i="2"/>
  <c r="L3401" i="2" s="1"/>
  <c r="K3402" i="2"/>
  <c r="L3402" i="2" s="1"/>
  <c r="K3403" i="2"/>
  <c r="L3403" i="2" s="1"/>
  <c r="K3404" i="2"/>
  <c r="L3404" i="2" s="1"/>
  <c r="K3405" i="2"/>
  <c r="L3405" i="2" s="1"/>
  <c r="K3406" i="2"/>
  <c r="L3406" i="2" s="1"/>
  <c r="K3407" i="2"/>
  <c r="L3407" i="2" s="1"/>
  <c r="K3408" i="2"/>
  <c r="L3408" i="2" s="1"/>
  <c r="K3409" i="2"/>
  <c r="L3409" i="2" s="1"/>
  <c r="K3410" i="2"/>
  <c r="L3410" i="2" s="1"/>
  <c r="K3411" i="2"/>
  <c r="L3411" i="2" s="1"/>
  <c r="K3412" i="2"/>
  <c r="L3412" i="2" s="1"/>
  <c r="K3413" i="2"/>
  <c r="L3413" i="2" s="1"/>
  <c r="K3414" i="2"/>
  <c r="L3414" i="2" s="1"/>
  <c r="K3415" i="2"/>
  <c r="L3415" i="2" s="1"/>
  <c r="K3416" i="2"/>
  <c r="L3416" i="2" s="1"/>
  <c r="K3417" i="2"/>
  <c r="L3417" i="2" s="1"/>
  <c r="K3418" i="2"/>
  <c r="L3418" i="2" s="1"/>
  <c r="K3419" i="2"/>
  <c r="L3419" i="2" s="1"/>
  <c r="K3420" i="2"/>
  <c r="L3420" i="2" s="1"/>
  <c r="K3421" i="2"/>
  <c r="L3421" i="2" s="1"/>
  <c r="K3422" i="2"/>
  <c r="L3422" i="2" s="1"/>
  <c r="K3423" i="2"/>
  <c r="L3423" i="2" s="1"/>
  <c r="K3424" i="2"/>
  <c r="L3424" i="2" s="1"/>
  <c r="K3425" i="2"/>
  <c r="L3425" i="2" s="1"/>
  <c r="K3426" i="2"/>
  <c r="L3426" i="2" s="1"/>
  <c r="K3427" i="2"/>
  <c r="L3427" i="2" s="1"/>
  <c r="K3428" i="2"/>
  <c r="L3428" i="2" s="1"/>
  <c r="K3429" i="2"/>
  <c r="L3429" i="2" s="1"/>
  <c r="K3430" i="2"/>
  <c r="L3430" i="2" s="1"/>
  <c r="K3431" i="2"/>
  <c r="L3431" i="2" s="1"/>
  <c r="K3432" i="2"/>
  <c r="L3432" i="2" s="1"/>
  <c r="K3433" i="2"/>
  <c r="L3433" i="2" s="1"/>
  <c r="K3434" i="2"/>
  <c r="L3434" i="2" s="1"/>
  <c r="K3435" i="2"/>
  <c r="L3435" i="2" s="1"/>
  <c r="K3436" i="2"/>
  <c r="L3436" i="2" s="1"/>
  <c r="K3437" i="2"/>
  <c r="L3437" i="2" s="1"/>
  <c r="K3438" i="2"/>
  <c r="L3438" i="2" s="1"/>
  <c r="K3439" i="2"/>
  <c r="L3439" i="2" s="1"/>
  <c r="K3440" i="2"/>
  <c r="L3440" i="2" s="1"/>
  <c r="K3441" i="2"/>
  <c r="L3441" i="2" s="1"/>
  <c r="K3442" i="2"/>
  <c r="L3442" i="2" s="1"/>
  <c r="K3443" i="2"/>
  <c r="L3443" i="2" s="1"/>
  <c r="K3444" i="2"/>
  <c r="L3444" i="2" s="1"/>
  <c r="K3445" i="2"/>
  <c r="L3445" i="2" s="1"/>
  <c r="K3446" i="2"/>
  <c r="L3446" i="2" s="1"/>
  <c r="K3447" i="2"/>
  <c r="L3447" i="2" s="1"/>
  <c r="K3448" i="2"/>
  <c r="L3448" i="2" s="1"/>
  <c r="K3449" i="2"/>
  <c r="L3449" i="2" s="1"/>
  <c r="K3450" i="2"/>
  <c r="L3450" i="2" s="1"/>
  <c r="K3451" i="2"/>
  <c r="L3451" i="2" s="1"/>
  <c r="K3452" i="2"/>
  <c r="L3452" i="2" s="1"/>
  <c r="K3453" i="2"/>
  <c r="L3453" i="2" s="1"/>
  <c r="K3454" i="2"/>
  <c r="L3454" i="2" s="1"/>
  <c r="K3455" i="2"/>
  <c r="L3455" i="2" s="1"/>
  <c r="K3456" i="2"/>
  <c r="L3456" i="2" s="1"/>
  <c r="K3457" i="2"/>
  <c r="L3457" i="2" s="1"/>
  <c r="K3458" i="2"/>
  <c r="L3458" i="2" s="1"/>
  <c r="K3459" i="2"/>
  <c r="L3459" i="2" s="1"/>
  <c r="K3460" i="2"/>
  <c r="L3460" i="2" s="1"/>
  <c r="K3461" i="2"/>
  <c r="L3461" i="2" s="1"/>
  <c r="K3462" i="2"/>
  <c r="L3462" i="2" s="1"/>
  <c r="K3463" i="2"/>
  <c r="L3463" i="2" s="1"/>
  <c r="K3464" i="2"/>
  <c r="L3464" i="2" s="1"/>
  <c r="K3465" i="2"/>
  <c r="L3465" i="2" s="1"/>
  <c r="K3466" i="2"/>
  <c r="L3466" i="2" s="1"/>
  <c r="K3467" i="2"/>
  <c r="L3467" i="2" s="1"/>
  <c r="K3468" i="2"/>
  <c r="L3468" i="2" s="1"/>
  <c r="K3469" i="2"/>
  <c r="L3469" i="2" s="1"/>
  <c r="K3470" i="2"/>
  <c r="L3470" i="2" s="1"/>
  <c r="K3471" i="2"/>
  <c r="L3471" i="2" s="1"/>
  <c r="K3472" i="2"/>
  <c r="L3472" i="2" s="1"/>
  <c r="K3473" i="2"/>
  <c r="L3473" i="2" s="1"/>
  <c r="K3474" i="2"/>
  <c r="L3474" i="2" s="1"/>
  <c r="K3475" i="2"/>
  <c r="L3475" i="2" s="1"/>
  <c r="K3476" i="2"/>
  <c r="L3476" i="2" s="1"/>
  <c r="K3477" i="2"/>
  <c r="L3477" i="2" s="1"/>
  <c r="K3478" i="2"/>
  <c r="L3478" i="2" s="1"/>
  <c r="K3479" i="2"/>
  <c r="L3479" i="2" s="1"/>
  <c r="K3480" i="2"/>
  <c r="L3480" i="2" s="1"/>
  <c r="K3481" i="2"/>
  <c r="L3481" i="2" s="1"/>
  <c r="K3482" i="2"/>
  <c r="L3482" i="2" s="1"/>
  <c r="K3483" i="2"/>
  <c r="L3483" i="2" s="1"/>
  <c r="K3484" i="2"/>
  <c r="L3484" i="2" s="1"/>
  <c r="K3485" i="2"/>
  <c r="L3485" i="2" s="1"/>
  <c r="K3486" i="2"/>
  <c r="L3486" i="2" s="1"/>
  <c r="K3487" i="2"/>
  <c r="L3487" i="2" s="1"/>
  <c r="K3488" i="2"/>
  <c r="L3488" i="2" s="1"/>
  <c r="K3489" i="2"/>
  <c r="L3489" i="2" s="1"/>
  <c r="K3490" i="2"/>
  <c r="L3490" i="2" s="1"/>
  <c r="K3491" i="2"/>
  <c r="L3491" i="2" s="1"/>
  <c r="K3492" i="2"/>
  <c r="L3492" i="2" s="1"/>
  <c r="K3493" i="2"/>
  <c r="L3493" i="2" s="1"/>
  <c r="K3494" i="2"/>
  <c r="L3494" i="2" s="1"/>
  <c r="K3495" i="2"/>
  <c r="L3495" i="2" s="1"/>
  <c r="K3496" i="2"/>
  <c r="L3496" i="2" s="1"/>
  <c r="K3497" i="2"/>
  <c r="L3497" i="2" s="1"/>
  <c r="K3498" i="2"/>
  <c r="L3498" i="2" s="1"/>
  <c r="K3499" i="2"/>
  <c r="L3499" i="2" s="1"/>
  <c r="K3500" i="2"/>
  <c r="L3500" i="2" s="1"/>
  <c r="K3501" i="2"/>
  <c r="L3501" i="2" s="1"/>
  <c r="K3502" i="2"/>
  <c r="L3502" i="2" s="1"/>
  <c r="K3503" i="2"/>
  <c r="L3503" i="2" s="1"/>
  <c r="K3504" i="2"/>
  <c r="L3504" i="2" s="1"/>
  <c r="K3505" i="2"/>
  <c r="L3505" i="2" s="1"/>
  <c r="K3506" i="2"/>
  <c r="L3506" i="2" s="1"/>
  <c r="K3507" i="2"/>
  <c r="L3507" i="2" s="1"/>
  <c r="K3508" i="2"/>
  <c r="L3508" i="2" s="1"/>
  <c r="K3509" i="2"/>
  <c r="L3509" i="2" s="1"/>
  <c r="K3510" i="2"/>
  <c r="L3510" i="2" s="1"/>
  <c r="K3511" i="2"/>
  <c r="L3511" i="2" s="1"/>
  <c r="K3512" i="2"/>
  <c r="L3512" i="2" s="1"/>
  <c r="K3513" i="2"/>
  <c r="L3513" i="2" s="1"/>
  <c r="K3514" i="2"/>
  <c r="L3514" i="2" s="1"/>
  <c r="K3515" i="2"/>
  <c r="L3515" i="2" s="1"/>
  <c r="K3516" i="2"/>
  <c r="L3516" i="2" s="1"/>
  <c r="K3517" i="2"/>
  <c r="L3517" i="2" s="1"/>
  <c r="K3518" i="2"/>
  <c r="L3518" i="2" s="1"/>
  <c r="K3519" i="2"/>
  <c r="L3519" i="2" s="1"/>
  <c r="K3520" i="2"/>
  <c r="L3520" i="2" s="1"/>
  <c r="K3521" i="2"/>
  <c r="L3521" i="2" s="1"/>
  <c r="K3522" i="2"/>
  <c r="L3522" i="2" s="1"/>
  <c r="K3523" i="2"/>
  <c r="L3523" i="2" s="1"/>
  <c r="K3524" i="2"/>
  <c r="L3524" i="2" s="1"/>
  <c r="K3525" i="2"/>
  <c r="L3525" i="2" s="1"/>
  <c r="K3526" i="2"/>
  <c r="L3526" i="2" s="1"/>
  <c r="K3527" i="2"/>
  <c r="L3527" i="2" s="1"/>
  <c r="K3528" i="2"/>
  <c r="L3528" i="2" s="1"/>
  <c r="K3529" i="2"/>
  <c r="L3529" i="2" s="1"/>
  <c r="K3530" i="2"/>
  <c r="L3530" i="2" s="1"/>
  <c r="K3531" i="2"/>
  <c r="L3531" i="2" s="1"/>
  <c r="K3532" i="2"/>
  <c r="L3532" i="2" s="1"/>
  <c r="K3533" i="2"/>
  <c r="L3533" i="2" s="1"/>
  <c r="K3534" i="2"/>
  <c r="L3534" i="2" s="1"/>
  <c r="K3535" i="2"/>
  <c r="L3535" i="2" s="1"/>
  <c r="K3536" i="2"/>
  <c r="L3536" i="2" s="1"/>
  <c r="K3537" i="2"/>
  <c r="L3537" i="2" s="1"/>
  <c r="K3538" i="2"/>
  <c r="L3538" i="2" s="1"/>
  <c r="K3539" i="2"/>
  <c r="L3539" i="2" s="1"/>
  <c r="K3540" i="2"/>
  <c r="L3540" i="2" s="1"/>
  <c r="K3541" i="2"/>
  <c r="L3541" i="2" s="1"/>
  <c r="K3542" i="2"/>
  <c r="L3542" i="2" s="1"/>
  <c r="K3543" i="2"/>
  <c r="L3543" i="2" s="1"/>
  <c r="K3544" i="2"/>
  <c r="L3544" i="2" s="1"/>
  <c r="K3545" i="2"/>
  <c r="L3545" i="2" s="1"/>
  <c r="K3546" i="2"/>
  <c r="L3546" i="2" s="1"/>
  <c r="K3547" i="2"/>
  <c r="L3547" i="2" s="1"/>
  <c r="K3548" i="2"/>
  <c r="L3548" i="2" s="1"/>
  <c r="K3549" i="2"/>
  <c r="L3549" i="2" s="1"/>
  <c r="K3550" i="2"/>
  <c r="L3550" i="2" s="1"/>
  <c r="K3551" i="2"/>
  <c r="L3551" i="2" s="1"/>
  <c r="K3552" i="2"/>
  <c r="L3552" i="2" s="1"/>
  <c r="K3553" i="2"/>
  <c r="L3553" i="2" s="1"/>
  <c r="K3554" i="2"/>
  <c r="L3554" i="2" s="1"/>
  <c r="K3555" i="2"/>
  <c r="L3555" i="2" s="1"/>
  <c r="K3556" i="2"/>
  <c r="L3556" i="2" s="1"/>
  <c r="K3557" i="2"/>
  <c r="L3557" i="2" s="1"/>
  <c r="K3558" i="2"/>
  <c r="L3558" i="2" s="1"/>
  <c r="K3559" i="2"/>
  <c r="L3559" i="2" s="1"/>
  <c r="K3560" i="2"/>
  <c r="L3560" i="2" s="1"/>
  <c r="K3561" i="2"/>
  <c r="L3561" i="2" s="1"/>
  <c r="K3562" i="2"/>
  <c r="L3562" i="2" s="1"/>
  <c r="K3563" i="2"/>
  <c r="L3563" i="2" s="1"/>
  <c r="K3564" i="2"/>
  <c r="L3564" i="2" s="1"/>
  <c r="K3565" i="2"/>
  <c r="L3565" i="2" s="1"/>
  <c r="K3566" i="2"/>
  <c r="L3566" i="2" s="1"/>
  <c r="K3567" i="2"/>
  <c r="L3567" i="2" s="1"/>
  <c r="K3568" i="2"/>
  <c r="L3568" i="2" s="1"/>
  <c r="K3569" i="2"/>
  <c r="L3569" i="2" s="1"/>
  <c r="K3570" i="2"/>
  <c r="L3570" i="2" s="1"/>
  <c r="K3571" i="2"/>
  <c r="L3571" i="2" s="1"/>
  <c r="K3572" i="2"/>
  <c r="L3572" i="2" s="1"/>
  <c r="K3573" i="2"/>
  <c r="L3573" i="2" s="1"/>
  <c r="K3574" i="2"/>
  <c r="L3574" i="2" s="1"/>
  <c r="K3575" i="2"/>
  <c r="L3575" i="2" s="1"/>
  <c r="K3576" i="2"/>
  <c r="L3576" i="2" s="1"/>
  <c r="K3577" i="2"/>
  <c r="L3577" i="2" s="1"/>
  <c r="K3578" i="2"/>
  <c r="L3578" i="2" s="1"/>
  <c r="K3579" i="2"/>
  <c r="L3579" i="2" s="1"/>
  <c r="K3580" i="2"/>
  <c r="L3580" i="2" s="1"/>
  <c r="K3581" i="2"/>
  <c r="L3581" i="2" s="1"/>
  <c r="K3582" i="2"/>
  <c r="L3582" i="2" s="1"/>
  <c r="K3583" i="2"/>
  <c r="L3583" i="2" s="1"/>
  <c r="K3584" i="2"/>
  <c r="L3584" i="2" s="1"/>
  <c r="K3585" i="2"/>
  <c r="L3585" i="2" s="1"/>
  <c r="K3586" i="2"/>
  <c r="L3586" i="2" s="1"/>
  <c r="K3587" i="2"/>
  <c r="L3587" i="2" s="1"/>
  <c r="K3588" i="2"/>
  <c r="L3588" i="2" s="1"/>
  <c r="K3589" i="2"/>
  <c r="L3589" i="2" s="1"/>
  <c r="K3590" i="2"/>
  <c r="L3590" i="2" s="1"/>
  <c r="K3591" i="2"/>
  <c r="L3591" i="2" s="1"/>
  <c r="K3592" i="2"/>
  <c r="L3592" i="2" s="1"/>
  <c r="K3593" i="2"/>
  <c r="L3593" i="2" s="1"/>
  <c r="K3594" i="2"/>
  <c r="L3594" i="2" s="1"/>
  <c r="K3595" i="2"/>
  <c r="L3595" i="2" s="1"/>
  <c r="K3596" i="2"/>
  <c r="L3596" i="2" s="1"/>
  <c r="K3597" i="2"/>
  <c r="L3597" i="2" s="1"/>
  <c r="K3598" i="2"/>
  <c r="L3598" i="2" s="1"/>
  <c r="K3599" i="2"/>
  <c r="L3599" i="2" s="1"/>
  <c r="K3600" i="2"/>
  <c r="L3600" i="2" s="1"/>
  <c r="K3601" i="2"/>
  <c r="L3601" i="2" s="1"/>
  <c r="K3602" i="2"/>
  <c r="L3602" i="2" s="1"/>
  <c r="K3603" i="2"/>
  <c r="L3603" i="2" s="1"/>
  <c r="K3604" i="2"/>
  <c r="L3604" i="2" s="1"/>
  <c r="K3605" i="2"/>
  <c r="L3605" i="2" s="1"/>
  <c r="K3606" i="2"/>
  <c r="L3606" i="2" s="1"/>
  <c r="K3607" i="2"/>
  <c r="L3607" i="2" s="1"/>
  <c r="K3608" i="2"/>
  <c r="L3608" i="2" s="1"/>
  <c r="K3609" i="2"/>
  <c r="L3609" i="2" s="1"/>
  <c r="K3610" i="2"/>
  <c r="L3610" i="2" s="1"/>
  <c r="K3611" i="2"/>
  <c r="L3611" i="2" s="1"/>
  <c r="K3612" i="2"/>
  <c r="L3612" i="2" s="1"/>
  <c r="K3613" i="2"/>
  <c r="L3613" i="2" s="1"/>
  <c r="K3614" i="2"/>
  <c r="L3614" i="2" s="1"/>
  <c r="K3615" i="2"/>
  <c r="L3615" i="2" s="1"/>
  <c r="K3616" i="2"/>
  <c r="L3616" i="2" s="1"/>
  <c r="K3617" i="2"/>
  <c r="L3617" i="2" s="1"/>
  <c r="K3618" i="2"/>
  <c r="L3618" i="2" s="1"/>
  <c r="K3619" i="2"/>
  <c r="L3619" i="2" s="1"/>
  <c r="K3620" i="2"/>
  <c r="L3620" i="2" s="1"/>
  <c r="K3621" i="2"/>
  <c r="L3621" i="2" s="1"/>
  <c r="K3622" i="2"/>
  <c r="L3622" i="2" s="1"/>
  <c r="K3623" i="2"/>
  <c r="L3623" i="2" s="1"/>
  <c r="K3624" i="2"/>
  <c r="L3624" i="2" s="1"/>
  <c r="K3625" i="2"/>
  <c r="L3625" i="2" s="1"/>
  <c r="K3626" i="2"/>
  <c r="L3626" i="2" s="1"/>
  <c r="K3627" i="2"/>
  <c r="L3627" i="2" s="1"/>
  <c r="K3628" i="2"/>
  <c r="K3629" i="2"/>
  <c r="L3629" i="2" s="1"/>
  <c r="K3630" i="2"/>
  <c r="L3630" i="2" s="1"/>
  <c r="K3631" i="2"/>
  <c r="L3631" i="2" s="1"/>
  <c r="K3632" i="2"/>
  <c r="L3632" i="2" s="1"/>
  <c r="K3633" i="2"/>
  <c r="L3633" i="2" s="1"/>
  <c r="K3634" i="2"/>
  <c r="L3634" i="2" s="1"/>
  <c r="K3635" i="2"/>
  <c r="L3635" i="2" s="1"/>
  <c r="K3636" i="2"/>
  <c r="L3636" i="2" s="1"/>
  <c r="K3637" i="2"/>
  <c r="L3637" i="2" s="1"/>
  <c r="K3638" i="2"/>
  <c r="L3638" i="2" s="1"/>
  <c r="K3639" i="2"/>
  <c r="L3639" i="2" s="1"/>
  <c r="K3640" i="2"/>
  <c r="L3640" i="2" s="1"/>
  <c r="K3641" i="2"/>
  <c r="L3641" i="2" s="1"/>
  <c r="K3642" i="2"/>
  <c r="L3642" i="2" s="1"/>
  <c r="K3643" i="2"/>
  <c r="L3643" i="2" s="1"/>
  <c r="K3644" i="2"/>
  <c r="L3644" i="2" s="1"/>
  <c r="K3645" i="2"/>
  <c r="L3645" i="2" s="1"/>
  <c r="K3646" i="2"/>
  <c r="L3646" i="2" s="1"/>
  <c r="K3647" i="2"/>
  <c r="L3647" i="2" s="1"/>
  <c r="K3648" i="2"/>
  <c r="L3648" i="2" s="1"/>
  <c r="K3649" i="2"/>
  <c r="L3649" i="2" s="1"/>
  <c r="K3650" i="2"/>
  <c r="L3650" i="2" s="1"/>
  <c r="K3651" i="2"/>
  <c r="L3651" i="2" s="1"/>
  <c r="K3652" i="2"/>
  <c r="L3652" i="2" s="1"/>
  <c r="K3653" i="2"/>
  <c r="L3653" i="2" s="1"/>
  <c r="K3654" i="2"/>
  <c r="L3654" i="2" s="1"/>
  <c r="K3655" i="2"/>
  <c r="L3655" i="2" s="1"/>
  <c r="K3656" i="2"/>
  <c r="L3656" i="2" s="1"/>
  <c r="K3657" i="2"/>
  <c r="L3657" i="2" s="1"/>
  <c r="K3658" i="2"/>
  <c r="L3658" i="2" s="1"/>
  <c r="K3659" i="2"/>
  <c r="L3659" i="2" s="1"/>
  <c r="K3660" i="2"/>
  <c r="L3660" i="2" s="1"/>
  <c r="K3661" i="2"/>
  <c r="L3661" i="2" s="1"/>
  <c r="K3662" i="2"/>
  <c r="L3662" i="2" s="1"/>
  <c r="K3663" i="2"/>
  <c r="L3663" i="2" s="1"/>
  <c r="K3664" i="2"/>
  <c r="L3664" i="2" s="1"/>
  <c r="K3665" i="2"/>
  <c r="L3665" i="2" s="1"/>
  <c r="K3666" i="2"/>
  <c r="L3666" i="2" s="1"/>
  <c r="K3667" i="2"/>
  <c r="L3667" i="2" s="1"/>
  <c r="K3668" i="2"/>
  <c r="L3668" i="2" s="1"/>
  <c r="K3669" i="2"/>
  <c r="L3669" i="2" s="1"/>
  <c r="K3670" i="2"/>
  <c r="L3670" i="2" s="1"/>
  <c r="K3671" i="2"/>
  <c r="L3671" i="2" s="1"/>
  <c r="K3672" i="2"/>
  <c r="L3672" i="2" s="1"/>
  <c r="K3673" i="2"/>
  <c r="L3673" i="2" s="1"/>
  <c r="K3674" i="2"/>
  <c r="L3674" i="2" s="1"/>
  <c r="K3675" i="2"/>
  <c r="L3675" i="2" s="1"/>
  <c r="K3676" i="2"/>
  <c r="L3676" i="2" s="1"/>
  <c r="K3677" i="2"/>
  <c r="L3677" i="2" s="1"/>
  <c r="K3678" i="2"/>
  <c r="L3678" i="2" s="1"/>
  <c r="K3679" i="2"/>
  <c r="L3679" i="2" s="1"/>
  <c r="K3680" i="2"/>
  <c r="L3680" i="2" s="1"/>
  <c r="K3681" i="2"/>
  <c r="L3681" i="2" s="1"/>
  <c r="K3682" i="2"/>
  <c r="L3682" i="2" s="1"/>
  <c r="K3683" i="2"/>
  <c r="L3683" i="2" s="1"/>
  <c r="K3684" i="2"/>
  <c r="L3684" i="2" s="1"/>
  <c r="K3685" i="2"/>
  <c r="L3685" i="2" s="1"/>
  <c r="K3686" i="2"/>
  <c r="L3686" i="2" s="1"/>
  <c r="K3687" i="2"/>
  <c r="L3687" i="2" s="1"/>
  <c r="K3688" i="2"/>
  <c r="L3688" i="2" s="1"/>
  <c r="K3689" i="2"/>
  <c r="L3689" i="2" s="1"/>
  <c r="K3690" i="2"/>
  <c r="L3690" i="2" s="1"/>
  <c r="K3691" i="2"/>
  <c r="L3691" i="2" s="1"/>
  <c r="K3692" i="2"/>
  <c r="L3692" i="2" s="1"/>
  <c r="K3693" i="2"/>
  <c r="L3693" i="2" s="1"/>
  <c r="K3694" i="2"/>
  <c r="L3694" i="2" s="1"/>
  <c r="K3695" i="2"/>
  <c r="L3695" i="2" s="1"/>
  <c r="K3696" i="2"/>
  <c r="L3696" i="2" s="1"/>
  <c r="K3697" i="2"/>
  <c r="L3697" i="2" s="1"/>
  <c r="K3698" i="2"/>
  <c r="L3698" i="2" s="1"/>
  <c r="K3699" i="2"/>
  <c r="L3699" i="2" s="1"/>
  <c r="K3700" i="2"/>
  <c r="L3700" i="2" s="1"/>
  <c r="K3701" i="2"/>
  <c r="L3701" i="2" s="1"/>
  <c r="K3702" i="2"/>
  <c r="L3702" i="2" s="1"/>
  <c r="K3703" i="2"/>
  <c r="L3703" i="2" s="1"/>
  <c r="K3704" i="2"/>
  <c r="L3704" i="2" s="1"/>
  <c r="K3705" i="2"/>
  <c r="L3705" i="2" s="1"/>
  <c r="K3706" i="2"/>
  <c r="L3706" i="2" s="1"/>
  <c r="K3707" i="2"/>
  <c r="L3707" i="2" s="1"/>
  <c r="K3708" i="2"/>
  <c r="L3708" i="2" s="1"/>
  <c r="K3709" i="2"/>
  <c r="L3709" i="2" s="1"/>
  <c r="K3710" i="2"/>
  <c r="L3710" i="2" s="1"/>
  <c r="K3711" i="2"/>
  <c r="L3711" i="2" s="1"/>
  <c r="K3712" i="2"/>
  <c r="L3712" i="2" s="1"/>
  <c r="K3713" i="2"/>
  <c r="L3713" i="2" s="1"/>
  <c r="K3714" i="2"/>
  <c r="L3714" i="2" s="1"/>
  <c r="K3715" i="2"/>
  <c r="L3715" i="2" s="1"/>
  <c r="K3716" i="2"/>
  <c r="L3716" i="2" s="1"/>
  <c r="K3717" i="2"/>
  <c r="L3717" i="2" s="1"/>
  <c r="K3718" i="2"/>
  <c r="L3718" i="2" s="1"/>
  <c r="K3719" i="2"/>
  <c r="L3719" i="2" s="1"/>
  <c r="K3720" i="2"/>
  <c r="L3720" i="2" s="1"/>
  <c r="K3721" i="2"/>
  <c r="L3721" i="2" s="1"/>
  <c r="K3722" i="2"/>
  <c r="L3722" i="2" s="1"/>
  <c r="K3723" i="2"/>
  <c r="L3723" i="2" s="1"/>
  <c r="K3724" i="2"/>
  <c r="L3724" i="2" s="1"/>
  <c r="K3725" i="2"/>
  <c r="L3725" i="2" s="1"/>
  <c r="K3726" i="2"/>
  <c r="L3726" i="2" s="1"/>
  <c r="K3727" i="2"/>
  <c r="L3727" i="2" s="1"/>
  <c r="K3728" i="2"/>
  <c r="L3728" i="2" s="1"/>
  <c r="K3729" i="2"/>
  <c r="L3729" i="2" s="1"/>
  <c r="K3730" i="2"/>
  <c r="L3730" i="2" s="1"/>
  <c r="K3731" i="2"/>
  <c r="L3731" i="2" s="1"/>
  <c r="K3732" i="2"/>
  <c r="L3732" i="2" s="1"/>
  <c r="K3733" i="2"/>
  <c r="L3733" i="2" s="1"/>
  <c r="K3734" i="2"/>
  <c r="L3734" i="2" s="1"/>
  <c r="K3735" i="2"/>
  <c r="L3735" i="2" s="1"/>
  <c r="K3736" i="2"/>
  <c r="L3736" i="2" s="1"/>
  <c r="K3737" i="2"/>
  <c r="L3737" i="2" s="1"/>
  <c r="K3738" i="2"/>
  <c r="L3738" i="2" s="1"/>
  <c r="K3739" i="2"/>
  <c r="L3739" i="2" s="1"/>
  <c r="K3740" i="2"/>
  <c r="L3740" i="2" s="1"/>
  <c r="K3741" i="2"/>
  <c r="L3741" i="2" s="1"/>
  <c r="K3742" i="2"/>
  <c r="L3742" i="2" s="1"/>
  <c r="K3743" i="2"/>
  <c r="L3743" i="2" s="1"/>
  <c r="K3744" i="2"/>
  <c r="L3744" i="2" s="1"/>
  <c r="K3745" i="2"/>
  <c r="L3745" i="2" s="1"/>
  <c r="K3746" i="2"/>
  <c r="L3746" i="2" s="1"/>
  <c r="K3747" i="2"/>
  <c r="L3747" i="2" s="1"/>
  <c r="K3748" i="2"/>
  <c r="L3748" i="2" s="1"/>
  <c r="K3749" i="2"/>
  <c r="L3749" i="2" s="1"/>
  <c r="K3750" i="2"/>
  <c r="L3750" i="2" s="1"/>
  <c r="K3751" i="2"/>
  <c r="L3751" i="2" s="1"/>
  <c r="K3752" i="2"/>
  <c r="L3752" i="2" s="1"/>
  <c r="K3753" i="2"/>
  <c r="L3753" i="2" s="1"/>
  <c r="K3754" i="2"/>
  <c r="L3754" i="2" s="1"/>
  <c r="K3755" i="2"/>
  <c r="L3755" i="2" s="1"/>
  <c r="K3756" i="2"/>
  <c r="L3756" i="2" s="1"/>
  <c r="K3757" i="2"/>
  <c r="L3757" i="2" s="1"/>
  <c r="K3758" i="2"/>
  <c r="L3758" i="2" s="1"/>
  <c r="K3759" i="2"/>
  <c r="L3759" i="2" s="1"/>
  <c r="K3760" i="2"/>
  <c r="L3760" i="2" s="1"/>
  <c r="K3761" i="2"/>
  <c r="L3761" i="2" s="1"/>
  <c r="K3762" i="2"/>
  <c r="L3762" i="2" s="1"/>
  <c r="K3763" i="2"/>
  <c r="L3763" i="2" s="1"/>
  <c r="K3764" i="2"/>
  <c r="L3764" i="2" s="1"/>
  <c r="K3765" i="2"/>
  <c r="L3765" i="2" s="1"/>
  <c r="K3766" i="2"/>
  <c r="L3766" i="2" s="1"/>
  <c r="K3767" i="2"/>
  <c r="L3767" i="2" s="1"/>
  <c r="K3768" i="2"/>
  <c r="L3768" i="2" s="1"/>
  <c r="K3769" i="2"/>
  <c r="L3769" i="2" s="1"/>
  <c r="K3770" i="2"/>
  <c r="L3770" i="2" s="1"/>
  <c r="K3771" i="2"/>
  <c r="L3771" i="2" s="1"/>
  <c r="K3772" i="2"/>
  <c r="L3772" i="2" s="1"/>
  <c r="K3773" i="2"/>
  <c r="L3773" i="2" s="1"/>
  <c r="K3774" i="2"/>
  <c r="L3774" i="2" s="1"/>
  <c r="K3775" i="2"/>
  <c r="L3775" i="2" s="1"/>
  <c r="K3776" i="2"/>
  <c r="L3776" i="2" s="1"/>
  <c r="K3777" i="2"/>
  <c r="L3777" i="2" s="1"/>
  <c r="K3778" i="2"/>
  <c r="L3778" i="2" s="1"/>
  <c r="K3779" i="2"/>
  <c r="L3779" i="2" s="1"/>
  <c r="K3780" i="2"/>
  <c r="L3780" i="2" s="1"/>
  <c r="K3781" i="2"/>
  <c r="L3781" i="2" s="1"/>
  <c r="K3782" i="2"/>
  <c r="L3782" i="2" s="1"/>
  <c r="K3783" i="2"/>
  <c r="L3783" i="2" s="1"/>
  <c r="K3784" i="2"/>
  <c r="L3784" i="2" s="1"/>
  <c r="K3785" i="2"/>
  <c r="L3785" i="2" s="1"/>
  <c r="K3786" i="2"/>
  <c r="L3786" i="2" s="1"/>
  <c r="K3787" i="2"/>
  <c r="L3787" i="2" s="1"/>
  <c r="K3788" i="2"/>
  <c r="L3788" i="2" s="1"/>
  <c r="K3789" i="2"/>
  <c r="L3789" i="2" s="1"/>
  <c r="K3790" i="2"/>
  <c r="L3790" i="2" s="1"/>
  <c r="K3791" i="2"/>
  <c r="L3791" i="2" s="1"/>
  <c r="K3792" i="2"/>
  <c r="L3792" i="2" s="1"/>
  <c r="K3793" i="2"/>
  <c r="L3793" i="2" s="1"/>
  <c r="K3794" i="2"/>
  <c r="L3794" i="2" s="1"/>
  <c r="K3795" i="2"/>
  <c r="L3795" i="2" s="1"/>
  <c r="K3796" i="2"/>
  <c r="L3796" i="2" s="1"/>
  <c r="K3797" i="2"/>
  <c r="L3797" i="2" s="1"/>
  <c r="K3798" i="2"/>
  <c r="L3798" i="2" s="1"/>
  <c r="K3799" i="2"/>
  <c r="L3799" i="2" s="1"/>
  <c r="Q12" i="3" l="1"/>
  <c r="Q13" i="3"/>
  <c r="O4" i="3"/>
</calcChain>
</file>

<file path=xl/sharedStrings.xml><?xml version="1.0" encoding="utf-8"?>
<sst xmlns="http://schemas.openxmlformats.org/spreadsheetml/2006/main" count="39237" uniqueCount="3760">
  <si>
    <t>Order ID</t>
  </si>
  <si>
    <t>Order Date</t>
  </si>
  <si>
    <t>Region</t>
  </si>
  <si>
    <t>Product</t>
  </si>
  <si>
    <t>Category</t>
  </si>
  <si>
    <t>Sales</t>
  </si>
  <si>
    <t>Cost</t>
  </si>
  <si>
    <t>Quantity</t>
  </si>
  <si>
    <t>ORD5426</t>
  </si>
  <si>
    <t>ORD7420</t>
  </si>
  <si>
    <t xml:space="preserve"> ord-662 </t>
  </si>
  <si>
    <t>ORD9433</t>
  </si>
  <si>
    <t>ORD4152</t>
  </si>
  <si>
    <t>ORD1995</t>
  </si>
  <si>
    <t>ORD9571</t>
  </si>
  <si>
    <t>ORD7736</t>
  </si>
  <si>
    <t xml:space="preserve"> ord-506 </t>
  </si>
  <si>
    <t>ORD4840</t>
  </si>
  <si>
    <t>ORD7019</t>
  </si>
  <si>
    <t>ORD3693</t>
  </si>
  <si>
    <t>ORD2306</t>
  </si>
  <si>
    <t>ORD1663</t>
  </si>
  <si>
    <t>ORD2636</t>
  </si>
  <si>
    <t>ORD6249</t>
  </si>
  <si>
    <t>ORD8777</t>
  </si>
  <si>
    <t>ORD2986</t>
  </si>
  <si>
    <t>ORD6534</t>
  </si>
  <si>
    <t>ORD5548</t>
  </si>
  <si>
    <t xml:space="preserve"> ord-521 </t>
  </si>
  <si>
    <t>ORD1956</t>
  </si>
  <si>
    <t>ORD5555</t>
  </si>
  <si>
    <t>ORD8022</t>
  </si>
  <si>
    <t>ORD2069</t>
  </si>
  <si>
    <t>ORD1190</t>
  </si>
  <si>
    <t>ORD8455</t>
  </si>
  <si>
    <t>ORD6801</t>
  </si>
  <si>
    <t>ORD9173</t>
  </si>
  <si>
    <t>ORD2148</t>
  </si>
  <si>
    <t>ORD6691</t>
  </si>
  <si>
    <t>ORD5465</t>
  </si>
  <si>
    <t>ORD8560</t>
  </si>
  <si>
    <t>ORD4343</t>
  </si>
  <si>
    <t xml:space="preserve"> ord-193 </t>
  </si>
  <si>
    <t>ORD5452</t>
  </si>
  <si>
    <t>ORD5611</t>
  </si>
  <si>
    <t>ORD6732</t>
  </si>
  <si>
    <t>ORD9945</t>
  </si>
  <si>
    <t>ORD8668</t>
  </si>
  <si>
    <t>ORD3786</t>
  </si>
  <si>
    <t>ORD9787</t>
  </si>
  <si>
    <t>ORD1717</t>
  </si>
  <si>
    <t>ORD2167</t>
  </si>
  <si>
    <t>ORD7801</t>
  </si>
  <si>
    <t>ORD7938</t>
  </si>
  <si>
    <t>ORD2324</t>
  </si>
  <si>
    <t xml:space="preserve"> ord-319 </t>
  </si>
  <si>
    <t>ORD1504</t>
  </si>
  <si>
    <t>ORD5175</t>
  </si>
  <si>
    <t>ORD4486</t>
  </si>
  <si>
    <t>ORD5468</t>
  </si>
  <si>
    <t>ORD8102</t>
  </si>
  <si>
    <t>ORD1255</t>
  </si>
  <si>
    <t>ORD8449</t>
  </si>
  <si>
    <t>ORD3000</t>
  </si>
  <si>
    <t xml:space="preserve"> ord-150 </t>
  </si>
  <si>
    <t>ORD9865</t>
  </si>
  <si>
    <t xml:space="preserve"> ord-306 </t>
  </si>
  <si>
    <t>ORD9017</t>
  </si>
  <si>
    <t>ORD8730</t>
  </si>
  <si>
    <t>ORD5300</t>
  </si>
  <si>
    <t>ORD9472</t>
  </si>
  <si>
    <t xml:space="preserve"> ord-612 </t>
  </si>
  <si>
    <t>ORD7190</t>
  </si>
  <si>
    <t>ORD1302</t>
  </si>
  <si>
    <t>ORD6126</t>
  </si>
  <si>
    <t>ORD9905</t>
  </si>
  <si>
    <t>ORD7371</t>
  </si>
  <si>
    <t>ORD1876</t>
  </si>
  <si>
    <t>ORD4735</t>
  </si>
  <si>
    <t>ORD9837</t>
  </si>
  <si>
    <t>ORD9915</t>
  </si>
  <si>
    <t>ORD3026</t>
  </si>
  <si>
    <t>ORD2342</t>
  </si>
  <si>
    <t>ORD9567</t>
  </si>
  <si>
    <t>ORD7413</t>
  </si>
  <si>
    <t>ORD7943</t>
  </si>
  <si>
    <t>ORD5018</t>
  </si>
  <si>
    <t>ORD1922</t>
  </si>
  <si>
    <t>ORD2865</t>
  </si>
  <si>
    <t>ORD3371</t>
  </si>
  <si>
    <t>ORD7166</t>
  </si>
  <si>
    <t xml:space="preserve"> ord-423 </t>
  </si>
  <si>
    <t>ORD4368</t>
  </si>
  <si>
    <t>ORD7514</t>
  </si>
  <si>
    <t>ORD2625</t>
  </si>
  <si>
    <t xml:space="preserve"> ord-600 </t>
  </si>
  <si>
    <t>ORD1688</t>
  </si>
  <si>
    <t>ORD1951</t>
  </si>
  <si>
    <t>ORD7645</t>
  </si>
  <si>
    <t>ORD2481</t>
  </si>
  <si>
    <t xml:space="preserve"> ord-338 </t>
  </si>
  <si>
    <t>ORD3538</t>
  </si>
  <si>
    <t xml:space="preserve"> ord-647 </t>
  </si>
  <si>
    <t>ORD5491</t>
  </si>
  <si>
    <t>ORD3679</t>
  </si>
  <si>
    <t>ORD3541</t>
  </si>
  <si>
    <t>ORD8184</t>
  </si>
  <si>
    <t>ORD7136</t>
  </si>
  <si>
    <t xml:space="preserve"> ord-470 </t>
  </si>
  <si>
    <t>ORD5150</t>
  </si>
  <si>
    <t>ORD8674</t>
  </si>
  <si>
    <t>ORD7185</t>
  </si>
  <si>
    <t>ORD5090</t>
  </si>
  <si>
    <t>ORD2750</t>
  </si>
  <si>
    <t>ORD5806</t>
  </si>
  <si>
    <t>ORD2500</t>
  </si>
  <si>
    <t xml:space="preserve"> ord-904 </t>
  </si>
  <si>
    <t>ORD9684</t>
  </si>
  <si>
    <t xml:space="preserve"> ord-913 </t>
  </si>
  <si>
    <t xml:space="preserve"> ord-458 </t>
  </si>
  <si>
    <t>ORD8832</t>
  </si>
  <si>
    <t>ORD5805</t>
  </si>
  <si>
    <t>ORD6429</t>
  </si>
  <si>
    <t>ORD2796</t>
  </si>
  <si>
    <t>ORD9194</t>
  </si>
  <si>
    <t>ORD8490</t>
  </si>
  <si>
    <t>ORD8291</t>
  </si>
  <si>
    <t>ORD6233</t>
  </si>
  <si>
    <t>ORD5311</t>
  </si>
  <si>
    <t>ORD4738</t>
  </si>
  <si>
    <t xml:space="preserve"> ord-357 </t>
  </si>
  <si>
    <t>ORD8009</t>
  </si>
  <si>
    <t>ORD6084</t>
  </si>
  <si>
    <t xml:space="preserve"> ord-309 </t>
  </si>
  <si>
    <t>ORD8813</t>
  </si>
  <si>
    <t>ORD4342</t>
  </si>
  <si>
    <t>ORD1988</t>
  </si>
  <si>
    <t>ORD2980</t>
  </si>
  <si>
    <t>ORD4676</t>
  </si>
  <si>
    <t>ORD8725</t>
  </si>
  <si>
    <t>ORD6109</t>
  </si>
  <si>
    <t>ORD9357</t>
  </si>
  <si>
    <t xml:space="preserve"> ord-691 </t>
  </si>
  <si>
    <t xml:space="preserve"> ord-215 </t>
  </si>
  <si>
    <t xml:space="preserve"> ord-416 </t>
  </si>
  <si>
    <t>ORD4389</t>
  </si>
  <si>
    <t xml:space="preserve"> ord-111 </t>
  </si>
  <si>
    <t>ORD3356</t>
  </si>
  <si>
    <t>ORD9946</t>
  </si>
  <si>
    <t>ORD4453</t>
  </si>
  <si>
    <t>ORD2394</t>
  </si>
  <si>
    <t>ORD1525</t>
  </si>
  <si>
    <t>ORD4155</t>
  </si>
  <si>
    <t>ORD8062</t>
  </si>
  <si>
    <t>ORD8115</t>
  </si>
  <si>
    <t>ORD3203</t>
  </si>
  <si>
    <t>ORD7262</t>
  </si>
  <si>
    <t xml:space="preserve"> ord-316 </t>
  </si>
  <si>
    <t>ORD2969</t>
  </si>
  <si>
    <t xml:space="preserve"> ord-244 </t>
  </si>
  <si>
    <t>ORD4124</t>
  </si>
  <si>
    <t>ORD7924</t>
  </si>
  <si>
    <t>ORD2000</t>
  </si>
  <si>
    <t>ORD6592</t>
  </si>
  <si>
    <t>ORD7228</t>
  </si>
  <si>
    <t>ORD9234</t>
  </si>
  <si>
    <t>ORD6243</t>
  </si>
  <si>
    <t>ORD4610</t>
  </si>
  <si>
    <t xml:space="preserve"> ord-207 </t>
  </si>
  <si>
    <t xml:space="preserve"> ord-461 </t>
  </si>
  <si>
    <t>ORD7295</t>
  </si>
  <si>
    <t>ORD4040</t>
  </si>
  <si>
    <t>ORD1987</t>
  </si>
  <si>
    <t>ORD7780</t>
  </si>
  <si>
    <t xml:space="preserve"> ord-747 </t>
  </si>
  <si>
    <t>ORD5255</t>
  </si>
  <si>
    <t>ORD4874</t>
  </si>
  <si>
    <t xml:space="preserve"> ord-732 </t>
  </si>
  <si>
    <t>ORD7099</t>
  </si>
  <si>
    <t xml:space="preserve"> ord-903 </t>
  </si>
  <si>
    <t>ORD8574</t>
  </si>
  <si>
    <t>ORD9785</t>
  </si>
  <si>
    <t>ORD5225</t>
  </si>
  <si>
    <t>ORD5917</t>
  </si>
  <si>
    <t>ORD8340</t>
  </si>
  <si>
    <t>ORD6179</t>
  </si>
  <si>
    <t>ORD9648</t>
  </si>
  <si>
    <t>ORD2638</t>
  </si>
  <si>
    <t>ORD6693</t>
  </si>
  <si>
    <t>ORD5837</t>
  </si>
  <si>
    <t xml:space="preserve"> ord-564 </t>
  </si>
  <si>
    <t>ORD5719</t>
  </si>
  <si>
    <t>ORD4191</t>
  </si>
  <si>
    <t>ORD1775</t>
  </si>
  <si>
    <t xml:space="preserve"> ord-507 </t>
  </si>
  <si>
    <t>ORD6510</t>
  </si>
  <si>
    <t>ORD7511</t>
  </si>
  <si>
    <t>ORD5285</t>
  </si>
  <si>
    <t xml:space="preserve"> ord-372 </t>
  </si>
  <si>
    <t xml:space="preserve"> ord-221 </t>
  </si>
  <si>
    <t>ORD7381</t>
  </si>
  <si>
    <t>ORD7579</t>
  </si>
  <si>
    <t>ORD6926</t>
  </si>
  <si>
    <t>ORD6343</t>
  </si>
  <si>
    <t>ORD3547</t>
  </si>
  <si>
    <t>ORD2778</t>
  </si>
  <si>
    <t>ORD2828</t>
  </si>
  <si>
    <t xml:space="preserve"> ord-435 </t>
  </si>
  <si>
    <t xml:space="preserve"> ord-208 </t>
  </si>
  <si>
    <t>ORD2169</t>
  </si>
  <si>
    <t>ORD1659</t>
  </si>
  <si>
    <t xml:space="preserve"> ord-718 </t>
  </si>
  <si>
    <t>ORD6017</t>
  </si>
  <si>
    <t>ORD8462</t>
  </si>
  <si>
    <t xml:space="preserve"> ord-975 </t>
  </si>
  <si>
    <t>ORD3014</t>
  </si>
  <si>
    <t>ORD1689</t>
  </si>
  <si>
    <t>ORD7285</t>
  </si>
  <si>
    <t xml:space="preserve"> ord-277 </t>
  </si>
  <si>
    <t>ORD7171</t>
  </si>
  <si>
    <t xml:space="preserve"> ord-243 </t>
  </si>
  <si>
    <t>ORD2854</t>
  </si>
  <si>
    <t>ORD1781</t>
  </si>
  <si>
    <t>ORD2577</t>
  </si>
  <si>
    <t>ORD1007</t>
  </si>
  <si>
    <t>ORD7971</t>
  </si>
  <si>
    <t xml:space="preserve"> ord-712 </t>
  </si>
  <si>
    <t>ORD8183</t>
  </si>
  <si>
    <t>ORD9004</t>
  </si>
  <si>
    <t>ORD1645</t>
  </si>
  <si>
    <t>ORD5079</t>
  </si>
  <si>
    <t>ORD3326</t>
  </si>
  <si>
    <t>ORD2089</t>
  </si>
  <si>
    <t>ORD7040</t>
  </si>
  <si>
    <t>ORD2787</t>
  </si>
  <si>
    <t>ORD5596</t>
  </si>
  <si>
    <t>ORD2967</t>
  </si>
  <si>
    <t>ORD2531</t>
  </si>
  <si>
    <t>ORD2762</t>
  </si>
  <si>
    <t>ORD4198</t>
  </si>
  <si>
    <t xml:space="preserve"> ord-300 </t>
  </si>
  <si>
    <t>ORD7581</t>
  </si>
  <si>
    <t>ORD2846</t>
  </si>
  <si>
    <t xml:space="preserve"> ord-764 </t>
  </si>
  <si>
    <t>ORD3800</t>
  </si>
  <si>
    <t xml:space="preserve"> ord-991 </t>
  </si>
  <si>
    <t xml:space="preserve"> ord-652 </t>
  </si>
  <si>
    <t>ORD2356</t>
  </si>
  <si>
    <t>ORD7048</t>
  </si>
  <si>
    <t>ORD7993</t>
  </si>
  <si>
    <t>ORD8922</t>
  </si>
  <si>
    <t xml:space="preserve"> ord-870 </t>
  </si>
  <si>
    <t>ORD3466</t>
  </si>
  <si>
    <t>ORD2130</t>
  </si>
  <si>
    <t>ORD4243</t>
  </si>
  <si>
    <t xml:space="preserve"> ord-667 </t>
  </si>
  <si>
    <t>ORD2829</t>
  </si>
  <si>
    <t>ORD4415</t>
  </si>
  <si>
    <t>ORD7268</t>
  </si>
  <si>
    <t>ORD7139</t>
  </si>
  <si>
    <t>ORD2932</t>
  </si>
  <si>
    <t>ORD1382</t>
  </si>
  <si>
    <t>ORD7652</t>
  </si>
  <si>
    <t>ORD3660</t>
  </si>
  <si>
    <t xml:space="preserve"> ord-283 </t>
  </si>
  <si>
    <t>ORD8166</t>
  </si>
  <si>
    <t>ORD4536</t>
  </si>
  <si>
    <t>ORD2863</t>
  </si>
  <si>
    <t>ORD8661</t>
  </si>
  <si>
    <t>ORD2088</t>
  </si>
  <si>
    <t>ORD4175</t>
  </si>
  <si>
    <t xml:space="preserve"> ord-182 </t>
  </si>
  <si>
    <t>ORD2497</t>
  </si>
  <si>
    <t>ORD2588</t>
  </si>
  <si>
    <t>ORD1182</t>
  </si>
  <si>
    <t>ORD9244</t>
  </si>
  <si>
    <t>ORD5945</t>
  </si>
  <si>
    <t xml:space="preserve"> ord-917 </t>
  </si>
  <si>
    <t>ORD6793</t>
  </si>
  <si>
    <t>ORD9662</t>
  </si>
  <si>
    <t>ORD4607</t>
  </si>
  <si>
    <t>ORD2124</t>
  </si>
  <si>
    <t>ORD9588</t>
  </si>
  <si>
    <t xml:space="preserve"> ord-362 </t>
  </si>
  <si>
    <t>ORD1234</t>
  </si>
  <si>
    <t xml:space="preserve"> ord-967 </t>
  </si>
  <si>
    <t xml:space="preserve"> ord-957 </t>
  </si>
  <si>
    <t>ORD6818</t>
  </si>
  <si>
    <t>ORD1719</t>
  </si>
  <si>
    <t>ORD9835</t>
  </si>
  <si>
    <t>ORD6223</t>
  </si>
  <si>
    <t>ORD1025</t>
  </si>
  <si>
    <t>ORD2072</t>
  </si>
  <si>
    <t>ORD6939</t>
  </si>
  <si>
    <t>ORD3645</t>
  </si>
  <si>
    <t>ORD9811</t>
  </si>
  <si>
    <t>ORD3743</t>
  </si>
  <si>
    <t>ORD1619</t>
  </si>
  <si>
    <t>ORD9199</t>
  </si>
  <si>
    <t>ORD5444</t>
  </si>
  <si>
    <t>ORD5422</t>
  </si>
  <si>
    <t>ORD5956</t>
  </si>
  <si>
    <t>ORD4786</t>
  </si>
  <si>
    <t>ORD3871</t>
  </si>
  <si>
    <t>ORD5557</t>
  </si>
  <si>
    <t xml:space="preserve"> ord-370 </t>
  </si>
  <si>
    <t xml:space="preserve"> ord-532 </t>
  </si>
  <si>
    <t xml:space="preserve"> ord-749 </t>
  </si>
  <si>
    <t>ORD4240</t>
  </si>
  <si>
    <t>ORD4811</t>
  </si>
  <si>
    <t>ORD9712</t>
  </si>
  <si>
    <t>ORD6310</t>
  </si>
  <si>
    <t>ORD1166</t>
  </si>
  <si>
    <t>ORD4408</t>
  </si>
  <si>
    <t xml:space="preserve"> ord-983 </t>
  </si>
  <si>
    <t>ORD8032</t>
  </si>
  <si>
    <t>ORD3763</t>
  </si>
  <si>
    <t>ORD4277</t>
  </si>
  <si>
    <t>ORD1139</t>
  </si>
  <si>
    <t>ORD1018</t>
  </si>
  <si>
    <t>ORD9319</t>
  </si>
  <si>
    <t>ORD1517</t>
  </si>
  <si>
    <t>ORD7241</t>
  </si>
  <si>
    <t>ORD7163</t>
  </si>
  <si>
    <t>ORD2742</t>
  </si>
  <si>
    <t>ORD7409</t>
  </si>
  <si>
    <t>ORD5396</t>
  </si>
  <si>
    <t>ORD9367</t>
  </si>
  <si>
    <t>ORD9560</t>
  </si>
  <si>
    <t>ORD2184</t>
  </si>
  <si>
    <t>ORD2993</t>
  </si>
  <si>
    <t>ORD5027</t>
  </si>
  <si>
    <t>ORD3041</t>
  </si>
  <si>
    <t>ORD7915</t>
  </si>
  <si>
    <t xml:space="preserve"> ord-744 </t>
  </si>
  <si>
    <t>ORD1195</t>
  </si>
  <si>
    <t>ORD3591</t>
  </si>
  <si>
    <t>ORD2029</t>
  </si>
  <si>
    <t>ORD3773</t>
  </si>
  <si>
    <t>ORD9306</t>
  </si>
  <si>
    <t>ORD5507</t>
  </si>
  <si>
    <t>ORD6618</t>
  </si>
  <si>
    <t>ORD7160</t>
  </si>
  <si>
    <t>ORD9442</t>
  </si>
  <si>
    <t xml:space="preserve"> ord-641 </t>
  </si>
  <si>
    <t>ORD9923</t>
  </si>
  <si>
    <t>ORD1002</t>
  </si>
  <si>
    <t>ORD1897</t>
  </si>
  <si>
    <t>ORD7457</t>
  </si>
  <si>
    <t>ORD6876</t>
  </si>
  <si>
    <t>ORD1954</t>
  </si>
  <si>
    <t>ORD5886</t>
  </si>
  <si>
    <t>ORD5251</t>
  </si>
  <si>
    <t>ORD5933</t>
  </si>
  <si>
    <t>ORD9799</t>
  </si>
  <si>
    <t>ORD5172</t>
  </si>
  <si>
    <t>ORD7623</t>
  </si>
  <si>
    <t>ORD3964</t>
  </si>
  <si>
    <t>ORD1991</t>
  </si>
  <si>
    <t>ORD5478</t>
  </si>
  <si>
    <t>ORD3587</t>
  </si>
  <si>
    <t>ORD5383</t>
  </si>
  <si>
    <t>ORD3904</t>
  </si>
  <si>
    <t>ORD8086</t>
  </si>
  <si>
    <t>ORD5627</t>
  </si>
  <si>
    <t xml:space="preserve"> ord-910 </t>
  </si>
  <si>
    <t>ORD6866</t>
  </si>
  <si>
    <t>ORD2257</t>
  </si>
  <si>
    <t>ORD7034</t>
  </si>
  <si>
    <t>ORD7628</t>
  </si>
  <si>
    <t>ORD1649</t>
  </si>
  <si>
    <t>ORD3430</t>
  </si>
  <si>
    <t>ORD9417</t>
  </si>
  <si>
    <t>ORD5774</t>
  </si>
  <si>
    <t>ORD7587</t>
  </si>
  <si>
    <t>ORD6509</t>
  </si>
  <si>
    <t xml:space="preserve"> ord-833 </t>
  </si>
  <si>
    <t>ORD5482</t>
  </si>
  <si>
    <t>ORD4558</t>
  </si>
  <si>
    <t xml:space="preserve"> ord-157 </t>
  </si>
  <si>
    <t>ORD2647</t>
  </si>
  <si>
    <t>ORD2848</t>
  </si>
  <si>
    <t xml:space="preserve"> ord-766 </t>
  </si>
  <si>
    <t>ORD9924</t>
  </si>
  <si>
    <t xml:space="preserve"> ord-214 </t>
  </si>
  <si>
    <t>ORD8538</t>
  </si>
  <si>
    <t>ORD2517</t>
  </si>
  <si>
    <t>ORD5567</t>
  </si>
  <si>
    <t>ORD9728</t>
  </si>
  <si>
    <t>ORD6314</t>
  </si>
  <si>
    <t>ORD8299</t>
  </si>
  <si>
    <t>ORD7589</t>
  </si>
  <si>
    <t xml:space="preserve"> ord-463 </t>
  </si>
  <si>
    <t>ORD5440</t>
  </si>
  <si>
    <t>ORD1584</t>
  </si>
  <si>
    <t>ORD7078</t>
  </si>
  <si>
    <t xml:space="preserve"> ord-687 </t>
  </si>
  <si>
    <t>ORD5117</t>
  </si>
  <si>
    <t>ORD3821</t>
  </si>
  <si>
    <t>ORD8984</t>
  </si>
  <si>
    <t>ORD6368</t>
  </si>
  <si>
    <t>ORD9095</t>
  </si>
  <si>
    <t xml:space="preserve"> ord-850 </t>
  </si>
  <si>
    <t>ORD6313</t>
  </si>
  <si>
    <t>ORD6244</t>
  </si>
  <si>
    <t>ORD3710</t>
  </si>
  <si>
    <t>ORD1607</t>
  </si>
  <si>
    <t>ORD1808</t>
  </si>
  <si>
    <t xml:space="preserve"> ord-369 </t>
  </si>
  <si>
    <t xml:space="preserve"> ord-347 </t>
  </si>
  <si>
    <t>ORD9307</t>
  </si>
  <si>
    <t>ORD7401</t>
  </si>
  <si>
    <t>ORD5586</t>
  </si>
  <si>
    <t>ORD2902</t>
  </si>
  <si>
    <t xml:space="preserve"> ord-729 </t>
  </si>
  <si>
    <t xml:space="preserve"> ord-717 </t>
  </si>
  <si>
    <t>ORD8108</t>
  </si>
  <si>
    <t xml:space="preserve"> ord-649 </t>
  </si>
  <si>
    <t xml:space="preserve"> ord-935 </t>
  </si>
  <si>
    <t>ORD6308</t>
  </si>
  <si>
    <t>ORD1244</t>
  </si>
  <si>
    <t xml:space="preserve"> ord-658 </t>
  </si>
  <si>
    <t>ORD8498</t>
  </si>
  <si>
    <t xml:space="preserve"> ord-195 </t>
  </si>
  <si>
    <t>ORD2260</t>
  </si>
  <si>
    <t xml:space="preserve"> ord-621 </t>
  </si>
  <si>
    <t>ORD2409</t>
  </si>
  <si>
    <t xml:space="preserve"> ord-773 </t>
  </si>
  <si>
    <t>ORD8697</t>
  </si>
  <si>
    <t>ORD8148</t>
  </si>
  <si>
    <t>ORD7998</t>
  </si>
  <si>
    <t>ORD5054</t>
  </si>
  <si>
    <t>ORD5932</t>
  </si>
  <si>
    <t>ORD3575</t>
  </si>
  <si>
    <t xml:space="preserve"> ord-230 </t>
  </si>
  <si>
    <t>ORD8954</t>
  </si>
  <si>
    <t xml:space="preserve"> ord-909 </t>
  </si>
  <si>
    <t>ORD6326</t>
  </si>
  <si>
    <t>ORD8833</t>
  </si>
  <si>
    <t>ORD4637</t>
  </si>
  <si>
    <t>ORD4569</t>
  </si>
  <si>
    <t>ORD2773</t>
  </si>
  <si>
    <t>ORD7360</t>
  </si>
  <si>
    <t xml:space="preserve"> ord-287 </t>
  </si>
  <si>
    <t xml:space="preserve"> ord-391 </t>
  </si>
  <si>
    <t>ORD9750</t>
  </si>
  <si>
    <t>ORD7411</t>
  </si>
  <si>
    <t xml:space="preserve"> ord-858 </t>
  </si>
  <si>
    <t>ORD1421</t>
  </si>
  <si>
    <t>ORD2473</t>
  </si>
  <si>
    <t xml:space="preserve"> ord-761 </t>
  </si>
  <si>
    <t xml:space="preserve"> ord-447 </t>
  </si>
  <si>
    <t>ORD9531</t>
  </si>
  <si>
    <t>ORD2016</t>
  </si>
  <si>
    <t>ORD5056</t>
  </si>
  <si>
    <t>ORD6649</t>
  </si>
  <si>
    <t>ORD7280</t>
  </si>
  <si>
    <t>ORD3653</t>
  </si>
  <si>
    <t>ORD1494</t>
  </si>
  <si>
    <t>ORD5658</t>
  </si>
  <si>
    <t xml:space="preserve"> ord-509 </t>
  </si>
  <si>
    <t>ORD7683</t>
  </si>
  <si>
    <t>ORD5758</t>
  </si>
  <si>
    <t>ORD5908</t>
  </si>
  <si>
    <t>ORD3580</t>
  </si>
  <si>
    <t>ORD9488</t>
  </si>
  <si>
    <t>ORD6650</t>
  </si>
  <si>
    <t>ORD4553</t>
  </si>
  <si>
    <t xml:space="preserve"> ord-538 </t>
  </si>
  <si>
    <t>ORD2001</t>
  </si>
  <si>
    <t>ORD7297</t>
  </si>
  <si>
    <t>ORD6033</t>
  </si>
  <si>
    <t>ORD8465</t>
  </si>
  <si>
    <t>ORD2174</t>
  </si>
  <si>
    <t>ORD1731</t>
  </si>
  <si>
    <t>ORD2490</t>
  </si>
  <si>
    <t xml:space="preserve"> ord-314 </t>
  </si>
  <si>
    <t xml:space="preserve"> ord-288 </t>
  </si>
  <si>
    <t>ORD4797</t>
  </si>
  <si>
    <t>ORD1615</t>
  </si>
  <si>
    <t>ORD3212</t>
  </si>
  <si>
    <t>ORD2391</t>
  </si>
  <si>
    <t>ORD7414</t>
  </si>
  <si>
    <t xml:space="preserve"> ord-446 </t>
  </si>
  <si>
    <t>ORD8951</t>
  </si>
  <si>
    <t>ORD7468</t>
  </si>
  <si>
    <t>ORD8445</t>
  </si>
  <si>
    <t xml:space="preserve"> ord-158 </t>
  </si>
  <si>
    <t xml:space="preserve"> ord-112 </t>
  </si>
  <si>
    <t xml:space="preserve"> ord-965 </t>
  </si>
  <si>
    <t>ORD9243</t>
  </si>
  <si>
    <t xml:space="preserve"> ord-939 </t>
  </si>
  <si>
    <t>ORD9802</t>
  </si>
  <si>
    <t>ORD4830</t>
  </si>
  <si>
    <t>ORD8970</t>
  </si>
  <si>
    <t>ORD1060</t>
  </si>
  <si>
    <t>ORD4398</t>
  </si>
  <si>
    <t>ORD2104</t>
  </si>
  <si>
    <t>ORD6398</t>
  </si>
  <si>
    <t>ORD2590</t>
  </si>
  <si>
    <t>ORD7726</t>
  </si>
  <si>
    <t>ORD5321</t>
  </si>
  <si>
    <t>ORD9911</t>
  </si>
  <si>
    <t>ORD4672</t>
  </si>
  <si>
    <t xml:space="preserve"> ord-328 </t>
  </si>
  <si>
    <t>ORD4001</t>
  </si>
  <si>
    <t>ORD2552</t>
  </si>
  <si>
    <t>ORD8246</t>
  </si>
  <si>
    <t>ORD6599</t>
  </si>
  <si>
    <t>ORD9857</t>
  </si>
  <si>
    <t>ORD3511</t>
  </si>
  <si>
    <t xml:space="preserve"> ord-823 </t>
  </si>
  <si>
    <t>ORD4276</t>
  </si>
  <si>
    <t>ORD9269</t>
  </si>
  <si>
    <t xml:space="preserve"> ord-579 </t>
  </si>
  <si>
    <t xml:space="preserve"> ord-634 </t>
  </si>
  <si>
    <t>ORD9007</t>
  </si>
  <si>
    <t>ORD1882</t>
  </si>
  <si>
    <t>ORD6200</t>
  </si>
  <si>
    <t xml:space="preserve"> ord-311 </t>
  </si>
  <si>
    <t>ORD9669</t>
  </si>
  <si>
    <t>ORD1755</t>
  </si>
  <si>
    <t>ORD9371</t>
  </si>
  <si>
    <t>ORD5497</t>
  </si>
  <si>
    <t>ORD1942</t>
  </si>
  <si>
    <t>ORD5887</t>
  </si>
  <si>
    <t xml:space="preserve"> ord-353 </t>
  </si>
  <si>
    <t>ORD1654</t>
  </si>
  <si>
    <t>ORD6972</t>
  </si>
  <si>
    <t>ORD7964</t>
  </si>
  <si>
    <t>ORD5379</t>
  </si>
  <si>
    <t>ORD3883</t>
  </si>
  <si>
    <t>ORD5402</t>
  </si>
  <si>
    <t>ORD1572</t>
  </si>
  <si>
    <t xml:space="preserve"> ord-168 </t>
  </si>
  <si>
    <t>ORD8257</t>
  </si>
  <si>
    <t xml:space="preserve"> ord-466 </t>
  </si>
  <si>
    <t>ORD5573</t>
  </si>
  <si>
    <t>ORD2847</t>
  </si>
  <si>
    <t>ORD5428</t>
  </si>
  <si>
    <t>ORD1579</t>
  </si>
  <si>
    <t>ORD9154</t>
  </si>
  <si>
    <t xml:space="preserve"> ord-578 </t>
  </si>
  <si>
    <t>ORD7364</t>
  </si>
  <si>
    <t>ORD2407</t>
  </si>
  <si>
    <t xml:space="preserve"> ord-802 </t>
  </si>
  <si>
    <t>ORD6585</t>
  </si>
  <si>
    <t>ORD2992</t>
  </si>
  <si>
    <t>ORD9400</t>
  </si>
  <si>
    <t>ORD8194</t>
  </si>
  <si>
    <t>ORD7654</t>
  </si>
  <si>
    <t>ORD4483</t>
  </si>
  <si>
    <t>ORD6470</t>
  </si>
  <si>
    <t>ORD3064</t>
  </si>
  <si>
    <t>ORD4250</t>
  </si>
  <si>
    <t xml:space="preserve"> ord-787 </t>
  </si>
  <si>
    <t>ORD4557</t>
  </si>
  <si>
    <t>ORD4395</t>
  </si>
  <si>
    <t>ORD9257</t>
  </si>
  <si>
    <t>ORD2036</t>
  </si>
  <si>
    <t>ORD5354</t>
  </si>
  <si>
    <t>ORD5934</t>
  </si>
  <si>
    <t>ORD9060</t>
  </si>
  <si>
    <t>ORD9240</t>
  </si>
  <si>
    <t>ORD5777</t>
  </si>
  <si>
    <t xml:space="preserve"> ord-474 </t>
  </si>
  <si>
    <t xml:space="preserve"> ord-552 </t>
  </si>
  <si>
    <t>ORD8206</t>
  </si>
  <si>
    <t xml:space="preserve"> ord-263 </t>
  </si>
  <si>
    <t>ORD4185</t>
  </si>
  <si>
    <t>ORD3302</t>
  </si>
  <si>
    <t>ORD9399</t>
  </si>
  <si>
    <t>ORD3823</t>
  </si>
  <si>
    <t>ORD1604</t>
  </si>
  <si>
    <t xml:space="preserve"> ord-713 </t>
  </si>
  <si>
    <t>ORD2840</t>
  </si>
  <si>
    <t>ORD3970</t>
  </si>
  <si>
    <t>ORD4670</t>
  </si>
  <si>
    <t>ORD8938</t>
  </si>
  <si>
    <t>ORD2507</t>
  </si>
  <si>
    <t xml:space="preserve"> ord-581 </t>
  </si>
  <si>
    <t>ORD8169</t>
  </si>
  <si>
    <t xml:space="preserve"> ord-828 </t>
  </si>
  <si>
    <t xml:space="preserve"> ord-791 </t>
  </si>
  <si>
    <t xml:space="preserve"> ord-696 </t>
  </si>
  <si>
    <t>ORD8226</t>
  </si>
  <si>
    <t>ORD5235</t>
  </si>
  <si>
    <t>ORD4720</t>
  </si>
  <si>
    <t xml:space="preserve"> ord-960 </t>
  </si>
  <si>
    <t xml:space="preserve"> ord-973 </t>
  </si>
  <si>
    <t>ORD2075</t>
  </si>
  <si>
    <t>ORD1541</t>
  </si>
  <si>
    <t>ORD2164</t>
  </si>
  <si>
    <t>ORD9012</t>
  </si>
  <si>
    <t>ORD1885</t>
  </si>
  <si>
    <t>ORD3032</t>
  </si>
  <si>
    <t>ORD4697</t>
  </si>
  <si>
    <t xml:space="preserve"> ord-310 </t>
  </si>
  <si>
    <t>ORD8776</t>
  </si>
  <si>
    <t>ORD6738</t>
  </si>
  <si>
    <t>ORD2392</t>
  </si>
  <si>
    <t>ORD7213</t>
  </si>
  <si>
    <t xml:space="preserve"> ord-794 </t>
  </si>
  <si>
    <t>ORD8610</t>
  </si>
  <si>
    <t>ORD1964</t>
  </si>
  <si>
    <t>ORD1355</t>
  </si>
  <si>
    <t>ORD6791</t>
  </si>
  <si>
    <t>ORD2460</t>
  </si>
  <si>
    <t xml:space="preserve"> ord-116 </t>
  </si>
  <si>
    <t>ORD1392</t>
  </si>
  <si>
    <t xml:space="preserve"> ord-442 </t>
  </si>
  <si>
    <t>ORD1340</t>
  </si>
  <si>
    <t>ORD1818</t>
  </si>
  <si>
    <t>ORD5792</t>
  </si>
  <si>
    <t>ORD9699</t>
  </si>
  <si>
    <t xml:space="preserve"> ord-597 </t>
  </si>
  <si>
    <t>ORD4401</t>
  </si>
  <si>
    <t xml:space="preserve"> ord-888 </t>
  </si>
  <si>
    <t>ORD3513</t>
  </si>
  <si>
    <t>ORD8799</t>
  </si>
  <si>
    <t>ORD4454</t>
  </si>
  <si>
    <t>ORD5055</t>
  </si>
  <si>
    <t>ORD2221</t>
  </si>
  <si>
    <t>ORD3665</t>
  </si>
  <si>
    <t xml:space="preserve"> ord-136 </t>
  </si>
  <si>
    <t>ORD3914</t>
  </si>
  <si>
    <t>ORD5636</t>
  </si>
  <si>
    <t>ORD5938</t>
  </si>
  <si>
    <t>ORD4771</t>
  </si>
  <si>
    <t>ORD8111</t>
  </si>
  <si>
    <t>ORD2422</t>
  </si>
  <si>
    <t xml:space="preserve"> ord-969 </t>
  </si>
  <si>
    <t>ORD8637</t>
  </si>
  <si>
    <t>ORD7452</t>
  </si>
  <si>
    <t>ORD4078</t>
  </si>
  <si>
    <t>ORD7552</t>
  </si>
  <si>
    <t>ORD1834</t>
  </si>
  <si>
    <t>ORD1792</t>
  </si>
  <si>
    <t>ORD6024</t>
  </si>
  <si>
    <t>ORD7906</t>
  </si>
  <si>
    <t>ORD6988</t>
  </si>
  <si>
    <t xml:space="preserve"> ord-875 </t>
  </si>
  <si>
    <t xml:space="preserve"> ord-645 </t>
  </si>
  <si>
    <t>ORD2721</t>
  </si>
  <si>
    <t>ORD1368</t>
  </si>
  <si>
    <t xml:space="preserve"> ord-155 </t>
  </si>
  <si>
    <t>ORD4718</t>
  </si>
  <si>
    <t>ORD5335</t>
  </si>
  <si>
    <t>ORD9817</t>
  </si>
  <si>
    <t>ORD5070</t>
  </si>
  <si>
    <t>ORD3384</t>
  </si>
  <si>
    <t>ORD6264</t>
  </si>
  <si>
    <t>ORD5009</t>
  </si>
  <si>
    <t>ORD5036</t>
  </si>
  <si>
    <t>ORD1132</t>
  </si>
  <si>
    <t>ORD2963</t>
  </si>
  <si>
    <t>ORD5584</t>
  </si>
  <si>
    <t>ORD7642</t>
  </si>
  <si>
    <t>ORD1292</t>
  </si>
  <si>
    <t>ORD5542</t>
  </si>
  <si>
    <t>ORD8869</t>
  </si>
  <si>
    <t>ORD6755</t>
  </si>
  <si>
    <t>ORD5050</t>
  </si>
  <si>
    <t>ORD4808</t>
  </si>
  <si>
    <t xml:space="preserve"> ord-898 </t>
  </si>
  <si>
    <t xml:space="preserve"> ord-775 </t>
  </si>
  <si>
    <t>ORD2079</t>
  </si>
  <si>
    <t>ORD5846</t>
  </si>
  <si>
    <t>ORD2875</t>
  </si>
  <si>
    <t>ORD2209</t>
  </si>
  <si>
    <t>ORD9444</t>
  </si>
  <si>
    <t>ORD6574</t>
  </si>
  <si>
    <t>ORD7843</t>
  </si>
  <si>
    <t xml:space="preserve"> ord-693 </t>
  </si>
  <si>
    <t>ORD5864</t>
  </si>
  <si>
    <t>ORD1864</t>
  </si>
  <si>
    <t>ORD3986</t>
  </si>
  <si>
    <t>ORD1055</t>
  </si>
  <si>
    <t>ORD7499</t>
  </si>
  <si>
    <t>ORD7382</t>
  </si>
  <si>
    <t>ORD9572</t>
  </si>
  <si>
    <t xml:space="preserve"> ord-955 </t>
  </si>
  <si>
    <t xml:space="preserve"> ord-882 </t>
  </si>
  <si>
    <t>ORD4034</t>
  </si>
  <si>
    <t>ORD2465</t>
  </si>
  <si>
    <t>ORD7331</t>
  </si>
  <si>
    <t>ORD9974</t>
  </si>
  <si>
    <t>ORD4391</t>
  </si>
  <si>
    <t>ORD1968</t>
  </si>
  <si>
    <t>ORD4349</t>
  </si>
  <si>
    <t>ORD8083</t>
  </si>
  <si>
    <t>ORD3889</t>
  </si>
  <si>
    <t>ORD5240</t>
  </si>
  <si>
    <t>ORD6909</t>
  </si>
  <si>
    <t>ORD8586</t>
  </si>
  <si>
    <t xml:space="preserve"> ord-231 </t>
  </si>
  <si>
    <t>ORD8848</t>
  </si>
  <si>
    <t xml:space="preserve"> ord-831 </t>
  </si>
  <si>
    <t>ORD7111</t>
  </si>
  <si>
    <t>ORD9627</t>
  </si>
  <si>
    <t>ORD7694</t>
  </si>
  <si>
    <t>ORD9333</t>
  </si>
  <si>
    <t xml:space="preserve"> ord-367 </t>
  </si>
  <si>
    <t>ORD6646</t>
  </si>
  <si>
    <t>ORD1941</t>
  </si>
  <si>
    <t>ORD8187</t>
  </si>
  <si>
    <t>ORD5076</t>
  </si>
  <si>
    <t>ORD1730</t>
  </si>
  <si>
    <t xml:space="preserve"> ord-741 </t>
  </si>
  <si>
    <t>ORD2379</t>
  </si>
  <si>
    <t>ORD9459</t>
  </si>
  <si>
    <t>ORD9808</t>
  </si>
  <si>
    <t>ORD5953</t>
  </si>
  <si>
    <t>ORD2019</t>
  </si>
  <si>
    <t>ORD8195</t>
  </si>
  <si>
    <t>ORD1973</t>
  </si>
  <si>
    <t>ORD6873</t>
  </si>
  <si>
    <t>ORD4239</t>
  </si>
  <si>
    <t>ORD7981</t>
  </si>
  <si>
    <t xml:space="preserve"> ord-988 </t>
  </si>
  <si>
    <t>ORD1481</t>
  </si>
  <si>
    <t>ORD9978</t>
  </si>
  <si>
    <t>ORD4052</t>
  </si>
  <si>
    <t>ORD3586</t>
  </si>
  <si>
    <t xml:space="preserve"> ord-788 </t>
  </si>
  <si>
    <t xml:space="preserve"> ord-105 </t>
  </si>
  <si>
    <t>ORD1906</t>
  </si>
  <si>
    <t>ORD4081</t>
  </si>
  <si>
    <t>ORD6830</t>
  </si>
  <si>
    <t>ORD5490</t>
  </si>
  <si>
    <t xml:space="preserve"> ord-659 </t>
  </si>
  <si>
    <t>ORD2832</t>
  </si>
  <si>
    <t>ORD1489</t>
  </si>
  <si>
    <t xml:space="preserve"> ord-533 </t>
  </si>
  <si>
    <t xml:space="preserve"> ord-891 </t>
  </si>
  <si>
    <t>ORD4644</t>
  </si>
  <si>
    <t xml:space="preserve"> ord-928 </t>
  </si>
  <si>
    <t>ORD2845</t>
  </si>
  <si>
    <t>ORD8714</t>
  </si>
  <si>
    <t>ORD1667</t>
  </si>
  <si>
    <t>ORD2025</t>
  </si>
  <si>
    <t>ORD1904</t>
  </si>
  <si>
    <t>ORD2440</t>
  </si>
  <si>
    <t xml:space="preserve"> ord-706 </t>
  </si>
  <si>
    <t>ORD3982</t>
  </si>
  <si>
    <t>ORD1671</t>
  </si>
  <si>
    <t>ORD7327</t>
  </si>
  <si>
    <t>ORD1600</t>
  </si>
  <si>
    <t>ORD8400</t>
  </si>
  <si>
    <t>ORD2782</t>
  </si>
  <si>
    <t>ORD4041</t>
  </si>
  <si>
    <t xml:space="preserve"> ord-874 </t>
  </si>
  <si>
    <t>ORD8973</t>
  </si>
  <si>
    <t>ORD2241</t>
  </si>
  <si>
    <t>ORD9719</t>
  </si>
  <si>
    <t>ORD6778</t>
  </si>
  <si>
    <t>ORD5370</t>
  </si>
  <si>
    <t>ORD6969</t>
  </si>
  <si>
    <t>ORD1544</t>
  </si>
  <si>
    <t>ORD8759</t>
  </si>
  <si>
    <t xml:space="preserve"> ord-444 </t>
  </si>
  <si>
    <t>ORD7839</t>
  </si>
  <si>
    <t>ORD7182</t>
  </si>
  <si>
    <t xml:space="preserve"> ord-665 </t>
  </si>
  <si>
    <t>ORD4683</t>
  </si>
  <si>
    <t xml:space="preserve"> ord-194 </t>
  </si>
  <si>
    <t>ORD9457</t>
  </si>
  <si>
    <t xml:space="preserve"> ord-587 </t>
  </si>
  <si>
    <t>ORD3544</t>
  </si>
  <si>
    <t>ORD5722</t>
  </si>
  <si>
    <t>ORD7131</t>
  </si>
  <si>
    <t xml:space="preserve"> ord-264 </t>
  </si>
  <si>
    <t>ORD6141</t>
  </si>
  <si>
    <t>ORD2160</t>
  </si>
  <si>
    <t>ORD9370</t>
  </si>
  <si>
    <t>ORD2340</t>
  </si>
  <si>
    <t>ORD3758</t>
  </si>
  <si>
    <t>ORD9953</t>
  </si>
  <si>
    <t>ORD1430</t>
  </si>
  <si>
    <t>ORD2538</t>
  </si>
  <si>
    <t>ORD3892</t>
  </si>
  <si>
    <t xml:space="preserve"> ord-324 </t>
  </si>
  <si>
    <t>ORD5833</t>
  </si>
  <si>
    <t>ORD7739</t>
  </si>
  <si>
    <t>ORD2741</t>
  </si>
  <si>
    <t>ORD1889</t>
  </si>
  <si>
    <t xml:space="preserve"> ord-363 </t>
  </si>
  <si>
    <t xml:space="preserve"> ord-494 </t>
  </si>
  <si>
    <t>ORD5975</t>
  </si>
  <si>
    <t>ORD7030</t>
  </si>
  <si>
    <t>ORD9015</t>
  </si>
  <si>
    <t xml:space="preserve"> ord-855 </t>
  </si>
  <si>
    <t>ORD2690</t>
  </si>
  <si>
    <t>ORD1444</t>
  </si>
  <si>
    <t>ORD6430</t>
  </si>
  <si>
    <t>ORD2883</t>
  </si>
  <si>
    <t>ORD5060</t>
  </si>
  <si>
    <t>ORD3515</t>
  </si>
  <si>
    <t>ORD9104</t>
  </si>
  <si>
    <t>ORD5087</t>
  </si>
  <si>
    <t>ORD3722</t>
  </si>
  <si>
    <t>ORD2384</t>
  </si>
  <si>
    <t>ORD9664</t>
  </si>
  <si>
    <t>ORD7651</t>
  </si>
  <si>
    <t>ORD4675</t>
  </si>
  <si>
    <t>ORD4092</t>
  </si>
  <si>
    <t>ORD6756</t>
  </si>
  <si>
    <t>ORD2941</t>
  </si>
  <si>
    <t>ORD9000</t>
  </si>
  <si>
    <t>ORD3881</t>
  </si>
  <si>
    <t xml:space="preserve"> ord-508 </t>
  </si>
  <si>
    <t>ORD1264</t>
  </si>
  <si>
    <t>ORD5549</t>
  </si>
  <si>
    <t>ORD5677</t>
  </si>
  <si>
    <t>ORD1442</t>
  </si>
  <si>
    <t xml:space="preserve"> ord-786 </t>
  </si>
  <si>
    <t>ORD3939</t>
  </si>
  <si>
    <t>ORD7044</t>
  </si>
  <si>
    <t xml:space="preserve"> ord-133 </t>
  </si>
  <si>
    <t>ORD9991</t>
  </si>
  <si>
    <t>ORD6828</t>
  </si>
  <si>
    <t>ORD5681</t>
  </si>
  <si>
    <t>ORD8011</t>
  </si>
  <si>
    <t>ORD1625</t>
  </si>
  <si>
    <t xml:space="preserve"> ord-864 </t>
  </si>
  <si>
    <t>ORD7333</t>
  </si>
  <si>
    <t>ORD4897</t>
  </si>
  <si>
    <t>ORD5477</t>
  </si>
  <si>
    <t>ORD6373</t>
  </si>
  <si>
    <t>ORD1815</t>
  </si>
  <si>
    <t>ORD2421</t>
  </si>
  <si>
    <t>ORD5952</t>
  </si>
  <si>
    <t xml:space="preserve"> ord-320 </t>
  </si>
  <si>
    <t>ORD3577</t>
  </si>
  <si>
    <t xml:space="preserve"> ord-118 </t>
  </si>
  <si>
    <t>ORD2348</t>
  </si>
  <si>
    <t>ORD7635</t>
  </si>
  <si>
    <t>ORD1588</t>
  </si>
  <si>
    <t>ORD7783</t>
  </si>
  <si>
    <t>ORD4680</t>
  </si>
  <si>
    <t>ORD7991</t>
  </si>
  <si>
    <t>ORD4065</t>
  </si>
  <si>
    <t xml:space="preserve"> ord-477 </t>
  </si>
  <si>
    <t>ORD7487</t>
  </si>
  <si>
    <t xml:space="preserve"> ord-472 </t>
  </si>
  <si>
    <t>ORD6679</t>
  </si>
  <si>
    <t>ORD2478</t>
  </si>
  <si>
    <t>ORD9484</t>
  </si>
  <si>
    <t>ORD8971</t>
  </si>
  <si>
    <t>ORD8147</t>
  </si>
  <si>
    <t>ORD8210</t>
  </si>
  <si>
    <t>ORD9705</t>
  </si>
  <si>
    <t>ORD4331</t>
  </si>
  <si>
    <t>ORD6913</t>
  </si>
  <si>
    <t xml:space="preserve"> ord-561 </t>
  </si>
  <si>
    <t>ORD3611</t>
  </si>
  <si>
    <t>ORD6247</t>
  </si>
  <si>
    <t>ORD8391</t>
  </si>
  <si>
    <t>ORD4466</t>
  </si>
  <si>
    <t>ORD6228</t>
  </si>
  <si>
    <t>ORD8254</t>
  </si>
  <si>
    <t>ORD6604</t>
  </si>
  <si>
    <t>ORD1100</t>
  </si>
  <si>
    <t>ORD4819</t>
  </si>
  <si>
    <t>ORD2626</t>
  </si>
  <si>
    <t>ORD4046</t>
  </si>
  <si>
    <t>ORD8963</t>
  </si>
  <si>
    <t xml:space="preserve"> ord-424 </t>
  </si>
  <si>
    <t>ORD9823</t>
  </si>
  <si>
    <t>ORD2620</t>
  </si>
  <si>
    <t>ORD9776</t>
  </si>
  <si>
    <t xml:space="preserve"> ord-408 </t>
  </si>
  <si>
    <t>ORD8635</t>
  </si>
  <si>
    <t>ORD1288</t>
  </si>
  <si>
    <t>ORD8894</t>
  </si>
  <si>
    <t>ORD3365</t>
  </si>
  <si>
    <t xml:space="preserve"> ord-616 </t>
  </si>
  <si>
    <t>ORD7189</t>
  </si>
  <si>
    <t>ORD1557</t>
  </si>
  <si>
    <t>ORD6606</t>
  </si>
  <si>
    <t>ORD3063</t>
  </si>
  <si>
    <t>ORD1543</t>
  </si>
  <si>
    <t>ORD5861</t>
  </si>
  <si>
    <t xml:space="preserve"> ord-861 </t>
  </si>
  <si>
    <t>ORD7227</t>
  </si>
  <si>
    <t>ORD8145</t>
  </si>
  <si>
    <t>ORD4749</t>
  </si>
  <si>
    <t>ORD6531</t>
  </si>
  <si>
    <t>ORD8540</t>
  </si>
  <si>
    <t>ORD2614</t>
  </si>
  <si>
    <t>ORD6733</t>
  </si>
  <si>
    <t>ORD9841</t>
  </si>
  <si>
    <t xml:space="preserve"> ord-810 </t>
  </si>
  <si>
    <t>ORD2885</t>
  </si>
  <si>
    <t>ORD3804</t>
  </si>
  <si>
    <t>ORD4909</t>
  </si>
  <si>
    <t>ORD3711</t>
  </si>
  <si>
    <t>ORD1376</t>
  </si>
  <si>
    <t xml:space="preserve"> ord-727 </t>
  </si>
  <si>
    <t>ORD2999</t>
  </si>
  <si>
    <t>ORD7060</t>
  </si>
  <si>
    <t>ORD9621</t>
  </si>
  <si>
    <t>ORD3809</t>
  </si>
  <si>
    <t>ORD8081</t>
  </si>
  <si>
    <t>ORD7125</t>
  </si>
  <si>
    <t>ORD7658</t>
  </si>
  <si>
    <t>ORD7655</t>
  </si>
  <si>
    <t>ORD5781</t>
  </si>
  <si>
    <t>ORD1949</t>
  </si>
  <si>
    <t>ORD5716</t>
  </si>
  <si>
    <t>ORD8050</t>
  </si>
  <si>
    <t>ORD6229</t>
  </si>
  <si>
    <t>ORD4283</t>
  </si>
  <si>
    <t>ORD1567</t>
  </si>
  <si>
    <t>ORD2487</t>
  </si>
  <si>
    <t xml:space="preserve"> ord-801 </t>
  </si>
  <si>
    <t>ORD5905</t>
  </si>
  <si>
    <t>ORD2028</t>
  </si>
  <si>
    <t>ORD4626</t>
  </si>
  <si>
    <t>ORD9792</t>
  </si>
  <si>
    <t>ORD7361</t>
  </si>
  <si>
    <t>ORD8078</t>
  </si>
  <si>
    <t>ORD4759</t>
  </si>
  <si>
    <t>ORD5210</t>
  </si>
  <si>
    <t>ORD9804</t>
  </si>
  <si>
    <t>ORD4842</t>
  </si>
  <si>
    <t>ORD1309</t>
  </si>
  <si>
    <t>ORD9006</t>
  </si>
  <si>
    <t>ORD3769</t>
  </si>
  <si>
    <t>ORD1497</t>
  </si>
  <si>
    <t>ORD5604</t>
  </si>
  <si>
    <t xml:space="preserve"> ord-274 </t>
  </si>
  <si>
    <t>ORD6415</t>
  </si>
  <si>
    <t>ORD9596</t>
  </si>
  <si>
    <t xml:space="preserve"> ord-782 </t>
  </si>
  <si>
    <t>ORD2469</t>
  </si>
  <si>
    <t>ORD1824</t>
  </si>
  <si>
    <t xml:space="preserve"> ord-678 </t>
  </si>
  <si>
    <t xml:space="preserve"> ord-574 </t>
  </si>
  <si>
    <t>ORD5409</t>
  </si>
  <si>
    <t xml:space="preserve"> ord-164 </t>
  </si>
  <si>
    <t>ORD4205</t>
  </si>
  <si>
    <t>ORD2032</t>
  </si>
  <si>
    <t>ORD5103</t>
  </si>
  <si>
    <t xml:space="preserve"> ord-376 </t>
  </si>
  <si>
    <t xml:space="preserve"> ord-200 </t>
  </si>
  <si>
    <t>ORD7321</t>
  </si>
  <si>
    <t>ORD5316</t>
  </si>
  <si>
    <t>ORD2059</t>
  </si>
  <si>
    <t>ORD1594</t>
  </si>
  <si>
    <t xml:space="preserve"> ord-375 </t>
  </si>
  <si>
    <t>ORD9738</t>
  </si>
  <si>
    <t>ORD4427</t>
  </si>
  <si>
    <t>ORD1999</t>
  </si>
  <si>
    <t>ORD2615</t>
  </si>
  <si>
    <t>ORD2359</t>
  </si>
  <si>
    <t>ORD7594</t>
  </si>
  <si>
    <t>ORD8720</t>
  </si>
  <si>
    <t>ORD8162</t>
  </si>
  <si>
    <t xml:space="preserve"> ord-149 </t>
  </si>
  <si>
    <t>ORD8711</t>
  </si>
  <si>
    <t>ORD3269</t>
  </si>
  <si>
    <t xml:space="preserve"> ord-241 </t>
  </si>
  <si>
    <t>ORD5703</t>
  </si>
  <si>
    <t>ORD8041</t>
  </si>
  <si>
    <t>ORD9511</t>
  </si>
  <si>
    <t xml:space="preserve"> ord-968 </t>
  </si>
  <si>
    <t>ORD4404</t>
  </si>
  <si>
    <t>ORD7875</t>
  </si>
  <si>
    <t>ORD7617</t>
  </si>
  <si>
    <t>ORD6659</t>
  </si>
  <si>
    <t xml:space="preserve"> ord-695 </t>
  </si>
  <si>
    <t>ORD7158</t>
  </si>
  <si>
    <t>ORD6672</t>
  </si>
  <si>
    <t>ORD9983</t>
  </si>
  <si>
    <t xml:space="preserve"> ord-776 </t>
  </si>
  <si>
    <t>ORD5443</t>
  </si>
  <si>
    <t>ORD8824</t>
  </si>
  <si>
    <t>ORD1863</t>
  </si>
  <si>
    <t>ORD8189</t>
  </si>
  <si>
    <t>ORD9772</t>
  </si>
  <si>
    <t>ORD9391</t>
  </si>
  <si>
    <t>ORD6025</t>
  </si>
  <si>
    <t>ORD7886</t>
  </si>
  <si>
    <t>ORD8248</t>
  </si>
  <si>
    <t>ORD1446</t>
  </si>
  <si>
    <t>ORD4413</t>
  </si>
  <si>
    <t>ORD5173</t>
  </si>
  <si>
    <t xml:space="preserve"> ord-624 </t>
  </si>
  <si>
    <t>ORD6291</t>
  </si>
  <si>
    <t>ORD1805</t>
  </si>
  <si>
    <t>ORD1559</t>
  </si>
  <si>
    <t>ORD2484</t>
  </si>
  <si>
    <t>ORD7601</t>
  </si>
  <si>
    <t xml:space="preserve"> ord-619 </t>
  </si>
  <si>
    <t>ORD2395</t>
  </si>
  <si>
    <t xml:space="preserve"> ord-933 </t>
  </si>
  <si>
    <t>ORD9619</t>
  </si>
  <si>
    <t>ORD1895</t>
  </si>
  <si>
    <t>ORD7858</t>
  </si>
  <si>
    <t>ORD4833</t>
  </si>
  <si>
    <t>ORD8472</t>
  </si>
  <si>
    <t>ORD2351</t>
  </si>
  <si>
    <t>ORD9702</t>
  </si>
  <si>
    <t>ORD4414</t>
  </si>
  <si>
    <t xml:space="preserve"> ord-386 </t>
  </si>
  <si>
    <t>ORD3841</t>
  </si>
  <si>
    <t>ORD1461</t>
  </si>
  <si>
    <t>ORD7337</t>
  </si>
  <si>
    <t xml:space="preserve"> ord-952 </t>
  </si>
  <si>
    <t>ORD4890</t>
  </si>
  <si>
    <t xml:space="preserve"> ord-139 </t>
  </si>
  <si>
    <t>ORD6142</t>
  </si>
  <si>
    <t xml:space="preserve"> ord-784 </t>
  </si>
  <si>
    <t>ORD2935</t>
  </si>
  <si>
    <t>ORD2547</t>
  </si>
  <si>
    <t>ORD1932</t>
  </si>
  <si>
    <t xml:space="preserve"> ord-918 </t>
  </si>
  <si>
    <t xml:space="preserve"> ord-980 </t>
  </si>
  <si>
    <t>ORD2592</t>
  </si>
  <si>
    <t xml:space="preserve"> ord-528 </t>
  </si>
  <si>
    <t>ORD6765</t>
  </si>
  <si>
    <t>ORD6413</t>
  </si>
  <si>
    <t xml:space="preserve"> ord-724 </t>
  </si>
  <si>
    <t>ORD6491</t>
  </si>
  <si>
    <t xml:space="preserve"> ord-450 </t>
  </si>
  <si>
    <t xml:space="preserve"> ord-527 </t>
  </si>
  <si>
    <t>ORD2766</t>
  </si>
  <si>
    <t>ORD1831</t>
  </si>
  <si>
    <t>ORD6431</t>
  </si>
  <si>
    <t>ORD4392</t>
  </si>
  <si>
    <t>ORD2018</t>
  </si>
  <si>
    <t>ORD4097</t>
  </si>
  <si>
    <t xml:space="preserve"> ord-697 </t>
  </si>
  <si>
    <t xml:space="preserve"> ord-746 </t>
  </si>
  <si>
    <t xml:space="preserve"> ord-757 </t>
  </si>
  <si>
    <t>ORD4807</t>
  </si>
  <si>
    <t>ORD6188</t>
  </si>
  <si>
    <t xml:space="preserve"> ord-305 </t>
  </si>
  <si>
    <t>ORD9636</t>
  </si>
  <si>
    <t xml:space="preserve"> ord-628 </t>
  </si>
  <si>
    <t>ORD8611</t>
  </si>
  <si>
    <t>ORD1436</t>
  </si>
  <si>
    <t>ORD2403</t>
  </si>
  <si>
    <t>ORD5554</t>
  </si>
  <si>
    <t>ORD7980</t>
  </si>
  <si>
    <t>ORD3996</t>
  </si>
  <si>
    <t>ORD7026</t>
  </si>
  <si>
    <t>ORD3835</t>
  </si>
  <si>
    <t>ORD2140</t>
  </si>
  <si>
    <t xml:space="preserve"> ord-459 </t>
  </si>
  <si>
    <t xml:space="preserve"> ord-661 </t>
  </si>
  <si>
    <t>ORD9620</t>
  </si>
  <si>
    <t xml:space="preserve"> ord-743 </t>
  </si>
  <si>
    <t>ORD6856</t>
  </si>
  <si>
    <t>ORD3377</t>
  </si>
  <si>
    <t>ORD3407</t>
  </si>
  <si>
    <t xml:space="preserve"> ord-298 </t>
  </si>
  <si>
    <t>ORD5642</t>
  </si>
  <si>
    <t>ORD5784</t>
  </si>
  <si>
    <t xml:space="preserve"> ord-566 </t>
  </si>
  <si>
    <t>ORD8443</t>
  </si>
  <si>
    <t xml:space="preserve"> ord-519 </t>
  </si>
  <si>
    <t>ORD5927</t>
  </si>
  <si>
    <t>ORD1782</t>
  </si>
  <si>
    <t>ORD3686</t>
  </si>
  <si>
    <t>ORD9056</t>
  </si>
  <si>
    <t>ORD7787</t>
  </si>
  <si>
    <t xml:space="preserve"> ord-720 </t>
  </si>
  <si>
    <t>ORD3398</t>
  </si>
  <si>
    <t>ORD4871</t>
  </si>
  <si>
    <t>ORD6964</t>
  </si>
  <si>
    <t>ORD7247</t>
  </si>
  <si>
    <t>ORD4139</t>
  </si>
  <si>
    <t>ORD6489</t>
  </si>
  <si>
    <t>ORD2099</t>
  </si>
  <si>
    <t>ORD5353</t>
  </si>
  <si>
    <t xml:space="preserve"> ord-598 </t>
  </si>
  <si>
    <t xml:space="preserve"> ord-400 </t>
  </si>
  <si>
    <t>ORD9191</t>
  </si>
  <si>
    <t>ORD2438</t>
  </si>
  <si>
    <t xml:space="preserve"> ord-484 </t>
  </si>
  <si>
    <t>ORD5381</t>
  </si>
  <si>
    <t>ORD2361</t>
  </si>
  <si>
    <t>ORD9368</t>
  </si>
  <si>
    <t>ORD4333</t>
  </si>
  <si>
    <t>ORD3093</t>
  </si>
  <si>
    <t>ORD3975</t>
  </si>
  <si>
    <t>ORD4613</t>
  </si>
  <si>
    <t xml:space="preserve"> ord-213 </t>
  </si>
  <si>
    <t>ORD7997</t>
  </si>
  <si>
    <t>ORD8681</t>
  </si>
  <si>
    <t xml:space="preserve"> ord-515 </t>
  </si>
  <si>
    <t xml:space="preserve"> ord-803 </t>
  </si>
  <si>
    <t xml:space="preserve"> ord-512 </t>
  </si>
  <si>
    <t>ORD4855</t>
  </si>
  <si>
    <t>ORD7820</t>
  </si>
  <si>
    <t xml:space="preserve"> ord-333 </t>
  </si>
  <si>
    <t xml:space="preserve"> ord-869 </t>
  </si>
  <si>
    <t>ORD5476</t>
  </si>
  <si>
    <t>ORD8123</t>
  </si>
  <si>
    <t>ORD4851</t>
  </si>
  <si>
    <t>ORD1318</t>
  </si>
  <si>
    <t>ORD8532</t>
  </si>
  <si>
    <t>ORD8707</t>
  </si>
  <si>
    <t>ORD1016</t>
  </si>
  <si>
    <t>ORD1371</t>
  </si>
  <si>
    <t>ORD2374</t>
  </si>
  <si>
    <t xml:space="preserve"> ord-332 </t>
  </si>
  <si>
    <t>ORD4107</t>
  </si>
  <si>
    <t>ORD5623</t>
  </si>
  <si>
    <t xml:space="preserve"> ord-681 </t>
  </si>
  <si>
    <t xml:space="preserve"> ord-285 </t>
  </si>
  <si>
    <t>ORD7387</t>
  </si>
  <si>
    <t>ORD9490</t>
  </si>
  <si>
    <t>ORD8662</t>
  </si>
  <si>
    <t>ORD6235</t>
  </si>
  <si>
    <t>ORD3426</t>
  </si>
  <si>
    <t>ORD1425</t>
  </si>
  <si>
    <t>ORD9102</t>
  </si>
  <si>
    <t>ORD3890</t>
  </si>
  <si>
    <t>ORD8351</t>
  </si>
  <si>
    <t>ORD1078</t>
  </si>
  <si>
    <t>ORD5923</t>
  </si>
  <si>
    <t>ORD7064</t>
  </si>
  <si>
    <t>ORD3087</t>
  </si>
  <si>
    <t>ORD5488</t>
  </si>
  <si>
    <t xml:space="preserve"> ord-382 </t>
  </si>
  <si>
    <t xml:space="preserve"> ord-216 </t>
  </si>
  <si>
    <t xml:space="preserve"> ord-894 </t>
  </si>
  <si>
    <t>ORD2139</t>
  </si>
  <si>
    <t>ORD8765</t>
  </si>
  <si>
    <t>ORD9366</t>
  </si>
  <si>
    <t xml:space="preserve"> ord-948 </t>
  </si>
  <si>
    <t>ORD4956</t>
  </si>
  <si>
    <t>ORD4247</t>
  </si>
  <si>
    <t>ORD6642</t>
  </si>
  <si>
    <t>ORD9766</t>
  </si>
  <si>
    <t>ORD5787</t>
  </si>
  <si>
    <t>ORD9303</t>
  </si>
  <si>
    <t>ORD2637</t>
  </si>
  <si>
    <t>ORD7521</t>
  </si>
  <si>
    <t>ORD4212</t>
  </si>
  <si>
    <t xml:space="preserve"> ord-378 </t>
  </si>
  <si>
    <t xml:space="preserve"> ord-620 </t>
  </si>
  <si>
    <t>ORD2176</t>
  </si>
  <si>
    <t>ORD3788</t>
  </si>
  <si>
    <t>ORD7347</t>
  </si>
  <si>
    <t>ORD5349</t>
  </si>
  <si>
    <t>ORD3358</t>
  </si>
  <si>
    <t xml:space="preserve"> ord-387 </t>
  </si>
  <si>
    <t>ORD6735</t>
  </si>
  <si>
    <t>ORD6918</t>
  </si>
  <si>
    <t>ORD7359</t>
  </si>
  <si>
    <t xml:space="preserve"> ord-183 </t>
  </si>
  <si>
    <t>ORD1923</t>
  </si>
  <si>
    <t xml:space="preserve"> ord-617 </t>
  </si>
  <si>
    <t>ORD7311</t>
  </si>
  <si>
    <t>ORD4839</t>
  </si>
  <si>
    <t>ORD6146</t>
  </si>
  <si>
    <t>ORD4999</t>
  </si>
  <si>
    <t>ORD7966</t>
  </si>
  <si>
    <t>ORD6234</t>
  </si>
  <si>
    <t>ORD9818</t>
  </si>
  <si>
    <t xml:space="preserve"> ord-635 </t>
  </si>
  <si>
    <t>ORD5625</t>
  </si>
  <si>
    <t>ORD5682</t>
  </si>
  <si>
    <t>ORD7723</t>
  </si>
  <si>
    <t>ORD8017</t>
  </si>
  <si>
    <t>ORD6279</t>
  </si>
  <si>
    <t xml:space="preserve"> ord-418 </t>
  </si>
  <si>
    <t>ORD9276</t>
  </si>
  <si>
    <t xml:space="preserve"> ord-745 </t>
  </si>
  <si>
    <t>ORD8914</t>
  </si>
  <si>
    <t>ORD6087</t>
  </si>
  <si>
    <t xml:space="preserve"> ord-540 </t>
  </si>
  <si>
    <t>ORD6616</t>
  </si>
  <si>
    <t>ORD7467</t>
  </si>
  <si>
    <t>ORD7659</t>
  </si>
  <si>
    <t>ORD8837</t>
  </si>
  <si>
    <t>ORD5470</t>
  </si>
  <si>
    <t>ORD2416</t>
  </si>
  <si>
    <t>ORD4490</t>
  </si>
  <si>
    <t>ORD5297</t>
  </si>
  <si>
    <t>ORD9644</t>
  </si>
  <si>
    <t>ORD9327</t>
  </si>
  <si>
    <t>ORD9273</t>
  </si>
  <si>
    <t>ORD3144</t>
  </si>
  <si>
    <t>ORD2234</t>
  </si>
  <si>
    <t>ORD9338</t>
  </si>
  <si>
    <t>ORD3555</t>
  </si>
  <si>
    <t>ORD9098</t>
  </si>
  <si>
    <t xml:space="preserve"> ord-498 </t>
  </si>
  <si>
    <t xml:space="preserve"> ord-173 </t>
  </si>
  <si>
    <t>ORD6666</t>
  </si>
  <si>
    <t>ORD7155</t>
  </si>
  <si>
    <t>ORD1700</t>
  </si>
  <si>
    <t>ORD3314</t>
  </si>
  <si>
    <t>ORD9558</t>
  </si>
  <si>
    <t xml:space="preserve"> ord-161 </t>
  </si>
  <si>
    <t>ORD4269</t>
  </si>
  <si>
    <t>ORD4194</t>
  </si>
  <si>
    <t>ORD4512</t>
  </si>
  <si>
    <t>ORD1152</t>
  </si>
  <si>
    <t>ORD2373</t>
  </si>
  <si>
    <t xml:space="preserve"> ord-184 </t>
  </si>
  <si>
    <t>ORD3846</t>
  </si>
  <si>
    <t>ORD1684</t>
  </si>
  <si>
    <t>ORD7436</t>
  </si>
  <si>
    <t>ORD3073</t>
  </si>
  <si>
    <t>ORD7811</t>
  </si>
  <si>
    <t>ORD9479</t>
  </si>
  <si>
    <t>ORD6855</t>
  </si>
  <si>
    <t>ORD3217</t>
  </si>
  <si>
    <t>ORD7647</t>
  </si>
  <si>
    <t>ORD5885</t>
  </si>
  <si>
    <t>ORD5552</t>
  </si>
  <si>
    <t xml:space="preserve"> ord-822 </t>
  </si>
  <si>
    <t>ORD8398</t>
  </si>
  <si>
    <t>ORD9657</t>
  </si>
  <si>
    <t>ORD1777</t>
  </si>
  <si>
    <t>ORD2897</t>
  </si>
  <si>
    <t>ORD2785</t>
  </si>
  <si>
    <t>ORD8899</t>
  </si>
  <si>
    <t>ORD3834</t>
  </si>
  <si>
    <t xml:space="preserve"> ord-591 </t>
  </si>
  <si>
    <t>ORD9727</t>
  </si>
  <si>
    <t xml:space="preserve"> ord-756 </t>
  </si>
  <si>
    <t>ORD4299</t>
  </si>
  <si>
    <t>ORD9315</t>
  </si>
  <si>
    <t>ORD5398</t>
  </si>
  <si>
    <t>ORD6748</t>
  </si>
  <si>
    <t>ORD5780</t>
  </si>
  <si>
    <t>ORD2566</t>
  </si>
  <si>
    <t>ORD3271</t>
  </si>
  <si>
    <t>ORD9977</t>
  </si>
  <si>
    <t>ORD2501</t>
  </si>
  <si>
    <t>ORD9066</t>
  </si>
  <si>
    <t>ORD5307</t>
  </si>
  <si>
    <t>ORD2150</t>
  </si>
  <si>
    <t>ORD8979</t>
  </si>
  <si>
    <t>ORD8689</t>
  </si>
  <si>
    <t>ORD7196</t>
  </si>
  <si>
    <t>ORD2691</t>
  </si>
  <si>
    <t>ORD3968</t>
  </si>
  <si>
    <t>ORD3155</t>
  </si>
  <si>
    <t>ORD6615</t>
  </si>
  <si>
    <t xml:space="preserve"> ord-198 </t>
  </si>
  <si>
    <t>ORD4187</t>
  </si>
  <si>
    <t>ORD6717</t>
  </si>
  <si>
    <t>ORD8622</t>
  </si>
  <si>
    <t xml:space="preserve"> ord-565 </t>
  </si>
  <si>
    <t>ORD5075</t>
  </si>
  <si>
    <t>ORD3521</t>
  </si>
  <si>
    <t>ORD7577</t>
  </si>
  <si>
    <t>ORD1398</t>
  </si>
  <si>
    <t>ORD7348</t>
  </si>
  <si>
    <t>ORD1348</t>
  </si>
  <si>
    <t xml:space="preserve"> ord-454 </t>
  </si>
  <si>
    <t>ORD4325</t>
  </si>
  <si>
    <t>ORD3668</t>
  </si>
  <si>
    <t>ORD9791</t>
  </si>
  <si>
    <t>ORD1477</t>
  </si>
  <si>
    <t xml:space="preserve"> ord-633 </t>
  </si>
  <si>
    <t>ORD2454</t>
  </si>
  <si>
    <t xml:space="preserve"> ord-480 </t>
  </si>
  <si>
    <t>ORD2037</t>
  </si>
  <si>
    <t>ORD1978</t>
  </si>
  <si>
    <t>ORD4266</t>
  </si>
  <si>
    <t>ORD4568</t>
  </si>
  <si>
    <t>ORD2146</t>
  </si>
  <si>
    <t xml:space="preserve"> ord-841 </t>
  </si>
  <si>
    <t>ORD6916</t>
  </si>
  <si>
    <t>ORD6578</t>
  </si>
  <si>
    <t>ORD6484</t>
  </si>
  <si>
    <t>ORD8548</t>
  </si>
  <si>
    <t>ORD2987</t>
  </si>
  <si>
    <t xml:space="preserve"> ord-997 </t>
  </si>
  <si>
    <t>ORD2314</t>
  </si>
  <si>
    <t>ORD8872</t>
  </si>
  <si>
    <t>ORD6479</t>
  </si>
  <si>
    <t>ORD1539</t>
  </si>
  <si>
    <t>ORD4513</t>
  </si>
  <si>
    <t xml:space="preserve"> ord-698 </t>
  </si>
  <si>
    <t>ORD6131</t>
  </si>
  <si>
    <t xml:space="preserve"> ord-849 </t>
  </si>
  <si>
    <t>ORD5313</t>
  </si>
  <si>
    <t>ORD5007</t>
  </si>
  <si>
    <t>ORD9951</t>
  </si>
  <si>
    <t>ORD6527</t>
  </si>
  <si>
    <t>ORD8881</t>
  </si>
  <si>
    <t>ORD8153</t>
  </si>
  <si>
    <t>ORD1771</t>
  </si>
  <si>
    <t xml:space="preserve"> ord-165 </t>
  </si>
  <si>
    <t>ORD7036</t>
  </si>
  <si>
    <t>ORD3223</t>
  </si>
  <si>
    <t>ORD9233</t>
  </si>
  <si>
    <t xml:space="preserve"> ord-356 </t>
  </si>
  <si>
    <t>ORD2586</t>
  </si>
  <si>
    <t>ORD9813</t>
  </si>
  <si>
    <t>ORD7315</t>
  </si>
  <si>
    <t>ORD1293</t>
  </si>
  <si>
    <t>ORD7586</t>
  </si>
  <si>
    <t>ORD5411</t>
  </si>
  <si>
    <t>ORD7895</t>
  </si>
  <si>
    <t>ORD3922</t>
  </si>
  <si>
    <t>ORD7172</t>
  </si>
  <si>
    <t>ORD3529</t>
  </si>
  <si>
    <t>ORD6305</t>
  </si>
  <si>
    <t>ORD7678</t>
  </si>
  <si>
    <t>ORD1381</t>
  </si>
  <si>
    <t>ORD9654</t>
  </si>
  <si>
    <t>ORD9839</t>
  </si>
  <si>
    <t>ORD1479</t>
  </si>
  <si>
    <t>ORD3348</t>
  </si>
  <si>
    <t>ORD5358</t>
  </si>
  <si>
    <t>ORD6376</t>
  </si>
  <si>
    <t>ORD1177</t>
  </si>
  <si>
    <t>ORD9425</t>
  </si>
  <si>
    <t>ORD5318</t>
  </si>
  <si>
    <t>ORD2486</t>
  </si>
  <si>
    <t>ORD8055</t>
  </si>
  <si>
    <t>ORD9611</t>
  </si>
  <si>
    <t>ORD6792</t>
  </si>
  <si>
    <t>ORD9404</t>
  </si>
  <si>
    <t>ORD6340</t>
  </si>
  <si>
    <t>ORD1204</t>
  </si>
  <si>
    <t>ORD9709</t>
  </si>
  <si>
    <t>ORD7490</t>
  </si>
  <si>
    <t>ORD1064</t>
  </si>
  <si>
    <t xml:space="preserve"> ord-238 </t>
  </si>
  <si>
    <t xml:space="preserve"> ord-826 </t>
  </si>
  <si>
    <t xml:space="preserve"> ord-702 </t>
  </si>
  <si>
    <t>ORD7515</t>
  </si>
  <si>
    <t>ORD5392</t>
  </si>
  <si>
    <t>ORD6938</t>
  </si>
  <si>
    <t>ORD1390</t>
  </si>
  <si>
    <t>ORD8769</t>
  </si>
  <si>
    <t>ORD6086</t>
  </si>
  <si>
    <t xml:space="preserve"> ord-827 </t>
  </si>
  <si>
    <t xml:space="preserve"> ord-934 </t>
  </si>
  <si>
    <t>ORD3248</t>
  </si>
  <si>
    <t>ORD5373</t>
  </si>
  <si>
    <t>ORD3438</t>
  </si>
  <si>
    <t>ORD3177</t>
  </si>
  <si>
    <t>ORD5779</t>
  </si>
  <si>
    <t>ORD4563</t>
  </si>
  <si>
    <t>ORD9009</t>
  </si>
  <si>
    <t>ORD7423</t>
  </si>
  <si>
    <t>ORD3253</t>
  </si>
  <si>
    <t>ORD5901</t>
  </si>
  <si>
    <t>ORD5310</t>
  </si>
  <si>
    <t xml:space="preserve"> ord-180 </t>
  </si>
  <si>
    <t>ORD7891</t>
  </si>
  <si>
    <t>ORD4209</t>
  </si>
  <si>
    <t>ORD2194</t>
  </si>
  <si>
    <t>ORD4837</t>
  </si>
  <si>
    <t>ORD4816</t>
  </si>
  <si>
    <t>ORD5376</t>
  </si>
  <si>
    <t>ORD2432</t>
  </si>
  <si>
    <t xml:space="preserve"> ord-223 </t>
  </si>
  <si>
    <t>ORD2320</t>
  </si>
  <si>
    <t>ORD2982</t>
  </si>
  <si>
    <t>ORD1114</t>
  </si>
  <si>
    <t>ORD8838</t>
  </si>
  <si>
    <t xml:space="preserve"> ord-368 </t>
  </si>
  <si>
    <t xml:space="preserve"> ord-107 </t>
  </si>
  <si>
    <t>ORD2070</t>
  </si>
  <si>
    <t>ORD7209</t>
  </si>
  <si>
    <t>ORD6295</t>
  </si>
  <si>
    <t>ORD4947</t>
  </si>
  <si>
    <t>ORD4176</t>
  </si>
  <si>
    <t>ORD2020</t>
  </si>
  <si>
    <t>ORD3315</t>
  </si>
  <si>
    <t>ORD5329</t>
  </si>
  <si>
    <t>ORD3799</t>
  </si>
  <si>
    <t>ORD5863</t>
  </si>
  <si>
    <t>ORD4560</t>
  </si>
  <si>
    <t>ORD8679</t>
  </si>
  <si>
    <t>ORD6644</t>
  </si>
  <si>
    <t>ORD1448</t>
  </si>
  <si>
    <t>ORD5139</t>
  </si>
  <si>
    <t>ORD9401</t>
  </si>
  <si>
    <t>ORD7270</t>
  </si>
  <si>
    <t>ORD9675</t>
  </si>
  <si>
    <t>ORD8946</t>
  </si>
  <si>
    <t>ORD5680</t>
  </si>
  <si>
    <t>ORD3458</t>
  </si>
  <si>
    <t>ORD1189</t>
  </si>
  <si>
    <t>ORD5516</t>
  </si>
  <si>
    <t xml:space="preserve"> ord-805 </t>
  </si>
  <si>
    <t>ORD7549</t>
  </si>
  <si>
    <t xml:space="preserve"> ord-170 </t>
  </si>
  <si>
    <t>ORD2085</t>
  </si>
  <si>
    <t>ORD3349</t>
  </si>
  <si>
    <t>ORD9988</t>
  </si>
  <si>
    <t>ORD7279</t>
  </si>
  <si>
    <t>ORD7516</t>
  </si>
  <si>
    <t>ORD3966</t>
  </si>
  <si>
    <t>ORD5205</t>
  </si>
  <si>
    <t>ORD2040</t>
  </si>
  <si>
    <t>ORD2161</t>
  </si>
  <si>
    <t>ORD5394</t>
  </si>
  <si>
    <t>ORD4419</t>
  </si>
  <si>
    <t>ORD5591</t>
  </si>
  <si>
    <t xml:space="preserve"> ord-220 </t>
  </si>
  <si>
    <t>ORD7421</t>
  </si>
  <si>
    <t>ORD5816</t>
  </si>
  <si>
    <t>ORD4763</t>
  </si>
  <si>
    <t xml:space="preserve"> ord-457 </t>
  </si>
  <si>
    <t>ORD1707</t>
  </si>
  <si>
    <t>ORD9800</t>
  </si>
  <si>
    <t>ORD4907</t>
  </si>
  <si>
    <t>ORD8313</t>
  </si>
  <si>
    <t>ORD4647</t>
  </si>
  <si>
    <t>ORD2535</t>
  </si>
  <si>
    <t>ORD6060</t>
  </si>
  <si>
    <t>ORD4867</t>
  </si>
  <si>
    <t>ORD4018</t>
  </si>
  <si>
    <t xml:space="preserve"> ord-100 </t>
  </si>
  <si>
    <t>ORD9207</t>
  </si>
  <si>
    <t>ORD4491</t>
  </si>
  <si>
    <t>ORD9759</t>
  </si>
  <si>
    <t>ORD3794</t>
  </si>
  <si>
    <t>ORD1160</t>
  </si>
  <si>
    <t>ORD2601</t>
  </si>
  <si>
    <t>ORD8274</t>
  </si>
  <si>
    <t xml:space="preserve"> ord-557 </t>
  </si>
  <si>
    <t>ORD3697</t>
  </si>
  <si>
    <t>ORD7773</t>
  </si>
  <si>
    <t>ORD6350</t>
  </si>
  <si>
    <t>ORD5746</t>
  </si>
  <si>
    <t>ORD5980</t>
  </si>
  <si>
    <t>ORD7649</t>
  </si>
  <si>
    <t xml:space="preserve"> ord-381 </t>
  </si>
  <si>
    <t>ORD1561</t>
  </si>
  <si>
    <t>ORD8039</t>
  </si>
  <si>
    <t xml:space="preserve"> ord-700 </t>
  </si>
  <si>
    <t>ORD4959</t>
  </si>
  <si>
    <t>ORD9452</t>
  </si>
  <si>
    <t>ORD1353</t>
  </si>
  <si>
    <t>ORD4754</t>
  </si>
  <si>
    <t>ORD5574</t>
  </si>
  <si>
    <t>ORD5541</t>
  </si>
  <si>
    <t>ORD3720</t>
  </si>
  <si>
    <t>ORD5486</t>
  </si>
  <si>
    <t xml:space="preserve"> ord-572 </t>
  </si>
  <si>
    <t xml:space="preserve"> ord-141 </t>
  </si>
  <si>
    <t>ORD8205</t>
  </si>
  <si>
    <t>ORD2488</t>
  </si>
  <si>
    <t>ORD4983</t>
  </si>
  <si>
    <t>ORD1975</t>
  </si>
  <si>
    <t>ORD7300</t>
  </si>
  <si>
    <t xml:space="preserve"> ord-686 </t>
  </si>
  <si>
    <t xml:space="preserve"> ord-301 </t>
  </si>
  <si>
    <t>ORD2329</t>
  </si>
  <si>
    <t>ORD7210</t>
  </si>
  <si>
    <t>ORD4437</t>
  </si>
  <si>
    <t>ORD9019</t>
  </si>
  <si>
    <t>ORD8683</t>
  </si>
  <si>
    <t>ORD1071</t>
  </si>
  <si>
    <t xml:space="preserve"> ord-930 </t>
  </si>
  <si>
    <t>ORD2046</t>
  </si>
  <si>
    <t>ORD4288</t>
  </si>
  <si>
    <t>ORD1411</t>
  </si>
  <si>
    <t>ORD7719</t>
  </si>
  <si>
    <t>ORD4093</t>
  </si>
  <si>
    <t>ORD6136</t>
  </si>
  <si>
    <t xml:space="preserve"> ord-570 </t>
  </si>
  <si>
    <t>ORD5753</t>
  </si>
  <si>
    <t xml:space="preserve"> ord-862 </t>
  </si>
  <si>
    <t xml:space="preserve"> ord-272 </t>
  </si>
  <si>
    <t>ORD3608</t>
  </si>
  <si>
    <t>ORD5834</t>
  </si>
  <si>
    <t>ORD1036</t>
  </si>
  <si>
    <t>ORD1495</t>
  </si>
  <si>
    <t xml:space="preserve"> ord-232 </t>
  </si>
  <si>
    <t>ORD2842</t>
  </si>
  <si>
    <t>ORD7417</t>
  </si>
  <si>
    <t>ORD7716</t>
  </si>
  <si>
    <t xml:space="preserve"> ord-315 </t>
  </si>
  <si>
    <t>ORD6819</t>
  </si>
  <si>
    <t>ORD6130</t>
  </si>
  <si>
    <t xml:space="preserve"> ord-455 </t>
  </si>
  <si>
    <t>ORD9859</t>
  </si>
  <si>
    <t>ORD5700</t>
  </si>
  <si>
    <t>ORD1490</t>
  </si>
  <si>
    <t>ORD9843</t>
  </si>
  <si>
    <t>ORD6867</t>
  </si>
  <si>
    <t>ORD5314</t>
  </si>
  <si>
    <t xml:space="preserve"> ord-148 </t>
  </si>
  <si>
    <t>ORD6320</t>
  </si>
  <si>
    <t>ORD5069</t>
  </si>
  <si>
    <t>ORD1135</t>
  </si>
  <si>
    <t>ORD1668</t>
  </si>
  <si>
    <t>ORD5334</t>
  </si>
  <si>
    <t>ORD5099</t>
  </si>
  <si>
    <t>ORD6736</t>
  </si>
  <si>
    <t xml:space="preserve"> ord-907 </t>
  </si>
  <si>
    <t>ORD5587</t>
  </si>
  <si>
    <t>ORD1553</t>
  </si>
  <si>
    <t xml:space="preserve"> ord-890 </t>
  </si>
  <si>
    <t>ORD3765</t>
  </si>
  <si>
    <t xml:space="preserve"> ord-166 </t>
  </si>
  <si>
    <t>ORD5385</t>
  </si>
  <si>
    <t>ORD5966</t>
  </si>
  <si>
    <t>ORD8401</t>
  </si>
  <si>
    <t>ORD6835</t>
  </si>
  <si>
    <t xml:space="preserve"> ord-286 </t>
  </si>
  <si>
    <t>ORD5987</t>
  </si>
  <si>
    <t>ORD1102</t>
  </si>
  <si>
    <t>ORD1434</t>
  </si>
  <si>
    <t>ORD2263</t>
  </si>
  <si>
    <t>ORD3028</t>
  </si>
  <si>
    <t>ORD4597</t>
  </si>
  <si>
    <t>ORD9917</t>
  </si>
  <si>
    <t>ORD5044</t>
  </si>
  <si>
    <t>ORD4123</t>
  </si>
  <si>
    <t>ORD1744</t>
  </si>
  <si>
    <t>ORD9819</t>
  </si>
  <si>
    <t>ORD8884</t>
  </si>
  <si>
    <t>ORD5563</t>
  </si>
  <si>
    <t>ORD4424</t>
  </si>
  <si>
    <t>ORD9863</t>
  </si>
  <si>
    <t>ORD5407</t>
  </si>
  <si>
    <t>ORD4182</t>
  </si>
  <si>
    <t>ORD4336</t>
  </si>
  <si>
    <t>ORD3774</t>
  </si>
  <si>
    <t>ORD5094</t>
  </si>
  <si>
    <t>ORD1109</t>
  </si>
  <si>
    <t>ORD8732</t>
  </si>
  <si>
    <t>ORD5350</t>
  </si>
  <si>
    <t>ORD8247</t>
  </si>
  <si>
    <t>ORD4296</t>
  </si>
  <si>
    <t xml:space="preserve"> ord-167 </t>
  </si>
  <si>
    <t>ORD4963</t>
  </si>
  <si>
    <t>ORD3698</t>
  </si>
  <si>
    <t>ORD7752</t>
  </si>
  <si>
    <t>ORD6043</t>
  </si>
  <si>
    <t>ORD9421</t>
  </si>
  <si>
    <t>ORD7372</t>
  </si>
  <si>
    <t>ORD8550</t>
  </si>
  <si>
    <t>ORD8557</t>
  </si>
  <si>
    <t xml:space="preserve"> ord-778 </t>
  </si>
  <si>
    <t>ORD9847</t>
  </si>
  <si>
    <t>ORD9676</t>
  </si>
  <si>
    <t>ORD5904</t>
  </si>
  <si>
    <t>ORD7058</t>
  </si>
  <si>
    <t>ORD7881</t>
  </si>
  <si>
    <t>ORD4824</t>
  </si>
  <si>
    <t>ORD5692</t>
  </si>
  <si>
    <t>ORD2976</t>
  </si>
  <si>
    <t>ORD1466</t>
  </si>
  <si>
    <t>ORD8477</t>
  </si>
  <si>
    <t xml:space="preserve"> ord-962 </t>
  </si>
  <si>
    <t>ORD6182</t>
  </si>
  <si>
    <t>ORD7798</t>
  </si>
  <si>
    <t>ORD2405</t>
  </si>
  <si>
    <t>ORD6441</t>
  </si>
  <si>
    <t>ORD7603</t>
  </si>
  <si>
    <t>ORD6957</t>
  </si>
  <si>
    <t>ORD3072</t>
  </si>
  <si>
    <t>ORD4836</t>
  </si>
  <si>
    <t xml:space="preserve"> ord-748 </t>
  </si>
  <si>
    <t>ORD9353</t>
  </si>
  <si>
    <t>ORD8936</t>
  </si>
  <si>
    <t>ORD1338</t>
  </si>
  <si>
    <t>ORD1301</t>
  </si>
  <si>
    <t xml:space="preserve"> ord-365 </t>
  </si>
  <si>
    <t>ORD8426</t>
  </si>
  <si>
    <t>ORD9720</t>
  </si>
  <si>
    <t xml:space="preserve"> ord-127 </t>
  </si>
  <si>
    <t xml:space="preserve"> ord-922 </t>
  </si>
  <si>
    <t xml:space="preserve"> ord-115 </t>
  </si>
  <si>
    <t>ORD3065</t>
  </si>
  <si>
    <t>ORD3254</t>
  </si>
  <si>
    <t>ORD7389</t>
  </si>
  <si>
    <t>ORD3981</t>
  </si>
  <si>
    <t>ORD1454</t>
  </si>
  <si>
    <t>ORD3644</t>
  </si>
  <si>
    <t>ORD4770</t>
  </si>
  <si>
    <t>ORD2970</t>
  </si>
  <si>
    <t xml:space="preserve"> ord-735 </t>
  </si>
  <si>
    <t>ORD7854</t>
  </si>
  <si>
    <t>ORD2192</t>
  </si>
  <si>
    <t xml:space="preserve"> ord-987 </t>
  </si>
  <si>
    <t>ORD1180</t>
  </si>
  <si>
    <t>ORD3364</t>
  </si>
  <si>
    <t>ORD3270</t>
  </si>
  <si>
    <t>ORD2116</t>
  </si>
  <si>
    <t>ORD4005</t>
  </si>
  <si>
    <t>ORD8952</t>
  </si>
  <si>
    <t>ORD2002</t>
  </si>
  <si>
    <t>ORD7353</t>
  </si>
  <si>
    <t>ORD1764</t>
  </si>
  <si>
    <t xml:space="preserve"> ord-970 </t>
  </si>
  <si>
    <t xml:space="preserve"> ord-415 </t>
  </si>
  <si>
    <t>ORD4358</t>
  </si>
  <si>
    <t>ORD3400</t>
  </si>
  <si>
    <t>ORD1153</t>
  </si>
  <si>
    <t>ORD3047</t>
  </si>
  <si>
    <t>ORD1478</t>
  </si>
  <si>
    <t>ORD8523</t>
  </si>
  <si>
    <t>ORD1617</t>
  </si>
  <si>
    <t>ORD6845</t>
  </si>
  <si>
    <t xml:space="preserve"> ord-648 </t>
  </si>
  <si>
    <t>ORD9010</t>
  </si>
  <si>
    <t>ORD7785</t>
  </si>
  <si>
    <t>ORD3173</t>
  </si>
  <si>
    <t>ORD1529</t>
  </si>
  <si>
    <t>ORD5085</t>
  </si>
  <si>
    <t>ORD9335</t>
  </si>
  <si>
    <t>ORD1836</t>
  </si>
  <si>
    <t>ORD1804</t>
  </si>
  <si>
    <t>ORD3528</t>
  </si>
  <si>
    <t>ORD1955</t>
  </si>
  <si>
    <t>ORD8131</t>
  </si>
  <si>
    <t>ORD9651</t>
  </si>
  <si>
    <t>ORD7091</t>
  </si>
  <si>
    <t>ORD9027</t>
  </si>
  <si>
    <t>ORD6217</t>
  </si>
  <si>
    <t>ORD6245</t>
  </si>
  <si>
    <t>ORD4181</t>
  </si>
  <si>
    <t>ORD4214</t>
  </si>
  <si>
    <t xml:space="preserve"> ord-914 </t>
  </si>
  <si>
    <t xml:space="preserve"> ord-919 </t>
  </si>
  <si>
    <t>ORD8167</t>
  </si>
  <si>
    <t>ORD6681</t>
  </si>
  <si>
    <t>ORD6982</t>
  </si>
  <si>
    <t>ORD7944</t>
  </si>
  <si>
    <t>ORD5019</t>
  </si>
  <si>
    <t>ORD3483</t>
  </si>
  <si>
    <t>ORD7356</t>
  </si>
  <si>
    <t>ORD6163</t>
  </si>
  <si>
    <t>ORD9216</t>
  </si>
  <si>
    <t>ORD6402</t>
  </si>
  <si>
    <t>ORD2839</t>
  </si>
  <si>
    <t>ORD8990</t>
  </si>
  <si>
    <t>ORD6257</t>
  </si>
  <si>
    <t>ORD6202</t>
  </si>
  <si>
    <t xml:space="preserve"> ord-871 </t>
  </si>
  <si>
    <t>ORD4764</t>
  </si>
  <si>
    <t>ORD3543</t>
  </si>
  <si>
    <t>ORD9046</t>
  </si>
  <si>
    <t>ORD1493</t>
  </si>
  <si>
    <t>ORD6254</t>
  </si>
  <si>
    <t>ORD5291</t>
  </si>
  <si>
    <t>ORD1830</t>
  </si>
  <si>
    <t>ORD1269</t>
  </si>
  <si>
    <t>ORD7634</t>
  </si>
  <si>
    <t>ORD3509</t>
  </si>
  <si>
    <t>ORD5003</t>
  </si>
  <si>
    <t>ORD3350</t>
  </si>
  <si>
    <t>ORD2017</t>
  </si>
  <si>
    <t xml:space="preserve"> ord-246 </t>
  </si>
  <si>
    <t>ORD5734</t>
  </si>
  <si>
    <t xml:space="preserve"> ord-872 </t>
  </si>
  <si>
    <t>ORD5364</t>
  </si>
  <si>
    <t xml:space="preserve"> ord-637 </t>
  </si>
  <si>
    <t>ORD1385</t>
  </si>
  <si>
    <t>ORD9947</t>
  </si>
  <si>
    <t xml:space="preserve"> ord-630 </t>
  </si>
  <si>
    <t xml:space="preserve"> ord-911 </t>
  </si>
  <si>
    <t>ORD9407</t>
  </si>
  <si>
    <t>ORD3811</t>
  </si>
  <si>
    <t xml:space="preserve"> ord-592 </t>
  </si>
  <si>
    <t>ORD4447</t>
  </si>
  <si>
    <t>ORD8056</t>
  </si>
  <si>
    <t>ORD4350</t>
  </si>
  <si>
    <t xml:space="preserve"> ord-844 </t>
  </si>
  <si>
    <t>ORD3145</t>
  </si>
  <si>
    <t>ORD2656</t>
  </si>
  <si>
    <t>ORD7722</t>
  </si>
  <si>
    <t>ORD6057</t>
  </si>
  <si>
    <t>ORD6261</t>
  </si>
  <si>
    <t xml:space="preserve"> ord-985 </t>
  </si>
  <si>
    <t>ORD2354</t>
  </si>
  <si>
    <t>ORD6372</t>
  </si>
  <si>
    <t>ORD2872</t>
  </si>
  <si>
    <t>ORD8180</t>
  </si>
  <si>
    <t>ORD2368</t>
  </si>
  <si>
    <t>ORD1167</t>
  </si>
  <si>
    <t>ORD3309</t>
  </si>
  <si>
    <t xml:space="preserve"> ord-380 </t>
  </si>
  <si>
    <t xml:space="preserve"> ord-908 </t>
  </si>
  <si>
    <t>ORD7440</t>
  </si>
  <si>
    <t xml:space="preserve"> ord-404 </t>
  </si>
  <si>
    <t>ORD4665</t>
  </si>
  <si>
    <t>ORD3813</t>
  </si>
  <si>
    <t>ORD7656</t>
  </si>
  <si>
    <t>ORD2376</t>
  </si>
  <si>
    <t>ORD8042</t>
  </si>
  <si>
    <t>ORD8928</t>
  </si>
  <si>
    <t>ORD5336</t>
  </si>
  <si>
    <t>ORD9540</t>
  </si>
  <si>
    <t>ORD4080</t>
  </si>
  <si>
    <t>ORD9025</t>
  </si>
  <si>
    <t>ORD7697</t>
  </si>
  <si>
    <t>ORD3082</t>
  </si>
  <si>
    <t>ORD1503</t>
  </si>
  <si>
    <t>ORD4726</t>
  </si>
  <si>
    <t>ORD3882</t>
  </si>
  <si>
    <t>ORD8816</t>
  </si>
  <si>
    <t>ORD8316</t>
  </si>
  <si>
    <t>ORD9026</t>
  </si>
  <si>
    <t>ORD2013</t>
  </si>
  <si>
    <t>ORD8860</t>
  </si>
  <si>
    <t>ORD9334</t>
  </si>
  <si>
    <t xml:space="preserve"> ord-486 </t>
  </si>
  <si>
    <t>ORD4567</t>
  </si>
  <si>
    <t>ORD1207</t>
  </si>
  <si>
    <t>ORD9980</t>
  </si>
  <si>
    <t>ORD1785</t>
  </si>
  <si>
    <t>ORD1611</t>
  </si>
  <si>
    <t>ORD9208</t>
  </si>
  <si>
    <t>ORD9002</t>
  </si>
  <si>
    <t>ORD5693</t>
  </si>
  <si>
    <t>ORD3151</t>
  </si>
  <si>
    <t>ORD7238</t>
  </si>
  <si>
    <t>ORD5583</t>
  </si>
  <si>
    <t>ORD1440</t>
  </si>
  <si>
    <t>ORD4180</t>
  </si>
  <si>
    <t xml:space="preserve"> ord-102 </t>
  </si>
  <si>
    <t>ORD6260</t>
  </si>
  <si>
    <t>ORD8965</t>
  </si>
  <si>
    <t>ORD5492</t>
  </si>
  <si>
    <t xml:space="preserve"> ord-618 </t>
  </si>
  <si>
    <t>ORD4658</t>
  </si>
  <si>
    <t>ORD9594</t>
  </si>
  <si>
    <t>ORD4201</t>
  </si>
  <si>
    <t>ORD8728</t>
  </si>
  <si>
    <t>ORD4668</t>
  </si>
  <si>
    <t>ORD8459</t>
  </si>
  <si>
    <t>ORD4426</t>
  </si>
  <si>
    <t>ORD9259</t>
  </si>
  <si>
    <t>ORD8114</t>
  </si>
  <si>
    <t>ORD5807</t>
  </si>
  <si>
    <t>ORD5628</t>
  </si>
  <si>
    <t>ORD9903</t>
  </si>
  <si>
    <t>ORD1699</t>
  </si>
  <si>
    <t>ORD5494</t>
  </si>
  <si>
    <t>ORD1275</t>
  </si>
  <si>
    <t>ORD4308</t>
  </si>
  <si>
    <t xml:space="preserve"> ord-331 </t>
  </si>
  <si>
    <t>ORD7609</t>
  </si>
  <si>
    <t>ORD4576</t>
  </si>
  <si>
    <t>ORD5438</t>
  </si>
  <si>
    <t>ORD3089</t>
  </si>
  <si>
    <t>ORD8430</t>
  </si>
  <si>
    <t>ORD4017</t>
  </si>
  <si>
    <t>ORD9142</t>
  </si>
  <si>
    <t>ORD1031</t>
  </si>
  <si>
    <t xml:space="preserve"> ord-490 </t>
  </si>
  <si>
    <t>ORD8422</t>
  </si>
  <si>
    <t>ORD1333</t>
  </si>
  <si>
    <t>ORD3583</t>
  </si>
  <si>
    <t xml:space="preserve"> ord-529 </t>
  </si>
  <si>
    <t xml:space="preserve"> ord-420 </t>
  </si>
  <si>
    <t xml:space="preserve"> ord-103 </t>
  </si>
  <si>
    <t>ORD4774</t>
  </si>
  <si>
    <t>ORD2485</t>
  </si>
  <si>
    <t>ORD4778</t>
  </si>
  <si>
    <t>ORD5171</t>
  </si>
  <si>
    <t>ORD4302</t>
  </si>
  <si>
    <t>ORD2805</t>
  </si>
  <si>
    <t>ORD8554</t>
  </si>
  <si>
    <t>ORD3640</t>
  </si>
  <si>
    <t>ORD9628</t>
  </si>
  <si>
    <t>ORD2489</t>
  </si>
  <si>
    <t>ORD2940</t>
  </si>
  <si>
    <t>ORD3934</t>
  </si>
  <si>
    <t>ORD9218</t>
  </si>
  <si>
    <t>ORD6782</t>
  </si>
  <si>
    <t>ORD4405</t>
  </si>
  <si>
    <t>ORD4822</t>
  </si>
  <si>
    <t>ORD7704</t>
  </si>
  <si>
    <t>ORD9861</t>
  </si>
  <si>
    <t>ORD9048</t>
  </si>
  <si>
    <t>ORD5357</t>
  </si>
  <si>
    <t xml:space="preserve"> ord-171 </t>
  </si>
  <si>
    <t xml:space="preserve"> ord-440 </t>
  </si>
  <si>
    <t>ORD9052</t>
  </si>
  <si>
    <t xml:space="preserve"> ord-660 </t>
  </si>
  <si>
    <t>ORD7221</t>
  </si>
  <si>
    <t>ORD1931</t>
  </si>
  <si>
    <t>ORD1651</t>
  </si>
  <si>
    <t>ORD3057</t>
  </si>
  <si>
    <t xml:space="preserve"> ord-482 </t>
  </si>
  <si>
    <t>ORD1912</t>
  </si>
  <si>
    <t>ORD9390</t>
  </si>
  <si>
    <t>ORD7967</t>
  </si>
  <si>
    <t>ORD4492</t>
  </si>
  <si>
    <t>ORD2154</t>
  </si>
  <si>
    <t>ORD2105</t>
  </si>
  <si>
    <t>ORD3058</t>
  </si>
  <si>
    <t>ORD9885</t>
  </si>
  <si>
    <t>ORD5378</t>
  </si>
  <si>
    <t xml:space="preserve"> ord-495 </t>
  </si>
  <si>
    <t>ORD6682</t>
  </si>
  <si>
    <t xml:space="preserve"> ord-813 </t>
  </si>
  <si>
    <t>ORD2038</t>
  </si>
  <si>
    <t>ORD6945</t>
  </si>
  <si>
    <t xml:space="preserve"> ord-479 </t>
  </si>
  <si>
    <t xml:space="preserve"> ord-132 </t>
  </si>
  <si>
    <t>ORD3227</t>
  </si>
  <si>
    <t>ORD7731</t>
  </si>
  <si>
    <t>ORD5916</t>
  </si>
  <si>
    <t>ORD2125</t>
  </si>
  <si>
    <t>ORD1280</t>
  </si>
  <si>
    <t>ORD4865</t>
  </si>
  <si>
    <t xml:space="preserve"> ord-629 </t>
  </si>
  <si>
    <t>ORD2044</t>
  </si>
  <si>
    <t>ORD4440</t>
  </si>
  <si>
    <t xml:space="preserve"> ord-467 </t>
  </si>
  <si>
    <t>ORD9185</t>
  </si>
  <si>
    <t>ORD4632</t>
  </si>
  <si>
    <t xml:space="preserve"> ord-623 </t>
  </si>
  <si>
    <t xml:space="preserve"> ord-218 </t>
  </si>
  <si>
    <t>ORD2271</t>
  </si>
  <si>
    <t>ORD5547</t>
  </si>
  <si>
    <t>ORD4518</t>
  </si>
  <si>
    <t>ORD8684</t>
  </si>
  <si>
    <t>ORD6255</t>
  </si>
  <si>
    <t>ORD7672</t>
  </si>
  <si>
    <t>ORD4509</t>
  </si>
  <si>
    <t xml:space="preserve"> ord-476 </t>
  </si>
  <si>
    <t xml:space="preserve"> ord-685 </t>
  </si>
  <si>
    <t xml:space="preserve"> ord-995 </t>
  </si>
  <si>
    <t>ORD8847</t>
  </si>
  <si>
    <t>ORD9058</t>
  </si>
  <si>
    <t>ORD9175</t>
  </si>
  <si>
    <t>ORD8396</t>
  </si>
  <si>
    <t xml:space="preserve"> ord-247 </t>
  </si>
  <si>
    <t>ORD5337</t>
  </si>
  <si>
    <t>ORD4920</t>
  </si>
  <si>
    <t>ORD4045</t>
  </si>
  <si>
    <t>ORD7834</t>
  </si>
  <si>
    <t>ORD1650</t>
  </si>
  <si>
    <t xml:space="preserve"> ord-268 </t>
  </si>
  <si>
    <t>ORD5957</t>
  </si>
  <si>
    <t>ORD1872</t>
  </si>
  <si>
    <t xml:space="preserve"> ord-663 </t>
  </si>
  <si>
    <t>ORD8739</t>
  </si>
  <si>
    <t>ORD7037</t>
  </si>
  <si>
    <t xml:space="preserve"> ord-959 </t>
  </si>
  <si>
    <t>ORD1674</t>
  </si>
  <si>
    <t xml:space="preserve"> ord-481 </t>
  </si>
  <si>
    <t>ORD9360</t>
  </si>
  <si>
    <t xml:space="preserve"> ord-493 </t>
  </si>
  <si>
    <t>ORD3244</t>
  </si>
  <si>
    <t>ORD9608</t>
  </si>
  <si>
    <t>ORD1852</t>
  </si>
  <si>
    <t>ORD1568</t>
  </si>
  <si>
    <t>ORD3718</t>
  </si>
  <si>
    <t>ORD3993</t>
  </si>
  <si>
    <t>ORD5878</t>
  </si>
  <si>
    <t>ORD3582</t>
  </si>
  <si>
    <t xml:space="preserve"> ord-601 </t>
  </si>
  <si>
    <t>ORD9454</t>
  </si>
  <si>
    <t xml:space="preserve"> ord-790 </t>
  </si>
  <si>
    <t>ORD8452</t>
  </si>
  <si>
    <t>ORD9462</t>
  </si>
  <si>
    <t>ORD9828</t>
  </si>
  <si>
    <t>ORD4521</t>
  </si>
  <si>
    <t>ORD8912</t>
  </si>
  <si>
    <t>ORD1145</t>
  </si>
  <si>
    <t>ORD8429</t>
  </si>
  <si>
    <t>ORD1676</t>
  </si>
  <si>
    <t>ORD9070</t>
  </si>
  <si>
    <t xml:space="preserve"> ord-886 </t>
  </si>
  <si>
    <t>ORD1483</t>
  </si>
  <si>
    <t>ORD9601</t>
  </si>
  <si>
    <t>ORD7469</t>
  </si>
  <si>
    <t>ORD2190</t>
  </si>
  <si>
    <t>ORD6647</t>
  </si>
  <si>
    <t>ORD6655</t>
  </si>
  <si>
    <t>ORD2946</t>
  </si>
  <si>
    <t>ORD5344</t>
  </si>
  <si>
    <t>ORD4129</t>
  </si>
  <si>
    <t>ORD2266</t>
  </si>
  <si>
    <t>ORD7900</t>
  </si>
  <si>
    <t>ORD6117</t>
  </si>
  <si>
    <t xml:space="preserve"> ord-371 </t>
  </si>
  <si>
    <t xml:space="preserve"> ord-832 </t>
  </si>
  <si>
    <t>ORD4410</t>
  </si>
  <si>
    <t>ORD4387</t>
  </si>
  <si>
    <t>ORD6950</t>
  </si>
  <si>
    <t>ORD8715</t>
  </si>
  <si>
    <t>ORD3036</t>
  </si>
  <si>
    <t>ORD4561</t>
  </si>
  <si>
    <t>ORD4101</t>
  </si>
  <si>
    <t xml:space="preserve"> ord-752 </t>
  </si>
  <si>
    <t>ORD5211</t>
  </si>
  <si>
    <t>ORD2760</t>
  </si>
  <si>
    <t>ORD5110</t>
  </si>
  <si>
    <t>ORD6487</t>
  </si>
  <si>
    <t>ORD5616</t>
  </si>
  <si>
    <t>ORD9120</t>
  </si>
  <si>
    <t xml:space="preserve"> ord-393 </t>
  </si>
  <si>
    <t xml:space="preserve"> ord-722 </t>
  </si>
  <si>
    <t>ORD5164</t>
  </si>
  <si>
    <t>ORD3534</t>
  </si>
  <si>
    <t>ORD3405</t>
  </si>
  <si>
    <t>ORD3214</t>
  </si>
  <si>
    <t>ORD8084</t>
  </si>
  <si>
    <t>ORD6181</t>
  </si>
  <si>
    <t>ORD9566</t>
  </si>
  <si>
    <t>ORD9742</t>
  </si>
  <si>
    <t>ORD3798</t>
  </si>
  <si>
    <t>ORD2950</t>
  </si>
  <si>
    <t xml:space="preserve"> ord-562 </t>
  </si>
  <si>
    <t>ORD3807</t>
  </si>
  <si>
    <t>ORD5177</t>
  </si>
  <si>
    <t xml:space="preserve"> ord-475 </t>
  </si>
  <si>
    <t>ORD9751</t>
  </si>
  <si>
    <t>ORD7910</t>
  </si>
  <si>
    <t>ORD7611</t>
  </si>
  <si>
    <t xml:space="preserve"> ord-178 </t>
  </si>
  <si>
    <t>ORD9186</t>
  </si>
  <si>
    <t>ORD8439</t>
  </si>
  <si>
    <t>ORD7214</t>
  </si>
  <si>
    <t>ORD3481</t>
  </si>
  <si>
    <t>ORD2220</t>
  </si>
  <si>
    <t>ORD7051</t>
  </si>
  <si>
    <t>ORD8506</t>
  </si>
  <si>
    <t xml:space="preserve"> ord-456 </t>
  </si>
  <si>
    <t xml:space="preserve"> ord-500 </t>
  </si>
  <si>
    <t>ORD1101</t>
  </si>
  <si>
    <t>ORD3873</t>
  </si>
  <si>
    <t>ORD3341</t>
  </si>
  <si>
    <t>ORD8420</t>
  </si>
  <si>
    <t>ORD2382</t>
  </si>
  <si>
    <t>ORD7764</t>
  </si>
  <si>
    <t>ORD9771</t>
  </si>
  <si>
    <t>ORD7767</t>
  </si>
  <si>
    <t>ORD8828</t>
  </si>
  <si>
    <t xml:space="preserve"> ord-117 </t>
  </si>
  <si>
    <t>ORD6528</t>
  </si>
  <si>
    <t>ORD9629</t>
  </si>
  <si>
    <t>ORD7800</t>
  </si>
  <si>
    <t>ORD6850</t>
  </si>
  <si>
    <t>ORD5882</t>
  </si>
  <si>
    <t>ORD3459</t>
  </si>
  <si>
    <t>ORD7883</t>
  </si>
  <si>
    <t>ORD1520</t>
  </si>
  <si>
    <t>ORD3157</t>
  </si>
  <si>
    <t>ORD3493</t>
  </si>
  <si>
    <t xml:space="preserve"> ord-575 </t>
  </si>
  <si>
    <t>ORD4402</t>
  </si>
  <si>
    <t>ORD7621</t>
  </si>
  <si>
    <t>ORD6190</t>
  </si>
  <si>
    <t>ORD3533</t>
  </si>
  <si>
    <t>ORD3715</t>
  </si>
  <si>
    <t>ORD4332</t>
  </si>
  <si>
    <t>ORD3425</t>
  </si>
  <si>
    <t>ORD9544</t>
  </si>
  <si>
    <t>ORD5254</t>
  </si>
  <si>
    <t>ORD3815</t>
  </si>
  <si>
    <t>ORD8348</t>
  </si>
  <si>
    <t>ORD6059</t>
  </si>
  <si>
    <t>ORD5883</t>
  </si>
  <si>
    <t>ORD6099</t>
  </si>
  <si>
    <t xml:space="preserve"> ord-434 </t>
  </si>
  <si>
    <t>ORD8529</t>
  </si>
  <si>
    <t>ORD9525</t>
  </si>
  <si>
    <t>ORD6482</t>
  </si>
  <si>
    <t>ORD2757</t>
  </si>
  <si>
    <t xml:space="preserve"> ord-780 </t>
  </si>
  <si>
    <t>ORD4690</t>
  </si>
  <si>
    <t>ORD7896</t>
  </si>
  <si>
    <t>ORD6135</t>
  </si>
  <si>
    <t>ORD2336</t>
  </si>
  <si>
    <t xml:space="preserve"> ord-806 </t>
  </si>
  <si>
    <t>ORD4086</t>
  </si>
  <si>
    <t xml:space="preserve"> ord-411 </t>
  </si>
  <si>
    <t>ORD1868</t>
  </si>
  <si>
    <t>ORD1143</t>
  </si>
  <si>
    <t>ORD7599</t>
  </si>
  <si>
    <t>ORD3620</t>
  </si>
  <si>
    <t>ORD6745</t>
  </si>
  <si>
    <t>ORD3395</t>
  </si>
  <si>
    <t>ORD9706</t>
  </si>
  <si>
    <t>ORD4688</t>
  </si>
  <si>
    <t>ORD2067</t>
  </si>
  <si>
    <t>ORD1837</t>
  </si>
  <si>
    <t>ORD8597</t>
  </si>
  <si>
    <t>ORD2128</t>
  </si>
  <si>
    <t>ORD8261</t>
  </si>
  <si>
    <t>ORD2429</t>
  </si>
  <si>
    <t>ORD4966</t>
  </si>
  <si>
    <t>ORD7867</t>
  </si>
  <si>
    <t>ORD4709</t>
  </si>
  <si>
    <t>ORD8995</t>
  </si>
  <si>
    <t>ORD2818</t>
  </si>
  <si>
    <t>ORD1881</t>
  </si>
  <si>
    <t>ORD8204</t>
  </si>
  <si>
    <t>ORD1687</t>
  </si>
  <si>
    <t>ORD8710</t>
  </si>
  <si>
    <t>ORD2132</t>
  </si>
  <si>
    <t xml:space="preserve"> ord-270 </t>
  </si>
  <si>
    <t>ORD9051</t>
  </si>
  <si>
    <t>ORD9396</t>
  </si>
  <si>
    <t>ORD2459</t>
  </si>
  <si>
    <t>ORD2003</t>
  </si>
  <si>
    <t>ORD5498</t>
  </si>
  <si>
    <t xml:space="preserve"> ord-796 </t>
  </si>
  <si>
    <t>ORD8798</t>
  </si>
  <si>
    <t xml:space="preserve"> ord-736 </t>
  </si>
  <si>
    <t xml:space="preserve"> ord-895 </t>
  </si>
  <si>
    <t xml:space="preserve"> ord-553 </t>
  </si>
  <si>
    <t xml:space="preserve"> ord-428 </t>
  </si>
  <si>
    <t xml:space="preserve"> ord-568 </t>
  </si>
  <si>
    <t>ORD8993</t>
  </si>
  <si>
    <t>ORD3764</t>
  </si>
  <si>
    <t>ORD6584</t>
  </si>
  <si>
    <t>ORD9035</t>
  </si>
  <si>
    <t>ORD5250</t>
  </si>
  <si>
    <t>ORD5433</t>
  </si>
  <si>
    <t xml:space="preserve"> ord-986 </t>
  </si>
  <si>
    <t xml:space="preserve"> ord-120 </t>
  </si>
  <si>
    <t>ORD6332</t>
  </si>
  <si>
    <t>ORD1720</t>
  </si>
  <si>
    <t>ORD8046</t>
  </si>
  <si>
    <t>ORD9616</t>
  </si>
  <si>
    <t>ORD1637</t>
  </si>
  <si>
    <t>ORD7195</t>
  </si>
  <si>
    <t>ORD1356</t>
  </si>
  <si>
    <t>ORD3713</t>
  </si>
  <si>
    <t>ORD4372</t>
  </si>
  <si>
    <t>ORD6177</t>
  </si>
  <si>
    <t xml:space="preserve"> ord-893 </t>
  </si>
  <si>
    <t>ORD9770</t>
  </si>
  <si>
    <t>ORD7974</t>
  </si>
  <si>
    <t>ORD2049</t>
  </si>
  <si>
    <t xml:space="preserve"> ord-737 </t>
  </si>
  <si>
    <t>ORD7741</t>
  </si>
  <si>
    <t>ORD2218</t>
  </si>
  <si>
    <t>ORD1770</t>
  </si>
  <si>
    <t>ORD9965</t>
  </si>
  <si>
    <t>ORD8785</t>
  </si>
  <si>
    <t>ORD3501</t>
  </si>
  <si>
    <t>ORD4746</t>
  </si>
  <si>
    <t>ORD9743</t>
  </si>
  <si>
    <t>ORD8404</t>
  </si>
  <si>
    <t xml:space="preserve"> ord-977 </t>
  </si>
  <si>
    <t>ORD7643</t>
  </si>
  <si>
    <t xml:space="preserve"> ord-271 </t>
  </si>
  <si>
    <t>ORD1401</t>
  </si>
  <si>
    <t>ORD8957</t>
  </si>
  <si>
    <t>ORD9023</t>
  </si>
  <si>
    <t>ORD4468</t>
  </si>
  <si>
    <t>ORD6240</t>
  </si>
  <si>
    <t>ORD4159</t>
  </si>
  <si>
    <t>ORD6932</t>
  </si>
  <si>
    <t>ORD6689</t>
  </si>
  <si>
    <t>ORD7812</t>
  </si>
  <si>
    <t>ORD5120</t>
  </si>
  <si>
    <t>ORD7959</t>
  </si>
  <si>
    <t>ORD1450</t>
  </si>
  <si>
    <t>ORD5418</t>
  </si>
  <si>
    <t>ORD2265</t>
  </si>
  <si>
    <t>ORD3393</t>
  </si>
  <si>
    <t>ORD6981</t>
  </si>
  <si>
    <t>ORD6019</t>
  </si>
  <si>
    <t>ORD4352</t>
  </si>
  <si>
    <t>ORD6849</t>
  </si>
  <si>
    <t xml:space="preserve"> ord-742 </t>
  </si>
  <si>
    <t>ORD8346</t>
  </si>
  <si>
    <t>ORD3724</t>
  </si>
  <si>
    <t>ORD5320</t>
  </si>
  <si>
    <t>ORD5309</t>
  </si>
  <si>
    <t>ORD8026</t>
  </si>
  <si>
    <t>ORD5565</t>
  </si>
  <si>
    <t>ORD9921</t>
  </si>
  <si>
    <t>ORD5324</t>
  </si>
  <si>
    <t>ORD9385</t>
  </si>
  <si>
    <t>ORD5266</t>
  </si>
  <si>
    <t xml:space="preserve"> ord-576 </t>
  </si>
  <si>
    <t>ORD3923</t>
  </si>
  <si>
    <t>ORD6444</t>
  </si>
  <si>
    <t>ORD2205</t>
  </si>
  <si>
    <t>ORD2665</t>
  </si>
  <si>
    <t>ORD9760</t>
  </si>
  <si>
    <t>ORD5840</t>
  </si>
  <si>
    <t>ORD8796</t>
  </si>
  <si>
    <t>ORD5860</t>
  </si>
  <si>
    <t>ORD1414</t>
  </si>
  <si>
    <t>ORD6630</t>
  </si>
  <si>
    <t>ORD6633</t>
  </si>
  <si>
    <t>ORD6978</t>
  </si>
  <si>
    <t xml:space="preserve"> ord-250 </t>
  </si>
  <si>
    <t xml:space="preserve"> ord-407 </t>
  </si>
  <si>
    <t>ORD4611</t>
  </si>
  <si>
    <t xml:space="preserve"> ord-535 </t>
  </si>
  <si>
    <t>ORD2996</t>
  </si>
  <si>
    <t>ORD3822</t>
  </si>
  <si>
    <t>ORD8584</t>
  </si>
  <si>
    <t>ORD4119</t>
  </si>
  <si>
    <t>ORD1531</t>
  </si>
  <si>
    <t>ORD2060</t>
  </si>
  <si>
    <t>ORD3926</t>
  </si>
  <si>
    <t>ORD7219</t>
  </si>
  <si>
    <t>ORD1051</t>
  </si>
  <si>
    <t>ORD8792</t>
  </si>
  <si>
    <t>ORD4289</t>
  </si>
  <si>
    <t>ORD5072</t>
  </si>
  <si>
    <t>ORD4475</t>
  </si>
  <si>
    <t>ORD8241</t>
  </si>
  <si>
    <t>ORD6289</t>
  </si>
  <si>
    <t>ORD5983</t>
  </si>
  <si>
    <t>ORD3929</t>
  </si>
  <si>
    <t>ORD6192</t>
  </si>
  <si>
    <t xml:space="preserve"> ord-971 </t>
  </si>
  <si>
    <t>ORD4261</t>
  </si>
  <si>
    <t>ORD3311</t>
  </si>
  <si>
    <t>ORD2931</t>
  </si>
  <si>
    <t>ORD5432</t>
  </si>
  <si>
    <t>ORD2252</t>
  </si>
  <si>
    <t>ORD9033</t>
  </si>
  <si>
    <t>ORD1443</t>
  </si>
  <si>
    <t>ORD8362</t>
  </si>
  <si>
    <t>ORD7826</t>
  </si>
  <si>
    <t>ORD6669</t>
  </si>
  <si>
    <t>ORD1773</t>
  </si>
  <si>
    <t>ORD5637</t>
  </si>
  <si>
    <t>ORD1225</t>
  </si>
  <si>
    <t>ORD6737</t>
  </si>
  <si>
    <t>ORD8659</t>
  </si>
  <si>
    <t>ORD6529</t>
  </si>
  <si>
    <t>ORD9543</t>
  </si>
  <si>
    <t>ORD2230</t>
  </si>
  <si>
    <t>ORD2752</t>
  </si>
  <si>
    <t>ORD2122</t>
  </si>
  <si>
    <t xml:space="preserve"> ord-249 </t>
  </si>
  <si>
    <t>ORD6166</t>
  </si>
  <si>
    <t>ORD2813</t>
  </si>
  <si>
    <t>ORD4133</t>
  </si>
  <si>
    <t xml:space="preserve"> ord-542 </t>
  </si>
  <si>
    <t xml:space="preserve"> ord-262 </t>
  </si>
  <si>
    <t>ORD1194</t>
  </si>
  <si>
    <t xml:space="preserve"> ord-753 </t>
  </si>
  <si>
    <t>ORD3928</t>
  </si>
  <si>
    <t>ORD1130</t>
  </si>
  <si>
    <t>ORD1047</t>
  </si>
  <si>
    <t>ORD8787</t>
  </si>
  <si>
    <t>ORD5544</t>
  </si>
  <si>
    <t>ORD5446</t>
  </si>
  <si>
    <t>ORD3440</t>
  </si>
  <si>
    <t>ORD4495</t>
  </si>
  <si>
    <t>ORD6518</t>
  </si>
  <si>
    <t>ORD5644</t>
  </si>
  <si>
    <t>ORD9180</t>
  </si>
  <si>
    <t>ORD1997</t>
  </si>
  <si>
    <t>ORD1228</t>
  </si>
  <si>
    <t>ORD1089</t>
  </si>
  <si>
    <t>ORD3252</t>
  </si>
  <si>
    <t>ORD1092</t>
  </si>
  <si>
    <t>ORD8051</t>
  </si>
  <si>
    <t>ORD1797</t>
  </si>
  <si>
    <t>ORD7564</t>
  </si>
  <si>
    <t xml:space="preserve"> ord-653 </t>
  </si>
  <si>
    <t>ORD6161</t>
  </si>
  <si>
    <t>ORD8403</t>
  </si>
  <si>
    <t>ORD8845</t>
  </si>
  <si>
    <t>ORD2261</t>
  </si>
  <si>
    <t>ORD1121</t>
  </si>
  <si>
    <t>ORD6952</t>
  </si>
  <si>
    <t>ORD7640</t>
  </si>
  <si>
    <t xml:space="preserve"> ord-994 </t>
  </si>
  <si>
    <t>ORD5675</t>
  </si>
  <si>
    <t>ORD3022</t>
  </si>
  <si>
    <t>ORD6110</t>
  </si>
  <si>
    <t>ORD3153</t>
  </si>
  <si>
    <t>ORD2311</t>
  </si>
  <si>
    <t xml:space="preserve"> ord-714 </t>
  </si>
  <si>
    <t xml:space="preserve"> ord-255 </t>
  </si>
  <si>
    <t>ORD1205</t>
  </si>
  <si>
    <t xml:space="preserve"> ord-137 </t>
  </si>
  <si>
    <t>ORD3522</t>
  </si>
  <si>
    <t>ORD5721</t>
  </si>
  <si>
    <t>ORD7081</t>
  </si>
  <si>
    <t>ORD1212</t>
  </si>
  <si>
    <t>ORD4992</t>
  </si>
  <si>
    <t xml:space="preserve"> ord-414 </t>
  </si>
  <si>
    <t>ORD3903</t>
  </si>
  <si>
    <t>ORD1122</t>
  </si>
  <si>
    <t>ORD4580</t>
  </si>
  <si>
    <t xml:space="preserve"> ord-410 </t>
  </si>
  <si>
    <t xml:space="preserve"> ord-772 </t>
  </si>
  <si>
    <t xml:space="preserve"> ord-267 </t>
  </si>
  <si>
    <t>ORD9707</t>
  </si>
  <si>
    <t>ORD1705</t>
  </si>
  <si>
    <t xml:space="preserve"> ord-304 </t>
  </si>
  <si>
    <t>ORD7199</t>
  </si>
  <si>
    <t>ORD7580</t>
  </si>
  <si>
    <t>ORD9749</t>
  </si>
  <si>
    <t>ORD3594</t>
  </si>
  <si>
    <t>ORD8753</t>
  </si>
  <si>
    <t>ORD7180</t>
  </si>
  <si>
    <t>ORD7876</t>
  </si>
  <si>
    <t>ORD5262</t>
  </si>
  <si>
    <t>ORD3243</t>
  </si>
  <si>
    <t>ORD7018</t>
  </si>
  <si>
    <t>ORD3492</t>
  </si>
  <si>
    <t>ORD8581</t>
  </si>
  <si>
    <t xml:space="preserve"> ord-843 </t>
  </si>
  <si>
    <t>ORD4904</t>
  </si>
  <si>
    <t>ORD6862</t>
  </si>
  <si>
    <t>ORD9624</t>
  </si>
  <si>
    <t>ORD8514</t>
  </si>
  <si>
    <t>ORD5430</t>
  </si>
  <si>
    <t>ORD5227</t>
  </si>
  <si>
    <t>ORD5480</t>
  </si>
  <si>
    <t>ORD6138</t>
  </si>
  <si>
    <t>ORD1706</t>
  </si>
  <si>
    <t>ORD5015</t>
  </si>
  <si>
    <t>ORD3536</t>
  </si>
  <si>
    <t>ORD3734</t>
  </si>
  <si>
    <t xml:space="preserve"> ord-812 </t>
  </si>
  <si>
    <t>ORD8119</t>
  </si>
  <si>
    <t>ORD9725</t>
  </si>
  <si>
    <t>ORD6417</t>
  </si>
  <si>
    <t>ORD7054</t>
  </si>
  <si>
    <t>ORD3628</t>
  </si>
  <si>
    <t>ORD8546</t>
  </si>
  <si>
    <t>ORD9221</t>
  </si>
  <si>
    <t>ORD2326</t>
  </si>
  <si>
    <t>ORD4499</t>
  </si>
  <si>
    <t>ORD3832</t>
  </si>
  <si>
    <t>ORD6458</t>
  </si>
  <si>
    <t>ORD2713</t>
  </si>
  <si>
    <t>ORD1833</t>
  </si>
  <si>
    <t>ORD2526</t>
  </si>
  <si>
    <t>ORD6942</t>
  </si>
  <si>
    <t>ORD7223</t>
  </si>
  <si>
    <t>ORD3842</t>
  </si>
  <si>
    <t>ORD7198</t>
  </si>
  <si>
    <t xml:space="preserve"> ord-733 </t>
  </si>
  <si>
    <t>ORD9666</t>
  </si>
  <si>
    <t>ORD7379</t>
  </si>
  <si>
    <t>ORD6690</t>
  </si>
  <si>
    <t>ORD8434</t>
  </si>
  <si>
    <t xml:space="preserve"> ord-692 </t>
  </si>
  <si>
    <t>ORD8448</t>
  </si>
  <si>
    <t>ORD2086</t>
  </si>
  <si>
    <t>ORD4128</t>
  </si>
  <si>
    <t>ORD1474</t>
  </si>
  <si>
    <t>ORD1303</t>
  </si>
  <si>
    <t>ORD1104</t>
  </si>
  <si>
    <t xml:space="preserve"> ord-932 </t>
  </si>
  <si>
    <t xml:space="preserve"> ord-655 </t>
  </si>
  <si>
    <t>ORD8036</t>
  </si>
  <si>
    <t>ORD4556</t>
  </si>
  <si>
    <t>ORD7426</t>
  </si>
  <si>
    <t>ORD7005</t>
  </si>
  <si>
    <t>ORD6209</t>
  </si>
  <si>
    <t>ORD7235</t>
  </si>
  <si>
    <t>ORD6476</t>
  </si>
  <si>
    <t>ORD1952</t>
  </si>
  <si>
    <t xml:space="preserve"> ord-925 </t>
  </si>
  <si>
    <t>ORD1626</t>
  </si>
  <si>
    <t>ORD8069</t>
  </si>
  <si>
    <t xml:space="preserve"> ord-606 </t>
  </si>
  <si>
    <t>ORD6112</t>
  </si>
  <si>
    <t>ORD4234</t>
  </si>
  <si>
    <t>ORD1614</t>
  </si>
  <si>
    <t>ORD8505</t>
  </si>
  <si>
    <t>ORD1984</t>
  </si>
  <si>
    <t xml:space="preserve"> ord-489 </t>
  </si>
  <si>
    <t>ORD9820</t>
  </si>
  <si>
    <t>ORD2054</t>
  </si>
  <si>
    <t xml:space="preserve"> ord-351 </t>
  </si>
  <si>
    <t>ORD3588</t>
  </si>
  <si>
    <t xml:space="preserve"> ord-240 </t>
  </si>
  <si>
    <t>ORD9116</t>
  </si>
  <si>
    <t>ORD6327</t>
  </si>
  <si>
    <t>ORD4481</t>
  </si>
  <si>
    <t>ORD3312</t>
  </si>
  <si>
    <t>ORD8323</t>
  </si>
  <si>
    <t>ORD8664</t>
  </si>
  <si>
    <t>ORD8636</t>
  </si>
  <si>
    <t>ORD9032</t>
  </si>
  <si>
    <t>ORD6511</t>
  </si>
  <si>
    <t>ORD4659</t>
  </si>
  <si>
    <t xml:space="preserve"> ord-409 </t>
  </si>
  <si>
    <t>ORD8849</t>
  </si>
  <si>
    <t>ORD6378</t>
  </si>
  <si>
    <t>ORD1924</t>
  </si>
  <si>
    <t xml:space="preserve"> ord-303 </t>
  </si>
  <si>
    <t>ORD4866</t>
  </si>
  <si>
    <t>ORD2216</t>
  </si>
  <si>
    <t>ORD8537</t>
  </si>
  <si>
    <t>ORD7933</t>
  </si>
  <si>
    <t>ORD2510</t>
  </si>
  <si>
    <t>ORD3192</t>
  </si>
  <si>
    <t>ORD7779</t>
  </si>
  <si>
    <t>ORD1878</t>
  </si>
  <si>
    <t>ORD6220</t>
  </si>
  <si>
    <t>ORD1859</t>
  </si>
  <si>
    <t>ORD8701</t>
  </si>
  <si>
    <t>ORD9613</t>
  </si>
  <si>
    <t>ORD9377</t>
  </si>
  <si>
    <t>ORD2434</t>
  </si>
  <si>
    <t>ORD4400</t>
  </si>
  <si>
    <t xml:space="preserve"> ord-664 </t>
  </si>
  <si>
    <t>ORD4051</t>
  </si>
  <si>
    <t>ORD6023</t>
  </si>
  <si>
    <t>ORD5223</t>
  </si>
  <si>
    <t>ORD1540</t>
  </si>
  <si>
    <t>ORD3480</t>
  </si>
  <si>
    <t>ORD6523</t>
  </si>
  <si>
    <t xml:space="preserve"> ord-880 </t>
  </si>
  <si>
    <t xml:space="preserve"> ord-734 </t>
  </si>
  <si>
    <t>ORD7813</t>
  </si>
  <si>
    <t>ORD1459</t>
  </si>
  <si>
    <t>ORD3368</t>
  </si>
  <si>
    <t>ORD8702</t>
  </si>
  <si>
    <t>ORD7711</t>
  </si>
  <si>
    <t>ORD4844</t>
  </si>
  <si>
    <t>ORD6696</t>
  </si>
  <si>
    <t>ORD8906</t>
  </si>
  <si>
    <t>ORD3236</t>
  </si>
  <si>
    <t>ORD4796</t>
  </si>
  <si>
    <t>ORD2717</t>
  </si>
  <si>
    <t>ORD9013</t>
  </si>
  <si>
    <t>ORD3655</t>
  </si>
  <si>
    <t>ORD2569</t>
  </si>
  <si>
    <t>ORD2732</t>
  </si>
  <si>
    <t xml:space="preserve"> ord-145 </t>
  </si>
  <si>
    <t>ORD4403</t>
  </si>
  <si>
    <t>ORD8384</t>
  </si>
  <si>
    <t>ORD9892</t>
  </si>
  <si>
    <t>ORD4337</t>
  </si>
  <si>
    <t>ORD6096</t>
  </si>
  <si>
    <t>ORD8483</t>
  </si>
  <si>
    <t>ORD3340</t>
  </si>
  <si>
    <t>ORD3448</t>
  </si>
  <si>
    <t>ORD4530</t>
  </si>
  <si>
    <t>ORD3725</t>
  </si>
  <si>
    <t>ORD3038</t>
  </si>
  <si>
    <t>ORD1574</t>
  </si>
  <si>
    <t>ORD8986</t>
  </si>
  <si>
    <t>ORD6694</t>
  </si>
  <si>
    <t xml:space="preserve"> ord-627 </t>
  </si>
  <si>
    <t>ORD9092</t>
  </si>
  <si>
    <t>ORD4284</t>
  </si>
  <si>
    <t>ORD5380</t>
  </si>
  <si>
    <t xml:space="preserve"> ord-824 </t>
  </si>
  <si>
    <t>ORD2549</t>
  </si>
  <si>
    <t>ORD3581</t>
  </si>
  <si>
    <t>ORD1738</t>
  </si>
  <si>
    <t>ORD5000</t>
  </si>
  <si>
    <t>ORD3931</t>
  </si>
  <si>
    <t>ORD9181</t>
  </si>
  <si>
    <t>ORD6321</t>
  </si>
  <si>
    <t xml:space="preserve"> ord-759 </t>
  </si>
  <si>
    <t>ORD1431</t>
  </si>
  <si>
    <t>ORD8202</t>
  </si>
  <si>
    <t>ORD6333</t>
  </si>
  <si>
    <t xml:space="preserve"> ord-940 </t>
  </si>
  <si>
    <t>ORD8156</t>
  </si>
  <si>
    <t>ORD7714</t>
  </si>
  <si>
    <t xml:space="preserve"> ord-395 </t>
  </si>
  <si>
    <t>ORD6493</t>
  </si>
  <si>
    <t>ORD5194</t>
  </si>
  <si>
    <t>ORD7633</t>
  </si>
  <si>
    <t>ORD7326</t>
  </si>
  <si>
    <t>ORD5942</t>
  </si>
  <si>
    <t>ORD9982</t>
  </si>
  <si>
    <t>ORD6306</t>
  </si>
  <si>
    <t xml:space="preserve"> ord-715 </t>
  </si>
  <si>
    <t>ORD2371</t>
  </si>
  <si>
    <t>ORD5342</t>
  </si>
  <si>
    <t>ORD5514</t>
  </si>
  <si>
    <t>ORD4635</t>
  </si>
  <si>
    <t>ORD7822</t>
  </si>
  <si>
    <t>ORD2412</t>
  </si>
  <si>
    <t>ORD5290</t>
  </si>
  <si>
    <t>ORD7437</t>
  </si>
  <si>
    <t xml:space="preserve"> ord-188 </t>
  </si>
  <si>
    <t xml:space="preserve"> ord-937 </t>
  </si>
  <si>
    <t>ORD9369</t>
  </si>
  <si>
    <t>ORD8685</t>
  </si>
  <si>
    <t>ORD8755</t>
  </si>
  <si>
    <t>ORD7456</t>
  </si>
  <si>
    <t>ORD2971</t>
  </si>
  <si>
    <t>ORD5387</t>
  </si>
  <si>
    <t>ORD1458</t>
  </si>
  <si>
    <t>ORD4894</t>
  </si>
  <si>
    <t>ORD3306</t>
  </si>
  <si>
    <t>ORD7041</t>
  </si>
  <si>
    <t>ORD7828</t>
  </si>
  <si>
    <t xml:space="preserve"> ord-502 </t>
  </si>
  <si>
    <t>ORD3532</t>
  </si>
  <si>
    <t>ORD7444</t>
  </si>
  <si>
    <t>ORD2378</t>
  </si>
  <si>
    <t>ORD5794</t>
  </si>
  <si>
    <t>ORD5521</t>
  </si>
  <si>
    <t>ORD1052</t>
  </si>
  <si>
    <t>ORD3828</t>
  </si>
  <si>
    <t>ORD6776</t>
  </si>
  <si>
    <t>ORD7770</t>
  </si>
  <si>
    <t>ORD6450</t>
  </si>
  <si>
    <t>ORD2441</t>
  </si>
  <si>
    <t>ORD9801</t>
  </si>
  <si>
    <t>ORD7174</t>
  </si>
  <si>
    <t>ORD9054</t>
  </si>
  <si>
    <t>ORD9300</t>
  </si>
  <si>
    <t>ORD8008</t>
  </si>
  <si>
    <t>ORD3383</t>
  </si>
  <si>
    <t>ORD5960</t>
  </si>
  <si>
    <t>ORD9934</t>
  </si>
  <si>
    <t>ORD8778</t>
  </si>
  <si>
    <t>ORD1141</t>
  </si>
  <si>
    <t>ORD5032</t>
  </si>
  <si>
    <t>ORD4323</t>
  </si>
  <si>
    <t>ORD1148</t>
  </si>
  <si>
    <t>ORD9418</t>
  </si>
  <si>
    <t>ORD6148</t>
  </si>
  <si>
    <t>ORD8172</t>
  </si>
  <si>
    <t>ORD3781</t>
  </si>
  <si>
    <t>ORD9856</t>
  </si>
  <si>
    <t>ORD8573</t>
  </si>
  <si>
    <t>ORD2794</t>
  </si>
  <si>
    <t xml:space="preserve"> ord-192 </t>
  </si>
  <si>
    <t xml:space="preserve"> ord-555 </t>
  </si>
  <si>
    <t>ORD9906</t>
  </si>
  <si>
    <t>ORD7386</t>
  </si>
  <si>
    <t>ORD8605</t>
  </si>
  <si>
    <t>ORD1566</t>
  </si>
  <si>
    <t>ORD2203</t>
  </si>
  <si>
    <t>ORD2528</t>
  </si>
  <si>
    <t>ORD7464</t>
  </si>
  <si>
    <t xml:space="preserve"> ord-931 </t>
  </si>
  <si>
    <t>ORD6307</t>
  </si>
  <si>
    <t>ORD3367</t>
  </si>
  <si>
    <t>ORD8958</t>
  </si>
  <si>
    <t>ORD4995</t>
  </si>
  <si>
    <t>ORD2455</t>
  </si>
  <si>
    <t>ORD9047</t>
  </si>
  <si>
    <t xml:space="preserve"> ord-818 </t>
  </si>
  <si>
    <t>ORD1331</t>
  </si>
  <si>
    <t>ORD6941</t>
  </si>
  <si>
    <t>ORD1966</t>
  </si>
  <si>
    <t>ORD6513</t>
  </si>
  <si>
    <t>ORD3486</t>
  </si>
  <si>
    <t xml:space="preserve"> ord-941 </t>
  </si>
  <si>
    <t xml:space="preserve"> ord-156 </t>
  </si>
  <si>
    <t>ORD4411</t>
  </si>
  <si>
    <t>ORD6435</t>
  </si>
  <si>
    <t xml:space="preserve"> ord-256 </t>
  </si>
  <si>
    <t>ORD1337</t>
  </si>
  <si>
    <t>ORD6083</t>
  </si>
  <si>
    <t>ORD3046</t>
  </si>
  <si>
    <t>ORD6825</t>
  </si>
  <si>
    <t>ORD4438</t>
  </si>
  <si>
    <t>ORD7346</t>
  </si>
  <si>
    <t>ORD6029</t>
  </si>
  <si>
    <t>ORD4932</t>
  </si>
  <si>
    <t>ORD4800</t>
  </si>
  <si>
    <t>ORD6273</t>
  </si>
  <si>
    <t>ORD7310</t>
  </si>
  <si>
    <t>ORD6884</t>
  </si>
  <si>
    <t>ORD7830</t>
  </si>
  <si>
    <t>ORD5454</t>
  </si>
  <si>
    <t>ORD8767</t>
  </si>
  <si>
    <t>ORD2339</t>
  </si>
  <si>
    <t>ORD8604</t>
  </si>
  <si>
    <t>ORD3985</t>
  </si>
  <si>
    <t>ORD4981</t>
  </si>
  <si>
    <t>ORD5197</t>
  </si>
  <si>
    <t>ORD3612</t>
  </si>
  <si>
    <t>ORD6930</t>
  </si>
  <si>
    <t>ORD5582</t>
  </si>
  <si>
    <t>ORD8369</t>
  </si>
  <si>
    <t>ORD9050</t>
  </si>
  <si>
    <t>ORD4091</t>
  </si>
  <si>
    <t>ORD5948</t>
  </si>
  <si>
    <t>ORD8671</t>
  </si>
  <si>
    <t>ORD1888</t>
  </si>
  <si>
    <t>ORD4464</t>
  </si>
  <si>
    <t>ORD7146</t>
  </si>
  <si>
    <t>ORD8747</t>
  </si>
  <si>
    <t>ORD9733</t>
  </si>
  <si>
    <t>ORD6208</t>
  </si>
  <si>
    <t>ORD6809</t>
  </si>
  <si>
    <t>ORD5930</t>
  </si>
  <si>
    <t>ORD2188</t>
  </si>
  <si>
    <t>ORD1164</t>
  </si>
  <si>
    <t>ORD7840</t>
  </si>
  <si>
    <t>ORD7865</t>
  </si>
  <si>
    <t>ORD5149</t>
  </si>
  <si>
    <t xml:space="preserve"> ord-522 </t>
  </si>
  <si>
    <t>ORD3949</t>
  </si>
  <si>
    <t>ORD9159</t>
  </si>
  <si>
    <t>ORD2337</t>
  </si>
  <si>
    <t xml:space="preserve"> ord-708 </t>
  </si>
  <si>
    <t>ORD4655</t>
  </si>
  <si>
    <t>ORD4892</t>
  </si>
  <si>
    <t xml:space="preserve"> ord-282 </t>
  </si>
  <si>
    <t xml:space="preserve"> ord-705 </t>
  </si>
  <si>
    <t>ORD6731</t>
  </si>
  <si>
    <t>ORD8135</t>
  </si>
  <si>
    <t>ORD5317</t>
  </si>
  <si>
    <t>ORD2312</t>
  </si>
  <si>
    <t>ORD7363</t>
  </si>
  <si>
    <t>ORD6401</t>
  </si>
  <si>
    <t>ORD7837</t>
  </si>
  <si>
    <t xml:space="preserve"> ord-785 </t>
  </si>
  <si>
    <t>ORD7010</t>
  </si>
  <si>
    <t>ORD9672</t>
  </si>
  <si>
    <t>ORD3456</t>
  </si>
  <si>
    <t xml:space="preserve"> ord-571 </t>
  </si>
  <si>
    <t>ORD2491</t>
  </si>
  <si>
    <t>ORD8231</t>
  </si>
  <si>
    <t>ORD6961</t>
  </si>
  <si>
    <t>ORD2008</t>
  </si>
  <si>
    <t>ORD2224</t>
  </si>
  <si>
    <t>ORD4686</t>
  </si>
  <si>
    <t xml:space="preserve"> ord-671 </t>
  </si>
  <si>
    <t>ORD8969</t>
  </si>
  <si>
    <t>ORD9990</t>
  </si>
  <si>
    <t xml:space="preserve"> ord-399 </t>
  </si>
  <si>
    <t>ORD1537</t>
  </si>
  <si>
    <t>ORD5346</t>
  </si>
  <si>
    <t xml:space="preserve"> ord-673 </t>
  </si>
  <si>
    <t>ORD2011</t>
  </si>
  <si>
    <t>ORD3462</t>
  </si>
  <si>
    <t>ORD4359</t>
  </si>
  <si>
    <t>ORD7753</t>
  </si>
  <si>
    <t>ORD2153</t>
  </si>
  <si>
    <t>ORD1883</t>
  </si>
  <si>
    <t xml:space="preserve"> ord-607 </t>
  </si>
  <si>
    <t>ORD9553</t>
  </si>
  <si>
    <t>ORD8751</t>
  </si>
  <si>
    <t>ORD3455</t>
  </si>
  <si>
    <t>ORD6963</t>
  </si>
  <si>
    <t>ORD7319</t>
  </si>
  <si>
    <t>ORD4281</t>
  </si>
  <si>
    <t xml:space="preserve"> ord-453 </t>
  </si>
  <si>
    <t>ORD9359</t>
  </si>
  <si>
    <t>ORD3215</t>
  </si>
  <si>
    <t>ORD4664</t>
  </si>
  <si>
    <t xml:space="preserve"> ord-313 </t>
  </si>
  <si>
    <t>ORD9323</t>
  </si>
  <si>
    <t>ORD3389</t>
  </si>
  <si>
    <t>ORD4520</t>
  </si>
  <si>
    <t>ORD8648</t>
  </si>
  <si>
    <t>ORD3884</t>
  </si>
  <si>
    <t>ORD3078</t>
  </si>
  <si>
    <t>ORD2753</t>
  </si>
  <si>
    <t>ORD5566</t>
  </si>
  <si>
    <t>ORD7661</t>
  </si>
  <si>
    <t>ORD7475</t>
  </si>
  <si>
    <t>ORD6014</t>
  </si>
  <si>
    <t>ORD2791</t>
  </si>
  <si>
    <t>ORD2960</t>
  </si>
  <si>
    <t>ORD2758</t>
  </si>
  <si>
    <t>ORD6839</t>
  </si>
  <si>
    <t xml:space="preserve"> ord-613 </t>
  </si>
  <si>
    <t>ORD4388</t>
  </si>
  <si>
    <t>ORD5495</t>
  </si>
  <si>
    <t xml:space="preserve"> ord-279 </t>
  </si>
  <si>
    <t xml:space="preserve"> ord-209 </t>
  </si>
  <si>
    <t>ORD7098</t>
  </si>
  <si>
    <t>ORD4121</t>
  </si>
  <si>
    <t>ORD9963</t>
  </si>
  <si>
    <t>ORD9065</t>
  </si>
  <si>
    <t>ORD2210</t>
  </si>
  <si>
    <t>ORD4860</t>
  </si>
  <si>
    <t xml:space="preserve"> ord-689 </t>
  </si>
  <si>
    <t>ORD4924</t>
  </si>
  <si>
    <t>ORD2748</t>
  </si>
  <si>
    <t>ORD3442</t>
  </si>
  <si>
    <t xml:space="preserve"> ord-487 </t>
  </si>
  <si>
    <t>ORD2908</t>
  </si>
  <si>
    <t>ORD1768</t>
  </si>
  <si>
    <t>ORD6997</t>
  </si>
  <si>
    <t>ORD7988</t>
  </si>
  <si>
    <t>ORD3674</t>
  </si>
  <si>
    <t>ORD7394</t>
  </si>
  <si>
    <t>ORD6906</t>
  </si>
  <si>
    <t>ORD4942</t>
  </si>
  <si>
    <t>ORD7282</t>
  </si>
  <si>
    <t>ORD6183</t>
  </si>
  <si>
    <t>ORD5493</t>
  </si>
  <si>
    <t>ORD8496</t>
  </si>
  <si>
    <t>ORD8811</t>
  </si>
  <si>
    <t>ORD1165</t>
  </si>
  <si>
    <t>ORD3760</t>
  </si>
  <si>
    <t>ORD5921</t>
  </si>
  <si>
    <t>ORD3294</t>
  </si>
  <si>
    <t>ORD9526</t>
  </si>
  <si>
    <t>ORD3250</t>
  </si>
  <si>
    <t>ORD7879</t>
  </si>
  <si>
    <t>ORD2543</t>
  </si>
  <si>
    <t>ORD9003</t>
  </si>
  <si>
    <t>ORD4469</t>
  </si>
  <si>
    <t>ORD4225</t>
  </si>
  <si>
    <t>ORD5002</t>
  </si>
  <si>
    <t>ORD4628</t>
  </si>
  <si>
    <t>ORD5854</t>
  </si>
  <si>
    <t>ORD5500</t>
  </si>
  <si>
    <t>ORD8856</t>
  </si>
  <si>
    <t>ORD6561</t>
  </si>
  <si>
    <t>ORD2709</t>
  </si>
  <si>
    <t>ORD1284</t>
  </si>
  <si>
    <t>ORD4465</t>
  </si>
  <si>
    <t>ORD1937</t>
  </si>
  <si>
    <t>ORD2685</t>
  </si>
  <si>
    <t>ORD7342</t>
  </si>
  <si>
    <t>ORD9132</t>
  </si>
  <si>
    <t>ORD9197</t>
  </si>
  <si>
    <t>ORD8967</t>
  </si>
  <si>
    <t>ORD5778</t>
  </si>
  <si>
    <t>ORD6496</t>
  </si>
  <si>
    <t xml:space="preserve"> ord-915 </t>
  </si>
  <si>
    <t xml:space="preserve"> ord-677 </t>
  </si>
  <si>
    <t>ORD2533</t>
  </si>
  <si>
    <t>ORD7173</t>
  </si>
  <si>
    <t>ORD6426</t>
  </si>
  <si>
    <t xml:space="preserve"> ord-609 </t>
  </si>
  <si>
    <t>ORD3068</t>
  </si>
  <si>
    <t>ORD7276</t>
  </si>
  <si>
    <t>ORD2554</t>
  </si>
  <si>
    <t>ORD1140</t>
  </si>
  <si>
    <t>ORD4945</t>
  </si>
  <si>
    <t>ORD1467</t>
  </si>
  <si>
    <t xml:space="preserve"> ord-644 </t>
  </si>
  <si>
    <t>ORD6826</t>
  </si>
  <si>
    <t>ORD1161</t>
  </si>
  <si>
    <t>ORD9395</t>
  </si>
  <si>
    <t>ORD3824</t>
  </si>
  <si>
    <t>ORD5589</t>
  </si>
  <si>
    <t>ORD3300</t>
  </si>
  <si>
    <t>ORD8861</t>
  </si>
  <si>
    <t>ORD4781</t>
  </si>
  <si>
    <t>ORD3175</t>
  </si>
  <si>
    <t>ORD7307</t>
  </si>
  <si>
    <t>ORD2545</t>
  </si>
  <si>
    <t>ORD4258</t>
  </si>
  <si>
    <t>ORD6887</t>
  </si>
  <si>
    <t>ORD2544</t>
  </si>
  <si>
    <t>ORD2204</t>
  </si>
  <si>
    <t>ORD7314</t>
  </si>
  <si>
    <t>ORD3304</t>
  </si>
  <si>
    <t>ORD2958</t>
  </si>
  <si>
    <t>ORD2296</t>
  </si>
  <si>
    <t>ORD5204</t>
  </si>
  <si>
    <t>ORD7082</t>
  </si>
  <si>
    <t>ORD6102</t>
  </si>
  <si>
    <t>ORD4777</t>
  </si>
  <si>
    <t>ORD9220</t>
  </si>
  <si>
    <t>ORD3751</t>
  </si>
  <si>
    <t>ORD3450</t>
  </si>
  <si>
    <t>ORD8193</t>
  </si>
  <si>
    <t xml:space="preserve"> ord-868 </t>
  </si>
  <si>
    <t>ORD5355</t>
  </si>
  <si>
    <t>ORD8004</t>
  </si>
  <si>
    <t xml:space="preserve"> ord-739 </t>
  </si>
  <si>
    <t>ORD1857</t>
  </si>
  <si>
    <t xml:space="preserve"> ord-138 </t>
  </si>
  <si>
    <t>ORD3654</t>
  </si>
  <si>
    <t>ORD7574</t>
  </si>
  <si>
    <t>ORD1200</t>
  </si>
  <si>
    <t>ORD5489</t>
  </si>
  <si>
    <t>ORD3474</t>
  </si>
  <si>
    <t>ORD7118</t>
  </si>
  <si>
    <t>ORD4109</t>
  </si>
  <si>
    <t>ORD7335</t>
  </si>
  <si>
    <t>ORD2068</t>
  </si>
  <si>
    <t>ORD8797</t>
  </si>
  <si>
    <t>ORD5738</t>
  </si>
  <si>
    <t>ORD3427</t>
  </si>
  <si>
    <t>ORD6151</t>
  </si>
  <si>
    <t xml:space="preserve"> ord-427 </t>
  </si>
  <si>
    <t>ORD8666</t>
  </si>
  <si>
    <t>ORD6967</t>
  </si>
  <si>
    <t>ORD9187</t>
  </si>
  <si>
    <t>ORD4042</t>
  </si>
  <si>
    <t>ORD4927</t>
  </si>
  <si>
    <t>ORD6448</t>
  </si>
  <si>
    <t>ORD2962</t>
  </si>
  <si>
    <t>ORD6815</t>
  </si>
  <si>
    <t>ORD9184</t>
  </si>
  <si>
    <t xml:space="preserve"> ord-438 </t>
  </si>
  <si>
    <t>ORD2610</t>
  </si>
  <si>
    <t xml:space="preserve"> ord-989 </t>
  </si>
  <si>
    <t>ORD6648</t>
  </si>
  <si>
    <t>ORD4818</t>
  </si>
  <si>
    <t>ORD3797</t>
  </si>
  <si>
    <t>ORD1281</t>
  </si>
  <si>
    <t>ORD3870</t>
  </si>
  <si>
    <t>ORD6629</t>
  </si>
  <si>
    <t>ORD6342</t>
  </si>
  <si>
    <t>ORD6425</t>
  </si>
  <si>
    <t>ORD9491</t>
  </si>
  <si>
    <t>ORD2681</t>
  </si>
  <si>
    <t>ORD7124</t>
  </si>
  <si>
    <t>ORD5564</t>
  </si>
  <si>
    <t>ORD3680</t>
  </si>
  <si>
    <t>ORD1694</t>
  </si>
  <si>
    <t>ORD5237</t>
  </si>
  <si>
    <t>ORD4740</t>
  </si>
  <si>
    <t>ORD1902</t>
  </si>
  <si>
    <t>ORD6595</t>
  </si>
  <si>
    <t>ORD6602</t>
  </si>
  <si>
    <t>ORD5180</t>
  </si>
  <si>
    <t>ORD8955</t>
  </si>
  <si>
    <t xml:space="preserve"> ord-352 </t>
  </si>
  <si>
    <t>ORD4008</t>
  </si>
  <si>
    <t>ORD4458</t>
  </si>
  <si>
    <t xml:space="preserve"> ord-284 </t>
  </si>
  <si>
    <t>ORD4640</t>
  </si>
  <si>
    <t>ORD7970</t>
  </si>
  <si>
    <t>ORD5014</t>
  </si>
  <si>
    <t>ORD7973</t>
  </si>
  <si>
    <t>ORD6883</t>
  </si>
  <si>
    <t>ORD1069</t>
  </si>
  <si>
    <t>ORD2634</t>
  </si>
  <si>
    <t>ORD9179</t>
  </si>
  <si>
    <t>ORD8719</t>
  </si>
  <si>
    <t>ORD3131</t>
  </si>
  <si>
    <t>ORD9141</t>
  </si>
  <si>
    <t>ORD9697</t>
  </si>
  <si>
    <t>ORD1243</t>
  </si>
  <si>
    <t>ORD9615</t>
  </si>
  <si>
    <t xml:space="preserve"> ord-108 </t>
  </si>
  <si>
    <t>ORD6530</t>
  </si>
  <si>
    <t>ORD5674</t>
  </si>
  <si>
    <t>ORD5696</t>
  </si>
  <si>
    <t>ORD4881</t>
  </si>
  <si>
    <t xml:space="preserve"> ord-751 </t>
  </si>
  <si>
    <t>ORD5062</t>
  </si>
  <si>
    <t xml:space="preserve"> ord-690 </t>
  </si>
  <si>
    <t>ORD4457</t>
  </si>
  <si>
    <t>ORD3006</t>
  </si>
  <si>
    <t>ORD2673</t>
  </si>
  <si>
    <t>ORD4673</t>
  </si>
  <si>
    <t>ORD9219</t>
  </si>
  <si>
    <t>ORD4089</t>
  </si>
  <si>
    <t>ORD6322</t>
  </si>
  <si>
    <t>ORD9622</t>
  </si>
  <si>
    <t xml:space="preserve"> ord-389 </t>
  </si>
  <si>
    <t>ORD4627</t>
  </si>
  <si>
    <t xml:space="preserve"> ord-492 </t>
  </si>
  <si>
    <t>ORD9067</t>
  </si>
  <si>
    <t xml:space="preserve"> ord-730 </t>
  </si>
  <si>
    <t>ORD7022</t>
  </si>
  <si>
    <t>ORD4544</t>
  </si>
  <si>
    <t>ORD8058</t>
  </si>
  <si>
    <t>ORD6875</t>
  </si>
  <si>
    <t xml:space="preserve"> ord-373 </t>
  </si>
  <si>
    <t>ORD3342</t>
  </si>
  <si>
    <t>ORD8158</t>
  </si>
  <si>
    <t>ORD8976</t>
  </si>
  <si>
    <t xml:space="preserve"> ord-783 </t>
  </si>
  <si>
    <t>ORD8806</t>
  </si>
  <si>
    <t>ORD7286</t>
  </si>
  <si>
    <t>ORD5899</t>
  </si>
  <si>
    <t>ORD1728</t>
  </si>
  <si>
    <t>ORD3422</t>
  </si>
  <si>
    <t xml:space="preserve"> ord-394 </t>
  </si>
  <si>
    <t>ORD4633</t>
  </si>
  <si>
    <t>ORD6475</t>
  </si>
  <si>
    <t>ORD6022</t>
  </si>
  <si>
    <t>ORD4021</t>
  </si>
  <si>
    <t>ORD7791</t>
  </si>
  <si>
    <t>ORD7750</t>
  </si>
  <si>
    <t xml:space="preserve"> ord-580 </t>
  </si>
  <si>
    <t>ORD1747</t>
  </si>
  <si>
    <t>ORD5059</t>
  </si>
  <si>
    <t>ORD9168</t>
  </si>
  <si>
    <t>ORD8454</t>
  </si>
  <si>
    <t>ORD9587</t>
  </si>
  <si>
    <t>ORD6848</t>
  </si>
  <si>
    <t>ORD2462</t>
  </si>
  <si>
    <t>ORD4197</t>
  </si>
  <si>
    <t>ORD1783</t>
  </si>
  <si>
    <t>ORD6562</t>
  </si>
  <si>
    <t>ORD9203</t>
  </si>
  <si>
    <t>ORD4828</t>
  </si>
  <si>
    <t>ORD9386</t>
  </si>
  <si>
    <t>ORD8044</t>
  </si>
  <si>
    <t>ORD6568</t>
  </si>
  <si>
    <t>ORD6405</t>
  </si>
  <si>
    <t>ORD4641</t>
  </si>
  <si>
    <t>ORD9402</t>
  </si>
  <si>
    <t>ORD9691</t>
  </si>
  <si>
    <t>ORD6382</t>
  </si>
  <si>
    <t>ORD6042</t>
  </si>
  <si>
    <t>ORD7017</t>
  </si>
  <si>
    <t>ORD8330</t>
  </si>
  <si>
    <t>ORD8409</t>
  </si>
  <si>
    <t>ORD5986</t>
  </si>
  <si>
    <t>ORD6015</t>
  </si>
  <si>
    <t>ORD4841</t>
  </si>
  <si>
    <t>ORD6252</t>
  </si>
  <si>
    <t>ORD5331</t>
  </si>
  <si>
    <t xml:space="preserve"> ord-448 </t>
  </si>
  <si>
    <t xml:space="preserve"> ord-291 </t>
  </si>
  <si>
    <t>ORD6851</t>
  </si>
  <si>
    <t xml:space="preserve"> ord-123 </t>
  </si>
  <si>
    <t xml:space="preserve"> ord-981 </t>
  </si>
  <si>
    <t>ORD1096</t>
  </si>
  <si>
    <t>ORD4793</t>
  </si>
  <si>
    <t>ORD1316</t>
  </si>
  <si>
    <t>ORD8399</t>
  </si>
  <si>
    <t>ORD8900</t>
  </si>
  <si>
    <t>ORD6596</t>
  </si>
  <si>
    <t>ORD1580</t>
  </si>
  <si>
    <t xml:space="preserve"> ord-437 </t>
  </si>
  <si>
    <t>ORD5286</t>
  </si>
  <si>
    <t>ORD1838</t>
  </si>
  <si>
    <t>ORD1947</t>
  </si>
  <si>
    <t xml:space="preserve"> ord-866 </t>
  </si>
  <si>
    <t>ORD1841</t>
  </si>
  <si>
    <t xml:space="preserve"> ord-334 </t>
  </si>
  <si>
    <t>ORD5261</t>
  </si>
  <si>
    <t>ORD9711</t>
  </si>
  <si>
    <t>ORD2819</t>
  </si>
  <si>
    <t>ORD1710</t>
  </si>
  <si>
    <t xml:space="preserve"> ord-920 </t>
  </si>
  <si>
    <t xml:space="preserve"> ord-205 </t>
  </si>
  <si>
    <t>ORD3754</t>
  </si>
  <si>
    <t>ORD4498</t>
  </si>
  <si>
    <t>ORD3167</t>
  </si>
  <si>
    <t>ORD7134</t>
  </si>
  <si>
    <t>ORD2896</t>
  </si>
  <si>
    <t>ORD1354</t>
  </si>
  <si>
    <t>ORD2668</t>
  </si>
  <si>
    <t>ORD2057</t>
  </si>
  <si>
    <t>ORD9798</t>
  </si>
  <si>
    <t xml:space="preserve"> ord-252 </t>
  </si>
  <si>
    <t>ORD6021</t>
  </si>
  <si>
    <t xml:space="preserve"> ord-318 </t>
  </si>
  <si>
    <t xml:space="preserve"> ord-273 </t>
  </si>
  <si>
    <t>ORD6225</t>
  </si>
  <si>
    <t>ORD4456</t>
  </si>
  <si>
    <t>ORD1862</t>
  </si>
  <si>
    <t>ORD3316</t>
  </si>
  <si>
    <t>ORD7968</t>
  </si>
  <si>
    <t>ORD4141</t>
  </si>
  <si>
    <t>ORD9933</t>
  </si>
  <si>
    <t>ORD8857</t>
  </si>
  <si>
    <t>ORD8519</t>
  </si>
  <si>
    <t>ORD8549</t>
  </si>
  <si>
    <t>ORD7094</t>
  </si>
  <si>
    <t>ORD8294</t>
  </si>
  <si>
    <t>ORD8599</t>
  </si>
  <si>
    <t>ORD2631</t>
  </si>
  <si>
    <t>ORD2777</t>
  </si>
  <si>
    <t>ORD2521</t>
  </si>
  <si>
    <t>ORD6663</t>
  </si>
  <si>
    <t>ORD4571</t>
  </si>
  <si>
    <t>ORD5652</t>
  </si>
  <si>
    <t xml:space="preserve"> ord-449 </t>
  </si>
  <si>
    <t xml:space="preserve"> ord-346 </t>
  </si>
  <si>
    <t>ORD1339</t>
  </si>
  <si>
    <t>ORD8290</t>
  </si>
  <si>
    <t>ORD7130</t>
  </si>
  <si>
    <t>ORD4845</t>
  </si>
  <si>
    <t>ORD7588</t>
  </si>
  <si>
    <t>ORD3435</t>
  </si>
  <si>
    <t>ORD8159</t>
  </si>
  <si>
    <t>ORD2208</t>
  </si>
  <si>
    <t>ORD9343</t>
  </si>
  <si>
    <t>ORD6361</t>
  </si>
  <si>
    <t>ORD7637</t>
  </si>
  <si>
    <t>ORD2505</t>
  </si>
  <si>
    <t>ORD8547</t>
  </si>
  <si>
    <t>ORD6797</t>
  </si>
  <si>
    <t>ORD6003</t>
  </si>
  <si>
    <t xml:space="preserve"> ord-631 </t>
  </si>
  <si>
    <t xml:space="preserve"> ord-978 </t>
  </si>
  <si>
    <t xml:space="preserve"> ord-604 </t>
  </si>
  <si>
    <t>ORD9899</t>
  </si>
  <si>
    <t>ORD9868</t>
  </si>
  <si>
    <t>ORD2939</t>
  </si>
  <si>
    <t>ORD7570</t>
  </si>
  <si>
    <t>ORD3112</t>
  </si>
  <si>
    <t xml:space="preserve"> ord-124 </t>
  </si>
  <si>
    <t>ORD2682</t>
  </si>
  <si>
    <t xml:space="preserve"> ord-126 </t>
  </si>
  <si>
    <t xml:space="preserve"> ord-537 </t>
  </si>
  <si>
    <t>ORD2237</t>
  </si>
  <si>
    <t>ORD5340</t>
  </si>
  <si>
    <t>ORD2915</t>
  </si>
  <si>
    <t>ORD2213</t>
  </si>
  <si>
    <t>ORD1647</t>
  </si>
  <si>
    <t>ORD7080</t>
  </si>
  <si>
    <t>ORD1441</t>
  </si>
  <si>
    <t>ORD1903</t>
  </si>
  <si>
    <t>ORD9088</t>
  </si>
  <si>
    <t>ORD6156</t>
  </si>
  <si>
    <t xml:space="preserve"> ord-769 </t>
  </si>
  <si>
    <t>ORD3319</t>
  </si>
  <si>
    <t>ORD7063</t>
  </si>
  <si>
    <t>ORD7989</t>
  </si>
  <si>
    <t>ORD7343</t>
  </si>
  <si>
    <t xml:space="preserve"> ord-536 </t>
  </si>
  <si>
    <t>ORD6010</t>
  </si>
  <si>
    <t>ORD4744</t>
  </si>
  <si>
    <t>ORD1163</t>
  </si>
  <si>
    <t xml:space="preserve"> ord-672 </t>
  </si>
  <si>
    <t>ORD3878</t>
  </si>
  <si>
    <t>ORD7772</t>
  </si>
  <si>
    <t>ORD3414</t>
  </si>
  <si>
    <t>ORD5249</t>
  </si>
  <si>
    <t>ORD7231</t>
  </si>
  <si>
    <t>ORD9585</t>
  </si>
  <si>
    <t xml:space="preserve"> ord-129 </t>
  </si>
  <si>
    <t>ORD6298</t>
  </si>
  <si>
    <t>ORD1360</t>
  </si>
  <si>
    <t>ORD1817</t>
  </si>
  <si>
    <t xml:space="preserve"> ord-590 </t>
  </si>
  <si>
    <t>ORD4728</t>
  </si>
  <si>
    <t>ORD7184</t>
  </si>
  <si>
    <t>ORD9226</t>
  </si>
  <si>
    <t>ORD1232</t>
  </si>
  <si>
    <t>ORD9250</t>
  </si>
  <si>
    <t xml:space="preserve"> ord-800 </t>
  </si>
  <si>
    <t xml:space="preserve"> ord-523 </t>
  </si>
  <si>
    <t xml:space="preserve"> ord-204 </t>
  </si>
  <si>
    <t>ORD3557</t>
  </si>
  <si>
    <t>ORD6922</t>
  </si>
  <si>
    <t>ORD5302</t>
  </si>
  <si>
    <t>ORD9298</t>
  </si>
  <si>
    <t>ORD2619</t>
  </si>
  <si>
    <t>ORD2687</t>
  </si>
  <si>
    <t>ORD1609</t>
  </si>
  <si>
    <t>ORD3995</t>
  </si>
  <si>
    <t>ORD1851</t>
  </si>
  <si>
    <t>ORD9147</t>
  </si>
  <si>
    <t xml:space="preserve"> ord-837 </t>
  </si>
  <si>
    <t>ORD6720</t>
  </si>
  <si>
    <t>ORD3225</t>
  </si>
  <si>
    <t>ORD5200</t>
  </si>
  <si>
    <t>ORD4049</t>
  </si>
  <si>
    <t>ORD1418</t>
  </si>
  <si>
    <t>ORD7028</t>
  </si>
  <si>
    <t xml:space="preserve"> ord-976 </t>
  </si>
  <si>
    <t>ORD6715</t>
  </si>
  <si>
    <t>ORD7708</t>
  </si>
  <si>
    <t>ORD5991</t>
  </si>
  <si>
    <t>ORD7565</t>
  </si>
  <si>
    <t>ORD1427</t>
  </si>
  <si>
    <t>ORD7956</t>
  </si>
  <si>
    <t>ORD3163</t>
  </si>
  <si>
    <t>ORD3439</t>
  </si>
  <si>
    <t>ORD8826</t>
  </si>
  <si>
    <t>ORD5126</t>
  </si>
  <si>
    <t>ORD8598</t>
  </si>
  <si>
    <t>ORD4757</t>
  </si>
  <si>
    <t>ORD7246</t>
  </si>
  <si>
    <t>ORD3484</t>
  </si>
  <si>
    <t xml:space="preserve"> ord-622 </t>
  </si>
  <si>
    <t>ORD8655</t>
  </si>
  <si>
    <t>ORD9732</t>
  </si>
  <si>
    <t>ORD2427</t>
  </si>
  <si>
    <t>ORD2172</t>
  </si>
  <si>
    <t xml:space="preserve"> ord-261 </t>
  </si>
  <si>
    <t>ORD4730</t>
  </si>
  <si>
    <t>ORD7686</t>
  </si>
  <si>
    <t>ORD7874</t>
  </si>
  <si>
    <t>ORD2305</t>
  </si>
  <si>
    <t>ORD7109</t>
  </si>
  <si>
    <t>ORD6009</t>
  </si>
  <si>
    <t xml:space="preserve"> ord-906 </t>
  </si>
  <si>
    <t>ORD5158</t>
  </si>
  <si>
    <t xml:space="preserve"> ord-863 </t>
  </si>
  <si>
    <t xml:space="preserve"> ord-451 </t>
  </si>
  <si>
    <t>ORD2947</t>
  </si>
  <si>
    <t>ORD6386</t>
  </si>
  <si>
    <t>ORD9844</t>
  </si>
  <si>
    <t>ORD3117</t>
  </si>
  <si>
    <t>ORD4311</t>
  </si>
  <si>
    <t>ORD4174</t>
  </si>
  <si>
    <t xml:space="preserve"> ord-809 </t>
  </si>
  <si>
    <t>ORD3849</t>
  </si>
  <si>
    <t>ORD5925</t>
  </si>
  <si>
    <t>ORD9806</t>
  </si>
  <si>
    <t xml:space="preserve"> ord-114 </t>
  </si>
  <si>
    <t>ORD4522</t>
  </si>
  <si>
    <t>ORD8431</t>
  </si>
  <si>
    <t>ORD2841</t>
  </si>
  <si>
    <t>ORD6597</t>
  </si>
  <si>
    <t>ORD1918</t>
  </si>
  <si>
    <t>ORD4843</t>
  </si>
  <si>
    <t>ORD8305</t>
  </si>
  <si>
    <t>ORD3597</t>
  </si>
  <si>
    <t>ORD7537</t>
  </si>
  <si>
    <t>ORD4341</t>
  </si>
  <si>
    <t>ORD2232</t>
  </si>
  <si>
    <t>ORD8090</t>
  </si>
  <si>
    <t>ORD5842</t>
  </si>
  <si>
    <t>ORD4674</t>
  </si>
  <si>
    <t>ORD8852</t>
  </si>
  <si>
    <t>ORD2817</t>
  </si>
  <si>
    <t>ORD6036</t>
  </si>
  <si>
    <t>ORD9341</t>
  </si>
  <si>
    <t>ORD1673</t>
  </si>
  <si>
    <t xml:space="preserve"> ord-840 </t>
  </si>
  <si>
    <t>ORD7870</t>
  </si>
  <si>
    <t>ORD3940</t>
  </si>
  <si>
    <t>ORD5202</t>
  </si>
  <si>
    <t>ORD5993</t>
  </si>
  <si>
    <t>ORD2596</t>
  </si>
  <si>
    <t>ORD7905</t>
  </si>
  <si>
    <t>ORD3812</t>
  </si>
  <si>
    <t>ORD5140</t>
  </si>
  <si>
    <t>ORD8978</t>
  </si>
  <si>
    <t>ORD2418</t>
  </si>
  <si>
    <t>ORD8959</t>
  </si>
  <si>
    <t xml:space="preserve"> ord-770 </t>
  </si>
  <si>
    <t>ORD7001</t>
  </si>
  <si>
    <t>ORD9278</t>
  </si>
  <si>
    <t>ORD1013</t>
  </si>
  <si>
    <t>ORD8543</t>
  </si>
  <si>
    <t>ORD1223</t>
  </si>
  <si>
    <t xml:space="preserve"> ord-345 </t>
  </si>
  <si>
    <t>ORD7887</t>
  </si>
  <si>
    <t xml:space="preserve"> ord-175 </t>
  </si>
  <si>
    <t>ORD4446</t>
  </si>
  <si>
    <t>ORD6678</t>
  </si>
  <si>
    <t>ORD4704</t>
  </si>
  <si>
    <t>ORD8457</t>
  </si>
  <si>
    <t>ORD3301</t>
  </si>
  <si>
    <t>ORD5326</t>
  </si>
  <si>
    <t>ORD3659</t>
  </si>
  <si>
    <t>ORD9681</t>
  </si>
  <si>
    <t>ORD2014</t>
  </si>
  <si>
    <t>ORD3855</t>
  </si>
  <si>
    <t>ORD2135</t>
  </si>
  <si>
    <t xml:space="preserve"> ord-396 </t>
  </si>
  <si>
    <t>ORD2156</t>
  </si>
  <si>
    <t>ORD5914</t>
  </si>
  <si>
    <t>ORD2650</t>
  </si>
  <si>
    <t>ORD3872</t>
  </si>
  <si>
    <t>ORD4207</t>
  </si>
  <si>
    <t>ORD9612</t>
  </si>
  <si>
    <t>ORD3638</t>
  </si>
  <si>
    <t>ORD4534</t>
  </si>
  <si>
    <t>ORD2612</t>
  </si>
  <si>
    <t>ORD3512</t>
  </si>
  <si>
    <t>ORD8333</t>
  </si>
  <si>
    <t>ORD6708</t>
  </si>
  <si>
    <t>ORD2890</t>
  </si>
  <si>
    <t>ORD5808</t>
  </si>
  <si>
    <t>ORD2108</t>
  </si>
  <si>
    <t>ORD2456</t>
  </si>
  <si>
    <t>ORD3023</t>
  </si>
  <si>
    <t>ORD4692</t>
  </si>
  <si>
    <t>ORD6053</t>
  </si>
  <si>
    <t>ORD6923</t>
  </si>
  <si>
    <t>ORD5690</t>
  </si>
  <si>
    <t>ORD1215</t>
  </si>
  <si>
    <t>ORD8577</t>
  </si>
  <si>
    <t>ORD7520</t>
  </si>
  <si>
    <t>ORD4096</t>
  </si>
  <si>
    <t>ORD1304</t>
  </si>
  <si>
    <t>ORD4949</t>
  </si>
  <si>
    <t>ORD1313</t>
  </si>
  <si>
    <t>ORD4820</t>
  </si>
  <si>
    <t>ORD2123</t>
  </si>
  <si>
    <t>ORD2249</t>
  </si>
  <si>
    <t>ORD5471</t>
  </si>
  <si>
    <t>ORD4931</t>
  </si>
  <si>
    <t>ORD7523</t>
  </si>
  <si>
    <t>ORD7684</t>
  </si>
  <si>
    <t>ORD3861</t>
  </si>
  <si>
    <t>ORD1283</t>
  </si>
  <si>
    <t>ORD2747</t>
  </si>
  <si>
    <t xml:space="preserve"> ord-719 </t>
  </si>
  <si>
    <t>ORD8667</t>
  </si>
  <si>
    <t xml:space="preserve"> ord-186 </t>
  </si>
  <si>
    <t>ORD1229</t>
  </si>
  <si>
    <t>ORD9718</t>
  </si>
  <si>
    <t>ORD3099</t>
  </si>
  <si>
    <t>ORD4823</t>
  </si>
  <si>
    <t>ORD2790</t>
  </si>
  <si>
    <t>ORD1250</t>
  </si>
  <si>
    <t>ORD1027</t>
  </si>
  <si>
    <t xml:space="preserve"> ord-520 </t>
  </si>
  <si>
    <t>ORD6187</t>
  </si>
  <si>
    <t>ORD9200</t>
  </si>
  <si>
    <t>ORD2735</t>
  </si>
  <si>
    <t>ORD2924</t>
  </si>
  <si>
    <t>ORD3952</t>
  </si>
  <si>
    <t>ORD6262</t>
  </si>
  <si>
    <t>ORD2617</t>
  </si>
  <si>
    <t>ORD9031</t>
  </si>
  <si>
    <t>ORD8271</t>
  </si>
  <si>
    <t>ORD3385</t>
  </si>
  <si>
    <t xml:space="preserve"> ord-531 </t>
  </si>
  <si>
    <t>ORD8176</t>
  </si>
  <si>
    <t>ORD6697</t>
  </si>
  <si>
    <t>ORD5400</t>
  </si>
  <si>
    <t>ORD8994</t>
  </si>
  <si>
    <t>ORD7771</t>
  </si>
  <si>
    <t>ORD3158</t>
  </si>
  <si>
    <t>ORD2198</t>
  </si>
  <si>
    <t>ORD3708</t>
  </si>
  <si>
    <t>ORD6575</t>
  </si>
  <si>
    <t>ORD1965</t>
  </si>
  <si>
    <t>ORD9249</t>
  </si>
  <si>
    <t>ORD7392</t>
  </si>
  <si>
    <t>ORD5058</t>
  </si>
  <si>
    <t>ORD5867</t>
  </si>
  <si>
    <t xml:space="preserve"> ord-947 </t>
  </si>
  <si>
    <t>ORD2393</t>
  </si>
  <si>
    <t>ORD7243</t>
  </si>
  <si>
    <t>ORD9604</t>
  </si>
  <si>
    <t>ORD5892</t>
  </si>
  <si>
    <t xml:space="preserve"> ord-640 </t>
  </si>
  <si>
    <t>ORD7838</t>
  </si>
  <si>
    <t>ORD8531</t>
  </si>
  <si>
    <t>ORD9378</t>
  </si>
  <si>
    <t>ORD4503</t>
  </si>
  <si>
    <t>ORD2061</t>
  </si>
  <si>
    <t xml:space="preserve"> ord-851 </t>
  </si>
  <si>
    <t>ORD5159</t>
  </si>
  <si>
    <t>ORD7698</t>
  </si>
  <si>
    <t xml:space="preserve"> ord-793 </t>
  </si>
  <si>
    <t>ORD3839</t>
  </si>
  <si>
    <t xml:space="preserve"> ord-134 </t>
  </si>
  <si>
    <t>ORD3420</t>
  </si>
  <si>
    <t xml:space="preserve"> ord-963 </t>
  </si>
  <si>
    <t>ORD6133</t>
  </si>
  <si>
    <t>ORD3998</t>
  </si>
  <si>
    <t xml:space="preserve"> ord-276 </t>
  </si>
  <si>
    <t>ORD9855</t>
  </si>
  <si>
    <t>ORD1974</t>
  </si>
  <si>
    <t xml:space="preserve"> ord-417 </t>
  </si>
  <si>
    <t>ORD1552</t>
  </si>
  <si>
    <t>ORD4264</t>
  </si>
  <si>
    <t>ORD8647</t>
  </si>
  <si>
    <t>ORD9838</t>
  </si>
  <si>
    <t>ORD9710</t>
  </si>
  <si>
    <t>ORD5040</t>
  </si>
  <si>
    <t>ORD5770</t>
  </si>
  <si>
    <t>ORD7759</t>
  </si>
  <si>
    <t>ORD8229</t>
  </si>
  <si>
    <t>ORD8435</t>
  </si>
  <si>
    <t>ORD8047</t>
  </si>
  <si>
    <t>ORD5590</t>
  </si>
  <si>
    <t>ORD4651</t>
  </si>
  <si>
    <t>ORD5969</t>
  </si>
  <si>
    <t>ORD5880</t>
  </si>
  <si>
    <t>ORD6806</t>
  </si>
  <si>
    <t>ORD2107</t>
  </si>
  <si>
    <t>ORD8492</t>
  </si>
  <si>
    <t xml:space="preserve"> ord-762 </t>
  </si>
  <si>
    <t xml:space="preserve"> ord-235 </t>
  </si>
  <si>
    <t>ORD9650</t>
  </si>
  <si>
    <t>ORD9483</t>
  </si>
  <si>
    <t>ORD2984</t>
  </si>
  <si>
    <t>ORD5647</t>
  </si>
  <si>
    <t>ORD6786</t>
  </si>
  <si>
    <t>ORD9714</t>
  </si>
  <si>
    <t>ORD9450</t>
  </si>
  <si>
    <t>ORD6501</t>
  </si>
  <si>
    <t>ORD3921</t>
  </si>
  <si>
    <t xml:space="preserve"> ord-525 </t>
  </si>
  <si>
    <t>ORD4767</t>
  </si>
  <si>
    <t>ORD2136</t>
  </si>
  <si>
    <t>ORD2688</t>
  </si>
  <si>
    <t xml:space="preserve"> ord-905 </t>
  </si>
  <si>
    <t>ORD8424</t>
  </si>
  <si>
    <t>ORD5084</t>
  </si>
  <si>
    <t>ORD6039</t>
  </si>
  <si>
    <t>ORD6427</t>
  </si>
  <si>
    <t>ORD8937</t>
  </si>
  <si>
    <t>ORD8242</t>
  </si>
  <si>
    <t>ORD7216</t>
  </si>
  <si>
    <t>ORD5043</t>
  </si>
  <si>
    <t>ORD1111</t>
  </si>
  <si>
    <t>ORD5895</t>
  </si>
  <si>
    <t>ORD1455</t>
  </si>
  <si>
    <t>ORD6494</t>
  </si>
  <si>
    <t>ORD9097</t>
  </si>
  <si>
    <t>ORD3551</t>
  </si>
  <si>
    <t>ORD3899</t>
  </si>
  <si>
    <t>ORD2041</t>
  </si>
  <si>
    <t>ORD8735</t>
  </si>
  <si>
    <t>ORD7157</t>
  </si>
  <si>
    <t>ORD5338</t>
  </si>
  <si>
    <t>ORD2965</t>
  </si>
  <si>
    <t>ORD6581</t>
  </si>
  <si>
    <t>ORD3727</t>
  </si>
  <si>
    <t>ORD3489</t>
  </si>
  <si>
    <t>ORD6074</t>
  </si>
  <si>
    <t>ORD5826</t>
  </si>
  <si>
    <t>ORD6520</t>
  </si>
  <si>
    <t>ORD2571</t>
  </si>
  <si>
    <t>ORD7074</t>
  </si>
  <si>
    <t>ORD9146</t>
  </si>
  <si>
    <t xml:space="preserve"> ord-259 </t>
  </si>
  <si>
    <t>ORD9939</t>
  </si>
  <si>
    <t>ORD6149</t>
  </si>
  <si>
    <t>ORD6105</t>
  </si>
  <si>
    <t>ORD4565</t>
  </si>
  <si>
    <t>ORD6290</t>
  </si>
  <si>
    <t>ORD4196</t>
  </si>
  <si>
    <t xml:space="preserve"> ord-452 </t>
  </si>
  <si>
    <t>ORD3894</t>
  </si>
  <si>
    <t>ORD1745</t>
  </si>
  <si>
    <t>ORD7747</t>
  </si>
  <si>
    <t>ORD4316</t>
  </si>
  <si>
    <t>ORD8223</t>
  </si>
  <si>
    <t>ORD6171</t>
  </si>
  <si>
    <t>2023/06/25</t>
  </si>
  <si>
    <t>15/02/2023</t>
  </si>
  <si>
    <t>April 5 2023</t>
  </si>
  <si>
    <t>03-20-2023</t>
  </si>
  <si>
    <t>2023-01-15</t>
  </si>
  <si>
    <t>West</t>
  </si>
  <si>
    <t xml:space="preserve"> north</t>
  </si>
  <si>
    <t>Soth</t>
  </si>
  <si>
    <t xml:space="preserve">south </t>
  </si>
  <si>
    <t>North</t>
  </si>
  <si>
    <t>EAST</t>
  </si>
  <si>
    <t>Tablet</t>
  </si>
  <si>
    <t>Monitor</t>
  </si>
  <si>
    <t>Laptop</t>
  </si>
  <si>
    <t>Phone</t>
  </si>
  <si>
    <t>Electronics</t>
  </si>
  <si>
    <t>ORD506</t>
  </si>
  <si>
    <t>ORD521</t>
  </si>
  <si>
    <t>ORD193</t>
  </si>
  <si>
    <t>ORD319</t>
  </si>
  <si>
    <t>ORD150</t>
  </si>
  <si>
    <t>ORD306</t>
  </si>
  <si>
    <t>ORD612</t>
  </si>
  <si>
    <t>ORD600</t>
  </si>
  <si>
    <t>ORD338</t>
  </si>
  <si>
    <t>ORD647</t>
  </si>
  <si>
    <t>ORD470</t>
  </si>
  <si>
    <t>ORD904</t>
  </si>
  <si>
    <t>ORD913</t>
  </si>
  <si>
    <t>ORD458</t>
  </si>
  <si>
    <t>ORD357</t>
  </si>
  <si>
    <t>ORD309</t>
  </si>
  <si>
    <t>ORD691</t>
  </si>
  <si>
    <t>ORD215</t>
  </si>
  <si>
    <t>ORD416</t>
  </si>
  <si>
    <t>ORD316</t>
  </si>
  <si>
    <t>ORD244</t>
  </si>
  <si>
    <t>ORD207</t>
  </si>
  <si>
    <t>ORD461</t>
  </si>
  <si>
    <t>ORD747</t>
  </si>
  <si>
    <t>ORD732</t>
  </si>
  <si>
    <t>ORD903</t>
  </si>
  <si>
    <t>ORD564</t>
  </si>
  <si>
    <t>ORD507</t>
  </si>
  <si>
    <t>ORD372</t>
  </si>
  <si>
    <t>ORD221</t>
  </si>
  <si>
    <t>ORD435</t>
  </si>
  <si>
    <t>ORD208</t>
  </si>
  <si>
    <t>ORD718</t>
  </si>
  <si>
    <t>ORD975</t>
  </si>
  <si>
    <t>ORD277</t>
  </si>
  <si>
    <t>ORD243</t>
  </si>
  <si>
    <t>ORD712</t>
  </si>
  <si>
    <t>ORD300</t>
  </si>
  <si>
    <t>ORD764</t>
  </si>
  <si>
    <t>ORD991</t>
  </si>
  <si>
    <t>ORD652</t>
  </si>
  <si>
    <t>ORD870</t>
  </si>
  <si>
    <t>ORD667</t>
  </si>
  <si>
    <t>ORD283</t>
  </si>
  <si>
    <t>ORD182</t>
  </si>
  <si>
    <t>ORD362</t>
  </si>
  <si>
    <t>ORD967</t>
  </si>
  <si>
    <t>ORD957</t>
  </si>
  <si>
    <t>ORD370</t>
  </si>
  <si>
    <t>ORD532</t>
  </si>
  <si>
    <t>ORD983</t>
  </si>
  <si>
    <t>ORD744</t>
  </si>
  <si>
    <t>ORD641</t>
  </si>
  <si>
    <t>ORD910</t>
  </si>
  <si>
    <t>ORD833</t>
  </si>
  <si>
    <t>ORD157</t>
  </si>
  <si>
    <t>ORD766</t>
  </si>
  <si>
    <t>ORD214</t>
  </si>
  <si>
    <t>ORD463</t>
  </si>
  <si>
    <t>ORD687</t>
  </si>
  <si>
    <t>ORD850</t>
  </si>
  <si>
    <t>ORD369</t>
  </si>
  <si>
    <t>ORD347</t>
  </si>
  <si>
    <t>ORD729</t>
  </si>
  <si>
    <t>ORD717</t>
  </si>
  <si>
    <t>ORD649</t>
  </si>
  <si>
    <t>ORD658</t>
  </si>
  <si>
    <t>ORD195</t>
  </si>
  <si>
    <t>ORD621</t>
  </si>
  <si>
    <t>ORD773</t>
  </si>
  <si>
    <t>ORD230</t>
  </si>
  <si>
    <t>ORD909</t>
  </si>
  <si>
    <t>ORD287</t>
  </si>
  <si>
    <t>ORD391</t>
  </si>
  <si>
    <t>ORD858</t>
  </si>
  <si>
    <t>ORD761</t>
  </si>
  <si>
    <t>ORD447</t>
  </si>
  <si>
    <t>ORD509</t>
  </si>
  <si>
    <t>ORD538</t>
  </si>
  <si>
    <t>ORD314</t>
  </si>
  <si>
    <t>ORD288</t>
  </si>
  <si>
    <t>ORD446</t>
  </si>
  <si>
    <t>ORD158</t>
  </si>
  <si>
    <t>ORD112</t>
  </si>
  <si>
    <t>ORD965</t>
  </si>
  <si>
    <t>ORD939</t>
  </si>
  <si>
    <t>ORD328</t>
  </si>
  <si>
    <t>ORD823</t>
  </si>
  <si>
    <t>ORD579</t>
  </si>
  <si>
    <t>ORD634</t>
  </si>
  <si>
    <t>ORD311</t>
  </si>
  <si>
    <t>ORD353</t>
  </si>
  <si>
    <t>ORD168</t>
  </si>
  <si>
    <t>ORD466</t>
  </si>
  <si>
    <t>ORD578</t>
  </si>
  <si>
    <t>ORD802</t>
  </si>
  <si>
    <t>ORD787</t>
  </si>
  <si>
    <t>ORD474</t>
  </si>
  <si>
    <t>ORD552</t>
  </si>
  <si>
    <t>ORD263</t>
  </si>
  <si>
    <t>ORD713</t>
  </si>
  <si>
    <t>ORD581</t>
  </si>
  <si>
    <t>ORD828</t>
  </si>
  <si>
    <t>ORD791</t>
  </si>
  <si>
    <t>ORD696</t>
  </si>
  <si>
    <t>ORD960</t>
  </si>
  <si>
    <t>ORD973</t>
  </si>
  <si>
    <t>ORD310</t>
  </si>
  <si>
    <t>ORD794</t>
  </si>
  <si>
    <t>ORD116</t>
  </si>
  <si>
    <t>ORD442</t>
  </si>
  <si>
    <t>ORD597</t>
  </si>
  <si>
    <t>ORD888</t>
  </si>
  <si>
    <t>ORD136</t>
  </si>
  <si>
    <t>ORD969</t>
  </si>
  <si>
    <t>ORD875</t>
  </si>
  <si>
    <t>ORD645</t>
  </si>
  <si>
    <t>ORD155</t>
  </si>
  <si>
    <t>ORD898</t>
  </si>
  <si>
    <t>ORD775</t>
  </si>
  <si>
    <t>ORD693</t>
  </si>
  <si>
    <t>ORD955</t>
  </si>
  <si>
    <t>ORD882</t>
  </si>
  <si>
    <t>ORD231</t>
  </si>
  <si>
    <t>ORD831</t>
  </si>
  <si>
    <t>ORD367</t>
  </si>
  <si>
    <t>ORD741</t>
  </si>
  <si>
    <t>ORD988</t>
  </si>
  <si>
    <t>ORD788</t>
  </si>
  <si>
    <t>ORD105</t>
  </si>
  <si>
    <t>ORD659</t>
  </si>
  <si>
    <t>ORD533</t>
  </si>
  <si>
    <t>ORD891</t>
  </si>
  <si>
    <t>ORD928</t>
  </si>
  <si>
    <t>ORD874</t>
  </si>
  <si>
    <t>ORD444</t>
  </si>
  <si>
    <t>ORD665</t>
  </si>
  <si>
    <t>ORD194</t>
  </si>
  <si>
    <t>ORD587</t>
  </si>
  <si>
    <t>ORD264</t>
  </si>
  <si>
    <t>ORD324</t>
  </si>
  <si>
    <t>ORD363</t>
  </si>
  <si>
    <t>ORD494</t>
  </si>
  <si>
    <t>ORD855</t>
  </si>
  <si>
    <t>ORD508</t>
  </si>
  <si>
    <t>ORD786</t>
  </si>
  <si>
    <t>ORD133</t>
  </si>
  <si>
    <t>ORD864</t>
  </si>
  <si>
    <t>ORD320</t>
  </si>
  <si>
    <t>ORD118</t>
  </si>
  <si>
    <t>ORD472</t>
  </si>
  <si>
    <t>ORD561</t>
  </si>
  <si>
    <t>ORD424</t>
  </si>
  <si>
    <t>ORD408</t>
  </si>
  <si>
    <t>ORD616</t>
  </si>
  <si>
    <t>ORD810</t>
  </si>
  <si>
    <t>ORD727</t>
  </si>
  <si>
    <t>ORD801</t>
  </si>
  <si>
    <t>ORD274</t>
  </si>
  <si>
    <t>ORD678</t>
  </si>
  <si>
    <t>ORD574</t>
  </si>
  <si>
    <t>ORD164</t>
  </si>
  <si>
    <t>ORD376</t>
  </si>
  <si>
    <t>ORD200</t>
  </si>
  <si>
    <t>ORD375</t>
  </si>
  <si>
    <t>ORD149</t>
  </si>
  <si>
    <t>ORD241</t>
  </si>
  <si>
    <t>ORD968</t>
  </si>
  <si>
    <t>ORD695</t>
  </si>
  <si>
    <t>ORD776</t>
  </si>
  <si>
    <t>ORD624</t>
  </si>
  <si>
    <t>ORD619</t>
  </si>
  <si>
    <t>ORD933</t>
  </si>
  <si>
    <t>ORD386</t>
  </si>
  <si>
    <t>ORD952</t>
  </si>
  <si>
    <t>ORD139</t>
  </si>
  <si>
    <t>ORD784</t>
  </si>
  <si>
    <t>ORD918</t>
  </si>
  <si>
    <t>ORD980</t>
  </si>
  <si>
    <t>ORD528</t>
  </si>
  <si>
    <t>ORD724</t>
  </si>
  <si>
    <t>ORD450</t>
  </si>
  <si>
    <t>ORD527</t>
  </si>
  <si>
    <t>ORD697</t>
  </si>
  <si>
    <t>ORD746</t>
  </si>
  <si>
    <t>ORD757</t>
  </si>
  <si>
    <t>ORD305</t>
  </si>
  <si>
    <t>ORD628</t>
  </si>
  <si>
    <t>ORD459</t>
  </si>
  <si>
    <t>ORD661</t>
  </si>
  <si>
    <t>ORD743</t>
  </si>
  <si>
    <t>ORD298</t>
  </si>
  <si>
    <t>ORD566</t>
  </si>
  <si>
    <t>ORD519</t>
  </si>
  <si>
    <t>ORD720</t>
  </si>
  <si>
    <t>ORD598</t>
  </si>
  <si>
    <t>ORD400</t>
  </si>
  <si>
    <t>ORD484</t>
  </si>
  <si>
    <t>ORD213</t>
  </si>
  <si>
    <t>ORD515</t>
  </si>
  <si>
    <t>ORD803</t>
  </si>
  <si>
    <t>ORD512</t>
  </si>
  <si>
    <t>ORD333</t>
  </si>
  <si>
    <t>ORD869</t>
  </si>
  <si>
    <t>ORD332</t>
  </si>
  <si>
    <t>ORD681</t>
  </si>
  <si>
    <t>ORD285</t>
  </si>
  <si>
    <t>ORD382</t>
  </si>
  <si>
    <t>ORD216</t>
  </si>
  <si>
    <t>ORD894</t>
  </si>
  <si>
    <t>ORD948</t>
  </si>
  <si>
    <t>ORD378</t>
  </si>
  <si>
    <t>ORD620</t>
  </si>
  <si>
    <t>ORD387</t>
  </si>
  <si>
    <t>ORD183</t>
  </si>
  <si>
    <t>ORD617</t>
  </si>
  <si>
    <t>ORD635</t>
  </si>
  <si>
    <t>ORD418</t>
  </si>
  <si>
    <t>ORD745</t>
  </si>
  <si>
    <t>ORD540</t>
  </si>
  <si>
    <t>ORD498</t>
  </si>
  <si>
    <t>ORD173</t>
  </si>
  <si>
    <t>ORD161</t>
  </si>
  <si>
    <t>ORD184</t>
  </si>
  <si>
    <t>ORD822</t>
  </si>
  <si>
    <t>ORD591</t>
  </si>
  <si>
    <t>ORD756</t>
  </si>
  <si>
    <t>ORD198</t>
  </si>
  <si>
    <t>ORD565</t>
  </si>
  <si>
    <t>ORD454</t>
  </si>
  <si>
    <t>ORD633</t>
  </si>
  <si>
    <t>ORD480</t>
  </si>
  <si>
    <t>ORD841</t>
  </si>
  <si>
    <t>ORD997</t>
  </si>
  <si>
    <t>ORD698</t>
  </si>
  <si>
    <t>ORD849</t>
  </si>
  <si>
    <t>ORD165</t>
  </si>
  <si>
    <t>ORD356</t>
  </si>
  <si>
    <t>ORD238</t>
  </si>
  <si>
    <t>ORD826</t>
  </si>
  <si>
    <t>ORD702</t>
  </si>
  <si>
    <t>ORD827</t>
  </si>
  <si>
    <t>ORD934</t>
  </si>
  <si>
    <t>ORD180</t>
  </si>
  <si>
    <t>ORD223</t>
  </si>
  <si>
    <t>ORD368</t>
  </si>
  <si>
    <t>ORD107</t>
  </si>
  <si>
    <t>ORD805</t>
  </si>
  <si>
    <t>ORD170</t>
  </si>
  <si>
    <t>ORD220</t>
  </si>
  <si>
    <t>ORD457</t>
  </si>
  <si>
    <t>ORD100</t>
  </si>
  <si>
    <t>ORD557</t>
  </si>
  <si>
    <t>ORD381</t>
  </si>
  <si>
    <t>ORD700</t>
  </si>
  <si>
    <t>ORD572</t>
  </si>
  <si>
    <t>ORD141</t>
  </si>
  <si>
    <t>ORD686</t>
  </si>
  <si>
    <t>ORD301</t>
  </si>
  <si>
    <t>ORD930</t>
  </si>
  <si>
    <t>ORD570</t>
  </si>
  <si>
    <t>ORD862</t>
  </si>
  <si>
    <t>ORD272</t>
  </si>
  <si>
    <t>ORD232</t>
  </si>
  <si>
    <t>ORD315</t>
  </si>
  <si>
    <t>ORD455</t>
  </si>
  <si>
    <t>ORD148</t>
  </si>
  <si>
    <t>ORD907</t>
  </si>
  <si>
    <t>ORD890</t>
  </si>
  <si>
    <t>ORD166</t>
  </si>
  <si>
    <t>ORD286</t>
  </si>
  <si>
    <t>ORD167</t>
  </si>
  <si>
    <t>ORD778</t>
  </si>
  <si>
    <t>ORD962</t>
  </si>
  <si>
    <t>ORD748</t>
  </si>
  <si>
    <t>ORD365</t>
  </si>
  <si>
    <t>ORD127</t>
  </si>
  <si>
    <t>ORD922</t>
  </si>
  <si>
    <t>ORD115</t>
  </si>
  <si>
    <t>ORD735</t>
  </si>
  <si>
    <t>ORD987</t>
  </si>
  <si>
    <t>ORD970</t>
  </si>
  <si>
    <t>ORD415</t>
  </si>
  <si>
    <t>ORD648</t>
  </si>
  <si>
    <t>ORD914</t>
  </si>
  <si>
    <t>ORD919</t>
  </si>
  <si>
    <t>ORD871</t>
  </si>
  <si>
    <t>ORD246</t>
  </si>
  <si>
    <t>ORD872</t>
  </si>
  <si>
    <t>ORD637</t>
  </si>
  <si>
    <t>ORD630</t>
  </si>
  <si>
    <t>ORD592</t>
  </si>
  <si>
    <t>ORD844</t>
  </si>
  <si>
    <t>ORD985</t>
  </si>
  <si>
    <t>ORD908</t>
  </si>
  <si>
    <t>ORD404</t>
  </si>
  <si>
    <t>ORD486</t>
  </si>
  <si>
    <t>ORD102</t>
  </si>
  <si>
    <t>ORD618</t>
  </si>
  <si>
    <t>ORD331</t>
  </si>
  <si>
    <t>ORD490</t>
  </si>
  <si>
    <t>ORD529</t>
  </si>
  <si>
    <t>ORD420</t>
  </si>
  <si>
    <t>ORD103</t>
  </si>
  <si>
    <t>ORD171</t>
  </si>
  <si>
    <t>ORD440</t>
  </si>
  <si>
    <t>ORD660</t>
  </si>
  <si>
    <t>ORD482</t>
  </si>
  <si>
    <t>ORD495</t>
  </si>
  <si>
    <t>ORD813</t>
  </si>
  <si>
    <t>ORD479</t>
  </si>
  <si>
    <t>ORD132</t>
  </si>
  <si>
    <t>ORD629</t>
  </si>
  <si>
    <t>ORD467</t>
  </si>
  <si>
    <t>ORD623</t>
  </si>
  <si>
    <t>ORD218</t>
  </si>
  <si>
    <t>ORD476</t>
  </si>
  <si>
    <t>ORD685</t>
  </si>
  <si>
    <t>ORD995</t>
  </si>
  <si>
    <t>ORD247</t>
  </si>
  <si>
    <t>ORD268</t>
  </si>
  <si>
    <t>ORD663</t>
  </si>
  <si>
    <t>ORD959</t>
  </si>
  <si>
    <t>ORD481</t>
  </si>
  <si>
    <t>ORD493</t>
  </si>
  <si>
    <t>ORD601</t>
  </si>
  <si>
    <t>ORD790</t>
  </si>
  <si>
    <t>ORD886</t>
  </si>
  <si>
    <t>ORD371</t>
  </si>
  <si>
    <t>ORD832</t>
  </si>
  <si>
    <t>ORD752</t>
  </si>
  <si>
    <t>ORD393</t>
  </si>
  <si>
    <t>ORD722</t>
  </si>
  <si>
    <t>ORD562</t>
  </si>
  <si>
    <t>ORD475</t>
  </si>
  <si>
    <t>ORD178</t>
  </si>
  <si>
    <t>ORD456</t>
  </si>
  <si>
    <t>ORD500</t>
  </si>
  <si>
    <t>ORD117</t>
  </si>
  <si>
    <t>ORD575</t>
  </si>
  <si>
    <t>ORD434</t>
  </si>
  <si>
    <t>ORD780</t>
  </si>
  <si>
    <t>ORD806</t>
  </si>
  <si>
    <t>ORD411</t>
  </si>
  <si>
    <t>ORD270</t>
  </si>
  <si>
    <t>ORD796</t>
  </si>
  <si>
    <t>ORD736</t>
  </si>
  <si>
    <t>ORD895</t>
  </si>
  <si>
    <t>ORD553</t>
  </si>
  <si>
    <t>ORD428</t>
  </si>
  <si>
    <t>ORD568</t>
  </si>
  <si>
    <t>ORD986</t>
  </si>
  <si>
    <t>ORD120</t>
  </si>
  <si>
    <t>ORD893</t>
  </si>
  <si>
    <t>ORD737</t>
  </si>
  <si>
    <t>ORD977</t>
  </si>
  <si>
    <t>ORD271</t>
  </si>
  <si>
    <t>ORD742</t>
  </si>
  <si>
    <t>ORD576</t>
  </si>
  <si>
    <t>ORD250</t>
  </si>
  <si>
    <t>ORD535</t>
  </si>
  <si>
    <t>ORD971</t>
  </si>
  <si>
    <t>ORD249</t>
  </si>
  <si>
    <t>ORD542</t>
  </si>
  <si>
    <t>ORD262</t>
  </si>
  <si>
    <t>ORD753</t>
  </si>
  <si>
    <t>ORD653</t>
  </si>
  <si>
    <t>ORD994</t>
  </si>
  <si>
    <t>ORD714</t>
  </si>
  <si>
    <t>ORD255</t>
  </si>
  <si>
    <t>ORD137</t>
  </si>
  <si>
    <t>ORD414</t>
  </si>
  <si>
    <t>ORD410</t>
  </si>
  <si>
    <t>ORD772</t>
  </si>
  <si>
    <t>ORD267</t>
  </si>
  <si>
    <t>ORD304</t>
  </si>
  <si>
    <t>ORD843</t>
  </si>
  <si>
    <t>ORD812</t>
  </si>
  <si>
    <t>ORD733</t>
  </si>
  <si>
    <t>ORD692</t>
  </si>
  <si>
    <t>ORD932</t>
  </si>
  <si>
    <t>ORD655</t>
  </si>
  <si>
    <t>ORD925</t>
  </si>
  <si>
    <t>ORD606</t>
  </si>
  <si>
    <t>ORD489</t>
  </si>
  <si>
    <t>ORD351</t>
  </si>
  <si>
    <t>ORD240</t>
  </si>
  <si>
    <t>ORD303</t>
  </si>
  <si>
    <t>ORD664</t>
  </si>
  <si>
    <t>ORD880</t>
  </si>
  <si>
    <t>ORD734</t>
  </si>
  <si>
    <t>ORD145</t>
  </si>
  <si>
    <t>ORD627</t>
  </si>
  <si>
    <t>ORD824</t>
  </si>
  <si>
    <t>ORD759</t>
  </si>
  <si>
    <t>ORD940</t>
  </si>
  <si>
    <t>ORD395</t>
  </si>
  <si>
    <t>ORD715</t>
  </si>
  <si>
    <t>ORD188</t>
  </si>
  <si>
    <t>ORD937</t>
  </si>
  <si>
    <t>ORD502</t>
  </si>
  <si>
    <t>ORD192</t>
  </si>
  <si>
    <t>ORD555</t>
  </si>
  <si>
    <t>ORD931</t>
  </si>
  <si>
    <t>ORD818</t>
  </si>
  <si>
    <t>ORD941</t>
  </si>
  <si>
    <t>ORD156</t>
  </si>
  <si>
    <t>ORD256</t>
  </si>
  <si>
    <t>ORD522</t>
  </si>
  <si>
    <t>ORD708</t>
  </si>
  <si>
    <t>ORD282</t>
  </si>
  <si>
    <t>ORD705</t>
  </si>
  <si>
    <t>ORD785</t>
  </si>
  <si>
    <t>ORD571</t>
  </si>
  <si>
    <t>ORD671</t>
  </si>
  <si>
    <t>ORD399</t>
  </si>
  <si>
    <t>ORD673</t>
  </si>
  <si>
    <t>ORD607</t>
  </si>
  <si>
    <t>ORD453</t>
  </si>
  <si>
    <t>ORD313</t>
  </si>
  <si>
    <t>ORD613</t>
  </si>
  <si>
    <t>ORD279</t>
  </si>
  <si>
    <t>ORD209</t>
  </si>
  <si>
    <t>ORD689</t>
  </si>
  <si>
    <t>ORD487</t>
  </si>
  <si>
    <t>ORD915</t>
  </si>
  <si>
    <t>ORD677</t>
  </si>
  <si>
    <t>ORD609</t>
  </si>
  <si>
    <t>ORD644</t>
  </si>
  <si>
    <t>ORD868</t>
  </si>
  <si>
    <t>ORD739</t>
  </si>
  <si>
    <t>ORD138</t>
  </si>
  <si>
    <t>ORD427</t>
  </si>
  <si>
    <t>ORD438</t>
  </si>
  <si>
    <t>ORD989</t>
  </si>
  <si>
    <t>ORD352</t>
  </si>
  <si>
    <t>ORD284</t>
  </si>
  <si>
    <t>ORD108</t>
  </si>
  <si>
    <t>ORD751</t>
  </si>
  <si>
    <t>ORD690</t>
  </si>
  <si>
    <t>ORD389</t>
  </si>
  <si>
    <t>ORD492</t>
  </si>
  <si>
    <t>ORD730</t>
  </si>
  <si>
    <t>ORD373</t>
  </si>
  <si>
    <t>ORD783</t>
  </si>
  <si>
    <t>ORD394</t>
  </si>
  <si>
    <t>ORD448</t>
  </si>
  <si>
    <t>ORD291</t>
  </si>
  <si>
    <t>ORD123</t>
  </si>
  <si>
    <t>ORD981</t>
  </si>
  <si>
    <t>ORD437</t>
  </si>
  <si>
    <t>ORD866</t>
  </si>
  <si>
    <t>ORD334</t>
  </si>
  <si>
    <t>ORD920</t>
  </si>
  <si>
    <t>ORD205</t>
  </si>
  <si>
    <t>ORD252</t>
  </si>
  <si>
    <t>ORD318</t>
  </si>
  <si>
    <t>ORD273</t>
  </si>
  <si>
    <t>ORD449</t>
  </si>
  <si>
    <t>ORD346</t>
  </si>
  <si>
    <t>ORD631</t>
  </si>
  <si>
    <t>ORD978</t>
  </si>
  <si>
    <t>ORD604</t>
  </si>
  <si>
    <t>ORD124</t>
  </si>
  <si>
    <t>ORD126</t>
  </si>
  <si>
    <t>ORD537</t>
  </si>
  <si>
    <t>ORD769</t>
  </si>
  <si>
    <t>ORD672</t>
  </si>
  <si>
    <t>ORD129</t>
  </si>
  <si>
    <t>ORD590</t>
  </si>
  <si>
    <t>ORD800</t>
  </si>
  <si>
    <t>ORD523</t>
  </si>
  <si>
    <t>ORD204</t>
  </si>
  <si>
    <t>ORD837</t>
  </si>
  <si>
    <t>ORD976</t>
  </si>
  <si>
    <t>ORD622</t>
  </si>
  <si>
    <t>ORD261</t>
  </si>
  <si>
    <t>ORD906</t>
  </si>
  <si>
    <t>ORD863</t>
  </si>
  <si>
    <t>ORD451</t>
  </si>
  <si>
    <t>ORD809</t>
  </si>
  <si>
    <t>ORD840</t>
  </si>
  <si>
    <t>ORD345</t>
  </si>
  <si>
    <t>ORD175</t>
  </si>
  <si>
    <t>ORD396</t>
  </si>
  <si>
    <t>ORD719</t>
  </si>
  <si>
    <t>ORD186</t>
  </si>
  <si>
    <t>ORD520</t>
  </si>
  <si>
    <t>ORD531</t>
  </si>
  <si>
    <t>ORD947</t>
  </si>
  <si>
    <t>ORD640</t>
  </si>
  <si>
    <t>ORD793</t>
  </si>
  <si>
    <t>ORD134</t>
  </si>
  <si>
    <t>ORD963</t>
  </si>
  <si>
    <t>ORD276</t>
  </si>
  <si>
    <t>ORD417</t>
  </si>
  <si>
    <t>ORD762</t>
  </si>
  <si>
    <t>ORD235</t>
  </si>
  <si>
    <t>ORD525</t>
  </si>
  <si>
    <t>ORD905</t>
  </si>
  <si>
    <t>ORD259</t>
  </si>
  <si>
    <t>ORD452</t>
  </si>
  <si>
    <t>Not Mentioned</t>
  </si>
  <si>
    <t>South</t>
  </si>
  <si>
    <t>East</t>
  </si>
  <si>
    <t>Unknown</t>
  </si>
  <si>
    <t>Profit</t>
  </si>
  <si>
    <t>Actual</t>
  </si>
  <si>
    <t>Estimated</t>
  </si>
  <si>
    <t>Profit Margin</t>
  </si>
  <si>
    <t>Cost Type</t>
  </si>
  <si>
    <t>Month</t>
  </si>
  <si>
    <t>Row Labels</t>
  </si>
  <si>
    <t>Grand Total</t>
  </si>
  <si>
    <t>Sum of Sales</t>
  </si>
  <si>
    <t>Sum of Profit</t>
  </si>
  <si>
    <t>Sum of Profit Margin</t>
  </si>
  <si>
    <t>Average of Profit Margin</t>
  </si>
  <si>
    <t>Column Labels</t>
  </si>
  <si>
    <t>total revenue</t>
  </si>
  <si>
    <t>total profit</t>
  </si>
  <si>
    <t>profit margin%</t>
  </si>
  <si>
    <t>total orders</t>
  </si>
  <si>
    <t>Count of Order ID</t>
  </si>
  <si>
    <t>Top Region</t>
  </si>
  <si>
    <t>Top Product</t>
  </si>
  <si>
    <t>Peak Month</t>
  </si>
  <si>
    <t>June</t>
  </si>
  <si>
    <t>February</t>
  </si>
  <si>
    <t>April</t>
  </si>
  <si>
    <t>January</t>
  </si>
  <si>
    <t>March</t>
  </si>
  <si>
    <t>low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</si>
</sst>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 &quot;₹&quot;\ * #,##0_ ;_ &quot;₹&quot;\ * \-#,##0_ ;_ &quot;₹&quot;\ * &quot;-&quot;_ ;_ @_ "/>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4" fontId="0" fillId="0" borderId="0" xfId="0" applyNumberFormat="1"/>
    <xf numFmtId="1" fontId="0" fillId="0" borderId="0" xfId="0" applyNumberFormat="1"/>
    <xf numFmtId="42" fontId="0" fillId="0" borderId="0" xfId="0" applyNumberFormat="1"/>
    <xf numFmtId="0" fontId="1" fillId="0" borderId="2" xfId="0" applyFont="1" applyBorder="1" applyAlignment="1">
      <alignment horizontal="center" vertical="top"/>
    </xf>
    <xf numFmtId="9" fontId="0" fillId="0" borderId="0" xfId="0" applyNumberFormat="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0">
    <dxf>
      <numFmt numFmtId="13" formatCode="0%"/>
    </dxf>
    <dxf>
      <numFmt numFmtId="32" formatCode="_ &quot;₹&quot;\ * #,##0_ ;_ &quot;₹&quot;\ * \-#,##0_ ;_ &quot;₹&quot;\ * &quot;-&quot;_ ;_ @_ "/>
    </dxf>
    <dxf>
      <numFmt numFmtId="1" formatCode="0"/>
    </dxf>
    <dxf>
      <numFmt numFmtId="32" formatCode="_ &quot;₹&quot;\ * #,##0_ ;_ &quot;₹&quot;\ * \-#,##0_ ;_ &quot;₹&quot;\ * &quot;-&quot;_ ;_ @_ "/>
    </dxf>
    <dxf>
      <numFmt numFmtId="32" formatCode="_ &quot;₹&quot;\ * #,##0_ ;_ &quot;₹&quot;\ * \-#,##0_ ;_ &quot;₹&quot;\ * &quot;-&quot;_ ;_ @_ "/>
    </dxf>
    <dxf>
      <numFmt numFmtId="19" formatCode="dd/mm/yyyy"/>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48A64A"/>
      <color rgb="FFFF9933"/>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[Profitability Analysis  Dashboard.xlsx]Pivot!PivotTable2</c:name>
    <c:fmtId val="0"/>
  </c:pivotSource>
  <c:chart>
    <c:title>
      <c:tx>
        <c:rich>
          <a:bodyPr rot="0" spcFirstLastPara="1" vertOverflow="ellipsis" vert="horz" wrap="square" anchor="ctr" anchorCtr="1"/>
          <a:lstStyle/>
          <a:p>
            <a:pPr>
              <a:defRPr sz="1600" b="1" i="0" u="sng" strike="noStrike" kern="1200" baseline="0">
                <a:solidFill>
                  <a:schemeClr val="tx1">
                    <a:lumMod val="65000"/>
                    <a:lumOff val="35000"/>
                  </a:schemeClr>
                </a:solidFill>
                <a:latin typeface="+mn-lt"/>
                <a:ea typeface="+mn-ea"/>
                <a:cs typeface="+mn-cs"/>
              </a:defRPr>
            </a:pPr>
            <a:r>
              <a:rPr lang="en-US" u="sng"/>
              <a:t>Profit by Month</a:t>
            </a:r>
          </a:p>
        </c:rich>
      </c:tx>
      <c:layout>
        <c:manualLayout>
          <c:xMode val="edge"/>
          <c:yMode val="edge"/>
          <c:x val="0.33576618447616818"/>
          <c:y val="3.6016331291921846E-2"/>
        </c:manualLayout>
      </c:layout>
      <c:overlay val="0"/>
      <c:spPr>
        <a:noFill/>
        <a:ln>
          <a:noFill/>
        </a:ln>
        <a:effectLst/>
      </c:spPr>
      <c:txPr>
        <a:bodyPr rot="0" spcFirstLastPara="1" vertOverflow="ellipsis" vert="horz" wrap="square" anchor="ctr" anchorCtr="1"/>
        <a:lstStyle/>
        <a:p>
          <a:pPr>
            <a:defRPr sz="1600" b="1" i="0" u="sng"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8.4667221445483262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8354616467206476E-2"/>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3920394831367419E-3"/>
              <c:y val="-6.909813356663750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4795464816886439E-3"/>
              <c:y val="3.475685331000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0567053480240432E-2"/>
              <c:y val="-3.4687591134441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2480481242665652"/>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Pivot!$E$1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2-EC80-4975-8E2D-D165A52B2524}"/>
              </c:ext>
            </c:extLst>
          </c:dPt>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7-EC80-4975-8E2D-D165A52B2524}"/>
              </c:ext>
            </c:extLst>
          </c:dPt>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3-EC80-4975-8E2D-D165A52B2524}"/>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6-EC80-4975-8E2D-D165A52B2524}"/>
              </c:ext>
            </c:extLst>
          </c:dPt>
          <c:dPt>
            <c:idx val="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4-EC80-4975-8E2D-D165A52B2524}"/>
              </c:ext>
            </c:extLst>
          </c:dPt>
          <c:dPt>
            <c:idx val="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5-EC80-4975-8E2D-D165A52B2524}"/>
              </c:ext>
            </c:extLst>
          </c:dPt>
          <c:dLbls>
            <c:dLbl>
              <c:idx val="0"/>
              <c:layout>
                <c:manualLayout>
                  <c:x val="-7.4795464816886439E-3"/>
                  <c:y val="3.47568533100029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80-4975-8E2D-D165A52B25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Pivot!$D$2:$D$8</c:f>
              <c:strCache>
                <c:ptCount val="6"/>
                <c:pt idx="0">
                  <c:v>Not Mentioned</c:v>
                </c:pt>
                <c:pt idx="1">
                  <c:v>June</c:v>
                </c:pt>
                <c:pt idx="2">
                  <c:v>February</c:v>
                </c:pt>
                <c:pt idx="3">
                  <c:v>April</c:v>
                </c:pt>
                <c:pt idx="4">
                  <c:v>January</c:v>
                </c:pt>
                <c:pt idx="5">
                  <c:v>March</c:v>
                </c:pt>
              </c:strCache>
            </c:strRef>
          </c:cat>
          <c:val>
            <c:numRef>
              <c:f>Pivot!$E$2:$E$8</c:f>
              <c:numCache>
                <c:formatCode>_("₹"* #,##0_);_("₹"* \(#,##0\);_("₹"* "-"_);_(@_)</c:formatCode>
                <c:ptCount val="6"/>
                <c:pt idx="0">
                  <c:v>13026887.881999992</c:v>
                </c:pt>
                <c:pt idx="1">
                  <c:v>14437741.065999988</c:v>
                </c:pt>
                <c:pt idx="2">
                  <c:v>15143990.672000002</c:v>
                </c:pt>
                <c:pt idx="3">
                  <c:v>14746724.991999988</c:v>
                </c:pt>
                <c:pt idx="4">
                  <c:v>14138261.831999999</c:v>
                </c:pt>
                <c:pt idx="5">
                  <c:v>15188068.94199997</c:v>
                </c:pt>
              </c:numCache>
            </c:numRef>
          </c:val>
          <c:smooth val="0"/>
          <c:extLst>
            <c:ext xmlns:c16="http://schemas.microsoft.com/office/drawing/2014/chart" uri="{C3380CC4-5D6E-409C-BE32-E72D297353CC}">
              <c16:uniqueId val="{00000000-EC80-4975-8E2D-D165A52B2524}"/>
            </c:ext>
          </c:extLst>
        </c:ser>
        <c:dLbls>
          <c:dLblPos val="t"/>
          <c:showLegendKey val="0"/>
          <c:showVal val="1"/>
          <c:showCatName val="0"/>
          <c:showSerName val="0"/>
          <c:showPercent val="0"/>
          <c:showBubbleSize val="0"/>
        </c:dLbls>
        <c:marker val="1"/>
        <c:smooth val="0"/>
        <c:axId val="2127211888"/>
        <c:axId val="2127212368"/>
      </c:lineChart>
      <c:catAx>
        <c:axId val="21272118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212368"/>
        <c:crosses val="autoZero"/>
        <c:auto val="1"/>
        <c:lblAlgn val="ctr"/>
        <c:lblOffset val="100"/>
        <c:noMultiLvlLbl val="0"/>
      </c:catAx>
      <c:valAx>
        <c:axId val="21272123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21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[Profitability Analysis  Dashboard.xlsx]Pivot!PivotTable5</c:name>
    <c:fmtId val="0"/>
  </c:pivotSource>
  <c:chart>
    <c:title>
      <c:tx>
        <c:rich>
          <a:bodyPr rot="0" spcFirstLastPara="1" vertOverflow="ellipsis" vert="horz" wrap="square" anchor="ctr" anchorCtr="1"/>
          <a:lstStyle/>
          <a:p>
            <a:pPr>
              <a:defRPr sz="1600" b="1" i="0" u="sng" strike="noStrike" kern="1200" spc="0" baseline="0">
                <a:solidFill>
                  <a:schemeClr val="tx1">
                    <a:lumMod val="65000"/>
                    <a:lumOff val="35000"/>
                  </a:schemeClr>
                </a:solidFill>
                <a:latin typeface="+mn-lt"/>
                <a:ea typeface="+mn-ea"/>
                <a:cs typeface="+mn-cs"/>
              </a:defRPr>
            </a:pPr>
            <a:r>
              <a:rPr lang="en-IN" sz="1600" b="1" u="sng"/>
              <a:t>Profit</a:t>
            </a:r>
            <a:r>
              <a:rPr lang="en-IN" sz="1600" b="1" u="sng" baseline="0"/>
              <a:t> Margin</a:t>
            </a:r>
            <a:endParaRPr lang="en-IN" sz="1600" b="1" u="sng"/>
          </a:p>
        </c:rich>
      </c:tx>
      <c:overlay val="0"/>
      <c:spPr>
        <a:noFill/>
        <a:ln>
          <a:noFill/>
        </a:ln>
        <a:effectLst/>
      </c:spPr>
      <c:txPr>
        <a:bodyPr rot="0" spcFirstLastPara="1" vertOverflow="ellipsis" vert="horz" wrap="square" anchor="ctr" anchorCtr="1"/>
        <a:lstStyle/>
        <a:p>
          <a:pPr>
            <a:defRPr sz="1600" b="1" i="0" u="sng"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842584208351863"/>
              <c:y val="-7.6388888888888881E-2"/>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fld id="{C06113CE-5033-4B8F-BB5D-F4014E5EC778}" type="PERCENTAGE">
                  <a:rPr lang="en-US" sz="2000" baseline="0"/>
                  <a:pPr>
                    <a:defRPr sz="2000"/>
                  </a:pPr>
                  <a:t>[PERCENTAGE]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IN"/>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891914870462443"/>
                  <c:h val="0.13061971420239138"/>
                </c:manualLayout>
              </c15:layout>
              <c15:dlblFieldTable/>
              <c15:showDataLabelsRange val="0"/>
            </c:ext>
          </c:extLst>
        </c:dLbl>
      </c:pivotFmt>
      <c:pivotFmt>
        <c:idx val="2"/>
        <c:spPr>
          <a:solidFill>
            <a:schemeClr val="accent1"/>
          </a:solidFill>
          <a:ln w="19050">
            <a:solidFill>
              <a:schemeClr val="lt1"/>
            </a:solidFill>
          </a:ln>
          <a:effectLst/>
        </c:spPr>
        <c:dLbl>
          <c:idx val="0"/>
          <c:layout>
            <c:manualLayout>
              <c:x val="-0.11006605725283711"/>
              <c:y val="-9.4907407407407413E-2"/>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fld id="{AEB148DA-E7C4-435D-AE71-26F7A24E47CC}" type="PERCENTAGE">
                  <a:rPr lang="en-US" sz="2000" baseline="0"/>
                  <a:pPr>
                    <a:defRPr sz="2000"/>
                  </a:pPr>
                  <a:t>[PERCENTAGE]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IN"/>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564409825717414"/>
                  <c:h val="0.14450860309128025"/>
                </c:manualLayout>
              </c15:layout>
              <c15:dlblFieldTable/>
              <c15:showDataLabelsRange val="0"/>
            </c:ext>
          </c:extLst>
        </c:dLbl>
      </c:pivotFmt>
      <c:pivotFmt>
        <c:idx val="3"/>
        <c:spPr>
          <a:solidFill>
            <a:schemeClr val="accent1"/>
          </a:solidFill>
          <a:ln w="19050">
            <a:solidFill>
              <a:schemeClr val="lt1"/>
            </a:solidFill>
          </a:ln>
          <a:effectLst/>
        </c:spPr>
        <c:dLbl>
          <c:idx val="0"/>
          <c:layout>
            <c:manualLayout>
              <c:x val="7.6628453788116974E-2"/>
              <c:y val="0.13194444444444425"/>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fld id="{A4BEC753-E61A-4337-ABDE-59CE484FFAD2}" type="PERCENTAGE">
                  <a:rPr lang="en-US" sz="2000" baseline="0"/>
                  <a:pPr>
                    <a:defRPr sz="2000"/>
                  </a:pPr>
                  <a:t>[PERCENTAGE]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IN"/>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04339084097659"/>
                  <c:h val="0.13987897346165062"/>
                </c:manualLayout>
              </c15:layout>
              <c15:dlblFieldTable/>
              <c15:showDataLabelsRange val="0"/>
            </c:ext>
          </c:extLst>
        </c:dLbl>
      </c:pivotFmt>
      <c:pivotFmt>
        <c:idx val="4"/>
        <c:spPr>
          <a:solidFill>
            <a:schemeClr val="accent1"/>
          </a:solidFill>
          <a:ln w="19050">
            <a:solidFill>
              <a:schemeClr val="lt1"/>
            </a:solidFill>
          </a:ln>
          <a:effectLst/>
        </c:spPr>
        <c:dLbl>
          <c:idx val="0"/>
          <c:layout>
            <c:manualLayout>
              <c:x val="-0.13932415226671799"/>
              <c:y val="5.0925925925925923E-2"/>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fld id="{3F981DCC-0E2C-4CEB-90EB-A9634B291D9C}" type="PERCENTAGE">
                  <a:rPr lang="en-US" sz="2000" baseline="0"/>
                  <a:pPr>
                    <a:defRPr sz="2000"/>
                  </a:pPr>
                  <a:t>[PERCENTAGE]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IN"/>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498847777383085"/>
                  <c:h val="0.14450860309128025"/>
                </c:manualLayout>
              </c15:layout>
              <c15:dlblFieldTable/>
              <c15:showDataLabelsRange val="0"/>
            </c:ext>
          </c:extLst>
        </c:dLbl>
      </c:pivotFmt>
    </c:pivotFmts>
    <c:plotArea>
      <c:layout/>
      <c:doughnutChart>
        <c:varyColors val="1"/>
        <c:ser>
          <c:idx val="0"/>
          <c:order val="0"/>
          <c:tx>
            <c:strRef>
              <c:f>Pivot!$B$10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97C0-44FC-A74A-0035956E47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97C0-44FC-A74A-0035956E47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C0-44FC-A74A-0035956E47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97C0-44FC-A74A-0035956E476F}"/>
              </c:ext>
            </c:extLst>
          </c:dPt>
          <c:dLbls>
            <c:dLbl>
              <c:idx val="0"/>
              <c:layout>
                <c:manualLayout>
                  <c:x val="0.11842584208351863"/>
                  <c:y val="-7.6388888888888881E-2"/>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fld id="{C06113CE-5033-4B8F-BB5D-F4014E5EC778}" type="PERCENTAGE">
                      <a:rPr lang="en-US" sz="2000" baseline="0"/>
                      <a:pPr>
                        <a:defRPr sz="2000"/>
                      </a:pPr>
                      <a:t>[PERCENTAGE]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IN"/>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891914870462443"/>
                      <c:h val="0.13061971420239138"/>
                    </c:manualLayout>
                  </c15:layout>
                  <c15:dlblFieldTable/>
                  <c15:showDataLabelsRange val="0"/>
                </c:ext>
                <c:ext xmlns:c16="http://schemas.microsoft.com/office/drawing/2014/chart" uri="{C3380CC4-5D6E-409C-BE32-E72D297353CC}">
                  <c16:uniqueId val="{00000002-97C0-44FC-A74A-0035956E476F}"/>
                </c:ext>
              </c:extLst>
            </c:dLbl>
            <c:dLbl>
              <c:idx val="1"/>
              <c:layout>
                <c:manualLayout>
                  <c:x val="7.6628453788116974E-2"/>
                  <c:y val="0.13194444444444425"/>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fld id="{A4BEC753-E61A-4337-ABDE-59CE484FFAD2}" type="PERCENTAGE">
                      <a:rPr lang="en-US" sz="2000" baseline="0"/>
                      <a:pPr>
                        <a:defRPr sz="2000"/>
                      </a:pPr>
                      <a:t>[PERCENTAGE]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IN"/>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04339084097659"/>
                      <c:h val="0.13987897346165062"/>
                    </c:manualLayout>
                  </c15:layout>
                  <c15:dlblFieldTable/>
                  <c15:showDataLabelsRange val="0"/>
                </c:ext>
                <c:ext xmlns:c16="http://schemas.microsoft.com/office/drawing/2014/chart" uri="{C3380CC4-5D6E-409C-BE32-E72D297353CC}">
                  <c16:uniqueId val="{00000004-97C0-44FC-A74A-0035956E476F}"/>
                </c:ext>
              </c:extLst>
            </c:dLbl>
            <c:dLbl>
              <c:idx val="2"/>
              <c:layout>
                <c:manualLayout>
                  <c:x val="-0.13932415226671799"/>
                  <c:y val="5.0925925925925923E-2"/>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fld id="{3F981DCC-0E2C-4CEB-90EB-A9634B291D9C}" type="PERCENTAGE">
                      <a:rPr lang="en-US" sz="2000" baseline="0"/>
                      <a:pPr>
                        <a:defRPr sz="2000"/>
                      </a:pPr>
                      <a:t>[PERCENTAGE]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IN"/>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498847777383085"/>
                      <c:h val="0.14450860309128025"/>
                    </c:manualLayout>
                  </c15:layout>
                  <c15:dlblFieldTable/>
                  <c15:showDataLabelsRange val="0"/>
                </c:ext>
                <c:ext xmlns:c16="http://schemas.microsoft.com/office/drawing/2014/chart" uri="{C3380CC4-5D6E-409C-BE32-E72D297353CC}">
                  <c16:uniqueId val="{00000005-97C0-44FC-A74A-0035956E476F}"/>
                </c:ext>
              </c:extLst>
            </c:dLbl>
            <c:dLbl>
              <c:idx val="3"/>
              <c:layout>
                <c:manualLayout>
                  <c:x val="-0.11006605725283711"/>
                  <c:y val="-9.4907407407407413E-2"/>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fld id="{AEB148DA-E7C4-435D-AE71-26F7A24E47CC}" type="PERCENTAGE">
                      <a:rPr lang="en-US" sz="2000" baseline="0"/>
                      <a:pPr>
                        <a:defRPr sz="2000"/>
                      </a:pPr>
                      <a:t>[PERCENTAGE]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IN"/>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564409825717414"/>
                      <c:h val="0.14450860309128025"/>
                    </c:manualLayout>
                  </c15:layout>
                  <c15:dlblFieldTable/>
                  <c15:showDataLabelsRange val="0"/>
                </c:ext>
                <c:ext xmlns:c16="http://schemas.microsoft.com/office/drawing/2014/chart" uri="{C3380CC4-5D6E-409C-BE32-E72D297353CC}">
                  <c16:uniqueId val="{00000003-97C0-44FC-A74A-0035956E476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Pivot!$A$11:$A$15</c:f>
              <c:strCache>
                <c:ptCount val="4"/>
                <c:pt idx="0">
                  <c:v>Laptop</c:v>
                </c:pt>
                <c:pt idx="1">
                  <c:v>Monitor</c:v>
                </c:pt>
                <c:pt idx="2">
                  <c:v>Phone</c:v>
                </c:pt>
                <c:pt idx="3">
                  <c:v>Tablet</c:v>
                </c:pt>
              </c:strCache>
            </c:strRef>
          </c:cat>
          <c:val>
            <c:numRef>
              <c:f>Pivot!$B$11:$B$15</c:f>
              <c:numCache>
                <c:formatCode>0%</c:formatCode>
                <c:ptCount val="4"/>
                <c:pt idx="0">
                  <c:v>0.25171966865369688</c:v>
                </c:pt>
                <c:pt idx="1">
                  <c:v>0.29871219571391094</c:v>
                </c:pt>
                <c:pt idx="2">
                  <c:v>0.2993005003128606</c:v>
                </c:pt>
                <c:pt idx="3">
                  <c:v>0.32870167854541454</c:v>
                </c:pt>
              </c:numCache>
            </c:numRef>
          </c:val>
          <c:extLst>
            <c:ext xmlns:c16="http://schemas.microsoft.com/office/drawing/2014/chart" uri="{C3380CC4-5D6E-409C-BE32-E72D297353CC}">
              <c16:uniqueId val="{00000000-97C0-44FC-A74A-0035956E476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rtl="0">
            <a:defRPr lang="en-US" sz="1400" b="1" i="0" u="sng" strike="noStrike" kern="1200" spc="0" baseline="0">
              <a:solidFill>
                <a:sysClr val="windowText" lastClr="000000">
                  <a:lumMod val="65000"/>
                  <a:lumOff val="35000"/>
                </a:sys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[Profitability Analysis  Dashboard.xlsx]Pivot!PivotTable1</c:name>
    <c:fmtId val="0"/>
  </c:pivotSource>
  <c:chart>
    <c:title>
      <c:tx>
        <c:rich>
          <a:bodyPr rot="0" spcFirstLastPara="1" vertOverflow="ellipsis" vert="horz" wrap="square" anchor="ctr" anchorCtr="1"/>
          <a:lstStyle/>
          <a:p>
            <a:pPr>
              <a:defRPr sz="1600" b="1" i="0" u="sng" strike="noStrike" kern="1200" baseline="0">
                <a:solidFill>
                  <a:schemeClr val="dk1">
                    <a:lumMod val="75000"/>
                    <a:lumOff val="25000"/>
                  </a:schemeClr>
                </a:solidFill>
                <a:latin typeface="+mn-lt"/>
                <a:ea typeface="+mn-ea"/>
                <a:cs typeface="+mn-cs"/>
              </a:defRPr>
            </a:pPr>
            <a:r>
              <a:rPr lang="en-IN" sz="1600" u="sng"/>
              <a:t>Profit by Region</a:t>
            </a:r>
          </a:p>
        </c:rich>
      </c:tx>
      <c:overlay val="0"/>
      <c:spPr>
        <a:noFill/>
        <a:ln>
          <a:noFill/>
        </a:ln>
        <a:effectLst/>
      </c:spPr>
      <c:txPr>
        <a:bodyPr rot="0" spcFirstLastPara="1" vertOverflow="ellipsis" vert="horz" wrap="square" anchor="ctr" anchorCtr="1"/>
        <a:lstStyle/>
        <a:p>
          <a:pPr>
            <a:defRPr sz="1600" b="1" i="0" u="sng"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Pivot!$A$2:$A$6</c:f>
              <c:strCache>
                <c:ptCount val="4"/>
                <c:pt idx="0">
                  <c:v>East</c:v>
                </c:pt>
                <c:pt idx="1">
                  <c:v>North</c:v>
                </c:pt>
                <c:pt idx="2">
                  <c:v>South</c:v>
                </c:pt>
                <c:pt idx="3">
                  <c:v>West</c:v>
                </c:pt>
              </c:strCache>
            </c:strRef>
          </c:cat>
          <c:val>
            <c:numRef>
              <c:f>Pivot!$B$2:$B$6</c:f>
              <c:numCache>
                <c:formatCode>_("₹"* #,##0_);_("₹"* \(#,##0\);_("₹"* "-"_);_(@_)</c:formatCode>
                <c:ptCount val="4"/>
                <c:pt idx="0">
                  <c:v>14598010.813999981</c:v>
                </c:pt>
                <c:pt idx="1">
                  <c:v>27829860.027999997</c:v>
                </c:pt>
                <c:pt idx="2">
                  <c:v>30212450.889999963</c:v>
                </c:pt>
                <c:pt idx="3">
                  <c:v>14041353.653999986</c:v>
                </c:pt>
              </c:numCache>
            </c:numRef>
          </c:val>
          <c:extLst>
            <c:ext xmlns:c16="http://schemas.microsoft.com/office/drawing/2014/chart" uri="{C3380CC4-5D6E-409C-BE32-E72D297353CC}">
              <c16:uniqueId val="{00000000-66BA-4CF0-8402-C76EA1ADEBC8}"/>
            </c:ext>
          </c:extLst>
        </c:ser>
        <c:dLbls>
          <c:showLegendKey val="0"/>
          <c:showVal val="1"/>
          <c:showCatName val="0"/>
          <c:showSerName val="0"/>
          <c:showPercent val="0"/>
          <c:showBubbleSize val="0"/>
        </c:dLbls>
        <c:gapWidth val="65"/>
        <c:shape val="box"/>
        <c:axId val="2127228688"/>
        <c:axId val="2127221488"/>
        <c:axId val="0"/>
      </c:bar3DChart>
      <c:catAx>
        <c:axId val="21272286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27221488"/>
        <c:crosses val="autoZero"/>
        <c:auto val="1"/>
        <c:lblAlgn val="ctr"/>
        <c:lblOffset val="100"/>
        <c:noMultiLvlLbl val="0"/>
      </c:catAx>
      <c:valAx>
        <c:axId val="2127221488"/>
        <c:scaling>
          <c:orientation val="minMax"/>
        </c:scaling>
        <c:delete val="0"/>
        <c:axPos val="b"/>
        <c:majorGridlines>
          <c:spPr>
            <a:ln w="9525" cap="flat" cmpd="sng" algn="ctr">
              <a:solidFill>
                <a:schemeClr val="dk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2722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[Profitability Analysis  Dashboard.xlsx]Pivot!PivotTable7</c:name>
    <c:fmtId val="0"/>
  </c:pivotSource>
  <c:chart>
    <c:title>
      <c:tx>
        <c:rich>
          <a:bodyPr rot="0" spcFirstLastPara="1" vertOverflow="ellipsis" vert="horz" wrap="square" anchor="ctr" anchorCtr="1"/>
          <a:lstStyle/>
          <a:p>
            <a:pPr>
              <a:defRPr sz="1600" b="1" i="0" u="sng" strike="noStrike" kern="1200" baseline="0">
                <a:solidFill>
                  <a:schemeClr val="tx1">
                    <a:lumMod val="65000"/>
                    <a:lumOff val="35000"/>
                  </a:schemeClr>
                </a:solidFill>
                <a:latin typeface="+mn-lt"/>
                <a:ea typeface="+mn-ea"/>
                <a:cs typeface="+mn-cs"/>
              </a:defRPr>
            </a:pPr>
            <a:r>
              <a:rPr lang="en-IN" u="sng"/>
              <a:t>Profit by Product</a:t>
            </a:r>
          </a:p>
        </c:rich>
      </c:tx>
      <c:overlay val="0"/>
      <c:spPr>
        <a:noFill/>
        <a:ln>
          <a:noFill/>
        </a:ln>
        <a:effectLst/>
      </c:spPr>
      <c:txPr>
        <a:bodyPr rot="0" spcFirstLastPara="1" vertOverflow="ellipsis" vert="horz" wrap="square" anchor="ctr" anchorCtr="1"/>
        <a:lstStyle/>
        <a:p>
          <a:pPr>
            <a:defRPr sz="1600" b="1" i="0" u="sng"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78367154754925E-2"/>
              <c:y val="-1.388888888888888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B0D7FA5-784C-4DC3-B1D2-70153ED69453}" type="VALUE">
                  <a:rPr lang="en-US"/>
                  <a:pPr>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594557182516752E-3"/>
              <c:y val="-4.6296296296296294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4D46BEE-F70F-4F6B-AF2B-EBE0F27370AF}" type="VALUE">
                  <a:rPr lang="en-US"/>
                  <a:pPr>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71891143650335E-2"/>
              <c:y val="-1.851851851851860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4F8F459-1289-4E07-8701-1C59ED0FB8AF}" type="VALUE">
                  <a:rPr lang="en-US"/>
                  <a:pPr>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1084972584686579E-17"/>
              <c:y val="-1.388888888888893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DBD9AF4-2D8F-4B67-8D47-28FFE59302D3}" type="VALUE">
                  <a:rPr lang="en-US"/>
                  <a:pPr>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Pivot!$K$1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395-4EBB-9B69-C72F5345463E}"/>
              </c:ext>
            </c:extLst>
          </c:dPt>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1395-4EBB-9B69-C72F5345463E}"/>
              </c:ext>
            </c:extLst>
          </c:dPt>
          <c:dPt>
            <c:idx val="2"/>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395-4EBB-9B69-C72F5345463E}"/>
              </c:ext>
            </c:extLst>
          </c:dPt>
          <c:dPt>
            <c:idx val="3"/>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1395-4EBB-9B69-C72F5345463E}"/>
              </c:ext>
            </c:extLst>
          </c:dPt>
          <c:dLbls>
            <c:dLbl>
              <c:idx val="0"/>
              <c:layout>
                <c:manualLayout>
                  <c:x val="-5.1084972584686579E-17"/>
                  <c:y val="-1.3888888888888931E-2"/>
                </c:manualLayout>
              </c:layout>
              <c:tx>
                <c:rich>
                  <a:bodyPr/>
                  <a:lstStyle/>
                  <a:p>
                    <a:fld id="{1DBD9AF4-2D8F-4B67-8D47-28FFE59302D3}" type="VALUE">
                      <a:rPr lang="en-US"/>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395-4EBB-9B69-C72F5345463E}"/>
                </c:ext>
              </c:extLst>
            </c:dLbl>
            <c:dLbl>
              <c:idx val="1"/>
              <c:layout>
                <c:manualLayout>
                  <c:x val="1.671891143650335E-2"/>
                  <c:y val="-1.8518518518518604E-2"/>
                </c:manualLayout>
              </c:layout>
              <c:tx>
                <c:rich>
                  <a:bodyPr/>
                  <a:lstStyle/>
                  <a:p>
                    <a:fld id="{34F8F459-1289-4E07-8701-1C59ED0FB8AF}" type="VALUE">
                      <a:rPr lang="en-US"/>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1395-4EBB-9B69-C72F5345463E}"/>
                </c:ext>
              </c:extLst>
            </c:dLbl>
            <c:dLbl>
              <c:idx val="2"/>
              <c:layout>
                <c:manualLayout>
                  <c:x val="8.3594557182516752E-3"/>
                  <c:y val="-4.6296296296296294E-3"/>
                </c:manualLayout>
              </c:layout>
              <c:tx>
                <c:rich>
                  <a:bodyPr/>
                  <a:lstStyle/>
                  <a:p>
                    <a:fld id="{C4D46BEE-F70F-4F6B-AF2B-EBE0F27370AF}" type="VALUE">
                      <a:rPr lang="en-US"/>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395-4EBB-9B69-C72F5345463E}"/>
                </c:ext>
              </c:extLst>
            </c:dLbl>
            <c:dLbl>
              <c:idx val="3"/>
              <c:layout>
                <c:manualLayout>
                  <c:x val="2.5078367154754925E-2"/>
                  <c:y val="-1.3888888888888888E-2"/>
                </c:manualLayout>
              </c:layout>
              <c:tx>
                <c:rich>
                  <a:bodyPr/>
                  <a:lstStyle/>
                  <a:p>
                    <a:fld id="{2B0D7FA5-784C-4DC3-B1D2-70153ED69453}" type="VALUE">
                      <a:rPr lang="en-US"/>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395-4EBB-9B69-C72F5345463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Pivot!$J$2:$J$6</c:f>
              <c:strCache>
                <c:ptCount val="4"/>
                <c:pt idx="0">
                  <c:v>Laptop</c:v>
                </c:pt>
                <c:pt idx="1">
                  <c:v>Monitor</c:v>
                </c:pt>
                <c:pt idx="2">
                  <c:v>Phone</c:v>
                </c:pt>
                <c:pt idx="3">
                  <c:v>Tablet</c:v>
                </c:pt>
              </c:strCache>
            </c:strRef>
          </c:cat>
          <c:val>
            <c:numRef>
              <c:f>Pivot!$K$2:$K$6</c:f>
              <c:numCache>
                <c:formatCode>_("₹"* #,##0_);_("₹"* \(#,##0\);_("₹"* "-"_);_(@_)</c:formatCode>
                <c:ptCount val="4"/>
                <c:pt idx="0">
                  <c:v>46452900.572000004</c:v>
                </c:pt>
                <c:pt idx="1">
                  <c:v>8421564.3119999971</c:v>
                </c:pt>
                <c:pt idx="2">
                  <c:v>17441751.64399999</c:v>
                </c:pt>
                <c:pt idx="3">
                  <c:v>14365458.858000012</c:v>
                </c:pt>
              </c:numCache>
            </c:numRef>
          </c:val>
          <c:extLst>
            <c:ext xmlns:c16="http://schemas.microsoft.com/office/drawing/2014/chart" uri="{C3380CC4-5D6E-409C-BE32-E72D297353CC}">
              <c16:uniqueId val="{00000000-1395-4EBB-9B69-C72F5345463E}"/>
            </c:ext>
          </c:extLst>
        </c:ser>
        <c:dLbls>
          <c:showLegendKey val="0"/>
          <c:showVal val="0"/>
          <c:showCatName val="0"/>
          <c:showSerName val="0"/>
          <c:showPercent val="0"/>
          <c:showBubbleSize val="0"/>
        </c:dLbls>
        <c:gapWidth val="150"/>
        <c:shape val="box"/>
        <c:axId val="2127245968"/>
        <c:axId val="2127237808"/>
        <c:axId val="0"/>
      </c:bar3DChart>
      <c:catAx>
        <c:axId val="21272459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237808"/>
        <c:crosses val="autoZero"/>
        <c:auto val="1"/>
        <c:lblAlgn val="ctr"/>
        <c:lblOffset val="100"/>
        <c:noMultiLvlLbl val="0"/>
      </c:catAx>
      <c:valAx>
        <c:axId val="21272378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24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[Profitability Analysis  Dashboard.xlsx]Pivot!PivotTable1</c:name>
    <c:fmtId val="5"/>
  </c:pivotSource>
  <c:chart>
    <c:title>
      <c:tx>
        <c:rich>
          <a:bodyPr rot="0" spcFirstLastPara="1" vertOverflow="ellipsis" vert="horz" wrap="square" anchor="ctr" anchorCtr="1"/>
          <a:lstStyle/>
          <a:p>
            <a:pPr>
              <a:defRPr sz="1600" b="1" i="0" u="sng" strike="noStrike" kern="1200" baseline="0">
                <a:solidFill>
                  <a:schemeClr val="dk1">
                    <a:lumMod val="75000"/>
                    <a:lumOff val="25000"/>
                  </a:schemeClr>
                </a:solidFill>
                <a:latin typeface="+mn-lt"/>
                <a:ea typeface="+mn-ea"/>
                <a:cs typeface="+mn-cs"/>
              </a:defRPr>
            </a:pPr>
            <a:r>
              <a:rPr lang="en-IN" sz="1600" u="sng"/>
              <a:t>Profit by Region</a:t>
            </a:r>
          </a:p>
        </c:rich>
      </c:tx>
      <c:overlay val="0"/>
      <c:spPr>
        <a:noFill/>
        <a:ln>
          <a:noFill/>
        </a:ln>
        <a:effectLst/>
      </c:spPr>
      <c:txPr>
        <a:bodyPr rot="0" spcFirstLastPara="1" vertOverflow="ellipsis" vert="horz" wrap="square" anchor="ctr" anchorCtr="1"/>
        <a:lstStyle/>
        <a:p>
          <a:pPr>
            <a:defRPr sz="1600" b="1" i="0" u="sng"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Pivot!$A$2:$A$6</c:f>
              <c:strCache>
                <c:ptCount val="4"/>
                <c:pt idx="0">
                  <c:v>East</c:v>
                </c:pt>
                <c:pt idx="1">
                  <c:v>North</c:v>
                </c:pt>
                <c:pt idx="2">
                  <c:v>South</c:v>
                </c:pt>
                <c:pt idx="3">
                  <c:v>West</c:v>
                </c:pt>
              </c:strCache>
            </c:strRef>
          </c:cat>
          <c:val>
            <c:numRef>
              <c:f>Pivot!$B$2:$B$6</c:f>
              <c:numCache>
                <c:formatCode>_("₹"* #,##0_);_("₹"* \(#,##0\);_("₹"* "-"_);_(@_)</c:formatCode>
                <c:ptCount val="4"/>
                <c:pt idx="0">
                  <c:v>14598010.813999981</c:v>
                </c:pt>
                <c:pt idx="1">
                  <c:v>27829860.027999997</c:v>
                </c:pt>
                <c:pt idx="2">
                  <c:v>30212450.889999963</c:v>
                </c:pt>
                <c:pt idx="3">
                  <c:v>14041353.653999986</c:v>
                </c:pt>
              </c:numCache>
            </c:numRef>
          </c:val>
          <c:extLst>
            <c:ext xmlns:c16="http://schemas.microsoft.com/office/drawing/2014/chart" uri="{C3380CC4-5D6E-409C-BE32-E72D297353CC}">
              <c16:uniqueId val="{00000000-1CAD-44EF-8A4B-462EFC05224B}"/>
            </c:ext>
          </c:extLst>
        </c:ser>
        <c:dLbls>
          <c:showLegendKey val="0"/>
          <c:showVal val="1"/>
          <c:showCatName val="0"/>
          <c:showSerName val="0"/>
          <c:showPercent val="0"/>
          <c:showBubbleSize val="0"/>
        </c:dLbls>
        <c:gapWidth val="65"/>
        <c:shape val="box"/>
        <c:axId val="2127228688"/>
        <c:axId val="2127221488"/>
        <c:axId val="0"/>
      </c:bar3DChart>
      <c:catAx>
        <c:axId val="21272286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27221488"/>
        <c:crosses val="autoZero"/>
        <c:auto val="1"/>
        <c:lblAlgn val="ctr"/>
        <c:lblOffset val="100"/>
        <c:noMultiLvlLbl val="0"/>
      </c:catAx>
      <c:valAx>
        <c:axId val="2127221488"/>
        <c:scaling>
          <c:orientation val="minMax"/>
        </c:scaling>
        <c:delete val="0"/>
        <c:axPos val="b"/>
        <c:majorGridlines>
          <c:spPr>
            <a:ln w="9525" cap="flat" cmpd="sng" algn="ctr">
              <a:solidFill>
                <a:schemeClr val="dk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2722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[Profitability Analysis  Dashboard.xlsx]Pivot!PivotTable2</c:name>
    <c:fmtId val="10"/>
  </c:pivotSource>
  <c:chart>
    <c:title>
      <c:tx>
        <c:rich>
          <a:bodyPr rot="0" spcFirstLastPara="1" vertOverflow="ellipsis" vert="horz" wrap="square" anchor="ctr" anchorCtr="1"/>
          <a:lstStyle/>
          <a:p>
            <a:pPr>
              <a:defRPr sz="1600" b="1" i="0" u="sng" strike="noStrike" kern="1200" baseline="0">
                <a:solidFill>
                  <a:schemeClr val="tx1">
                    <a:lumMod val="65000"/>
                    <a:lumOff val="35000"/>
                  </a:schemeClr>
                </a:solidFill>
                <a:latin typeface="+mn-lt"/>
                <a:ea typeface="+mn-ea"/>
                <a:cs typeface="+mn-cs"/>
              </a:defRPr>
            </a:pPr>
            <a:r>
              <a:rPr lang="en-US" u="sng"/>
              <a:t>Profit by Month</a:t>
            </a:r>
          </a:p>
        </c:rich>
      </c:tx>
      <c:layout>
        <c:manualLayout>
          <c:xMode val="edge"/>
          <c:yMode val="edge"/>
          <c:x val="0.33576618447616818"/>
          <c:y val="3.6016331291921846E-2"/>
        </c:manualLayout>
      </c:layout>
      <c:overlay val="0"/>
      <c:spPr>
        <a:noFill/>
        <a:ln>
          <a:noFill/>
        </a:ln>
        <a:effectLst/>
      </c:spPr>
      <c:txPr>
        <a:bodyPr rot="0" spcFirstLastPara="1" vertOverflow="ellipsis" vert="horz" wrap="square" anchor="ctr" anchorCtr="1"/>
        <a:lstStyle/>
        <a:p>
          <a:pPr>
            <a:defRPr sz="1600" b="1" i="0" u="sng"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8.4667221445483262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2480481242665652"/>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8354616467206476E-2"/>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0567053480240432E-2"/>
              <c:y val="-3.4687591134441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3920394831367419E-3"/>
              <c:y val="-6.909813356663750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4795464816886439E-3"/>
              <c:y val="3.475685331000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Pivot!$E$1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0-2D16-4E2D-B9A1-CB530EB6F5E5}"/>
              </c:ext>
            </c:extLst>
          </c:dPt>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1-2D16-4E2D-B9A1-CB530EB6F5E5}"/>
              </c:ext>
            </c:extLst>
          </c:dPt>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2-2D16-4E2D-B9A1-CB530EB6F5E5}"/>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3-2D16-4E2D-B9A1-CB530EB6F5E5}"/>
              </c:ext>
            </c:extLst>
          </c:dPt>
          <c:dPt>
            <c:idx val="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4-2D16-4E2D-B9A1-CB530EB6F5E5}"/>
              </c:ext>
            </c:extLst>
          </c:dPt>
          <c:dPt>
            <c:idx val="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5-2D16-4E2D-B9A1-CB530EB6F5E5}"/>
              </c:ext>
            </c:extLst>
          </c:dPt>
          <c:dLbls>
            <c:dLbl>
              <c:idx val="0"/>
              <c:layout>
                <c:manualLayout>
                  <c:x val="-7.4795464816886439E-3"/>
                  <c:y val="3.47568533100029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D16-4E2D-B9A1-CB530EB6F5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Pivot!$D$2:$D$8</c:f>
              <c:strCache>
                <c:ptCount val="6"/>
                <c:pt idx="0">
                  <c:v>Not Mentioned</c:v>
                </c:pt>
                <c:pt idx="1">
                  <c:v>June</c:v>
                </c:pt>
                <c:pt idx="2">
                  <c:v>February</c:v>
                </c:pt>
                <c:pt idx="3">
                  <c:v>April</c:v>
                </c:pt>
                <c:pt idx="4">
                  <c:v>January</c:v>
                </c:pt>
                <c:pt idx="5">
                  <c:v>March</c:v>
                </c:pt>
              </c:strCache>
            </c:strRef>
          </c:cat>
          <c:val>
            <c:numRef>
              <c:f>Pivot!$E$2:$E$8</c:f>
              <c:numCache>
                <c:formatCode>_("₹"* #,##0_);_("₹"* \(#,##0\);_("₹"* "-"_);_(@_)</c:formatCode>
                <c:ptCount val="6"/>
                <c:pt idx="0">
                  <c:v>13026887.881999992</c:v>
                </c:pt>
                <c:pt idx="1">
                  <c:v>14437741.065999988</c:v>
                </c:pt>
                <c:pt idx="2">
                  <c:v>15143990.672000002</c:v>
                </c:pt>
                <c:pt idx="3">
                  <c:v>14746724.991999988</c:v>
                </c:pt>
                <c:pt idx="4">
                  <c:v>14138261.831999999</c:v>
                </c:pt>
                <c:pt idx="5">
                  <c:v>15188068.94199997</c:v>
                </c:pt>
              </c:numCache>
            </c:numRef>
          </c:val>
          <c:smooth val="0"/>
          <c:extLst>
            <c:ext xmlns:c16="http://schemas.microsoft.com/office/drawing/2014/chart" uri="{C3380CC4-5D6E-409C-BE32-E72D297353CC}">
              <c16:uniqueId val="{00000006-2D16-4E2D-B9A1-CB530EB6F5E5}"/>
            </c:ext>
          </c:extLst>
        </c:ser>
        <c:dLbls>
          <c:dLblPos val="t"/>
          <c:showLegendKey val="0"/>
          <c:showVal val="1"/>
          <c:showCatName val="0"/>
          <c:showSerName val="0"/>
          <c:showPercent val="0"/>
          <c:showBubbleSize val="0"/>
        </c:dLbls>
        <c:marker val="1"/>
        <c:smooth val="0"/>
        <c:axId val="2127211888"/>
        <c:axId val="2127212368"/>
      </c:lineChart>
      <c:catAx>
        <c:axId val="21272118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212368"/>
        <c:crosses val="autoZero"/>
        <c:auto val="1"/>
        <c:lblAlgn val="ctr"/>
        <c:lblOffset val="100"/>
        <c:noMultiLvlLbl val="0"/>
      </c:catAx>
      <c:valAx>
        <c:axId val="21272123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21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[Profitability Analysis  Dashboard.xlsx]Pivot!PivotTable5</c:name>
    <c:fmtId val="12"/>
  </c:pivotSource>
  <c:chart>
    <c:title>
      <c:tx>
        <c:rich>
          <a:bodyPr rot="0" spcFirstLastPara="1" vertOverflow="ellipsis" vert="horz" wrap="square" anchor="ctr" anchorCtr="1"/>
          <a:lstStyle/>
          <a:p>
            <a:pPr>
              <a:defRPr sz="1600" b="1" i="0" u="sng" strike="noStrike" kern="1200" spc="0" baseline="0">
                <a:solidFill>
                  <a:schemeClr val="tx1">
                    <a:lumMod val="65000"/>
                    <a:lumOff val="35000"/>
                  </a:schemeClr>
                </a:solidFill>
                <a:latin typeface="+mn-lt"/>
                <a:ea typeface="+mn-ea"/>
                <a:cs typeface="+mn-cs"/>
              </a:defRPr>
            </a:pPr>
            <a:r>
              <a:rPr lang="en-IN" sz="1600" b="1" u="sng"/>
              <a:t>Profit</a:t>
            </a:r>
            <a:r>
              <a:rPr lang="en-IN" sz="1600" b="1" u="sng" baseline="0"/>
              <a:t> Margin</a:t>
            </a:r>
            <a:endParaRPr lang="en-IN" sz="1600" b="1" u="sng"/>
          </a:p>
        </c:rich>
      </c:tx>
      <c:overlay val="0"/>
      <c:spPr>
        <a:noFill/>
        <a:ln>
          <a:noFill/>
        </a:ln>
        <a:effectLst/>
      </c:spPr>
      <c:txPr>
        <a:bodyPr rot="0" spcFirstLastPara="1" vertOverflow="ellipsis" vert="horz" wrap="square" anchor="ctr" anchorCtr="1"/>
        <a:lstStyle/>
        <a:p>
          <a:pPr>
            <a:defRPr sz="1600" b="1" i="0" u="sng"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842584208351863"/>
              <c:y val="-7.6388888888888881E-2"/>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fld id="{C06113CE-5033-4B8F-BB5D-F4014E5EC778}" type="PERCENTAGE">
                  <a:rPr lang="en-US" sz="2000" baseline="0"/>
                  <a:pPr>
                    <a:defRPr sz="2000" b="0" i="0" u="none" strike="noStrike" kern="1200" baseline="0">
                      <a:solidFill>
                        <a:schemeClr val="dk1">
                          <a:lumMod val="65000"/>
                          <a:lumOff val="35000"/>
                        </a:schemeClr>
                      </a:solidFill>
                      <a:latin typeface="+mn-lt"/>
                      <a:ea typeface="+mn-ea"/>
                      <a:cs typeface="+mn-cs"/>
                    </a:defRPr>
                  </a:pPr>
                  <a:t>[PERCENTAGE]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IN"/>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891914870462443"/>
                  <c:h val="0.13061971420239138"/>
                </c:manualLayout>
              </c15:layout>
              <c15:dlblFieldTable/>
              <c15:showDataLabelsRange val="0"/>
            </c:ext>
          </c:extLst>
        </c:dLbl>
      </c:pivotFmt>
      <c:pivotFmt>
        <c:idx val="2"/>
        <c:spPr>
          <a:solidFill>
            <a:schemeClr val="accent1"/>
          </a:solidFill>
          <a:ln w="19050">
            <a:solidFill>
              <a:schemeClr val="lt1"/>
            </a:solidFill>
          </a:ln>
          <a:effectLst/>
        </c:spPr>
        <c:dLbl>
          <c:idx val="0"/>
          <c:layout>
            <c:manualLayout>
              <c:x val="-0.11006605725283711"/>
              <c:y val="-9.4907407407407413E-2"/>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fld id="{AEB148DA-E7C4-435D-AE71-26F7A24E47CC}" type="PERCENTAGE">
                  <a:rPr lang="en-US" sz="2000" baseline="0"/>
                  <a:pPr>
                    <a:defRPr sz="2000" b="0" i="0" u="none" strike="noStrike" kern="1200" baseline="0">
                      <a:solidFill>
                        <a:schemeClr val="dk1">
                          <a:lumMod val="65000"/>
                          <a:lumOff val="35000"/>
                        </a:schemeClr>
                      </a:solidFill>
                      <a:latin typeface="+mn-lt"/>
                      <a:ea typeface="+mn-ea"/>
                      <a:cs typeface="+mn-cs"/>
                    </a:defRPr>
                  </a:pPr>
                  <a:t>[PERCENTAGE]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IN"/>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564409825717414"/>
                  <c:h val="0.14450860309128025"/>
                </c:manualLayout>
              </c15:layout>
              <c15:dlblFieldTable/>
              <c15:showDataLabelsRange val="0"/>
            </c:ext>
          </c:extLst>
        </c:dLbl>
      </c:pivotFmt>
      <c:pivotFmt>
        <c:idx val="3"/>
        <c:spPr>
          <a:solidFill>
            <a:schemeClr val="accent1"/>
          </a:solidFill>
          <a:ln w="19050">
            <a:solidFill>
              <a:schemeClr val="lt1"/>
            </a:solidFill>
          </a:ln>
          <a:effectLst/>
        </c:spPr>
        <c:dLbl>
          <c:idx val="0"/>
          <c:layout>
            <c:manualLayout>
              <c:x val="7.6628453788116974E-2"/>
              <c:y val="0.13194444444444425"/>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fld id="{A4BEC753-E61A-4337-ABDE-59CE484FFAD2}" type="PERCENTAGE">
                  <a:rPr lang="en-US" sz="2000" baseline="0"/>
                  <a:pPr>
                    <a:defRPr sz="2000" b="0" i="0" u="none" strike="noStrike" kern="1200" baseline="0">
                      <a:solidFill>
                        <a:schemeClr val="dk1">
                          <a:lumMod val="65000"/>
                          <a:lumOff val="35000"/>
                        </a:schemeClr>
                      </a:solidFill>
                      <a:latin typeface="+mn-lt"/>
                      <a:ea typeface="+mn-ea"/>
                      <a:cs typeface="+mn-cs"/>
                    </a:defRPr>
                  </a:pPr>
                  <a:t>[PERCENTAGE]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IN"/>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04339084097659"/>
                  <c:h val="0.13987897346165062"/>
                </c:manualLayout>
              </c15:layout>
              <c15:dlblFieldTable/>
              <c15:showDataLabelsRange val="0"/>
            </c:ext>
          </c:extLst>
        </c:dLbl>
      </c:pivotFmt>
      <c:pivotFmt>
        <c:idx val="4"/>
        <c:spPr>
          <a:solidFill>
            <a:schemeClr val="accent1"/>
          </a:solidFill>
          <a:ln w="19050">
            <a:solidFill>
              <a:schemeClr val="lt1"/>
            </a:solidFill>
          </a:ln>
          <a:effectLst/>
        </c:spPr>
        <c:dLbl>
          <c:idx val="0"/>
          <c:layout>
            <c:manualLayout>
              <c:x val="-0.13932415226671799"/>
              <c:y val="5.0925925925925923E-2"/>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fld id="{3F981DCC-0E2C-4CEB-90EB-A9634B291D9C}" type="PERCENTAGE">
                  <a:rPr lang="en-US" sz="2000" baseline="0"/>
                  <a:pPr>
                    <a:defRPr sz="2000" b="0" i="0" u="none" strike="noStrike" kern="1200" baseline="0">
                      <a:solidFill>
                        <a:schemeClr val="dk1">
                          <a:lumMod val="65000"/>
                          <a:lumOff val="35000"/>
                        </a:schemeClr>
                      </a:solidFill>
                      <a:latin typeface="+mn-lt"/>
                      <a:ea typeface="+mn-ea"/>
                      <a:cs typeface="+mn-cs"/>
                    </a:defRPr>
                  </a:pPr>
                  <a:t>[PERCENTAGE]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IN"/>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498847777383085"/>
                  <c:h val="0.14450860309128025"/>
                </c:manualLayout>
              </c15:layout>
              <c15:dlblFieldTable/>
              <c15:showDataLabelsRange val="0"/>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1842584208351863"/>
              <c:y val="-7.6388888888888881E-2"/>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fld id="{C06113CE-5033-4B8F-BB5D-F4014E5EC778}" type="PERCENTAGE">
                  <a:rPr lang="en-US" sz="2000" baseline="0"/>
                  <a:pPr>
                    <a:defRPr sz="2000" b="0" i="0" u="none" strike="noStrike" kern="1200" baseline="0">
                      <a:solidFill>
                        <a:schemeClr val="dk1">
                          <a:lumMod val="65000"/>
                          <a:lumOff val="35000"/>
                        </a:schemeClr>
                      </a:solidFill>
                      <a:latin typeface="+mn-lt"/>
                      <a:ea typeface="+mn-ea"/>
                      <a:cs typeface="+mn-cs"/>
                    </a:defRPr>
                  </a:pPr>
                  <a:t>[PERCENTAGE]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IN"/>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891914870462443"/>
                  <c:h val="0.13061971420239138"/>
                </c:manualLayout>
              </c15:layout>
              <c15:dlblFieldTable/>
              <c15:showDataLabelsRange val="0"/>
            </c:ext>
          </c:extLst>
        </c:dLbl>
      </c:pivotFmt>
      <c:pivotFmt>
        <c:idx val="7"/>
        <c:spPr>
          <a:solidFill>
            <a:schemeClr val="accent1"/>
          </a:solidFill>
          <a:ln w="19050">
            <a:solidFill>
              <a:schemeClr val="lt1"/>
            </a:solidFill>
          </a:ln>
          <a:effectLst/>
        </c:spPr>
        <c:dLbl>
          <c:idx val="0"/>
          <c:layout>
            <c:manualLayout>
              <c:x val="7.6628453788116974E-2"/>
              <c:y val="0.13194444444444425"/>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fld id="{A4BEC753-E61A-4337-ABDE-59CE484FFAD2}" type="PERCENTAGE">
                  <a:rPr lang="en-US" sz="2000" baseline="0"/>
                  <a:pPr>
                    <a:defRPr sz="2000" b="0" i="0" u="none" strike="noStrike" kern="1200" baseline="0">
                      <a:solidFill>
                        <a:schemeClr val="dk1">
                          <a:lumMod val="65000"/>
                          <a:lumOff val="35000"/>
                        </a:schemeClr>
                      </a:solidFill>
                      <a:latin typeface="+mn-lt"/>
                      <a:ea typeface="+mn-ea"/>
                      <a:cs typeface="+mn-cs"/>
                    </a:defRPr>
                  </a:pPr>
                  <a:t>[PERCENTAGE]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IN"/>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04339084097659"/>
                  <c:h val="0.13987897346165062"/>
                </c:manualLayout>
              </c15:layout>
              <c15:dlblFieldTable/>
              <c15:showDataLabelsRange val="0"/>
            </c:ext>
          </c:extLst>
        </c:dLbl>
      </c:pivotFmt>
      <c:pivotFmt>
        <c:idx val="8"/>
        <c:spPr>
          <a:solidFill>
            <a:schemeClr val="accent1"/>
          </a:solidFill>
          <a:ln w="19050">
            <a:solidFill>
              <a:schemeClr val="lt1"/>
            </a:solidFill>
          </a:ln>
          <a:effectLst/>
        </c:spPr>
        <c:dLbl>
          <c:idx val="0"/>
          <c:layout>
            <c:manualLayout>
              <c:x val="-0.13932415226671799"/>
              <c:y val="5.0925925925925923E-2"/>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fld id="{3F981DCC-0E2C-4CEB-90EB-A9634B291D9C}" type="PERCENTAGE">
                  <a:rPr lang="en-US" sz="2000" baseline="0"/>
                  <a:pPr>
                    <a:defRPr sz="2000" b="0" i="0" u="none" strike="noStrike" kern="1200" baseline="0">
                      <a:solidFill>
                        <a:schemeClr val="dk1">
                          <a:lumMod val="65000"/>
                          <a:lumOff val="35000"/>
                        </a:schemeClr>
                      </a:solidFill>
                      <a:latin typeface="+mn-lt"/>
                      <a:ea typeface="+mn-ea"/>
                      <a:cs typeface="+mn-cs"/>
                    </a:defRPr>
                  </a:pPr>
                  <a:t>[PERCENTAGE]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IN"/>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498847777383085"/>
                  <c:h val="0.14450860309128025"/>
                </c:manualLayout>
              </c15:layout>
              <c15:dlblFieldTable/>
              <c15:showDataLabelsRange val="0"/>
            </c:ext>
          </c:extLst>
        </c:dLbl>
      </c:pivotFmt>
      <c:pivotFmt>
        <c:idx val="9"/>
        <c:spPr>
          <a:solidFill>
            <a:schemeClr val="accent1"/>
          </a:solidFill>
          <a:ln w="19050">
            <a:solidFill>
              <a:schemeClr val="lt1"/>
            </a:solidFill>
          </a:ln>
          <a:effectLst/>
        </c:spPr>
        <c:dLbl>
          <c:idx val="0"/>
          <c:layout>
            <c:manualLayout>
              <c:x val="-0.11006605725283711"/>
              <c:y val="-9.4907407407407413E-2"/>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fld id="{AEB148DA-E7C4-435D-AE71-26F7A24E47CC}" type="PERCENTAGE">
                  <a:rPr lang="en-US" sz="2000" baseline="0"/>
                  <a:pPr>
                    <a:defRPr sz="2000" b="0" i="0" u="none" strike="noStrike" kern="1200" baseline="0">
                      <a:solidFill>
                        <a:schemeClr val="dk1">
                          <a:lumMod val="65000"/>
                          <a:lumOff val="35000"/>
                        </a:schemeClr>
                      </a:solidFill>
                      <a:latin typeface="+mn-lt"/>
                      <a:ea typeface="+mn-ea"/>
                      <a:cs typeface="+mn-cs"/>
                    </a:defRPr>
                  </a:pPr>
                  <a:t>[PERCENTAGE]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IN"/>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564409825717414"/>
                  <c:h val="0.14450860309128025"/>
                </c:manualLayout>
              </c15:layout>
              <c15:dlblFieldTable/>
              <c15:showDataLabelsRange val="0"/>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3608578277001768"/>
              <c:y val="-8.5204259410143049E-2"/>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r>
                  <a:rPr lang="en-US" sz="2000" baseline="0"/>
                  <a:t>LAPTOP </a:t>
                </a:r>
                <a:fld id="{70555F78-B59D-4857-8316-985DA81E5749}" type="VALUE">
                  <a:rPr lang="en-US" sz="2000" baseline="0"/>
                  <a:pPr>
                    <a:defRPr sz="2000"/>
                  </a:pPr>
                  <a:t>[VALUE]</a:t>
                </a:fld>
                <a:endParaRPr lang="en-US" sz="20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011111461324953"/>
                  <c:h val="0.2364047224303642"/>
                </c:manualLayout>
              </c15:layout>
              <c15:dlblFieldTable/>
              <c15:showDataLabelsRange val="0"/>
            </c:ext>
          </c:extLst>
        </c:dLbl>
      </c:pivotFmt>
      <c:pivotFmt>
        <c:idx val="12"/>
        <c:spPr>
          <a:solidFill>
            <a:schemeClr val="accent1"/>
          </a:solidFill>
          <a:ln w="19050">
            <a:solidFill>
              <a:schemeClr val="lt1"/>
            </a:solidFill>
          </a:ln>
          <a:effectLst/>
        </c:spPr>
        <c:dLbl>
          <c:idx val="0"/>
          <c:layout>
            <c:manualLayout>
              <c:x val="0.18533301285426626"/>
              <c:y val="9.863623797094604E-3"/>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r>
                  <a:rPr lang="en-US" sz="2000" baseline="0"/>
                  <a:t>MONITOR </a:t>
                </a:r>
                <a:fld id="{A4BEC753-E61A-4337-ABDE-59CE484FFAD2}" type="PERCENTAGE">
                  <a:rPr lang="en-US" sz="2000" baseline="0"/>
                  <a:pPr>
                    <a:defRPr sz="2000"/>
                  </a:pPr>
                  <a:t>[PERCENTAGE]</a:t>
                </a:fld>
                <a:endParaRPr lang="en-US" sz="20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500269390854408"/>
                  <c:h val="0.26086575380893107"/>
                </c:manualLayout>
              </c15:layout>
              <c15:dlblFieldTable/>
              <c15:showDataLabelsRange val="0"/>
            </c:ext>
          </c:extLst>
        </c:dLbl>
      </c:pivotFmt>
      <c:pivotFmt>
        <c:idx val="13"/>
        <c:spPr>
          <a:solidFill>
            <a:schemeClr val="accent1"/>
          </a:solidFill>
          <a:ln w="19050">
            <a:solidFill>
              <a:schemeClr val="lt1"/>
            </a:solidFill>
          </a:ln>
          <a:effectLst/>
        </c:spPr>
        <c:dLbl>
          <c:idx val="0"/>
          <c:layout>
            <c:manualLayout>
              <c:x val="-0.23859308486265096"/>
              <c:y val="-4.6582677388585784E-2"/>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r>
                  <a:rPr lang="en-US" sz="2000" baseline="0"/>
                  <a:t>PHONE </a:t>
                </a:r>
                <a:fld id="{3F981DCC-0E2C-4CEB-90EB-A9634B291D9C}" type="PERCENTAGE">
                  <a:rPr lang="en-US" sz="2000" baseline="0"/>
                  <a:pPr>
                    <a:defRPr sz="2000"/>
                  </a:pPr>
                  <a:t>[PERCENTAGE]</a:t>
                </a:fld>
                <a:endParaRPr lang="en-US" sz="20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66111838997926"/>
                  <c:h val="0.26042856093040012"/>
                </c:manualLayout>
              </c15:layout>
              <c15:dlblFieldTable/>
              <c15:showDataLabelsRange val="0"/>
            </c:ext>
          </c:extLst>
        </c:dLbl>
      </c:pivotFmt>
      <c:pivotFmt>
        <c:idx val="14"/>
        <c:spPr>
          <a:solidFill>
            <a:schemeClr val="accent1"/>
          </a:solidFill>
          <a:ln w="19050">
            <a:solidFill>
              <a:schemeClr val="lt1"/>
            </a:solidFill>
          </a:ln>
          <a:effectLst/>
        </c:spPr>
        <c:dLbl>
          <c:idx val="0"/>
          <c:layout>
            <c:manualLayout>
              <c:x val="-0.17011011341366417"/>
              <c:y val="-9.4907425885351587E-2"/>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r>
                  <a:rPr lang="en-US" sz="2000" baseline="0"/>
                  <a:t>TABLET </a:t>
                </a:r>
                <a:fld id="{AEB148DA-E7C4-435D-AE71-26F7A24E47CC}" type="PERCENTAGE">
                  <a:rPr lang="en-US" sz="2000" baseline="0"/>
                  <a:pPr>
                    <a:defRPr sz="2000"/>
                  </a:pPr>
                  <a:t>[PERCENTAGE]</a:t>
                </a:fld>
                <a:endParaRPr lang="en-US" sz="20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625488316557061"/>
                  <c:h val="0.26792472737255552"/>
                </c:manualLayout>
              </c15:layout>
              <c15:dlblFieldTable/>
              <c15:showDataLabelsRange val="0"/>
            </c:ext>
          </c:extLst>
        </c:dLbl>
      </c:pivotFmt>
    </c:pivotFmts>
    <c:plotArea>
      <c:layout/>
      <c:doughnutChart>
        <c:varyColors val="1"/>
        <c:ser>
          <c:idx val="0"/>
          <c:order val="0"/>
          <c:tx>
            <c:strRef>
              <c:f>Pivot!$B$10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6C-494F-B574-686D9A6908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6C-494F-B574-686D9A6908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6C-494F-B574-686D9A6908A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6C-494F-B574-686D9A6908AE}"/>
              </c:ext>
            </c:extLst>
          </c:dPt>
          <c:dLbls>
            <c:dLbl>
              <c:idx val="0"/>
              <c:layout>
                <c:manualLayout>
                  <c:x val="0.13608578277001768"/>
                  <c:y val="-8.5204259410143049E-2"/>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r>
                      <a:rPr lang="en-US" sz="2000" baseline="0"/>
                      <a:t>LAPTOP </a:t>
                    </a:r>
                    <a:fld id="{70555F78-B59D-4857-8316-985DA81E5749}" type="VALUE">
                      <a:rPr lang="en-US" sz="2000" baseline="0"/>
                      <a:pPr>
                        <a:defRPr sz="2000"/>
                      </a:pPr>
                      <a:t>[VALUE]</a:t>
                    </a:fld>
                    <a:endParaRPr lang="en-US" sz="20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011111461324953"/>
                      <c:h val="0.2364047224303642"/>
                    </c:manualLayout>
                  </c15:layout>
                  <c15:dlblFieldTable/>
                  <c15:showDataLabelsRange val="0"/>
                </c:ext>
                <c:ext xmlns:c16="http://schemas.microsoft.com/office/drawing/2014/chart" uri="{C3380CC4-5D6E-409C-BE32-E72D297353CC}">
                  <c16:uniqueId val="{00000001-216C-494F-B574-686D9A6908AE}"/>
                </c:ext>
              </c:extLst>
            </c:dLbl>
            <c:dLbl>
              <c:idx val="1"/>
              <c:layout>
                <c:manualLayout>
                  <c:x val="0.18533301285426626"/>
                  <c:y val="9.863623797094604E-3"/>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r>
                      <a:rPr lang="en-US" sz="2000" baseline="0"/>
                      <a:t>MONITOR </a:t>
                    </a:r>
                    <a:fld id="{A4BEC753-E61A-4337-ABDE-59CE484FFAD2}" type="PERCENTAGE">
                      <a:rPr lang="en-US" sz="2000" baseline="0"/>
                      <a:pPr>
                        <a:defRPr sz="2000"/>
                      </a:pPr>
                      <a:t>[PERCENTAGE]</a:t>
                    </a:fld>
                    <a:endParaRPr lang="en-US" sz="20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500269390854408"/>
                      <c:h val="0.26086575380893107"/>
                    </c:manualLayout>
                  </c15:layout>
                  <c15:dlblFieldTable/>
                  <c15:showDataLabelsRange val="0"/>
                </c:ext>
                <c:ext xmlns:c16="http://schemas.microsoft.com/office/drawing/2014/chart" uri="{C3380CC4-5D6E-409C-BE32-E72D297353CC}">
                  <c16:uniqueId val="{00000003-216C-494F-B574-686D9A6908AE}"/>
                </c:ext>
              </c:extLst>
            </c:dLbl>
            <c:dLbl>
              <c:idx val="2"/>
              <c:layout>
                <c:manualLayout>
                  <c:x val="-0.23859308486265096"/>
                  <c:y val="-4.6582677388585784E-2"/>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r>
                      <a:rPr lang="en-US" sz="2000" baseline="0"/>
                      <a:t>PHONE </a:t>
                    </a:r>
                    <a:fld id="{3F981DCC-0E2C-4CEB-90EB-A9634B291D9C}" type="PERCENTAGE">
                      <a:rPr lang="en-US" sz="2000" baseline="0"/>
                      <a:pPr>
                        <a:defRPr sz="2000"/>
                      </a:pPr>
                      <a:t>[PERCENTAGE]</a:t>
                    </a:fld>
                    <a:endParaRPr lang="en-US" sz="20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66111838997926"/>
                      <c:h val="0.26042856093040012"/>
                    </c:manualLayout>
                  </c15:layout>
                  <c15:dlblFieldTable/>
                  <c15:showDataLabelsRange val="0"/>
                </c:ext>
                <c:ext xmlns:c16="http://schemas.microsoft.com/office/drawing/2014/chart" uri="{C3380CC4-5D6E-409C-BE32-E72D297353CC}">
                  <c16:uniqueId val="{00000005-216C-494F-B574-686D9A6908AE}"/>
                </c:ext>
              </c:extLst>
            </c:dLbl>
            <c:dLbl>
              <c:idx val="3"/>
              <c:layout>
                <c:manualLayout>
                  <c:x val="-0.17011011341366417"/>
                  <c:y val="-9.4907425885351587E-2"/>
                </c:manualLayout>
              </c:layout>
              <c:tx>
                <c:rich>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r>
                      <a:rPr lang="en-US" sz="2000" baseline="0"/>
                      <a:t>TABLET </a:t>
                    </a:r>
                    <a:fld id="{AEB148DA-E7C4-435D-AE71-26F7A24E47CC}" type="PERCENTAGE">
                      <a:rPr lang="en-US" sz="2000" baseline="0"/>
                      <a:pPr>
                        <a:defRPr sz="2000"/>
                      </a:pPr>
                      <a:t>[PERCENTAGE]</a:t>
                    </a:fld>
                    <a:endParaRPr lang="en-US" sz="20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625488316557061"/>
                      <c:h val="0.26792472737255552"/>
                    </c:manualLayout>
                  </c15:layout>
                  <c15:dlblFieldTable/>
                  <c15:showDataLabelsRange val="0"/>
                </c:ext>
                <c:ext xmlns:c16="http://schemas.microsoft.com/office/drawing/2014/chart" uri="{C3380CC4-5D6E-409C-BE32-E72D297353CC}">
                  <c16:uniqueId val="{00000007-216C-494F-B574-686D9A6908A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Pivot!$A$11:$A$15</c:f>
              <c:strCache>
                <c:ptCount val="4"/>
                <c:pt idx="0">
                  <c:v>Laptop</c:v>
                </c:pt>
                <c:pt idx="1">
                  <c:v>Monitor</c:v>
                </c:pt>
                <c:pt idx="2">
                  <c:v>Phone</c:v>
                </c:pt>
                <c:pt idx="3">
                  <c:v>Tablet</c:v>
                </c:pt>
              </c:strCache>
            </c:strRef>
          </c:cat>
          <c:val>
            <c:numRef>
              <c:f>Pivot!$B$11:$B$15</c:f>
              <c:numCache>
                <c:formatCode>0%</c:formatCode>
                <c:ptCount val="4"/>
                <c:pt idx="0">
                  <c:v>0.25171966865369688</c:v>
                </c:pt>
                <c:pt idx="1">
                  <c:v>0.29871219571391094</c:v>
                </c:pt>
                <c:pt idx="2">
                  <c:v>0.2993005003128606</c:v>
                </c:pt>
                <c:pt idx="3">
                  <c:v>0.32870167854541454</c:v>
                </c:pt>
              </c:numCache>
            </c:numRef>
          </c:val>
          <c:extLst>
            <c:ext xmlns:c16="http://schemas.microsoft.com/office/drawing/2014/chart" uri="{C3380CC4-5D6E-409C-BE32-E72D297353CC}">
              <c16:uniqueId val="{00000008-216C-494F-B574-686D9A6908A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[Profitability Analysis  Dashboard.xlsx]Pivot!PivotTable7</c:name>
    <c:fmtId val="7"/>
  </c:pivotSource>
  <c:chart>
    <c:title>
      <c:tx>
        <c:rich>
          <a:bodyPr rot="0" spcFirstLastPara="1" vertOverflow="ellipsis" vert="horz" wrap="square" anchor="ctr" anchorCtr="1"/>
          <a:lstStyle/>
          <a:p>
            <a:pPr>
              <a:defRPr sz="1600" b="1" i="0" u="sng" strike="noStrike" kern="1200" baseline="0">
                <a:solidFill>
                  <a:schemeClr val="tx1">
                    <a:lumMod val="65000"/>
                    <a:lumOff val="35000"/>
                  </a:schemeClr>
                </a:solidFill>
                <a:latin typeface="+mn-lt"/>
                <a:ea typeface="+mn-ea"/>
                <a:cs typeface="+mn-cs"/>
              </a:defRPr>
            </a:pPr>
            <a:r>
              <a:rPr lang="en-IN" u="sng"/>
              <a:t>Profit by Product</a:t>
            </a:r>
          </a:p>
        </c:rich>
      </c:tx>
      <c:overlay val="0"/>
      <c:spPr>
        <a:noFill/>
        <a:ln>
          <a:noFill/>
        </a:ln>
        <a:effectLst/>
      </c:spPr>
      <c:txPr>
        <a:bodyPr rot="0" spcFirstLastPara="1" vertOverflow="ellipsis" vert="horz" wrap="square" anchor="ctr" anchorCtr="1"/>
        <a:lstStyle/>
        <a:p>
          <a:pPr>
            <a:defRPr sz="1600" b="1" i="0" u="sng"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78367154754925E-2"/>
              <c:y val="-1.388888888888888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B0D7FA5-784C-4DC3-B1D2-70153ED69453}" type="VALUE">
                  <a:rPr lang="en-US"/>
                  <a:pPr>
                    <a:defRPr sz="900" b="0" i="0" u="none" strike="noStrike" kern="1200" baseline="0">
                      <a:solidFill>
                        <a:schemeClr val="dk1">
                          <a:lumMod val="65000"/>
                          <a:lumOff val="35000"/>
                        </a:schemeClr>
                      </a:solidFill>
                      <a:latin typeface="+mn-lt"/>
                      <a:ea typeface="+mn-ea"/>
                      <a:cs typeface="+mn-cs"/>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IN"/>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594557182516752E-3"/>
              <c:y val="-4.6296296296296294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4D46BEE-F70F-4F6B-AF2B-EBE0F27370AF}" type="VALUE">
                  <a:rPr lang="en-US"/>
                  <a:pPr>
                    <a:defRPr sz="900" b="0" i="0" u="none" strike="noStrike" kern="1200" baseline="0">
                      <a:solidFill>
                        <a:schemeClr val="dk1">
                          <a:lumMod val="65000"/>
                          <a:lumOff val="35000"/>
                        </a:schemeClr>
                      </a:solidFill>
                      <a:latin typeface="+mn-lt"/>
                      <a:ea typeface="+mn-ea"/>
                      <a:cs typeface="+mn-cs"/>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IN"/>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71891143650335E-2"/>
              <c:y val="-1.851851851851860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4F8F459-1289-4E07-8701-1C59ED0FB8AF}" type="VALUE">
                  <a:rPr lang="en-US"/>
                  <a:pPr>
                    <a:defRPr sz="900" b="0" i="0" u="none" strike="noStrike" kern="1200" baseline="0">
                      <a:solidFill>
                        <a:schemeClr val="dk1">
                          <a:lumMod val="65000"/>
                          <a:lumOff val="35000"/>
                        </a:schemeClr>
                      </a:solidFill>
                      <a:latin typeface="+mn-lt"/>
                      <a:ea typeface="+mn-ea"/>
                      <a:cs typeface="+mn-cs"/>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IN"/>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1084972584686579E-17"/>
              <c:y val="-1.388888888888893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DBD9AF4-2D8F-4B67-8D47-28FFE59302D3}" type="VALUE">
                  <a:rPr lang="en-US"/>
                  <a:pPr>
                    <a:defRPr sz="900" b="0" i="0" u="none" strike="noStrike" kern="1200" baseline="0">
                      <a:solidFill>
                        <a:schemeClr val="dk1">
                          <a:lumMod val="65000"/>
                          <a:lumOff val="35000"/>
                        </a:schemeClr>
                      </a:solidFill>
                      <a:latin typeface="+mn-lt"/>
                      <a:ea typeface="+mn-ea"/>
                      <a:cs typeface="+mn-cs"/>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IN"/>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1084972584686579E-17"/>
              <c:y val="-1.388888888888893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DBD9AF4-2D8F-4B67-8D47-28FFE59302D3}" type="VALUE">
                  <a:rPr lang="en-US"/>
                  <a:pPr>
                    <a:defRPr sz="900" b="0" i="0" u="none" strike="noStrike" kern="1200" baseline="0">
                      <a:solidFill>
                        <a:schemeClr val="dk1">
                          <a:lumMod val="65000"/>
                          <a:lumOff val="35000"/>
                        </a:schemeClr>
                      </a:solidFill>
                      <a:latin typeface="+mn-lt"/>
                      <a:ea typeface="+mn-ea"/>
                      <a:cs typeface="+mn-cs"/>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IN"/>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71891143650335E-2"/>
              <c:y val="-1.851851851851860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4F8F459-1289-4E07-8701-1C59ED0FB8AF}" type="VALUE">
                  <a:rPr lang="en-US"/>
                  <a:pPr>
                    <a:defRPr sz="900" b="0" i="0" u="none" strike="noStrike" kern="1200" baseline="0">
                      <a:solidFill>
                        <a:schemeClr val="dk1">
                          <a:lumMod val="65000"/>
                          <a:lumOff val="35000"/>
                        </a:schemeClr>
                      </a:solidFill>
                      <a:latin typeface="+mn-lt"/>
                      <a:ea typeface="+mn-ea"/>
                      <a:cs typeface="+mn-cs"/>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IN"/>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594557182516752E-3"/>
              <c:y val="-4.6296296296296294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4D46BEE-F70F-4F6B-AF2B-EBE0F27370AF}" type="VALUE">
                  <a:rPr lang="en-US"/>
                  <a:pPr>
                    <a:defRPr sz="900" b="0" i="0" u="none" strike="noStrike" kern="1200" baseline="0">
                      <a:solidFill>
                        <a:schemeClr val="dk1">
                          <a:lumMod val="65000"/>
                          <a:lumOff val="35000"/>
                        </a:schemeClr>
                      </a:solidFill>
                      <a:latin typeface="+mn-lt"/>
                      <a:ea typeface="+mn-ea"/>
                      <a:cs typeface="+mn-cs"/>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IN"/>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78367154754925E-2"/>
              <c:y val="-1.388888888888888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B0D7FA5-784C-4DC3-B1D2-70153ED69453}" type="VALUE">
                  <a:rPr lang="en-US"/>
                  <a:pPr>
                    <a:defRPr sz="900" b="0" i="0" u="none" strike="noStrike" kern="1200" baseline="0">
                      <a:solidFill>
                        <a:schemeClr val="dk1">
                          <a:lumMod val="65000"/>
                          <a:lumOff val="35000"/>
                        </a:schemeClr>
                      </a:solidFill>
                      <a:latin typeface="+mn-lt"/>
                      <a:ea typeface="+mn-ea"/>
                      <a:cs typeface="+mn-cs"/>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IN"/>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1084972584686579E-17"/>
              <c:y val="-1.388888888888893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DBD9AF4-2D8F-4B67-8D47-28FFE59302D3}" type="VALUE">
                  <a:rPr lang="en-US"/>
                  <a:pPr>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71891143650335E-2"/>
              <c:y val="-1.851851851851860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4F8F459-1289-4E07-8701-1C59ED0FB8AF}" type="VALUE">
                  <a:rPr lang="en-US"/>
                  <a:pPr>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594557182516752E-3"/>
              <c:y val="-4.6296296296296294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4D46BEE-F70F-4F6B-AF2B-EBE0F27370AF}" type="VALUE">
                  <a:rPr lang="en-US"/>
                  <a:pPr>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078367154754925E-2"/>
              <c:y val="-1.388888888888888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B0D7FA5-784C-4DC3-B1D2-70153ED69453}" type="VALUE">
                  <a:rPr lang="en-US"/>
                  <a:pPr>
                    <a:defRPr/>
                  </a:pPr>
                  <a:t>[VALUE]</a:t>
                </a:fld>
                <a:endParaRPr lang="en-IN"/>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Pivot!$K$1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FC1-4D24-829F-CFDD8583DA95}"/>
              </c:ext>
            </c:extLst>
          </c:dPt>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FC1-4D24-829F-CFDD8583DA95}"/>
              </c:ext>
            </c:extLst>
          </c:dPt>
          <c:dPt>
            <c:idx val="2"/>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FC1-4D24-829F-CFDD8583DA95}"/>
              </c:ext>
            </c:extLst>
          </c:dPt>
          <c:dPt>
            <c:idx val="3"/>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FC1-4D24-829F-CFDD8583DA95}"/>
              </c:ext>
            </c:extLst>
          </c:dPt>
          <c:dLbls>
            <c:dLbl>
              <c:idx val="0"/>
              <c:layout>
                <c:manualLayout>
                  <c:x val="-5.1084972584686579E-17"/>
                  <c:y val="-1.3888888888888931E-2"/>
                </c:manualLayout>
              </c:layout>
              <c:tx>
                <c:rich>
                  <a:bodyPr/>
                  <a:lstStyle/>
                  <a:p>
                    <a:fld id="{1DBD9AF4-2D8F-4B67-8D47-28FFE59302D3}" type="VALUE">
                      <a:rPr lang="en-US"/>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FC1-4D24-829F-CFDD8583DA95}"/>
                </c:ext>
              </c:extLst>
            </c:dLbl>
            <c:dLbl>
              <c:idx val="1"/>
              <c:layout>
                <c:manualLayout>
                  <c:x val="1.671891143650335E-2"/>
                  <c:y val="-1.8518518518518604E-2"/>
                </c:manualLayout>
              </c:layout>
              <c:tx>
                <c:rich>
                  <a:bodyPr/>
                  <a:lstStyle/>
                  <a:p>
                    <a:fld id="{34F8F459-1289-4E07-8701-1C59ED0FB8AF}" type="VALUE">
                      <a:rPr lang="en-US"/>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FC1-4D24-829F-CFDD8583DA95}"/>
                </c:ext>
              </c:extLst>
            </c:dLbl>
            <c:dLbl>
              <c:idx val="2"/>
              <c:layout>
                <c:manualLayout>
                  <c:x val="8.3594557182516752E-3"/>
                  <c:y val="-4.6296296296296294E-3"/>
                </c:manualLayout>
              </c:layout>
              <c:tx>
                <c:rich>
                  <a:bodyPr/>
                  <a:lstStyle/>
                  <a:p>
                    <a:fld id="{C4D46BEE-F70F-4F6B-AF2B-EBE0F27370AF}" type="VALUE">
                      <a:rPr lang="en-US"/>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FC1-4D24-829F-CFDD8583DA95}"/>
                </c:ext>
              </c:extLst>
            </c:dLbl>
            <c:dLbl>
              <c:idx val="3"/>
              <c:layout>
                <c:manualLayout>
                  <c:x val="2.5078367154754925E-2"/>
                  <c:y val="-1.3888888888888888E-2"/>
                </c:manualLayout>
              </c:layout>
              <c:tx>
                <c:rich>
                  <a:bodyPr/>
                  <a:lstStyle/>
                  <a:p>
                    <a:fld id="{2B0D7FA5-784C-4DC3-B1D2-70153ED69453}" type="VALUE">
                      <a:rPr lang="en-US"/>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FC1-4D24-829F-CFDD8583DA9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Pivot!$J$2:$J$6</c:f>
              <c:strCache>
                <c:ptCount val="4"/>
                <c:pt idx="0">
                  <c:v>Laptop</c:v>
                </c:pt>
                <c:pt idx="1">
                  <c:v>Monitor</c:v>
                </c:pt>
                <c:pt idx="2">
                  <c:v>Phone</c:v>
                </c:pt>
                <c:pt idx="3">
                  <c:v>Tablet</c:v>
                </c:pt>
              </c:strCache>
            </c:strRef>
          </c:cat>
          <c:val>
            <c:numRef>
              <c:f>Pivot!$K$2:$K$6</c:f>
              <c:numCache>
                <c:formatCode>_("₹"* #,##0_);_("₹"* \(#,##0\);_("₹"* "-"_);_(@_)</c:formatCode>
                <c:ptCount val="4"/>
                <c:pt idx="0">
                  <c:v>46452900.572000004</c:v>
                </c:pt>
                <c:pt idx="1">
                  <c:v>8421564.3119999971</c:v>
                </c:pt>
                <c:pt idx="2">
                  <c:v>17441751.64399999</c:v>
                </c:pt>
                <c:pt idx="3">
                  <c:v>14365458.858000012</c:v>
                </c:pt>
              </c:numCache>
            </c:numRef>
          </c:val>
          <c:extLst>
            <c:ext xmlns:c16="http://schemas.microsoft.com/office/drawing/2014/chart" uri="{C3380CC4-5D6E-409C-BE32-E72D297353CC}">
              <c16:uniqueId val="{00000008-AFC1-4D24-829F-CFDD8583DA95}"/>
            </c:ext>
          </c:extLst>
        </c:ser>
        <c:dLbls>
          <c:showLegendKey val="0"/>
          <c:showVal val="0"/>
          <c:showCatName val="0"/>
          <c:showSerName val="0"/>
          <c:showPercent val="0"/>
          <c:showBubbleSize val="0"/>
        </c:dLbls>
        <c:gapWidth val="150"/>
        <c:shape val="box"/>
        <c:axId val="2127245968"/>
        <c:axId val="2127237808"/>
        <c:axId val="0"/>
      </c:bar3DChart>
      <c:catAx>
        <c:axId val="21272459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237808"/>
        <c:crosses val="autoZero"/>
        <c:auto val="1"/>
        <c:lblAlgn val="ctr"/>
        <c:lblOffset val="100"/>
        <c:noMultiLvlLbl val="0"/>
      </c:catAx>
      <c:valAx>
        <c:axId val="21272378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24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png"/><Relationship Id="rId3" Type="http://schemas.openxmlformats.org/officeDocument/2006/relationships/chart" Target="../charts/chart7.xml"/><Relationship Id="rId7" Type="http://schemas.openxmlformats.org/officeDocument/2006/relationships/image" Target="../media/image3.svg"/><Relationship Id="rId12" Type="http://schemas.openxmlformats.org/officeDocument/2006/relationships/image" Target="../media/image8.svg"/><Relationship Id="rId2" Type="http://schemas.openxmlformats.org/officeDocument/2006/relationships/chart" Target="../charts/chart6.xml"/><Relationship Id="rId16" Type="http://schemas.openxmlformats.org/officeDocument/2006/relationships/image" Target="../media/image12.svg"/><Relationship Id="rId1" Type="http://schemas.openxmlformats.org/officeDocument/2006/relationships/chart" Target="../charts/chart5.xml"/><Relationship Id="rId6" Type="http://schemas.openxmlformats.org/officeDocument/2006/relationships/image" Target="../media/image2.pn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png"/><Relationship Id="rId4" Type="http://schemas.openxmlformats.org/officeDocument/2006/relationships/chart" Target="../charts/chart8.xml"/><Relationship Id="rId9" Type="http://schemas.openxmlformats.org/officeDocument/2006/relationships/image" Target="../media/image5.sv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6</xdr:col>
      <xdr:colOff>38100</xdr:colOff>
      <xdr:row>17</xdr:row>
      <xdr:rowOff>180976</xdr:rowOff>
    </xdr:from>
    <xdr:to>
      <xdr:col>7</xdr:col>
      <xdr:colOff>895350</xdr:colOff>
      <xdr:row>28</xdr:row>
      <xdr:rowOff>47625</xdr:rowOff>
    </xdr:to>
    <mc:AlternateContent xmlns:mc="http://schemas.openxmlformats.org/markup-compatibility/2006" xmlns:a14="http://schemas.microsoft.com/office/drawing/2010/main">
      <mc:Choice Requires="a14">
        <xdr:graphicFrame macro="">
          <xdr:nvGraphicFramePr>
            <xdr:cNvPr id="2" name="Month 1">
              <a:extLst>
                <a:ext uri="{FF2B5EF4-FFF2-40B4-BE49-F238E27FC236}">
                  <a16:creationId xmlns:a16="http://schemas.microsoft.com/office/drawing/2014/main" id="{2FF4FBF1-EB7A-61CC-8524-A10CC4EAB1D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586538" y="3419476"/>
              <a:ext cx="1809750" cy="1962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847725</xdr:colOff>
      <xdr:row>18</xdr:row>
      <xdr:rowOff>9526</xdr:rowOff>
    </xdr:from>
    <xdr:to>
      <xdr:col>5</xdr:col>
      <xdr:colOff>607218</xdr:colOff>
      <xdr:row>25</xdr:row>
      <xdr:rowOff>104776</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7CC001C5-D7D6-645C-4E28-7C547918491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169569" y="3438526"/>
              <a:ext cx="1819275"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1314450</xdr:colOff>
      <xdr:row>18</xdr:row>
      <xdr:rowOff>9525</xdr:rowOff>
    </xdr:from>
    <xdr:to>
      <xdr:col>3</xdr:col>
      <xdr:colOff>557213</xdr:colOff>
      <xdr:row>25</xdr:row>
      <xdr:rowOff>133350</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9FBA1CF0-BC3D-7286-1D5A-6B3A1A7FCD5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064544" y="3438525"/>
              <a:ext cx="1838325" cy="1457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18</xdr:row>
      <xdr:rowOff>9525</xdr:rowOff>
    </xdr:from>
    <xdr:to>
      <xdr:col>1</xdr:col>
      <xdr:colOff>904875</xdr:colOff>
      <xdr:row>21</xdr:row>
      <xdr:rowOff>95250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24D190BA-C934-D5FF-F76E-E3DD8E0038A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050" y="3438525"/>
              <a:ext cx="1826419" cy="657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109707</xdr:colOff>
      <xdr:row>28</xdr:row>
      <xdr:rowOff>188635</xdr:rowOff>
    </xdr:from>
    <xdr:to>
      <xdr:col>4</xdr:col>
      <xdr:colOff>443821</xdr:colOff>
      <xdr:row>43</xdr:row>
      <xdr:rowOff>74335</xdr:rowOff>
    </xdr:to>
    <xdr:graphicFrame macro="">
      <xdr:nvGraphicFramePr>
        <xdr:cNvPr id="6" name="Chart 5">
          <a:extLst>
            <a:ext uri="{FF2B5EF4-FFF2-40B4-BE49-F238E27FC236}">
              <a16:creationId xmlns:a16="http://schemas.microsoft.com/office/drawing/2014/main" id="{7FB958F5-9909-30AC-C029-364BA591D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589359</xdr:colOff>
      <xdr:row>28</xdr:row>
      <xdr:rowOff>176213</xdr:rowOff>
    </xdr:from>
    <xdr:to>
      <xdr:col>9</xdr:col>
      <xdr:colOff>136922</xdr:colOff>
      <xdr:row>43</xdr:row>
      <xdr:rowOff>61913</xdr:rowOff>
    </xdr:to>
    <xdr:graphicFrame macro="">
      <xdr:nvGraphicFramePr>
        <xdr:cNvPr id="7" name="Chart 6">
          <a:extLst>
            <a:ext uri="{FF2B5EF4-FFF2-40B4-BE49-F238E27FC236}">
              <a16:creationId xmlns:a16="http://schemas.microsoft.com/office/drawing/2014/main" id="{0C2BE31F-A56C-216B-28B6-C7DE4457A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410766</xdr:colOff>
      <xdr:row>17</xdr:row>
      <xdr:rowOff>9525</xdr:rowOff>
    </xdr:from>
    <xdr:to>
      <xdr:col>14</xdr:col>
      <xdr:colOff>172641</xdr:colOff>
      <xdr:row>31</xdr:row>
      <xdr:rowOff>85725</xdr:rowOff>
    </xdr:to>
    <xdr:graphicFrame macro="">
      <xdr:nvGraphicFramePr>
        <xdr:cNvPr id="9" name="Chart 8">
          <a:extLst>
            <a:ext uri="{FF2B5EF4-FFF2-40B4-BE49-F238E27FC236}">
              <a16:creationId xmlns:a16="http://schemas.microsoft.com/office/drawing/2014/main" id="{DA2B2544-1ED6-1C67-1888-0801814AA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422671</xdr:colOff>
      <xdr:row>31</xdr:row>
      <xdr:rowOff>188118</xdr:rowOff>
    </xdr:from>
    <xdr:to>
      <xdr:col>14</xdr:col>
      <xdr:colOff>17860</xdr:colOff>
      <xdr:row>46</xdr:row>
      <xdr:rowOff>73818</xdr:rowOff>
    </xdr:to>
    <xdr:graphicFrame macro="">
      <xdr:nvGraphicFramePr>
        <xdr:cNvPr id="10" name="Chart 9">
          <a:extLst>
            <a:ext uri="{FF2B5EF4-FFF2-40B4-BE49-F238E27FC236}">
              <a16:creationId xmlns:a16="http://schemas.microsoft.com/office/drawing/2014/main" id="{8BD05661-D967-3A94-E973-F55D876A3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11907</xdr:colOff>
      <xdr:row>0</xdr:row>
      <xdr:rowOff>23813</xdr:rowOff>
    </xdr:from>
    <xdr:to>
      <xdr:col>25</xdr:col>
      <xdr:colOff>547688</xdr:colOff>
      <xdr:row>29</xdr:row>
      <xdr:rowOff>178594</xdr:rowOff>
    </xdr:to>
    <xdr:sp macro="" textlink="">
      <xdr:nvSpPr>
        <xdr:cNvPr id="4" name="Rectangle 3">
          <a:extLst>
            <a:ext uri="{FF2B5EF4-FFF2-40B4-BE49-F238E27FC236}">
              <a16:creationId xmlns:a16="http://schemas.microsoft.com/office/drawing/2014/main" id="{A820BC79-8B06-7B2A-5800-D6BFBD40B15D}"/>
            </a:ext>
          </a:extLst>
        </xdr:cNvPr>
        <xdr:cNvSpPr/>
      </xdr:nvSpPr>
      <xdr:spPr>
        <a:xfrm>
          <a:off x="11907" y="23813"/>
          <a:ext cx="15716250" cy="5679281"/>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95250</xdr:colOff>
      <xdr:row>0</xdr:row>
      <xdr:rowOff>95249</xdr:rowOff>
    </xdr:from>
    <xdr:to>
      <xdr:col>12</xdr:col>
      <xdr:colOff>83344</xdr:colOff>
      <xdr:row>5</xdr:row>
      <xdr:rowOff>47624</xdr:rowOff>
    </xdr:to>
    <xdr:sp macro="" textlink="">
      <xdr:nvSpPr>
        <xdr:cNvPr id="6" name="Rectangle: Rounded Corners 5">
          <a:extLst>
            <a:ext uri="{FF2B5EF4-FFF2-40B4-BE49-F238E27FC236}">
              <a16:creationId xmlns:a16="http://schemas.microsoft.com/office/drawing/2014/main" id="{2752DFC5-1D59-DBD3-142F-4D1874BFF91E}"/>
            </a:ext>
          </a:extLst>
        </xdr:cNvPr>
        <xdr:cNvSpPr/>
      </xdr:nvSpPr>
      <xdr:spPr>
        <a:xfrm>
          <a:off x="95250" y="95249"/>
          <a:ext cx="7274719" cy="904875"/>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119061</xdr:colOff>
      <xdr:row>0</xdr:row>
      <xdr:rowOff>190498</xdr:rowOff>
    </xdr:from>
    <xdr:to>
      <xdr:col>11</xdr:col>
      <xdr:colOff>559594</xdr:colOff>
      <xdr:row>4</xdr:row>
      <xdr:rowOff>95249</xdr:rowOff>
    </xdr:to>
    <xdr:sp macro="" textlink="">
      <xdr:nvSpPr>
        <xdr:cNvPr id="7" name="TextBox 6">
          <a:extLst>
            <a:ext uri="{FF2B5EF4-FFF2-40B4-BE49-F238E27FC236}">
              <a16:creationId xmlns:a16="http://schemas.microsoft.com/office/drawing/2014/main" id="{7BD30A89-A04C-6DC7-A410-CE91C7DCBBD4}"/>
            </a:ext>
          </a:extLst>
        </xdr:cNvPr>
        <xdr:cNvSpPr txBox="1"/>
      </xdr:nvSpPr>
      <xdr:spPr>
        <a:xfrm>
          <a:off x="119061" y="190498"/>
          <a:ext cx="7119939" cy="66675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u="sng">
              <a:solidFill>
                <a:schemeClr val="tx1"/>
              </a:solidFill>
            </a:rPr>
            <a:t>P R O F I T A B I L I T Y</a:t>
          </a:r>
          <a:r>
            <a:rPr lang="en-IN" sz="3600" b="1" u="sng" baseline="0">
              <a:solidFill>
                <a:schemeClr val="tx1"/>
              </a:solidFill>
            </a:rPr>
            <a:t>   </a:t>
          </a:r>
          <a:r>
            <a:rPr lang="en-IN" sz="3600" b="1" u="sng">
              <a:solidFill>
                <a:schemeClr val="tx1"/>
              </a:solidFill>
            </a:rPr>
            <a:t>A N A L Y S I S</a:t>
          </a:r>
        </a:p>
      </xdr:txBody>
    </xdr:sp>
    <xdr:clientData/>
  </xdr:twoCellAnchor>
  <xdr:twoCellAnchor editAs="oneCell">
    <xdr:from>
      <xdr:col>3</xdr:col>
      <xdr:colOff>48857</xdr:colOff>
      <xdr:row>15</xdr:row>
      <xdr:rowOff>59537</xdr:rowOff>
    </xdr:from>
    <xdr:to>
      <xdr:col>6</xdr:col>
      <xdr:colOff>31202</xdr:colOff>
      <xdr:row>17</xdr:row>
      <xdr:rowOff>110537</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F6A073BD-C5DA-4C9C-AEE5-C33EEB243FE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70513" y="2917037"/>
              <a:ext cx="1804002" cy="4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48857</xdr:colOff>
      <xdr:row>17</xdr:row>
      <xdr:rowOff>134252</xdr:rowOff>
    </xdr:from>
    <xdr:to>
      <xdr:col>6</xdr:col>
      <xdr:colOff>31202</xdr:colOff>
      <xdr:row>23</xdr:row>
      <xdr:rowOff>71252</xdr:rowOff>
    </xdr:to>
    <mc:AlternateContent xmlns:mc="http://schemas.openxmlformats.org/markup-compatibility/2006" xmlns:a14="http://schemas.microsoft.com/office/drawing/2010/main">
      <mc:Choice Requires="a14">
        <xdr:graphicFrame macro="">
          <xdr:nvGraphicFramePr>
            <xdr:cNvPr id="9" name="Product 2">
              <a:extLst>
                <a:ext uri="{FF2B5EF4-FFF2-40B4-BE49-F238E27FC236}">
                  <a16:creationId xmlns:a16="http://schemas.microsoft.com/office/drawing/2014/main" id="{FBA38EFD-90BB-4960-AF65-DE275D85198D}"/>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870513" y="3372752"/>
              <a:ext cx="1804002" cy="10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48766</xdr:colOff>
      <xdr:row>23</xdr:row>
      <xdr:rowOff>94773</xdr:rowOff>
    </xdr:from>
    <xdr:to>
      <xdr:col>6</xdr:col>
      <xdr:colOff>30288</xdr:colOff>
      <xdr:row>29</xdr:row>
      <xdr:rowOff>73269</xdr:rowOff>
    </xdr:to>
    <mc:AlternateContent xmlns:mc="http://schemas.openxmlformats.org/markup-compatibility/2006" xmlns:a14="http://schemas.microsoft.com/office/drawing/2010/main">
      <mc:Choice Requires="a14">
        <xdr:graphicFrame macro="">
          <xdr:nvGraphicFramePr>
            <xdr:cNvPr id="10" name="Region 2">
              <a:extLst>
                <a:ext uri="{FF2B5EF4-FFF2-40B4-BE49-F238E27FC236}">
                  <a16:creationId xmlns:a16="http://schemas.microsoft.com/office/drawing/2014/main" id="{D1BB115E-226E-41CA-A70B-0DEFFF1E4CE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870422" y="4476273"/>
              <a:ext cx="1803179" cy="1121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49677</xdr:colOff>
      <xdr:row>23</xdr:row>
      <xdr:rowOff>88611</xdr:rowOff>
    </xdr:from>
    <xdr:to>
      <xdr:col>3</xdr:col>
      <xdr:colOff>26686</xdr:colOff>
      <xdr:row>29</xdr:row>
      <xdr:rowOff>61611</xdr:rowOff>
    </xdr:to>
    <mc:AlternateContent xmlns:mc="http://schemas.openxmlformats.org/markup-compatibility/2006" xmlns:a14="http://schemas.microsoft.com/office/drawing/2010/main">
      <mc:Choice Requires="a14">
        <xdr:graphicFrame macro="">
          <xdr:nvGraphicFramePr>
            <xdr:cNvPr id="11" name="Month 2">
              <a:extLst>
                <a:ext uri="{FF2B5EF4-FFF2-40B4-BE49-F238E27FC236}">
                  <a16:creationId xmlns:a16="http://schemas.microsoft.com/office/drawing/2014/main" id="{B9CEB8D6-F8BD-4A98-B993-F9ABE5273BE4}"/>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49677" y="4470111"/>
              <a:ext cx="1798665" cy="11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35720</xdr:colOff>
      <xdr:row>5</xdr:row>
      <xdr:rowOff>95249</xdr:rowOff>
    </xdr:from>
    <xdr:to>
      <xdr:col>14</xdr:col>
      <xdr:colOff>178593</xdr:colOff>
      <xdr:row>15</xdr:row>
      <xdr:rowOff>23812</xdr:rowOff>
    </xdr:to>
    <xdr:graphicFrame macro="">
      <xdr:nvGraphicFramePr>
        <xdr:cNvPr id="12" name="Chart 11">
          <a:extLst>
            <a:ext uri="{FF2B5EF4-FFF2-40B4-BE49-F238E27FC236}">
              <a16:creationId xmlns:a16="http://schemas.microsoft.com/office/drawing/2014/main" id="{94B5287E-C8E1-4978-B465-61F10617A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226219</xdr:colOff>
      <xdr:row>5</xdr:row>
      <xdr:rowOff>95250</xdr:rowOff>
    </xdr:from>
    <xdr:to>
      <xdr:col>25</xdr:col>
      <xdr:colOff>512709</xdr:colOff>
      <xdr:row>16</xdr:row>
      <xdr:rowOff>178594</xdr:rowOff>
    </xdr:to>
    <xdr:graphicFrame macro="">
      <xdr:nvGraphicFramePr>
        <xdr:cNvPr id="13" name="Chart 12">
          <a:extLst>
            <a:ext uri="{FF2B5EF4-FFF2-40B4-BE49-F238E27FC236}">
              <a16:creationId xmlns:a16="http://schemas.microsoft.com/office/drawing/2014/main" id="{41518054-2DFF-41BB-B16D-0590A3F7A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83344</xdr:colOff>
      <xdr:row>15</xdr:row>
      <xdr:rowOff>59530</xdr:rowOff>
    </xdr:from>
    <xdr:to>
      <xdr:col>14</xdr:col>
      <xdr:colOff>190499</xdr:colOff>
      <xdr:row>29</xdr:row>
      <xdr:rowOff>73269</xdr:rowOff>
    </xdr:to>
    <xdr:graphicFrame macro="">
      <xdr:nvGraphicFramePr>
        <xdr:cNvPr id="14" name="Chart 13">
          <a:extLst>
            <a:ext uri="{FF2B5EF4-FFF2-40B4-BE49-F238E27FC236}">
              <a16:creationId xmlns:a16="http://schemas.microsoft.com/office/drawing/2014/main" id="{4F39E55C-087D-4063-81F0-C6B2E94B5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238124</xdr:colOff>
      <xdr:row>17</xdr:row>
      <xdr:rowOff>23813</xdr:rowOff>
    </xdr:from>
    <xdr:to>
      <xdr:col>25</xdr:col>
      <xdr:colOff>513202</xdr:colOff>
      <xdr:row>29</xdr:row>
      <xdr:rowOff>80597</xdr:rowOff>
    </xdr:to>
    <xdr:graphicFrame macro="">
      <xdr:nvGraphicFramePr>
        <xdr:cNvPr id="15" name="Chart 14">
          <a:extLst>
            <a:ext uri="{FF2B5EF4-FFF2-40B4-BE49-F238E27FC236}">
              <a16:creationId xmlns:a16="http://schemas.microsoft.com/office/drawing/2014/main" id="{14325881-FB98-4EF4-9A10-CBC281960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83343</xdr:colOff>
      <xdr:row>5</xdr:row>
      <xdr:rowOff>107157</xdr:rowOff>
    </xdr:from>
    <xdr:to>
      <xdr:col>2</xdr:col>
      <xdr:colOff>596905</xdr:colOff>
      <xdr:row>9</xdr:row>
      <xdr:rowOff>137157</xdr:rowOff>
    </xdr:to>
    <xdr:sp macro="" textlink="">
      <xdr:nvSpPr>
        <xdr:cNvPr id="16" name="Rectangle: Rounded Corners 15">
          <a:extLst>
            <a:ext uri="{FF2B5EF4-FFF2-40B4-BE49-F238E27FC236}">
              <a16:creationId xmlns:a16="http://schemas.microsoft.com/office/drawing/2014/main" id="{E785EB7E-70BF-9760-FF84-C31B36D98E00}"/>
            </a:ext>
          </a:extLst>
        </xdr:cNvPr>
        <xdr:cNvSpPr/>
      </xdr:nvSpPr>
      <xdr:spPr>
        <a:xfrm>
          <a:off x="83343" y="1059657"/>
          <a:ext cx="1728000" cy="792000"/>
        </a:xfrm>
        <a:prstGeom prst="roundRect">
          <a:avLst/>
        </a:prstGeom>
        <a:solidFill>
          <a:schemeClr val="bg2">
            <a:lumMod val="9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80962</xdr:colOff>
      <xdr:row>10</xdr:row>
      <xdr:rowOff>9529</xdr:rowOff>
    </xdr:from>
    <xdr:to>
      <xdr:col>2</xdr:col>
      <xdr:colOff>594524</xdr:colOff>
      <xdr:row>14</xdr:row>
      <xdr:rowOff>39529</xdr:rowOff>
    </xdr:to>
    <xdr:sp macro="" textlink="">
      <xdr:nvSpPr>
        <xdr:cNvPr id="17" name="Rectangle: Rounded Corners 16">
          <a:extLst>
            <a:ext uri="{FF2B5EF4-FFF2-40B4-BE49-F238E27FC236}">
              <a16:creationId xmlns:a16="http://schemas.microsoft.com/office/drawing/2014/main" id="{F005DC0F-F799-482E-BD38-3E8B1DDA05F4}"/>
            </a:ext>
          </a:extLst>
        </xdr:cNvPr>
        <xdr:cNvSpPr/>
      </xdr:nvSpPr>
      <xdr:spPr>
        <a:xfrm>
          <a:off x="80962" y="1914529"/>
          <a:ext cx="1728000" cy="792000"/>
        </a:xfrm>
        <a:prstGeom prst="roundRect">
          <a:avLst/>
        </a:prstGeom>
        <a:solidFill>
          <a:schemeClr val="bg2">
            <a:lumMod val="9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78581</xdr:colOff>
      <xdr:row>14</xdr:row>
      <xdr:rowOff>102401</xdr:rowOff>
    </xdr:from>
    <xdr:to>
      <xdr:col>2</xdr:col>
      <xdr:colOff>592143</xdr:colOff>
      <xdr:row>18</xdr:row>
      <xdr:rowOff>132401</xdr:rowOff>
    </xdr:to>
    <xdr:sp macro="" textlink="">
      <xdr:nvSpPr>
        <xdr:cNvPr id="18" name="Rectangle: Rounded Corners 17">
          <a:extLst>
            <a:ext uri="{FF2B5EF4-FFF2-40B4-BE49-F238E27FC236}">
              <a16:creationId xmlns:a16="http://schemas.microsoft.com/office/drawing/2014/main" id="{E85700E3-8493-4D7D-B912-4C545003C639}"/>
            </a:ext>
          </a:extLst>
        </xdr:cNvPr>
        <xdr:cNvSpPr/>
      </xdr:nvSpPr>
      <xdr:spPr>
        <a:xfrm>
          <a:off x="78581" y="2769401"/>
          <a:ext cx="1728000" cy="792000"/>
        </a:xfrm>
        <a:prstGeom prst="roundRect">
          <a:avLst/>
        </a:prstGeom>
        <a:solidFill>
          <a:schemeClr val="bg2">
            <a:lumMod val="9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88108</xdr:colOff>
      <xdr:row>19</xdr:row>
      <xdr:rowOff>4765</xdr:rowOff>
    </xdr:from>
    <xdr:to>
      <xdr:col>2</xdr:col>
      <xdr:colOff>601670</xdr:colOff>
      <xdr:row>23</xdr:row>
      <xdr:rowOff>34765</xdr:rowOff>
    </xdr:to>
    <xdr:sp macro="" textlink="">
      <xdr:nvSpPr>
        <xdr:cNvPr id="19" name="Rectangle: Rounded Corners 18">
          <a:extLst>
            <a:ext uri="{FF2B5EF4-FFF2-40B4-BE49-F238E27FC236}">
              <a16:creationId xmlns:a16="http://schemas.microsoft.com/office/drawing/2014/main" id="{D41C3A0B-4697-4BFB-9F9B-E394E361AF72}"/>
            </a:ext>
          </a:extLst>
        </xdr:cNvPr>
        <xdr:cNvSpPr/>
      </xdr:nvSpPr>
      <xdr:spPr>
        <a:xfrm>
          <a:off x="88108" y="3624265"/>
          <a:ext cx="1728000" cy="792000"/>
        </a:xfrm>
        <a:prstGeom prst="roundRect">
          <a:avLst/>
        </a:prstGeom>
        <a:solidFill>
          <a:schemeClr val="bg2">
            <a:lumMod val="9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119062</xdr:colOff>
      <xdr:row>6</xdr:row>
      <xdr:rowOff>37788</xdr:rowOff>
    </xdr:from>
    <xdr:to>
      <xdr:col>2</xdr:col>
      <xdr:colOff>500061</xdr:colOff>
      <xdr:row>7</xdr:row>
      <xdr:rowOff>154781</xdr:rowOff>
    </xdr:to>
    <xdr:sp macro="" textlink="">
      <xdr:nvSpPr>
        <xdr:cNvPr id="2" name="TextBox 1">
          <a:extLst>
            <a:ext uri="{FF2B5EF4-FFF2-40B4-BE49-F238E27FC236}">
              <a16:creationId xmlns:a16="http://schemas.microsoft.com/office/drawing/2014/main" id="{BDF7CED3-539A-1010-E1B7-53CD247457FC}"/>
            </a:ext>
          </a:extLst>
        </xdr:cNvPr>
        <xdr:cNvSpPr txBox="1"/>
      </xdr:nvSpPr>
      <xdr:spPr>
        <a:xfrm>
          <a:off x="119062" y="1180788"/>
          <a:ext cx="1595437" cy="307493"/>
        </a:xfrm>
        <a:prstGeom prst="rect">
          <a:avLst/>
        </a:prstGeom>
        <a:solidFill>
          <a:schemeClr val="bg2">
            <a:lumMod val="90000"/>
          </a:schemeClr>
        </a:solidFill>
        <a:ln w="9525"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400" b="1" u="sng">
              <a:latin typeface="ADLaM Display" panose="02010000000000000000" pitchFamily="2" charset="0"/>
              <a:ea typeface="ADLaM Display" panose="02010000000000000000" pitchFamily="2" charset="0"/>
              <a:cs typeface="ADLaM Display" panose="02010000000000000000" pitchFamily="2" charset="0"/>
            </a:rPr>
            <a:t>TOTAL     PROFIT</a:t>
          </a:r>
        </a:p>
      </xdr:txBody>
    </xdr:sp>
    <xdr:clientData/>
  </xdr:twoCellAnchor>
  <xdr:twoCellAnchor>
    <xdr:from>
      <xdr:col>0</xdr:col>
      <xdr:colOff>128588</xdr:colOff>
      <xdr:row>10</xdr:row>
      <xdr:rowOff>152400</xdr:rowOff>
    </xdr:from>
    <xdr:to>
      <xdr:col>2</xdr:col>
      <xdr:colOff>461962</xdr:colOff>
      <xdr:row>13</xdr:row>
      <xdr:rowOff>104775</xdr:rowOff>
    </xdr:to>
    <xdr:sp macro="" textlink="">
      <xdr:nvSpPr>
        <xdr:cNvPr id="21" name="TextBox 20">
          <a:extLst>
            <a:ext uri="{FF2B5EF4-FFF2-40B4-BE49-F238E27FC236}">
              <a16:creationId xmlns:a16="http://schemas.microsoft.com/office/drawing/2014/main" id="{A6059F4C-121B-4E77-A6A6-AA0D589814B8}"/>
            </a:ext>
          </a:extLst>
        </xdr:cNvPr>
        <xdr:cNvSpPr txBox="1"/>
      </xdr:nvSpPr>
      <xdr:spPr>
        <a:xfrm>
          <a:off x="128588" y="2057400"/>
          <a:ext cx="1547812" cy="523875"/>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138113</xdr:colOff>
      <xdr:row>15</xdr:row>
      <xdr:rowOff>42863</xdr:rowOff>
    </xdr:from>
    <xdr:to>
      <xdr:col>2</xdr:col>
      <xdr:colOff>471487</xdr:colOff>
      <xdr:row>17</xdr:row>
      <xdr:rowOff>185738</xdr:rowOff>
    </xdr:to>
    <xdr:sp macro="" textlink="">
      <xdr:nvSpPr>
        <xdr:cNvPr id="22" name="TextBox 21">
          <a:extLst>
            <a:ext uri="{FF2B5EF4-FFF2-40B4-BE49-F238E27FC236}">
              <a16:creationId xmlns:a16="http://schemas.microsoft.com/office/drawing/2014/main" id="{C35CEBE3-6116-4F95-B3B3-9B9F3226C25E}"/>
            </a:ext>
          </a:extLst>
        </xdr:cNvPr>
        <xdr:cNvSpPr txBox="1"/>
      </xdr:nvSpPr>
      <xdr:spPr>
        <a:xfrm>
          <a:off x="138113" y="2900363"/>
          <a:ext cx="1547812" cy="523875"/>
        </a:xfrm>
        <a:prstGeom prst="rect">
          <a:avLst/>
        </a:prstGeom>
        <a:solidFill>
          <a:schemeClr val="bg2">
            <a:lumMod val="90000"/>
          </a:schemeClr>
        </a:solidFill>
        <a:ln w="9525"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135731</xdr:colOff>
      <xdr:row>19</xdr:row>
      <xdr:rowOff>135731</xdr:rowOff>
    </xdr:from>
    <xdr:to>
      <xdr:col>2</xdr:col>
      <xdr:colOff>469105</xdr:colOff>
      <xdr:row>22</xdr:row>
      <xdr:rowOff>88106</xdr:rowOff>
    </xdr:to>
    <xdr:sp macro="" textlink="">
      <xdr:nvSpPr>
        <xdr:cNvPr id="23" name="TextBox 22">
          <a:extLst>
            <a:ext uri="{FF2B5EF4-FFF2-40B4-BE49-F238E27FC236}">
              <a16:creationId xmlns:a16="http://schemas.microsoft.com/office/drawing/2014/main" id="{0F5D7D31-C7FB-4C1B-B4C9-B10598FA4A6D}"/>
            </a:ext>
          </a:extLst>
        </xdr:cNvPr>
        <xdr:cNvSpPr txBox="1"/>
      </xdr:nvSpPr>
      <xdr:spPr>
        <a:xfrm>
          <a:off x="135731" y="3755231"/>
          <a:ext cx="1547812" cy="523875"/>
        </a:xfrm>
        <a:prstGeom prst="rect">
          <a:avLst/>
        </a:prstGeom>
        <a:solidFill>
          <a:schemeClr val="bg2">
            <a:lumMod val="90000"/>
          </a:schemeClr>
        </a:solidFill>
        <a:ln w="9525"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133038</xdr:colOff>
      <xdr:row>10</xdr:row>
      <xdr:rowOff>91111</xdr:rowOff>
    </xdr:from>
    <xdr:to>
      <xdr:col>2</xdr:col>
      <xdr:colOff>523875</xdr:colOff>
      <xdr:row>12</xdr:row>
      <xdr:rowOff>71437</xdr:rowOff>
    </xdr:to>
    <xdr:sp macro="" textlink="">
      <xdr:nvSpPr>
        <xdr:cNvPr id="24" name="TextBox 23">
          <a:extLst>
            <a:ext uri="{FF2B5EF4-FFF2-40B4-BE49-F238E27FC236}">
              <a16:creationId xmlns:a16="http://schemas.microsoft.com/office/drawing/2014/main" id="{B8886C08-7848-4BBD-BA61-C952E928A8C7}"/>
            </a:ext>
          </a:extLst>
        </xdr:cNvPr>
        <xdr:cNvSpPr txBox="1"/>
      </xdr:nvSpPr>
      <xdr:spPr>
        <a:xfrm>
          <a:off x="133038" y="1996111"/>
          <a:ext cx="1605275" cy="361326"/>
        </a:xfrm>
        <a:prstGeom prst="rect">
          <a:avLst/>
        </a:prstGeom>
        <a:solidFill>
          <a:schemeClr val="bg2">
            <a:lumMod val="90000"/>
          </a:schemeClr>
        </a:solidFill>
        <a:ln w="9525"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u="sng">
              <a:latin typeface="ADLaM Display" panose="02010000000000000000" pitchFamily="2" charset="0"/>
              <a:ea typeface="ADLaM Display" panose="02010000000000000000" pitchFamily="2" charset="0"/>
              <a:cs typeface="ADLaM Display" panose="02010000000000000000" pitchFamily="2" charset="0"/>
            </a:rPr>
            <a:t>TOTAL     </a:t>
          </a:r>
          <a:r>
            <a:rPr lang="en-IN" sz="1200" b="1" u="sng" baseline="0">
              <a:latin typeface="ADLaM Display" panose="02010000000000000000" pitchFamily="2" charset="0"/>
              <a:ea typeface="ADLaM Display" panose="02010000000000000000" pitchFamily="2" charset="0"/>
              <a:cs typeface="ADLaM Display" panose="02010000000000000000" pitchFamily="2" charset="0"/>
            </a:rPr>
            <a:t> REVENUE</a:t>
          </a:r>
          <a:endParaRPr lang="en-IN" sz="1200" b="1" u="sng">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0</xdr:col>
      <xdr:colOff>77544</xdr:colOff>
      <xdr:row>15</xdr:row>
      <xdr:rowOff>25262</xdr:rowOff>
    </xdr:from>
    <xdr:to>
      <xdr:col>1</xdr:col>
      <xdr:colOff>534744</xdr:colOff>
      <xdr:row>18</xdr:row>
      <xdr:rowOff>30542</xdr:rowOff>
    </xdr:to>
    <xdr:sp macro="" textlink="">
      <xdr:nvSpPr>
        <xdr:cNvPr id="25" name="TextBox 24">
          <a:extLst>
            <a:ext uri="{FF2B5EF4-FFF2-40B4-BE49-F238E27FC236}">
              <a16:creationId xmlns:a16="http://schemas.microsoft.com/office/drawing/2014/main" id="{A290D173-E5B6-4219-944A-BF33F8D3FB80}"/>
            </a:ext>
          </a:extLst>
        </xdr:cNvPr>
        <xdr:cNvSpPr txBox="1"/>
      </xdr:nvSpPr>
      <xdr:spPr>
        <a:xfrm>
          <a:off x="77544" y="2882762"/>
          <a:ext cx="1064419" cy="576780"/>
        </a:xfrm>
        <a:prstGeom prst="rect">
          <a:avLst/>
        </a:prstGeom>
        <a:solidFill>
          <a:schemeClr val="bg2">
            <a:lumMod val="90000"/>
          </a:schemeClr>
        </a:solidFill>
        <a:ln w="9525"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u="sng">
              <a:latin typeface="ADLaM Display" panose="02010000000000000000" pitchFamily="2" charset="0"/>
              <a:ea typeface="ADLaM Display" panose="02010000000000000000" pitchFamily="2" charset="0"/>
              <a:cs typeface="ADLaM Display" panose="02010000000000000000" pitchFamily="2" charset="0"/>
            </a:rPr>
            <a:t>PROFIT</a:t>
          </a:r>
          <a:r>
            <a:rPr lang="en-IN" sz="1400" b="1" u="sng" baseline="0">
              <a:latin typeface="ADLaM Display" panose="02010000000000000000" pitchFamily="2" charset="0"/>
              <a:ea typeface="ADLaM Display" panose="02010000000000000000" pitchFamily="2" charset="0"/>
              <a:cs typeface="ADLaM Display" panose="02010000000000000000" pitchFamily="2" charset="0"/>
            </a:rPr>
            <a:t> MARGIN%</a:t>
          </a:r>
          <a:endParaRPr lang="en-IN" sz="1400" b="1" u="sng">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0</xdr:col>
      <xdr:colOff>123825</xdr:colOff>
      <xdr:row>19</xdr:row>
      <xdr:rowOff>52388</xdr:rowOff>
    </xdr:from>
    <xdr:to>
      <xdr:col>2</xdr:col>
      <xdr:colOff>540543</xdr:colOff>
      <xdr:row>20</xdr:row>
      <xdr:rowOff>171450</xdr:rowOff>
    </xdr:to>
    <xdr:sp macro="" textlink="">
      <xdr:nvSpPr>
        <xdr:cNvPr id="26" name="TextBox 25">
          <a:extLst>
            <a:ext uri="{FF2B5EF4-FFF2-40B4-BE49-F238E27FC236}">
              <a16:creationId xmlns:a16="http://schemas.microsoft.com/office/drawing/2014/main" id="{EA666D94-F90A-4F2F-B7D1-E4BA4E670339}"/>
            </a:ext>
          </a:extLst>
        </xdr:cNvPr>
        <xdr:cNvSpPr txBox="1"/>
      </xdr:nvSpPr>
      <xdr:spPr>
        <a:xfrm>
          <a:off x="123825" y="3671888"/>
          <a:ext cx="1631156" cy="309562"/>
        </a:xfrm>
        <a:prstGeom prst="rect">
          <a:avLst/>
        </a:prstGeom>
        <a:solidFill>
          <a:schemeClr val="bg2">
            <a:lumMod val="90000"/>
          </a:schemeClr>
        </a:solidFill>
        <a:ln w="9525"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400" b="1" u="sng">
              <a:latin typeface="ADLaM Display" panose="02010000000000000000" pitchFamily="2" charset="0"/>
              <a:ea typeface="ADLaM Display" panose="02010000000000000000" pitchFamily="2" charset="0"/>
              <a:cs typeface="ADLaM Display" panose="02010000000000000000" pitchFamily="2" charset="0"/>
            </a:rPr>
            <a:t>TOTAL ORDERS</a:t>
          </a:r>
        </a:p>
      </xdr:txBody>
    </xdr:sp>
    <xdr:clientData/>
  </xdr:twoCellAnchor>
  <xdr:twoCellAnchor>
    <xdr:from>
      <xdr:col>0</xdr:col>
      <xdr:colOff>103531</xdr:colOff>
      <xdr:row>7</xdr:row>
      <xdr:rowOff>116473</xdr:rowOff>
    </xdr:from>
    <xdr:to>
      <xdr:col>2</xdr:col>
      <xdr:colOff>559592</xdr:colOff>
      <xdr:row>9</xdr:row>
      <xdr:rowOff>35719</xdr:rowOff>
    </xdr:to>
    <xdr:sp macro="" textlink="Pivot!M7">
      <xdr:nvSpPr>
        <xdr:cNvPr id="27" name="TextBox 26">
          <a:extLst>
            <a:ext uri="{FF2B5EF4-FFF2-40B4-BE49-F238E27FC236}">
              <a16:creationId xmlns:a16="http://schemas.microsoft.com/office/drawing/2014/main" id="{27983832-FD66-8790-6FD0-2DE041F84DB3}"/>
            </a:ext>
          </a:extLst>
        </xdr:cNvPr>
        <xdr:cNvSpPr txBox="1"/>
      </xdr:nvSpPr>
      <xdr:spPr>
        <a:xfrm>
          <a:off x="103531" y="1449973"/>
          <a:ext cx="1670499" cy="300246"/>
        </a:xfrm>
        <a:prstGeom prst="rect">
          <a:avLst/>
        </a:prstGeom>
        <a:solidFill>
          <a:schemeClr val="bg2">
            <a:lumMod val="90000"/>
          </a:schemeClr>
        </a:solidFill>
        <a:ln w="9525"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F77E71-7876-4CC6-AE0E-17ABBEEA0270}" type="TxLink">
            <a:rPr lang="en-US" sz="2000" b="1" i="0" u="none" strike="noStrike">
              <a:solidFill>
                <a:srgbClr val="48A64A"/>
              </a:solidFill>
              <a:latin typeface="Calibri"/>
              <a:ea typeface="Calibri"/>
              <a:cs typeface="Calibri"/>
            </a:rPr>
            <a:pPr/>
            <a:t> ₹ 8,66,81,675 </a:t>
          </a:fld>
          <a:endParaRPr lang="en-IN" sz="2000" b="1">
            <a:solidFill>
              <a:srgbClr val="48A64A"/>
            </a:solidFill>
          </a:endParaRPr>
        </a:p>
      </xdr:txBody>
    </xdr:sp>
    <xdr:clientData/>
  </xdr:twoCellAnchor>
  <xdr:twoCellAnchor>
    <xdr:from>
      <xdr:col>0</xdr:col>
      <xdr:colOff>92869</xdr:colOff>
      <xdr:row>12</xdr:row>
      <xdr:rowOff>71125</xdr:rowOff>
    </xdr:from>
    <xdr:to>
      <xdr:col>2</xdr:col>
      <xdr:colOff>547687</xdr:colOff>
      <xdr:row>13</xdr:row>
      <xdr:rowOff>166375</xdr:rowOff>
    </xdr:to>
    <xdr:sp macro="" textlink="Pivot!M4">
      <xdr:nvSpPr>
        <xdr:cNvPr id="28" name="TextBox 27">
          <a:extLst>
            <a:ext uri="{FF2B5EF4-FFF2-40B4-BE49-F238E27FC236}">
              <a16:creationId xmlns:a16="http://schemas.microsoft.com/office/drawing/2014/main" id="{C95D6684-BB59-4E73-8960-EB0A948BCEB6}"/>
            </a:ext>
          </a:extLst>
        </xdr:cNvPr>
        <xdr:cNvSpPr txBox="1"/>
      </xdr:nvSpPr>
      <xdr:spPr>
        <a:xfrm>
          <a:off x="92869" y="2357125"/>
          <a:ext cx="1680644" cy="285750"/>
        </a:xfrm>
        <a:prstGeom prst="rect">
          <a:avLst/>
        </a:prstGeom>
        <a:solidFill>
          <a:schemeClr val="bg2">
            <a:lumMod val="90000"/>
          </a:schemeClr>
        </a:solidFill>
        <a:ln w="9525"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95310B0-AF93-42C2-AD14-E9D238AD3621}" type="TxLink">
            <a:rPr lang="en-US" sz="1800" b="1" i="0" u="none" strike="noStrike">
              <a:solidFill>
                <a:schemeClr val="accent4">
                  <a:lumMod val="50000"/>
                </a:schemeClr>
              </a:solidFill>
              <a:latin typeface="Calibri"/>
              <a:ea typeface="Calibri"/>
              <a:cs typeface="Calibri"/>
            </a:rPr>
            <a:pPr marL="0" indent="0"/>
            <a:t> ₹ 30,73,51,959 </a:t>
          </a:fld>
          <a:endParaRPr lang="en-IN" sz="1800" b="1" i="0" u="none" strike="noStrike">
            <a:solidFill>
              <a:schemeClr val="accent4">
                <a:lumMod val="50000"/>
              </a:schemeClr>
            </a:solidFill>
            <a:latin typeface="Calibri"/>
            <a:ea typeface="Calibri"/>
            <a:cs typeface="Calibri"/>
          </a:endParaRPr>
        </a:p>
      </xdr:txBody>
    </xdr:sp>
    <xdr:clientData/>
  </xdr:twoCellAnchor>
  <xdr:twoCellAnchor>
    <xdr:from>
      <xdr:col>1</xdr:col>
      <xdr:colOff>419722</xdr:colOff>
      <xdr:row>16</xdr:row>
      <xdr:rowOff>112229</xdr:rowOff>
    </xdr:from>
    <xdr:to>
      <xdr:col>2</xdr:col>
      <xdr:colOff>571499</xdr:colOff>
      <xdr:row>18</xdr:row>
      <xdr:rowOff>74543</xdr:rowOff>
    </xdr:to>
    <xdr:sp macro="" textlink="Pivot!O4">
      <xdr:nvSpPr>
        <xdr:cNvPr id="29" name="TextBox 28">
          <a:extLst>
            <a:ext uri="{FF2B5EF4-FFF2-40B4-BE49-F238E27FC236}">
              <a16:creationId xmlns:a16="http://schemas.microsoft.com/office/drawing/2014/main" id="{F707B17C-FE00-4C06-A526-DBA01A65E016}"/>
            </a:ext>
          </a:extLst>
        </xdr:cNvPr>
        <xdr:cNvSpPr txBox="1"/>
      </xdr:nvSpPr>
      <xdr:spPr>
        <a:xfrm>
          <a:off x="1026941" y="3160229"/>
          <a:ext cx="758996" cy="343314"/>
        </a:xfrm>
        <a:prstGeom prst="rect">
          <a:avLst/>
        </a:prstGeom>
        <a:solidFill>
          <a:schemeClr val="bg2">
            <a:lumMod val="90000"/>
          </a:schemeClr>
        </a:solidFill>
        <a:ln w="9525"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6917AA-9EF6-4713-992B-C600877AA9E0}" type="TxLink">
            <a:rPr lang="en-US" sz="2400" b="1" i="0" u="none" strike="noStrike">
              <a:solidFill>
                <a:srgbClr val="00B050"/>
              </a:solidFill>
              <a:latin typeface="Calibri"/>
              <a:ea typeface="Calibri"/>
              <a:cs typeface="Calibri"/>
            </a:rPr>
            <a:pPr/>
            <a:t>28%</a:t>
          </a:fld>
          <a:endParaRPr lang="en-IN" sz="2400" b="1">
            <a:solidFill>
              <a:srgbClr val="00B050"/>
            </a:solidFill>
          </a:endParaRPr>
        </a:p>
      </xdr:txBody>
    </xdr:sp>
    <xdr:clientData/>
  </xdr:twoCellAnchor>
  <xdr:twoCellAnchor>
    <xdr:from>
      <xdr:col>1</xdr:col>
      <xdr:colOff>186461</xdr:colOff>
      <xdr:row>20</xdr:row>
      <xdr:rowOff>150122</xdr:rowOff>
    </xdr:from>
    <xdr:to>
      <xdr:col>2</xdr:col>
      <xdr:colOff>488156</xdr:colOff>
      <xdr:row>22</xdr:row>
      <xdr:rowOff>142978</xdr:rowOff>
    </xdr:to>
    <xdr:sp macro="" textlink="Pivot!O7">
      <xdr:nvSpPr>
        <xdr:cNvPr id="30" name="TextBox 29">
          <a:extLst>
            <a:ext uri="{FF2B5EF4-FFF2-40B4-BE49-F238E27FC236}">
              <a16:creationId xmlns:a16="http://schemas.microsoft.com/office/drawing/2014/main" id="{3FF208D5-FF15-459E-A2DC-1A4E6E3C9B75}"/>
            </a:ext>
          </a:extLst>
        </xdr:cNvPr>
        <xdr:cNvSpPr txBox="1"/>
      </xdr:nvSpPr>
      <xdr:spPr>
        <a:xfrm>
          <a:off x="793680" y="3960122"/>
          <a:ext cx="908914" cy="373856"/>
        </a:xfrm>
        <a:prstGeom prst="rect">
          <a:avLst/>
        </a:prstGeom>
        <a:solidFill>
          <a:schemeClr val="bg2">
            <a:lumMod val="90000"/>
          </a:schemeClr>
        </a:solidFill>
        <a:ln w="9525"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A7DBD5D-11E5-4FE0-B191-A66FAF288412}" type="TxLink">
            <a:rPr lang="en-US" sz="2400" b="1" i="0" u="none" strike="noStrike">
              <a:solidFill>
                <a:schemeClr val="accent6">
                  <a:lumMod val="75000"/>
                </a:schemeClr>
              </a:solidFill>
              <a:latin typeface="Calibri"/>
              <a:ea typeface="Calibri"/>
              <a:cs typeface="Calibri"/>
            </a:rPr>
            <a:pPr marL="0" indent="0"/>
            <a:t>3,798</a:t>
          </a:fld>
          <a:endParaRPr lang="en-IN" sz="2400" b="1" i="0" u="none" strike="noStrike">
            <a:solidFill>
              <a:schemeClr val="accent6">
                <a:lumMod val="75000"/>
              </a:schemeClr>
            </a:solidFill>
            <a:latin typeface="Calibri"/>
            <a:ea typeface="Calibri"/>
            <a:cs typeface="Calibri"/>
          </a:endParaRPr>
        </a:p>
      </xdr:txBody>
    </xdr:sp>
    <xdr:clientData/>
  </xdr:twoCellAnchor>
  <xdr:twoCellAnchor>
    <xdr:from>
      <xdr:col>12</xdr:col>
      <xdr:colOff>178594</xdr:colOff>
      <xdr:row>0</xdr:row>
      <xdr:rowOff>83344</xdr:rowOff>
    </xdr:from>
    <xdr:to>
      <xdr:col>25</xdr:col>
      <xdr:colOff>500062</xdr:colOff>
      <xdr:row>5</xdr:row>
      <xdr:rowOff>47625</xdr:rowOff>
    </xdr:to>
    <xdr:sp macro="" textlink="">
      <xdr:nvSpPr>
        <xdr:cNvPr id="49" name="Rectangle 48">
          <a:extLst>
            <a:ext uri="{FF2B5EF4-FFF2-40B4-BE49-F238E27FC236}">
              <a16:creationId xmlns:a16="http://schemas.microsoft.com/office/drawing/2014/main" id="{66E5CD33-DFB0-0EA0-EE5A-EBBAC2D78885}"/>
            </a:ext>
          </a:extLst>
        </xdr:cNvPr>
        <xdr:cNvSpPr/>
      </xdr:nvSpPr>
      <xdr:spPr>
        <a:xfrm>
          <a:off x="7533551" y="83344"/>
          <a:ext cx="8289337" cy="916781"/>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95252</xdr:colOff>
      <xdr:row>10</xdr:row>
      <xdr:rowOff>154782</xdr:rowOff>
    </xdr:from>
    <xdr:to>
      <xdr:col>1</xdr:col>
      <xdr:colOff>452438</xdr:colOff>
      <xdr:row>12</xdr:row>
      <xdr:rowOff>130968</xdr:rowOff>
    </xdr:to>
    <xdr:pic>
      <xdr:nvPicPr>
        <xdr:cNvPr id="20" name="Picture 19">
          <a:extLst>
            <a:ext uri="{FF2B5EF4-FFF2-40B4-BE49-F238E27FC236}">
              <a16:creationId xmlns:a16="http://schemas.microsoft.com/office/drawing/2014/main" id="{B6EB9F05-8BCC-FB26-1431-4C3DC451E9D8}"/>
            </a:ext>
          </a:extLst>
        </xdr:cNvPr>
        <xdr:cNvPicPr>
          <a:picLocks noChangeAspect="1"/>
        </xdr:cNvPicPr>
      </xdr:nvPicPr>
      <xdr:blipFill>
        <a:blip xmlns:r="http://schemas.openxmlformats.org/officeDocument/2006/relationships" r:embed="rId5"/>
        <a:stretch>
          <a:fillRect/>
        </a:stretch>
      </xdr:blipFill>
      <xdr:spPr>
        <a:xfrm>
          <a:off x="702471" y="2059782"/>
          <a:ext cx="357186" cy="357186"/>
        </a:xfrm>
        <a:prstGeom prst="rect">
          <a:avLst/>
        </a:prstGeom>
      </xdr:spPr>
    </xdr:pic>
    <xdr:clientData/>
  </xdr:twoCellAnchor>
  <xdr:twoCellAnchor editAs="oneCell">
    <xdr:from>
      <xdr:col>1</xdr:col>
      <xdr:colOff>107157</xdr:colOff>
      <xdr:row>5</xdr:row>
      <xdr:rowOff>95250</xdr:rowOff>
    </xdr:from>
    <xdr:to>
      <xdr:col>1</xdr:col>
      <xdr:colOff>535782</xdr:colOff>
      <xdr:row>7</xdr:row>
      <xdr:rowOff>142875</xdr:rowOff>
    </xdr:to>
    <xdr:pic>
      <xdr:nvPicPr>
        <xdr:cNvPr id="38" name="Graphic 37" descr="Rupee outline">
          <a:extLst>
            <a:ext uri="{FF2B5EF4-FFF2-40B4-BE49-F238E27FC236}">
              <a16:creationId xmlns:a16="http://schemas.microsoft.com/office/drawing/2014/main" id="{D6E55836-18A1-423E-1072-3E91B512202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14376" y="1047750"/>
          <a:ext cx="428625" cy="428625"/>
        </a:xfrm>
        <a:prstGeom prst="rect">
          <a:avLst/>
        </a:prstGeom>
        <a:effectLst>
          <a:glow rad="63500">
            <a:schemeClr val="accent6">
              <a:satMod val="175000"/>
              <a:alpha val="40000"/>
            </a:schemeClr>
          </a:glow>
        </a:effectLst>
      </xdr:spPr>
    </xdr:pic>
    <xdr:clientData/>
  </xdr:twoCellAnchor>
  <xdr:twoCellAnchor editAs="oneCell">
    <xdr:from>
      <xdr:col>1</xdr:col>
      <xdr:colOff>488156</xdr:colOff>
      <xdr:row>14</xdr:row>
      <xdr:rowOff>83344</xdr:rowOff>
    </xdr:from>
    <xdr:to>
      <xdr:col>2</xdr:col>
      <xdr:colOff>392906</xdr:colOff>
      <xdr:row>17</xdr:row>
      <xdr:rowOff>23813</xdr:rowOff>
    </xdr:to>
    <xdr:pic>
      <xdr:nvPicPr>
        <xdr:cNvPr id="40" name="Graphic 39" descr="Upward trend with solid fill">
          <a:extLst>
            <a:ext uri="{FF2B5EF4-FFF2-40B4-BE49-F238E27FC236}">
              <a16:creationId xmlns:a16="http://schemas.microsoft.com/office/drawing/2014/main" id="{39554076-C057-8579-B3B0-259A7BC889F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95375" y="2750344"/>
          <a:ext cx="511969" cy="511969"/>
        </a:xfrm>
        <a:prstGeom prst="rect">
          <a:avLst/>
        </a:prstGeom>
      </xdr:spPr>
    </xdr:pic>
    <xdr:clientData/>
  </xdr:twoCellAnchor>
  <xdr:twoCellAnchor editAs="oneCell">
    <xdr:from>
      <xdr:col>0</xdr:col>
      <xdr:colOff>285751</xdr:colOff>
      <xdr:row>20</xdr:row>
      <xdr:rowOff>130969</xdr:rowOff>
    </xdr:from>
    <xdr:to>
      <xdr:col>1</xdr:col>
      <xdr:colOff>190499</xdr:colOff>
      <xdr:row>23</xdr:row>
      <xdr:rowOff>73444</xdr:rowOff>
    </xdr:to>
    <xdr:pic>
      <xdr:nvPicPr>
        <xdr:cNvPr id="41" name="Picture 40" descr="Ready stock - Free commerce and shopping icons">
          <a:extLst>
            <a:ext uri="{FF2B5EF4-FFF2-40B4-BE49-F238E27FC236}">
              <a16:creationId xmlns:a16="http://schemas.microsoft.com/office/drawing/2014/main" id="{C902856C-966E-19DB-F9D6-52D86C1E4667}"/>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85751" y="3940969"/>
          <a:ext cx="511967" cy="513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331826</xdr:colOff>
      <xdr:row>0</xdr:row>
      <xdr:rowOff>71438</xdr:rowOff>
    </xdr:from>
    <xdr:to>
      <xdr:col>13</xdr:col>
      <xdr:colOff>4662</xdr:colOff>
      <xdr:row>1</xdr:row>
      <xdr:rowOff>166687</xdr:rowOff>
    </xdr:to>
    <xdr:pic>
      <xdr:nvPicPr>
        <xdr:cNvPr id="44" name="Graphic 43" descr="Agriculture with solid fill">
          <a:extLst>
            <a:ext uri="{FF2B5EF4-FFF2-40B4-BE49-F238E27FC236}">
              <a16:creationId xmlns:a16="http://schemas.microsoft.com/office/drawing/2014/main" id="{D7AB2C29-F08B-B84E-E5E7-B2B255C922F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686783" y="71438"/>
          <a:ext cx="285749" cy="285749"/>
        </a:xfrm>
        <a:prstGeom prst="rect">
          <a:avLst/>
        </a:prstGeom>
      </xdr:spPr>
    </xdr:pic>
    <xdr:clientData/>
  </xdr:twoCellAnchor>
  <xdr:twoCellAnchor editAs="oneCell">
    <xdr:from>
      <xdr:col>12</xdr:col>
      <xdr:colOff>362369</xdr:colOff>
      <xdr:row>1</xdr:row>
      <xdr:rowOff>127346</xdr:rowOff>
    </xdr:from>
    <xdr:to>
      <xdr:col>12</xdr:col>
      <xdr:colOff>604635</xdr:colOff>
      <xdr:row>2</xdr:row>
      <xdr:rowOff>179112</xdr:rowOff>
    </xdr:to>
    <xdr:pic>
      <xdr:nvPicPr>
        <xdr:cNvPr id="46" name="Graphic 45" descr="Inbox with solid fill">
          <a:extLst>
            <a:ext uri="{FF2B5EF4-FFF2-40B4-BE49-F238E27FC236}">
              <a16:creationId xmlns:a16="http://schemas.microsoft.com/office/drawing/2014/main" id="{8F93F70F-6BE4-E79F-A72D-A7E557CEA02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717326" y="317846"/>
          <a:ext cx="242266" cy="242266"/>
        </a:xfrm>
        <a:prstGeom prst="rect">
          <a:avLst/>
        </a:prstGeom>
      </xdr:spPr>
    </xdr:pic>
    <xdr:clientData/>
  </xdr:twoCellAnchor>
  <xdr:twoCellAnchor editAs="oneCell">
    <xdr:from>
      <xdr:col>12</xdr:col>
      <xdr:colOff>374273</xdr:colOff>
      <xdr:row>2</xdr:row>
      <xdr:rowOff>166689</xdr:rowOff>
    </xdr:from>
    <xdr:to>
      <xdr:col>12</xdr:col>
      <xdr:colOff>588068</xdr:colOff>
      <xdr:row>3</xdr:row>
      <xdr:rowOff>189984</xdr:rowOff>
    </xdr:to>
    <xdr:pic>
      <xdr:nvPicPr>
        <xdr:cNvPr id="48" name="Graphic 47" descr="Bar graph with upward trend with solid fill">
          <a:extLst>
            <a:ext uri="{FF2B5EF4-FFF2-40B4-BE49-F238E27FC236}">
              <a16:creationId xmlns:a16="http://schemas.microsoft.com/office/drawing/2014/main" id="{9EB7C520-79D2-D90C-D6F3-7EA4D2AC59F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729230" y="547689"/>
          <a:ext cx="213795" cy="213795"/>
        </a:xfrm>
        <a:prstGeom prst="rect">
          <a:avLst/>
        </a:prstGeom>
      </xdr:spPr>
    </xdr:pic>
    <xdr:clientData/>
  </xdr:twoCellAnchor>
  <xdr:twoCellAnchor>
    <xdr:from>
      <xdr:col>13</xdr:col>
      <xdr:colOff>48662</xdr:colOff>
      <xdr:row>0</xdr:row>
      <xdr:rowOff>130969</xdr:rowOff>
    </xdr:from>
    <xdr:to>
      <xdr:col>22</xdr:col>
      <xdr:colOff>36757</xdr:colOff>
      <xdr:row>1</xdr:row>
      <xdr:rowOff>119062</xdr:rowOff>
    </xdr:to>
    <xdr:sp macro="" textlink="Pivot!Q12">
      <xdr:nvSpPr>
        <xdr:cNvPr id="50" name="TextBox 49">
          <a:extLst>
            <a:ext uri="{FF2B5EF4-FFF2-40B4-BE49-F238E27FC236}">
              <a16:creationId xmlns:a16="http://schemas.microsoft.com/office/drawing/2014/main" id="{7CCD912D-A5A0-466F-751B-E333AD7AC77F}"/>
            </a:ext>
          </a:extLst>
        </xdr:cNvPr>
        <xdr:cNvSpPr txBox="1"/>
      </xdr:nvSpPr>
      <xdr:spPr>
        <a:xfrm>
          <a:off x="8016532" y="130969"/>
          <a:ext cx="5504312" cy="178593"/>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fld id="{A9E90A1F-4AF4-4EF9-95FA-B7EBE47C55F8}" type="TxLink">
            <a:rPr lang="en-US" sz="1100" b="0" i="0" u="none" strike="noStrike">
              <a:solidFill>
                <a:srgbClr val="000000"/>
              </a:solidFill>
              <a:latin typeface="Calibri"/>
              <a:ea typeface="Calibri"/>
              <a:cs typeface="Calibri"/>
            </a:rPr>
            <a:pPr/>
            <a:t>South Region leads in overall profitability, while West underperforms.</a:t>
          </a:fld>
          <a:endParaRPr lang="en-IN" sz="1200"/>
        </a:p>
      </xdr:txBody>
    </xdr:sp>
    <xdr:clientData/>
  </xdr:twoCellAnchor>
  <xdr:twoCellAnchor>
    <xdr:from>
      <xdr:col>13</xdr:col>
      <xdr:colOff>46281</xdr:colOff>
      <xdr:row>1</xdr:row>
      <xdr:rowOff>152400</xdr:rowOff>
    </xdr:from>
    <xdr:to>
      <xdr:col>22</xdr:col>
      <xdr:colOff>34376</xdr:colOff>
      <xdr:row>2</xdr:row>
      <xdr:rowOff>140493</xdr:rowOff>
    </xdr:to>
    <xdr:sp macro="" textlink="Pivot!Q13">
      <xdr:nvSpPr>
        <xdr:cNvPr id="58" name="TextBox 57">
          <a:extLst>
            <a:ext uri="{FF2B5EF4-FFF2-40B4-BE49-F238E27FC236}">
              <a16:creationId xmlns:a16="http://schemas.microsoft.com/office/drawing/2014/main" id="{A3838A6B-F6F6-4C37-8EEE-147335EC7E83}"/>
            </a:ext>
          </a:extLst>
        </xdr:cNvPr>
        <xdr:cNvSpPr txBox="1"/>
      </xdr:nvSpPr>
      <xdr:spPr>
        <a:xfrm>
          <a:off x="8014151" y="342900"/>
          <a:ext cx="5504312" cy="178593"/>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fld id="{B317C5F8-A2B2-4F7F-8F06-D5FB7E48B13D}" type="TxLink">
            <a:rPr lang="en-US" sz="1100" b="0" i="0" u="none" strike="noStrike">
              <a:solidFill>
                <a:srgbClr val="000000"/>
              </a:solidFill>
              <a:latin typeface="Calibri"/>
              <a:ea typeface="Calibri"/>
              <a:cs typeface="Calibri"/>
            </a:rPr>
            <a:pPr/>
            <a:t>Laptop contributes highest profit, whereas Monitor shows weaker performance.</a:t>
          </a:fld>
          <a:endParaRPr lang="en-IN" sz="1200"/>
        </a:p>
      </xdr:txBody>
    </xdr:sp>
    <xdr:clientData/>
  </xdr:twoCellAnchor>
  <xdr:twoCellAnchor>
    <xdr:from>
      <xdr:col>12</xdr:col>
      <xdr:colOff>323438</xdr:colOff>
      <xdr:row>4</xdr:row>
      <xdr:rowOff>16565</xdr:rowOff>
    </xdr:from>
    <xdr:to>
      <xdr:col>23</xdr:col>
      <xdr:colOff>99395</xdr:colOff>
      <xdr:row>4</xdr:row>
      <xdr:rowOff>182217</xdr:rowOff>
    </xdr:to>
    <xdr:sp macro="" textlink="Pivot!Q15">
      <xdr:nvSpPr>
        <xdr:cNvPr id="59" name="TextBox 58">
          <a:extLst>
            <a:ext uri="{FF2B5EF4-FFF2-40B4-BE49-F238E27FC236}">
              <a16:creationId xmlns:a16="http://schemas.microsoft.com/office/drawing/2014/main" id="{EAB6C6AF-FCE3-43DC-AAD2-CFE835872BEA}"/>
            </a:ext>
          </a:extLst>
        </xdr:cNvPr>
        <xdr:cNvSpPr txBox="1"/>
      </xdr:nvSpPr>
      <xdr:spPr>
        <a:xfrm>
          <a:off x="7678395" y="778565"/>
          <a:ext cx="6518000" cy="165652"/>
        </a:xfrm>
        <a:prstGeom prst="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wrap="square" rtlCol="0" anchor="ctr"/>
        <a:lstStyle/>
        <a:p>
          <a:fld id="{69DC5C4E-9146-4FA0-BF17-FD135F34D34A}" type="TxLink">
            <a:rPr lang="en-US" sz="1100" b="0" i="0" u="none" strike="noStrike">
              <a:solidFill>
                <a:srgbClr val="000000"/>
              </a:solidFill>
              <a:latin typeface="Calibri"/>
              <a:ea typeface="Calibri"/>
              <a:cs typeface="Calibri"/>
            </a:rPr>
            <a:pPr/>
            <a:t>Despite strong revenue, certain segments show lower profits margings, indicating iefficiencies in cost structure.</a:t>
          </a:fld>
          <a:endParaRPr lang="en-IN" sz="1200"/>
        </a:p>
      </xdr:txBody>
    </xdr:sp>
    <xdr:clientData/>
  </xdr:twoCellAnchor>
  <xdr:twoCellAnchor>
    <xdr:from>
      <xdr:col>13</xdr:col>
      <xdr:colOff>46177</xdr:colOff>
      <xdr:row>2</xdr:row>
      <xdr:rowOff>183357</xdr:rowOff>
    </xdr:from>
    <xdr:to>
      <xdr:col>22</xdr:col>
      <xdr:colOff>28578</xdr:colOff>
      <xdr:row>3</xdr:row>
      <xdr:rowOff>171450</xdr:rowOff>
    </xdr:to>
    <xdr:sp macro="" textlink="Pivot!Q14">
      <xdr:nvSpPr>
        <xdr:cNvPr id="60" name="TextBox 59">
          <a:extLst>
            <a:ext uri="{FF2B5EF4-FFF2-40B4-BE49-F238E27FC236}">
              <a16:creationId xmlns:a16="http://schemas.microsoft.com/office/drawing/2014/main" id="{74F9A86A-6A58-4348-934B-07C69FA91653}"/>
            </a:ext>
          </a:extLst>
        </xdr:cNvPr>
        <xdr:cNvSpPr txBox="1"/>
      </xdr:nvSpPr>
      <xdr:spPr>
        <a:xfrm>
          <a:off x="8014047" y="564357"/>
          <a:ext cx="5498618" cy="178593"/>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fld id="{B7B46DB9-F97E-4470-9F3E-6B5F7ACD7919}" type="TxLink">
            <a:rPr lang="en-US" sz="1100" b="0" i="0" u="none" strike="noStrike">
              <a:solidFill>
                <a:srgbClr val="000000"/>
              </a:solidFill>
              <a:latin typeface="Calibri"/>
              <a:ea typeface="Calibri"/>
              <a:cs typeface="Calibri"/>
            </a:rPr>
            <a:pPr/>
            <a:t>Profit peaked in March compared to the other months.</a:t>
          </a:fld>
          <a:endParaRPr lang="en-IN"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 Shakir" refreshedDate="46120.661519444446" createdVersion="8" refreshedVersion="8" minRefreshableVersion="3" recordCount="3798" xr:uid="{58EAB348-0C9F-473C-9694-5A0FBCD517FF}">
  <cacheSource type="worksheet">
    <worksheetSource name="table3"/>
  </cacheSource>
  <cacheFields count="12">
    <cacheField name="Order ID" numFmtId="0">
      <sharedItems/>
    </cacheField>
    <cacheField name="Order Date" numFmtId="14">
      <sharedItems containsDate="1" containsMixedTypes="1" minDate="2023-01-15T00:00:00" maxDate="2023-06-26T00:00:00"/>
    </cacheField>
    <cacheField name="Month" numFmtId="14">
      <sharedItems count="11">
        <s v="June"/>
        <s v="February"/>
        <s v="April"/>
        <s v="Not Mentioned"/>
        <s v="January"/>
        <s v="March"/>
        <s v="Jun" u="1"/>
        <s v="Feb" u="1"/>
        <s v="Apr" u="1"/>
        <s v="Jan" u="1"/>
        <s v="Mar" u="1"/>
      </sharedItems>
    </cacheField>
    <cacheField name="Region" numFmtId="0">
      <sharedItems count="4">
        <s v="West"/>
        <s v="North"/>
        <s v="South"/>
        <s v="East"/>
      </sharedItems>
    </cacheField>
    <cacheField name="Product" numFmtId="0">
      <sharedItems count="4">
        <s v="Tablet"/>
        <s v="Monitor"/>
        <s v="Phone"/>
        <s v="Laptop"/>
      </sharedItems>
    </cacheField>
    <cacheField name="Category" numFmtId="0">
      <sharedItems count="1">
        <s v="Electronics"/>
      </sharedItems>
    </cacheField>
    <cacheField name="Sales" numFmtId="42">
      <sharedItems containsSemiMixedTypes="0" containsString="0" containsNumber="1" minValue="8016.43" maxValue="353792.24"/>
    </cacheField>
    <cacheField name="Cost" numFmtId="42">
      <sharedItems containsSemiMixedTypes="0" containsString="0" containsNumber="1" minValue="5961.39" maxValue="275533.62400000001"/>
    </cacheField>
    <cacheField name="Cost Type" numFmtId="1">
      <sharedItems/>
    </cacheField>
    <cacheField name="Quantity" numFmtId="0">
      <sharedItems containsMixedTypes="1" containsNumber="1" containsInteger="1" minValue="1" maxValue="5"/>
    </cacheField>
    <cacheField name="Profit" numFmtId="42">
      <sharedItems containsSemiMixedTypes="0" containsString="0" containsNumber="1" minValue="-5348.7400000000198" maxValue="158945.12"/>
    </cacheField>
    <cacheField name="Profit Margin" numFmtId="9">
      <sharedItems containsSemiMixedTypes="0" containsString="0" containsNumber="1" minValue="-2.6473518068209315E-2" maxValue="0.51805618139151588"/>
    </cacheField>
  </cacheFields>
  <extLst>
    <ext xmlns:x14="http://schemas.microsoft.com/office/spreadsheetml/2009/9/main" uri="{725AE2AE-9491-48be-B2B4-4EB974FC3084}">
      <x14:pivotCacheDefinition pivotCacheId="13815022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8">
  <r>
    <s v="ORD5426"/>
    <d v="2023-06-25T00:00:00"/>
    <x v="0"/>
    <x v="0"/>
    <x v="0"/>
    <x v="0"/>
    <n v="70817.14"/>
    <n v="41319.94"/>
    <s v="Actual"/>
    <n v="4"/>
    <n v="29497.199999999997"/>
    <n v="0.41652628163181959"/>
  </r>
  <r>
    <s v="ORD7420"/>
    <d v="2023-02-15T00:00:00"/>
    <x v="1"/>
    <x v="1"/>
    <x v="1"/>
    <x v="0"/>
    <n v="24247.01"/>
    <n v="22942.03"/>
    <s v="Actual"/>
    <n v="3"/>
    <n v="1304.9799999999996"/>
    <n v="5.3820244228051199E-2"/>
  </r>
  <r>
    <s v="ORD9433"/>
    <d v="2023-02-15T00:00:00"/>
    <x v="1"/>
    <x v="2"/>
    <x v="1"/>
    <x v="0"/>
    <n v="8185.8"/>
    <n v="7013.2"/>
    <s v="Actual"/>
    <n v="1"/>
    <n v="1172.6000000000004"/>
    <n v="0.14324806372010071"/>
  </r>
  <r>
    <s v="ORD4152"/>
    <d v="2023-04-05T00:00:00"/>
    <x v="2"/>
    <x v="2"/>
    <x v="2"/>
    <x v="0"/>
    <n v="71712.81"/>
    <n v="57165.69"/>
    <s v="Actual"/>
    <n v="4"/>
    <n v="14547.119999999995"/>
    <n v="0.20285246108749602"/>
  </r>
  <r>
    <s v="ORD1995"/>
    <s v="Not Mentioned"/>
    <x v="3"/>
    <x v="0"/>
    <x v="2"/>
    <x v="0"/>
    <n v="41083.21"/>
    <n v="24019.19"/>
    <s v="Actual"/>
    <n v="2"/>
    <n v="17064.02"/>
    <n v="0.41535264649476028"/>
  </r>
  <r>
    <s v="ORD9571"/>
    <d v="2023-06-25T00:00:00"/>
    <x v="0"/>
    <x v="2"/>
    <x v="3"/>
    <x v="0"/>
    <n v="286641.27"/>
    <n v="206513.38"/>
    <s v="Actual"/>
    <n v="5"/>
    <n v="80127.890000000014"/>
    <n v="0.27954066070109168"/>
  </r>
  <r>
    <s v="ORD506"/>
    <s v="Not Mentioned"/>
    <x v="3"/>
    <x v="2"/>
    <x v="0"/>
    <x v="0"/>
    <n v="87789.03"/>
    <n v="50638.46"/>
    <s v="Actual"/>
    <n v="5"/>
    <n v="37150.57"/>
    <n v="0.42318009436942178"/>
  </r>
  <r>
    <s v="ORD4840"/>
    <s v="Not Mentioned"/>
    <x v="3"/>
    <x v="3"/>
    <x v="0"/>
    <x v="0"/>
    <n v="63301.38"/>
    <n v="42872.13"/>
    <s v="Actual"/>
    <n v="4"/>
    <n v="20429.25"/>
    <n v="0.32272993100624348"/>
  </r>
  <r>
    <s v="ORD7019"/>
    <d v="2023-06-25T00:00:00"/>
    <x v="0"/>
    <x v="3"/>
    <x v="3"/>
    <x v="0"/>
    <n v="97220.12"/>
    <n v="77776.096000000005"/>
    <s v="Estimated"/>
    <n v="2"/>
    <n v="19444.02399999999"/>
    <n v="0.1999999999999999"/>
  </r>
  <r>
    <s v="ORD3693"/>
    <d v="2023-04-05T00:00:00"/>
    <x v="2"/>
    <x v="0"/>
    <x v="3"/>
    <x v="0"/>
    <n v="282513.94"/>
    <n v="179948.95"/>
    <s v="Actual"/>
    <n v="4"/>
    <n v="102564.98999999999"/>
    <n v="0.36304399705019863"/>
  </r>
  <r>
    <s v="ORD2306"/>
    <d v="2023-04-05T00:00:00"/>
    <x v="2"/>
    <x v="2"/>
    <x v="1"/>
    <x v="0"/>
    <n v="27892.14"/>
    <n v="18490.96"/>
    <s v="Actual"/>
    <n v="3"/>
    <n v="9401.18"/>
    <n v="0.33705481185739067"/>
  </r>
  <r>
    <s v="ORD1663"/>
    <s v="Not Mentioned"/>
    <x v="3"/>
    <x v="1"/>
    <x v="3"/>
    <x v="0"/>
    <n v="144500.54999999999"/>
    <n v="131987.72"/>
    <s v="Actual"/>
    <n v="3"/>
    <n v="12512.829999999987"/>
    <n v="8.6593649643547987E-2"/>
  </r>
  <r>
    <s v="ORD2636"/>
    <d v="2023-01-15T00:00:00"/>
    <x v="4"/>
    <x v="3"/>
    <x v="1"/>
    <x v="0"/>
    <n v="8259.57"/>
    <n v="6394.35"/>
    <s v="Actual"/>
    <n v="1"/>
    <n v="1865.2199999999993"/>
    <n v="0.22582531536145337"/>
  </r>
  <r>
    <s v="ORD6249"/>
    <d v="2023-02-15T00:00:00"/>
    <x v="1"/>
    <x v="1"/>
    <x v="3"/>
    <x v="0"/>
    <n v="120128.59"/>
    <n v="77658.27"/>
    <s v="Actual"/>
    <n v="2"/>
    <n v="42470.319999999992"/>
    <n v="0.35354048524168968"/>
  </r>
  <r>
    <s v="ORD8777"/>
    <d v="2023-03-20T00:00:00"/>
    <x v="5"/>
    <x v="1"/>
    <x v="1"/>
    <x v="0"/>
    <n v="33293.65"/>
    <n v="26387.58"/>
    <s v="Actual"/>
    <n v="4"/>
    <n v="6906.07"/>
    <n v="0.20742904427721201"/>
  </r>
  <r>
    <s v="ORD2986"/>
    <d v="2023-04-05T00:00:00"/>
    <x v="2"/>
    <x v="0"/>
    <x v="3"/>
    <x v="0"/>
    <n v="240787.08"/>
    <n v="184311.58"/>
    <s v="Actual"/>
    <n v="4"/>
    <n v="56475.5"/>
    <n v="0.23454539172118372"/>
  </r>
  <r>
    <s v="ORD6534"/>
    <d v="2023-03-20T00:00:00"/>
    <x v="5"/>
    <x v="0"/>
    <x v="3"/>
    <x v="0"/>
    <n v="57541.73"/>
    <n v="44074.7"/>
    <s v="Actual"/>
    <n v="1"/>
    <n v="13467.030000000006"/>
    <n v="0.23403936586543375"/>
  </r>
  <r>
    <s v="ORD5548"/>
    <d v="2023-03-20T00:00:00"/>
    <x v="5"/>
    <x v="1"/>
    <x v="1"/>
    <x v="0"/>
    <n v="23857.35"/>
    <n v="13708.23"/>
    <s v="Actual"/>
    <n v="2"/>
    <n v="10149.119999999999"/>
    <n v="0.4254085219020553"/>
  </r>
  <r>
    <s v="ORD521"/>
    <d v="2023-04-05T00:00:00"/>
    <x v="2"/>
    <x v="1"/>
    <x v="3"/>
    <x v="0"/>
    <n v="194425.76"/>
    <n v="143324.81"/>
    <s v="Actual"/>
    <n v="3"/>
    <n v="51100.950000000012"/>
    <n v="0.26283014143804817"/>
  </r>
  <r>
    <s v="ORD1956"/>
    <d v="2023-01-15T00:00:00"/>
    <x v="4"/>
    <x v="0"/>
    <x v="0"/>
    <x v="0"/>
    <n v="15981.01"/>
    <n v="8512.65"/>
    <s v="Actual"/>
    <n v="1"/>
    <n v="7468.3600000000006"/>
    <n v="0.46732715892174526"/>
  </r>
  <r>
    <s v="ORD5555"/>
    <s v="Not Mentioned"/>
    <x v="3"/>
    <x v="1"/>
    <x v="3"/>
    <x v="0"/>
    <n v="261458.73"/>
    <n v="211863.87"/>
    <s v="Actual"/>
    <n v="5"/>
    <n v="49594.860000000015"/>
    <n v="0.18968523254128869"/>
  </r>
  <r>
    <s v="ORD8022"/>
    <d v="2023-06-25T00:00:00"/>
    <x v="0"/>
    <x v="0"/>
    <x v="2"/>
    <x v="0"/>
    <n v="99469.69"/>
    <n v="75356.73"/>
    <s v="Actual"/>
    <n v="5"/>
    <n v="24112.960000000006"/>
    <n v="0.24241515179146539"/>
  </r>
  <r>
    <s v="ORD2069"/>
    <d v="2023-03-20T00:00:00"/>
    <x v="5"/>
    <x v="0"/>
    <x v="3"/>
    <x v="0"/>
    <n v="185184.3"/>
    <n v="148147.44"/>
    <s v="Estimated"/>
    <n v="3"/>
    <n v="37036.859999999986"/>
    <n v="0.19999999999999993"/>
  </r>
  <r>
    <s v="ORD1190"/>
    <d v="2023-01-15T00:00:00"/>
    <x v="4"/>
    <x v="3"/>
    <x v="3"/>
    <x v="0"/>
    <n v="351398.23"/>
    <n v="215335.36"/>
    <s v="Actual"/>
    <n v="5"/>
    <n v="136062.87"/>
    <n v="0.38720419849582055"/>
  </r>
  <r>
    <s v="ORD8455"/>
    <d v="2023-02-15T00:00:00"/>
    <x v="1"/>
    <x v="3"/>
    <x v="1"/>
    <x v="0"/>
    <n v="20454.41"/>
    <n v="15176.54"/>
    <s v="Actual"/>
    <n v="2"/>
    <n v="5277.869999999999"/>
    <n v="0.25803090873801782"/>
  </r>
  <r>
    <s v="ORD6801"/>
    <d v="2023-03-20T00:00:00"/>
    <x v="5"/>
    <x v="2"/>
    <x v="2"/>
    <x v="0"/>
    <n v="37160.81"/>
    <n v="29740.69"/>
    <s v="Actual"/>
    <n v="2"/>
    <n v="7420.119999999999"/>
    <n v="0.19967594893652746"/>
  </r>
  <r>
    <s v="ORD9173"/>
    <d v="2023-04-05T00:00:00"/>
    <x v="2"/>
    <x v="3"/>
    <x v="3"/>
    <x v="0"/>
    <n v="249791.3"/>
    <n v="191541.65"/>
    <s v="Actual"/>
    <n v="5"/>
    <n v="58249.649999999994"/>
    <n v="0.23319326974158025"/>
  </r>
  <r>
    <s v="ORD2148"/>
    <d v="2023-02-15T00:00:00"/>
    <x v="1"/>
    <x v="1"/>
    <x v="0"/>
    <x v="0"/>
    <n v="61892.76"/>
    <n v="38384.74"/>
    <s v="Actual"/>
    <n v="4"/>
    <n v="23508.020000000004"/>
    <n v="0.37981857651848139"/>
  </r>
  <r>
    <s v="ORD6691"/>
    <d v="2023-06-25T00:00:00"/>
    <x v="0"/>
    <x v="0"/>
    <x v="3"/>
    <x v="0"/>
    <n v="195728.13"/>
    <n v="166646.95000000001"/>
    <s v="Actual"/>
    <n v="4"/>
    <n v="29081.179999999993"/>
    <n v="0.14857946070398767"/>
  </r>
  <r>
    <s v="ORD5465"/>
    <s v="Not Mentioned"/>
    <x v="3"/>
    <x v="3"/>
    <x v="2"/>
    <x v="0"/>
    <n v="87775.2"/>
    <n v="66698.69"/>
    <s v="Actual"/>
    <n v="5"/>
    <n v="21076.509999999995"/>
    <n v="0.24011919084206013"/>
  </r>
  <r>
    <s v="ORD8560"/>
    <d v="2023-01-15T00:00:00"/>
    <x v="4"/>
    <x v="2"/>
    <x v="3"/>
    <x v="0"/>
    <n v="175605.94"/>
    <n v="140484.75200000001"/>
    <s v="Estimated"/>
    <n v="3"/>
    <n v="35121.187999999995"/>
    <n v="0.19999999999999996"/>
  </r>
  <r>
    <s v="ORD4343"/>
    <d v="2023-06-25T00:00:00"/>
    <x v="0"/>
    <x v="1"/>
    <x v="2"/>
    <x v="0"/>
    <n v="19538.82"/>
    <n v="15631.056"/>
    <s v="Estimated"/>
    <n v="1"/>
    <n v="3907.7639999999992"/>
    <n v="0.19999999999999996"/>
  </r>
  <r>
    <s v="ORD5452"/>
    <d v="2023-02-15T00:00:00"/>
    <x v="1"/>
    <x v="1"/>
    <x v="1"/>
    <x v="0"/>
    <n v="49483.48"/>
    <n v="30606.05"/>
    <s v="Actual"/>
    <n v="5"/>
    <n v="18877.430000000004"/>
    <n v="0.38148953953925641"/>
  </r>
  <r>
    <s v="ORD5611"/>
    <d v="2023-02-15T00:00:00"/>
    <x v="1"/>
    <x v="1"/>
    <x v="3"/>
    <x v="0"/>
    <n v="196349.18"/>
    <n v="169857.57"/>
    <s v="Actual"/>
    <n v="4"/>
    <n v="26491.609999999986"/>
    <n v="0.13492090977920043"/>
  </r>
  <r>
    <s v="ORD6732"/>
    <d v="2023-01-15T00:00:00"/>
    <x v="4"/>
    <x v="1"/>
    <x v="1"/>
    <x v="0"/>
    <n v="33611.39"/>
    <n v="21405.13"/>
    <s v="Actual"/>
    <n v="3"/>
    <n v="12206.259999999998"/>
    <n v="0.36315844123078511"/>
  </r>
  <r>
    <s v="ORD9945"/>
    <d v="2023-01-15T00:00:00"/>
    <x v="4"/>
    <x v="2"/>
    <x v="1"/>
    <x v="0"/>
    <n v="17653.47"/>
    <n v="12858.86"/>
    <s v="Actual"/>
    <s v="Unknown"/>
    <n v="4794.6100000000006"/>
    <n v="0.27159589587769434"/>
  </r>
  <r>
    <s v="ORD8668"/>
    <d v="2023-03-20T00:00:00"/>
    <x v="5"/>
    <x v="2"/>
    <x v="1"/>
    <x v="0"/>
    <n v="56897.51"/>
    <n v="29953.63"/>
    <s v="Actual"/>
    <n v="5"/>
    <n v="26943.88"/>
    <n v="0.47355112728131687"/>
  </r>
  <r>
    <s v="ORD3786"/>
    <d v="2023-04-05T00:00:00"/>
    <x v="2"/>
    <x v="2"/>
    <x v="1"/>
    <x v="0"/>
    <n v="38687.14"/>
    <n v="30573.06"/>
    <s v="Actual"/>
    <n v="4"/>
    <n v="8114.0799999999981"/>
    <n v="0.20973584503791179"/>
  </r>
  <r>
    <s v="ORD9787"/>
    <s v="Not Mentioned"/>
    <x v="3"/>
    <x v="2"/>
    <x v="3"/>
    <x v="0"/>
    <n v="268631.62"/>
    <n v="229491.27"/>
    <s v="Actual"/>
    <n v="5"/>
    <n v="39140.350000000006"/>
    <n v="0.14570269129151664"/>
  </r>
  <r>
    <s v="ORD1717"/>
    <d v="2023-04-05T00:00:00"/>
    <x v="2"/>
    <x v="3"/>
    <x v="0"/>
    <x v="0"/>
    <n v="43005.63"/>
    <n v="25581.279999999999"/>
    <s v="Actual"/>
    <n v="3"/>
    <n v="17424.349999999999"/>
    <n v="0.40516439359218781"/>
  </r>
  <r>
    <s v="ORD2167"/>
    <d v="2023-06-25T00:00:00"/>
    <x v="0"/>
    <x v="2"/>
    <x v="2"/>
    <x v="0"/>
    <n v="83668.17"/>
    <n v="70042.720000000001"/>
    <s v="Actual"/>
    <n v="5"/>
    <n v="13625.449999999997"/>
    <n v="0.16285105793517413"/>
  </r>
  <r>
    <s v="ORD7801"/>
    <d v="2023-01-15T00:00:00"/>
    <x v="4"/>
    <x v="2"/>
    <x v="2"/>
    <x v="0"/>
    <n v="32920.94"/>
    <n v="27646.7"/>
    <s v="Actual"/>
    <n v="2"/>
    <n v="5274.2400000000016"/>
    <n v="0.16020927713485705"/>
  </r>
  <r>
    <s v="ORD7938"/>
    <d v="2023-06-25T00:00:00"/>
    <x v="0"/>
    <x v="2"/>
    <x v="2"/>
    <x v="0"/>
    <n v="91739.8"/>
    <n v="59338.73"/>
    <s v="Actual"/>
    <n v="4"/>
    <n v="32401.07"/>
    <n v="0.35318444121308307"/>
  </r>
  <r>
    <s v="ORD2324"/>
    <s v="Not Mentioned"/>
    <x v="3"/>
    <x v="0"/>
    <x v="3"/>
    <x v="0"/>
    <n v="185853.99"/>
    <n v="143880.93"/>
    <s v="Actual"/>
    <n v="3"/>
    <n v="41973.06"/>
    <n v="0.22583889643692878"/>
  </r>
  <r>
    <s v="ORD319"/>
    <s v="Not Mentioned"/>
    <x v="3"/>
    <x v="2"/>
    <x v="0"/>
    <x v="0"/>
    <n v="49988.639999999999"/>
    <n v="29688.03"/>
    <s v="Actual"/>
    <n v="3"/>
    <n v="20300.61"/>
    <n v="0.40610446693488761"/>
  </r>
  <r>
    <s v="ORD1504"/>
    <d v="2023-01-15T00:00:00"/>
    <x v="4"/>
    <x v="1"/>
    <x v="1"/>
    <x v="0"/>
    <n v="44275.12"/>
    <n v="29559.53"/>
    <s v="Actual"/>
    <n v="4"/>
    <n v="14715.590000000004"/>
    <n v="0.33236702689908015"/>
  </r>
  <r>
    <s v="ORD5175"/>
    <d v="2023-03-20T00:00:00"/>
    <x v="5"/>
    <x v="0"/>
    <x v="1"/>
    <x v="0"/>
    <n v="8894.3799999999992"/>
    <n v="7115.5039999999999"/>
    <s v="Estimated"/>
    <s v="Unknown"/>
    <n v="1778.8759999999993"/>
    <n v="0.19999999999999993"/>
  </r>
  <r>
    <s v="ORD4486"/>
    <s v="Not Mentioned"/>
    <x v="3"/>
    <x v="1"/>
    <x v="3"/>
    <x v="0"/>
    <n v="245170.01"/>
    <n v="196618.61"/>
    <s v="Actual"/>
    <n v="4"/>
    <n v="48551.400000000023"/>
    <n v="0.19803156185375209"/>
  </r>
  <r>
    <s v="ORD5468"/>
    <d v="2023-04-05T00:00:00"/>
    <x v="2"/>
    <x v="0"/>
    <x v="0"/>
    <x v="0"/>
    <n v="17491.53"/>
    <n v="13993.224"/>
    <s v="Estimated"/>
    <n v="1"/>
    <n v="3498.3059999999987"/>
    <n v="0.19999999999999993"/>
  </r>
  <r>
    <s v="ORD8102"/>
    <d v="2023-01-15T00:00:00"/>
    <x v="4"/>
    <x v="2"/>
    <x v="2"/>
    <x v="0"/>
    <n v="35670.32"/>
    <n v="25661.57"/>
    <s v="Actual"/>
    <n v="2"/>
    <n v="10008.75"/>
    <n v="0.28059041802820944"/>
  </r>
  <r>
    <s v="ORD1255"/>
    <d v="2023-01-15T00:00:00"/>
    <x v="4"/>
    <x v="2"/>
    <x v="1"/>
    <x v="0"/>
    <n v="53694.62"/>
    <n v="31172.9"/>
    <s v="Actual"/>
    <n v="5"/>
    <n v="22521.72"/>
    <n v="0.41944090488022823"/>
  </r>
  <r>
    <s v="ORD8449"/>
    <s v="Not Mentioned"/>
    <x v="3"/>
    <x v="3"/>
    <x v="2"/>
    <x v="0"/>
    <n v="40825.410000000003"/>
    <n v="24953.84"/>
    <s v="Actual"/>
    <n v="2"/>
    <n v="15871.570000000003"/>
    <n v="0.38876694685981111"/>
  </r>
  <r>
    <s v="ORD3000"/>
    <d v="2023-06-25T00:00:00"/>
    <x v="0"/>
    <x v="1"/>
    <x v="0"/>
    <x v="0"/>
    <n v="17029.97"/>
    <n v="9671.73"/>
    <s v="Actual"/>
    <n v="1"/>
    <n v="7358.2400000000016"/>
    <n v="0.43207592262346917"/>
  </r>
  <r>
    <s v="ORD150"/>
    <d v="2023-06-25T00:00:00"/>
    <x v="0"/>
    <x v="2"/>
    <x v="0"/>
    <x v="0"/>
    <n v="77554.490000000005"/>
    <n v="51576.51"/>
    <s v="Actual"/>
    <n v="5"/>
    <n v="25977.980000000003"/>
    <n v="0.33496422966613543"/>
  </r>
  <r>
    <s v="ORD9865"/>
    <d v="2023-03-20T00:00:00"/>
    <x v="5"/>
    <x v="3"/>
    <x v="1"/>
    <x v="0"/>
    <n v="10686.8"/>
    <n v="7031.72"/>
    <s v="Actual"/>
    <n v="1"/>
    <n v="3655.079999999999"/>
    <n v="0.34201819066511951"/>
  </r>
  <r>
    <s v="ORD306"/>
    <d v="2023-06-25T00:00:00"/>
    <x v="0"/>
    <x v="2"/>
    <x v="2"/>
    <x v="0"/>
    <n v="90124.34"/>
    <n v="72099.471999999994"/>
    <s v="Estimated"/>
    <n v="4"/>
    <n v="18024.868000000002"/>
    <n v="0.20000000000000004"/>
  </r>
  <r>
    <s v="ORD9017"/>
    <d v="2023-03-20T00:00:00"/>
    <x v="5"/>
    <x v="3"/>
    <x v="2"/>
    <x v="0"/>
    <n v="44880.71"/>
    <n v="30122.06"/>
    <s v="Actual"/>
    <n v="2"/>
    <n v="14758.649999999998"/>
    <n v="0.32884172286935742"/>
  </r>
  <r>
    <s v="ORD8730"/>
    <d v="2023-06-25T00:00:00"/>
    <x v="0"/>
    <x v="0"/>
    <x v="0"/>
    <x v="0"/>
    <n v="28179.07"/>
    <n v="19569.95"/>
    <s v="Actual"/>
    <n v="2"/>
    <n v="8609.119999999999"/>
    <n v="0.30551469583630686"/>
  </r>
  <r>
    <s v="ORD5300"/>
    <d v="2023-03-20T00:00:00"/>
    <x v="5"/>
    <x v="3"/>
    <x v="2"/>
    <x v="0"/>
    <n v="19936.93"/>
    <n v="12803.86"/>
    <s v="Actual"/>
    <n v="1"/>
    <n v="7133.07"/>
    <n v="0.3577817647952819"/>
  </r>
  <r>
    <s v="ORD9472"/>
    <d v="2023-03-20T00:00:00"/>
    <x v="5"/>
    <x v="3"/>
    <x v="0"/>
    <x v="0"/>
    <n v="14760.71"/>
    <n v="9961.92"/>
    <s v="Actual"/>
    <n v="1"/>
    <n v="4798.7899999999991"/>
    <n v="0.32510563516253616"/>
  </r>
  <r>
    <s v="ORD612"/>
    <d v="2023-06-25T00:00:00"/>
    <x v="0"/>
    <x v="1"/>
    <x v="3"/>
    <x v="0"/>
    <n v="124892.9"/>
    <n v="81536.600000000006"/>
    <s v="Actual"/>
    <n v="2"/>
    <n v="43356.299999999988"/>
    <n v="0.34714783626611273"/>
  </r>
  <r>
    <s v="ORD7190"/>
    <s v="Not Mentioned"/>
    <x v="3"/>
    <x v="3"/>
    <x v="1"/>
    <x v="0"/>
    <n v="23153.74"/>
    <n v="12350.62"/>
    <s v="Actual"/>
    <n v="2"/>
    <n v="10803.12"/>
    <n v="0.46658207270186158"/>
  </r>
  <r>
    <s v="ORD1302"/>
    <s v="Not Mentioned"/>
    <x v="3"/>
    <x v="1"/>
    <x v="0"/>
    <x v="0"/>
    <n v="60077.85"/>
    <n v="48062.28"/>
    <s v="Estimated"/>
    <n v="5"/>
    <n v="12015.57"/>
    <n v="0.2"/>
  </r>
  <r>
    <s v="ORD9905"/>
    <d v="2023-01-15T00:00:00"/>
    <x v="4"/>
    <x v="1"/>
    <x v="0"/>
    <x v="0"/>
    <n v="50572.13"/>
    <n v="38474.120000000003"/>
    <s v="Actual"/>
    <n v="4"/>
    <n v="12098.009999999995"/>
    <n v="0.23922286840597767"/>
  </r>
  <r>
    <s v="ORD7371"/>
    <d v="2023-02-15T00:00:00"/>
    <x v="1"/>
    <x v="1"/>
    <x v="2"/>
    <x v="0"/>
    <n v="71462.929999999993"/>
    <n v="52400.98"/>
    <s v="Actual"/>
    <n v="4"/>
    <n v="19061.94999999999"/>
    <n v="0.26673899320948624"/>
  </r>
  <r>
    <s v="ORD1876"/>
    <d v="2023-01-15T00:00:00"/>
    <x v="4"/>
    <x v="1"/>
    <x v="1"/>
    <x v="0"/>
    <n v="28545.27"/>
    <n v="19621.599999999999"/>
    <s v="Actual"/>
    <n v="3"/>
    <n v="8923.6700000000019"/>
    <n v="0.31261466435595114"/>
  </r>
  <r>
    <s v="ORD4735"/>
    <d v="2023-03-20T00:00:00"/>
    <x v="5"/>
    <x v="3"/>
    <x v="3"/>
    <x v="0"/>
    <n v="258343.1"/>
    <n v="205085.12"/>
    <s v="Actual"/>
    <n v="5"/>
    <n v="53257.98000000001"/>
    <n v="0.20615212870016661"/>
  </r>
  <r>
    <s v="ORD9837"/>
    <s v="Not Mentioned"/>
    <x v="3"/>
    <x v="1"/>
    <x v="0"/>
    <x v="0"/>
    <n v="89471.360000000001"/>
    <n v="43900.49"/>
    <s v="Actual"/>
    <n v="5"/>
    <n v="45570.87"/>
    <n v="0.50933471895364058"/>
  </r>
  <r>
    <s v="ORD9915"/>
    <d v="2023-01-15T00:00:00"/>
    <x v="4"/>
    <x v="0"/>
    <x v="0"/>
    <x v="0"/>
    <n v="16310.74"/>
    <n v="9837.59"/>
    <s v="Actual"/>
    <n v="1"/>
    <n v="6473.15"/>
    <n v="0.39686427470488767"/>
  </r>
  <r>
    <s v="ORD3026"/>
    <s v="Not Mentioned"/>
    <x v="3"/>
    <x v="2"/>
    <x v="0"/>
    <x v="0"/>
    <n v="15663.72"/>
    <n v="9221.58"/>
    <s v="Actual"/>
    <n v="1"/>
    <n v="6442.1399999999994"/>
    <n v="0.41127778075706151"/>
  </r>
  <r>
    <s v="ORD2342"/>
    <d v="2023-01-15T00:00:00"/>
    <x v="4"/>
    <x v="1"/>
    <x v="1"/>
    <x v="0"/>
    <n v="20388.82"/>
    <n v="13821.23"/>
    <s v="Actual"/>
    <n v="2"/>
    <n v="6567.59"/>
    <n v="0.32211721914264779"/>
  </r>
  <r>
    <s v="ORD9567"/>
    <d v="2023-02-15T00:00:00"/>
    <x v="1"/>
    <x v="0"/>
    <x v="0"/>
    <x v="0"/>
    <n v="42279.63"/>
    <n v="32471.47"/>
    <s v="Actual"/>
    <n v="3"/>
    <n v="9808.1599999999962"/>
    <n v="0.23198310865066693"/>
  </r>
  <r>
    <s v="ORD7413"/>
    <d v="2023-03-20T00:00:00"/>
    <x v="5"/>
    <x v="2"/>
    <x v="0"/>
    <x v="0"/>
    <n v="52676.09"/>
    <n v="42140.872000000003"/>
    <s v="Estimated"/>
    <n v="3"/>
    <n v="10535.217999999993"/>
    <n v="0.1999999999999999"/>
  </r>
  <r>
    <s v="ORD7943"/>
    <s v="Not Mentioned"/>
    <x v="3"/>
    <x v="1"/>
    <x v="3"/>
    <x v="0"/>
    <n v="268283.01"/>
    <n v="226898.92"/>
    <s v="Actual"/>
    <n v="5"/>
    <n v="41384.089999999997"/>
    <n v="0.15425535146634889"/>
  </r>
  <r>
    <s v="ORD5018"/>
    <s v="Not Mentioned"/>
    <x v="3"/>
    <x v="1"/>
    <x v="0"/>
    <x v="0"/>
    <n v="13393.28"/>
    <n v="10748.94"/>
    <s v="Actual"/>
    <n v="1"/>
    <n v="2644.34"/>
    <n v="0.19743781956324366"/>
  </r>
  <r>
    <s v="ORD1922"/>
    <s v="Not Mentioned"/>
    <x v="3"/>
    <x v="1"/>
    <x v="0"/>
    <x v="0"/>
    <n v="42028.3"/>
    <n v="26544.54"/>
    <s v="Actual"/>
    <n v="3"/>
    <n v="15483.760000000002"/>
    <n v="0.3684127123866538"/>
  </r>
  <r>
    <s v="ORD2865"/>
    <s v="Not Mentioned"/>
    <x v="3"/>
    <x v="2"/>
    <x v="3"/>
    <x v="0"/>
    <n v="269818.7"/>
    <n v="215854.96000000002"/>
    <s v="Estimated"/>
    <n v="5"/>
    <n v="53963.739999999991"/>
    <n v="0.19999999999999996"/>
  </r>
  <r>
    <s v="ORD3371"/>
    <d v="2023-02-15T00:00:00"/>
    <x v="1"/>
    <x v="3"/>
    <x v="0"/>
    <x v="0"/>
    <n v="58968.01"/>
    <n v="40039.58"/>
    <s v="Actual"/>
    <n v="4"/>
    <n v="18928.43"/>
    <n v="0.32099489197617487"/>
  </r>
  <r>
    <s v="ORD7166"/>
    <s v="Not Mentioned"/>
    <x v="3"/>
    <x v="3"/>
    <x v="0"/>
    <x v="0"/>
    <n v="48491.07"/>
    <n v="29570.43"/>
    <s v="Actual"/>
    <n v="3"/>
    <n v="18920.64"/>
    <n v="0.39018813154669507"/>
  </r>
  <r>
    <s v="ORD4368"/>
    <d v="2023-01-15T00:00:00"/>
    <x v="4"/>
    <x v="1"/>
    <x v="1"/>
    <x v="0"/>
    <n v="22169.97"/>
    <n v="17735.976000000002"/>
    <s v="Estimated"/>
    <n v="2"/>
    <n v="4433.9939999999988"/>
    <n v="0.19999999999999993"/>
  </r>
  <r>
    <s v="ORD7514"/>
    <d v="2023-06-25T00:00:00"/>
    <x v="0"/>
    <x v="1"/>
    <x v="3"/>
    <x v="0"/>
    <n v="259862.46"/>
    <n v="201730.55"/>
    <s v="Actual"/>
    <n v="5"/>
    <n v="58131.91"/>
    <n v="0.22370260791035382"/>
  </r>
  <r>
    <s v="ORD2625"/>
    <d v="2023-02-15T00:00:00"/>
    <x v="1"/>
    <x v="2"/>
    <x v="3"/>
    <x v="0"/>
    <n v="52933.919999999998"/>
    <n v="47112.639999999999"/>
    <s v="Actual"/>
    <n v="1"/>
    <n v="5821.2799999999988"/>
    <n v="0.10997258468671882"/>
  </r>
  <r>
    <s v="ORD600"/>
    <d v="2023-01-15T00:00:00"/>
    <x v="4"/>
    <x v="1"/>
    <x v="0"/>
    <x v="0"/>
    <n v="35021.46"/>
    <n v="28017.168000000001"/>
    <s v="Estimated"/>
    <n v="2"/>
    <n v="7004.2919999999976"/>
    <n v="0.19999999999999993"/>
  </r>
  <r>
    <s v="ORD1688"/>
    <s v="Not Mentioned"/>
    <x v="3"/>
    <x v="0"/>
    <x v="3"/>
    <x v="0"/>
    <n v="189523.03"/>
    <n v="115191.94"/>
    <s v="Actual"/>
    <n v="3"/>
    <n v="74331.09"/>
    <n v="0.39220083174060694"/>
  </r>
  <r>
    <s v="ORD1951"/>
    <s v="Not Mentioned"/>
    <x v="3"/>
    <x v="2"/>
    <x v="0"/>
    <x v="0"/>
    <n v="65533.89"/>
    <n v="46244.95"/>
    <s v="Actual"/>
    <n v="5"/>
    <n v="19288.940000000002"/>
    <n v="0.29433534313314841"/>
  </r>
  <r>
    <s v="ORD7645"/>
    <d v="2023-02-15T00:00:00"/>
    <x v="1"/>
    <x v="1"/>
    <x v="3"/>
    <x v="0"/>
    <n v="285327.11"/>
    <n v="238306.77"/>
    <s v="Actual"/>
    <n v="5"/>
    <n v="47020.34"/>
    <n v="0.16479450550632921"/>
  </r>
  <r>
    <s v="ORD2481"/>
    <d v="2023-02-15T00:00:00"/>
    <x v="1"/>
    <x v="0"/>
    <x v="2"/>
    <x v="0"/>
    <n v="51725.77"/>
    <n v="37610.25"/>
    <s v="Actual"/>
    <n v="3"/>
    <n v="14115.519999999997"/>
    <n v="0.27289144269867799"/>
  </r>
  <r>
    <s v="ORD338"/>
    <d v="2023-06-25T00:00:00"/>
    <x v="0"/>
    <x v="3"/>
    <x v="3"/>
    <x v="0"/>
    <n v="272619.73"/>
    <n v="192014.72"/>
    <s v="Actual"/>
    <n v="4"/>
    <n v="80605.00999999998"/>
    <n v="0.29566829223989027"/>
  </r>
  <r>
    <s v="ORD3538"/>
    <d v="2023-04-05T00:00:00"/>
    <x v="2"/>
    <x v="2"/>
    <x v="0"/>
    <x v="0"/>
    <n v="15340.33"/>
    <n v="10302.030000000001"/>
    <s v="Actual"/>
    <n v="1"/>
    <n v="5038.2999999999993"/>
    <n v="0.32843491632839705"/>
  </r>
  <r>
    <s v="ORD647"/>
    <d v="2023-06-25T00:00:00"/>
    <x v="0"/>
    <x v="0"/>
    <x v="2"/>
    <x v="0"/>
    <n v="96255.69"/>
    <n v="77004.552000000011"/>
    <s v="Estimated"/>
    <n v="5"/>
    <n v="19251.137999999992"/>
    <n v="0.1999999999999999"/>
  </r>
  <r>
    <s v="ORD5491"/>
    <d v="2023-06-25T00:00:00"/>
    <x v="0"/>
    <x v="1"/>
    <x v="2"/>
    <x v="0"/>
    <n v="46569.98"/>
    <n v="28173.33"/>
    <s v="Actual"/>
    <n v="2"/>
    <n v="18396.650000000001"/>
    <n v="0.39503237922799195"/>
  </r>
  <r>
    <s v="ORD3679"/>
    <d v="2023-01-15T00:00:00"/>
    <x v="4"/>
    <x v="2"/>
    <x v="1"/>
    <x v="0"/>
    <n v="9744.51"/>
    <n v="6465.32"/>
    <s v="Actual"/>
    <n v="1"/>
    <n v="3279.1900000000005"/>
    <n v="0.33651666425505239"/>
  </r>
  <r>
    <s v="ORD3541"/>
    <d v="2023-02-15T00:00:00"/>
    <x v="1"/>
    <x v="2"/>
    <x v="0"/>
    <x v="0"/>
    <n v="13612.06"/>
    <n v="9854.09"/>
    <s v="Actual"/>
    <n v="1"/>
    <n v="3757.9699999999993"/>
    <n v="0.27607650862543948"/>
  </r>
  <r>
    <s v="ORD8184"/>
    <s v="Not Mentioned"/>
    <x v="3"/>
    <x v="2"/>
    <x v="3"/>
    <x v="0"/>
    <n v="109070.75"/>
    <n v="76913.789999999994"/>
    <s v="Actual"/>
    <n v="2"/>
    <n v="32156.960000000006"/>
    <n v="0.29482661483486644"/>
  </r>
  <r>
    <s v="ORD7136"/>
    <d v="2023-02-15T00:00:00"/>
    <x v="1"/>
    <x v="2"/>
    <x v="1"/>
    <x v="0"/>
    <n v="40219.919999999998"/>
    <n v="30947.75"/>
    <s v="Actual"/>
    <n v="5"/>
    <n v="9272.1699999999983"/>
    <n v="0.23053675889957012"/>
  </r>
  <r>
    <s v="ORD470"/>
    <d v="2023-02-15T00:00:00"/>
    <x v="1"/>
    <x v="2"/>
    <x v="3"/>
    <x v="0"/>
    <n v="115410.31"/>
    <n v="93845.51"/>
    <s v="Actual"/>
    <n v="2"/>
    <n v="21564.800000000003"/>
    <n v="0.18685332358954762"/>
  </r>
  <r>
    <s v="ORD5150"/>
    <s v="Not Mentioned"/>
    <x v="3"/>
    <x v="1"/>
    <x v="3"/>
    <x v="0"/>
    <n v="164785.95000000001"/>
    <n v="126753.95"/>
    <s v="Actual"/>
    <n v="3"/>
    <n v="38032.000000000015"/>
    <n v="0.23079637554051186"/>
  </r>
  <r>
    <s v="ORD8674"/>
    <d v="2023-02-15T00:00:00"/>
    <x v="1"/>
    <x v="1"/>
    <x v="3"/>
    <x v="0"/>
    <n v="54477.87"/>
    <n v="44323.23"/>
    <s v="Actual"/>
    <n v="1"/>
    <n v="10154.64"/>
    <n v="0.18639935812468436"/>
  </r>
  <r>
    <s v="ORD7185"/>
    <d v="2023-03-20T00:00:00"/>
    <x v="5"/>
    <x v="3"/>
    <x v="2"/>
    <x v="0"/>
    <n v="33705.57"/>
    <n v="24325.96"/>
    <s v="Actual"/>
    <n v="2"/>
    <n v="9379.61"/>
    <n v="0.27828071146697714"/>
  </r>
  <r>
    <s v="ORD5090"/>
    <d v="2023-01-15T00:00:00"/>
    <x v="4"/>
    <x v="2"/>
    <x v="2"/>
    <x v="0"/>
    <n v="80093.58"/>
    <n v="64074.864000000001"/>
    <s v="Estimated"/>
    <n v="5"/>
    <n v="16018.716"/>
    <n v="0.2"/>
  </r>
  <r>
    <s v="ORD2750"/>
    <s v="Not Mentioned"/>
    <x v="3"/>
    <x v="1"/>
    <x v="3"/>
    <x v="0"/>
    <n v="52443.19"/>
    <n v="44346.39"/>
    <s v="Actual"/>
    <n v="1"/>
    <n v="8096.8000000000029"/>
    <n v="0.15439182856725539"/>
  </r>
  <r>
    <s v="ORD5806"/>
    <d v="2023-02-15T00:00:00"/>
    <x v="1"/>
    <x v="2"/>
    <x v="2"/>
    <x v="0"/>
    <n v="21173.32"/>
    <n v="16938.655999999999"/>
    <s v="Estimated"/>
    <s v="Unknown"/>
    <n v="4234.6640000000007"/>
    <n v="0.20000000000000004"/>
  </r>
  <r>
    <s v="ORD2500"/>
    <s v="Not Mentioned"/>
    <x v="3"/>
    <x v="0"/>
    <x v="2"/>
    <x v="0"/>
    <n v="37005.68"/>
    <n v="24643.66"/>
    <s v="Actual"/>
    <n v="2"/>
    <n v="12362.02"/>
    <n v="0.33405736632862848"/>
  </r>
  <r>
    <s v="ORD904"/>
    <d v="2023-03-20T00:00:00"/>
    <x v="5"/>
    <x v="2"/>
    <x v="0"/>
    <x v="0"/>
    <n v="41743.81"/>
    <n v="33395.048000000003"/>
    <s v="Estimated"/>
    <n v="3"/>
    <n v="8348.7619999999952"/>
    <n v="0.1999999999999999"/>
  </r>
  <r>
    <s v="ORD9684"/>
    <s v="Not Mentioned"/>
    <x v="3"/>
    <x v="2"/>
    <x v="0"/>
    <x v="0"/>
    <n v="61738.27"/>
    <n v="42039.77"/>
    <s v="Actual"/>
    <n v="4"/>
    <n v="19698.5"/>
    <n v="0.31906465795040906"/>
  </r>
  <r>
    <s v="ORD913"/>
    <d v="2023-04-05T00:00:00"/>
    <x v="2"/>
    <x v="2"/>
    <x v="0"/>
    <x v="0"/>
    <n v="51661.78"/>
    <n v="25659.52"/>
    <s v="Actual"/>
    <n v="3"/>
    <n v="26002.26"/>
    <n v="0.50331715244809605"/>
  </r>
  <r>
    <s v="ORD458"/>
    <d v="2023-04-05T00:00:00"/>
    <x v="2"/>
    <x v="2"/>
    <x v="2"/>
    <x v="0"/>
    <n v="19215.45"/>
    <n v="13579.56"/>
    <s v="Actual"/>
    <n v="1"/>
    <n v="5635.8900000000012"/>
    <n v="0.29329992271843758"/>
  </r>
  <r>
    <s v="ORD8832"/>
    <d v="2023-06-25T00:00:00"/>
    <x v="0"/>
    <x v="1"/>
    <x v="3"/>
    <x v="0"/>
    <n v="50651.38"/>
    <n v="42239.5"/>
    <s v="Actual"/>
    <n v="1"/>
    <n v="8411.8799999999974"/>
    <n v="0.16607405365855774"/>
  </r>
  <r>
    <s v="ORD5805"/>
    <s v="Not Mentioned"/>
    <x v="3"/>
    <x v="3"/>
    <x v="0"/>
    <x v="0"/>
    <n v="12656.81"/>
    <n v="9479.08"/>
    <s v="Actual"/>
    <n v="1"/>
    <n v="3177.7299999999996"/>
    <n v="0.251068792215416"/>
  </r>
  <r>
    <s v="ORD6429"/>
    <d v="2023-06-25T00:00:00"/>
    <x v="0"/>
    <x v="1"/>
    <x v="2"/>
    <x v="0"/>
    <n v="119567.4"/>
    <n v="95653.92"/>
    <s v="Estimated"/>
    <n v="5"/>
    <n v="23913.479999999996"/>
    <n v="0.19999999999999998"/>
  </r>
  <r>
    <s v="ORD2796"/>
    <d v="2023-01-15T00:00:00"/>
    <x v="4"/>
    <x v="1"/>
    <x v="2"/>
    <x v="0"/>
    <n v="52236.67"/>
    <n v="38015.11"/>
    <s v="Actual"/>
    <n v="3"/>
    <n v="14221.559999999998"/>
    <n v="0.27225242344123385"/>
  </r>
  <r>
    <s v="ORD9194"/>
    <s v="Not Mentioned"/>
    <x v="3"/>
    <x v="2"/>
    <x v="0"/>
    <x v="0"/>
    <n v="71877.789999999994"/>
    <n v="35738.949999999997"/>
    <s v="Actual"/>
    <n v="4"/>
    <n v="36138.839999999997"/>
    <n v="0.50278173549854555"/>
  </r>
  <r>
    <s v="ORD8490"/>
    <d v="2023-06-25T00:00:00"/>
    <x v="0"/>
    <x v="1"/>
    <x v="1"/>
    <x v="0"/>
    <n v="50739.49"/>
    <n v="34938.22"/>
    <s v="Actual"/>
    <n v="5"/>
    <n v="15801.269999999997"/>
    <n v="0.31141956688961592"/>
  </r>
  <r>
    <s v="ORD8291"/>
    <d v="2023-03-20T00:00:00"/>
    <x v="5"/>
    <x v="2"/>
    <x v="0"/>
    <x v="0"/>
    <n v="17113.16"/>
    <n v="8588.56"/>
    <s v="Actual"/>
    <n v="1"/>
    <n v="8524.6"/>
    <n v="0.49813126272412578"/>
  </r>
  <r>
    <s v="ORD6233"/>
    <s v="Not Mentioned"/>
    <x v="3"/>
    <x v="2"/>
    <x v="1"/>
    <x v="0"/>
    <n v="20260.82"/>
    <n v="15267.43"/>
    <s v="Actual"/>
    <n v="2"/>
    <n v="4993.3899999999994"/>
    <n v="0.24645547416146038"/>
  </r>
  <r>
    <s v="ORD5311"/>
    <d v="2023-04-05T00:00:00"/>
    <x v="2"/>
    <x v="1"/>
    <x v="0"/>
    <x v="0"/>
    <n v="30855.83"/>
    <n v="20310.560000000001"/>
    <s v="Actual"/>
    <n v="2"/>
    <n v="10545.27"/>
    <n v="0.34175940170787822"/>
  </r>
  <r>
    <s v="ORD4738"/>
    <d v="2023-06-25T00:00:00"/>
    <x v="0"/>
    <x v="3"/>
    <x v="0"/>
    <x v="0"/>
    <n v="38887.199999999997"/>
    <n v="28005.07"/>
    <s v="Actual"/>
    <n v="3"/>
    <n v="10882.129999999997"/>
    <n v="0.27983835297990078"/>
  </r>
  <r>
    <s v="ORD357"/>
    <s v="Not Mentioned"/>
    <x v="3"/>
    <x v="2"/>
    <x v="3"/>
    <x v="0"/>
    <n v="118342.56"/>
    <n v="94674.04800000001"/>
    <s v="Estimated"/>
    <n v="2"/>
    <n v="23668.511999999988"/>
    <n v="0.1999999999999999"/>
  </r>
  <r>
    <s v="ORD8009"/>
    <d v="2023-06-25T00:00:00"/>
    <x v="0"/>
    <x v="3"/>
    <x v="3"/>
    <x v="0"/>
    <n v="192613.04"/>
    <n v="165916.72"/>
    <s v="Actual"/>
    <n v="4"/>
    <n v="26696.320000000007"/>
    <n v="0.13860079255277838"/>
  </r>
  <r>
    <s v="ORD6084"/>
    <d v="2023-04-05T00:00:00"/>
    <x v="2"/>
    <x v="0"/>
    <x v="1"/>
    <x v="0"/>
    <n v="33132.33"/>
    <n v="20691.650000000001"/>
    <s v="Actual"/>
    <n v="3"/>
    <n v="12440.68"/>
    <n v="0.37548460974522468"/>
  </r>
  <r>
    <s v="ORD309"/>
    <d v="2023-02-15T00:00:00"/>
    <x v="1"/>
    <x v="1"/>
    <x v="2"/>
    <x v="0"/>
    <n v="73630.83"/>
    <n v="58904.664000000004"/>
    <s v="Estimated"/>
    <n v="4"/>
    <n v="14726.165999999997"/>
    <n v="0.19999999999999996"/>
  </r>
  <r>
    <s v="ORD8813"/>
    <d v="2023-03-20T00:00:00"/>
    <x v="5"/>
    <x v="3"/>
    <x v="1"/>
    <x v="0"/>
    <n v="48919.17"/>
    <n v="35416.269999999997"/>
    <s v="Actual"/>
    <n v="5"/>
    <n v="13502.900000000001"/>
    <n v="0.27602471587314342"/>
  </r>
  <r>
    <s v="ORD4342"/>
    <d v="2023-06-25T00:00:00"/>
    <x v="0"/>
    <x v="3"/>
    <x v="2"/>
    <x v="0"/>
    <n v="34543.01"/>
    <n v="27079.78"/>
    <s v="Actual"/>
    <n v="2"/>
    <n v="7463.2300000000032"/>
    <n v="0.2160561572370214"/>
  </r>
  <r>
    <s v="ORD1988"/>
    <d v="2023-06-25T00:00:00"/>
    <x v="0"/>
    <x v="3"/>
    <x v="1"/>
    <x v="0"/>
    <n v="22182.58"/>
    <n v="12705.19"/>
    <s v="Actual"/>
    <n v="2"/>
    <n v="9477.3900000000012"/>
    <n v="0.42724471184145402"/>
  </r>
  <r>
    <s v="ORD2980"/>
    <d v="2023-01-15T00:00:00"/>
    <x v="4"/>
    <x v="1"/>
    <x v="1"/>
    <x v="0"/>
    <n v="27290.58"/>
    <n v="23015.88"/>
    <s v="Actual"/>
    <n v="3"/>
    <n v="4274.7000000000007"/>
    <n v="0.15663646576950729"/>
  </r>
  <r>
    <s v="ORD4676"/>
    <d v="2023-03-20T00:00:00"/>
    <x v="5"/>
    <x v="1"/>
    <x v="1"/>
    <x v="0"/>
    <n v="41004"/>
    <n v="27100.73"/>
    <s v="Actual"/>
    <n v="4"/>
    <n v="13903.27"/>
    <n v="0.33907106623744027"/>
  </r>
  <r>
    <s v="ORD8725"/>
    <s v="Not Mentioned"/>
    <x v="3"/>
    <x v="1"/>
    <x v="2"/>
    <x v="0"/>
    <n v="64571.58"/>
    <n v="58755.17"/>
    <s v="Actual"/>
    <n v="4"/>
    <n v="5816.4100000000035"/>
    <n v="9.0076934775330006E-2"/>
  </r>
  <r>
    <s v="ORD6109"/>
    <d v="2023-02-15T00:00:00"/>
    <x v="1"/>
    <x v="3"/>
    <x v="0"/>
    <x v="0"/>
    <n v="15643.84"/>
    <n v="9118.85"/>
    <s v="Actual"/>
    <n v="1"/>
    <n v="6524.99"/>
    <n v="0.41709644179434202"/>
  </r>
  <r>
    <s v="ORD9357"/>
    <d v="2023-06-25T00:00:00"/>
    <x v="0"/>
    <x v="1"/>
    <x v="1"/>
    <x v="0"/>
    <n v="42991.61"/>
    <n v="33815.24"/>
    <s v="Actual"/>
    <n v="5"/>
    <n v="9176.3700000000026"/>
    <n v="0.21344560019966693"/>
  </r>
  <r>
    <s v="ORD691"/>
    <s v="Not Mentioned"/>
    <x v="3"/>
    <x v="1"/>
    <x v="3"/>
    <x v="0"/>
    <n v="266865.69"/>
    <n v="154782.85"/>
    <s v="Actual"/>
    <n v="4"/>
    <n v="112082.84"/>
    <n v="0.41999719034694943"/>
  </r>
  <r>
    <s v="ORD215"/>
    <d v="2023-02-15T00:00:00"/>
    <x v="1"/>
    <x v="1"/>
    <x v="1"/>
    <x v="0"/>
    <n v="37536.269999999997"/>
    <n v="29230.63"/>
    <s v="Actual"/>
    <n v="4"/>
    <n v="8305.6399999999958"/>
    <n v="0.2212697212589316"/>
  </r>
  <r>
    <s v="ORD416"/>
    <d v="2023-03-20T00:00:00"/>
    <x v="5"/>
    <x v="3"/>
    <x v="0"/>
    <x v="0"/>
    <n v="35729.599999999999"/>
    <n v="18004.3"/>
    <s v="Actual"/>
    <s v="Unknown"/>
    <n v="17725.3"/>
    <n v="0.49609567417491379"/>
  </r>
  <r>
    <s v="ORD4389"/>
    <d v="2023-03-20T00:00:00"/>
    <x v="5"/>
    <x v="3"/>
    <x v="2"/>
    <x v="0"/>
    <n v="23489.7"/>
    <n v="12081.9"/>
    <s v="Actual"/>
    <n v="1"/>
    <n v="11407.800000000001"/>
    <n v="0.48565115774147821"/>
  </r>
  <r>
    <s v="ORD3356"/>
    <d v="2023-03-20T00:00:00"/>
    <x v="5"/>
    <x v="0"/>
    <x v="3"/>
    <x v="0"/>
    <n v="313889.03999999998"/>
    <n v="209757.23"/>
    <s v="Actual"/>
    <n v="5"/>
    <n v="104131.80999999997"/>
    <n v="0.33174719958364896"/>
  </r>
  <r>
    <s v="ORD9946"/>
    <d v="2023-06-25T00:00:00"/>
    <x v="0"/>
    <x v="1"/>
    <x v="2"/>
    <x v="0"/>
    <n v="42452.21"/>
    <n v="26126.2"/>
    <s v="Actual"/>
    <n v="2"/>
    <n v="16326.009999999998"/>
    <n v="0.38457385375225456"/>
  </r>
  <r>
    <s v="ORD4453"/>
    <d v="2023-02-15T00:00:00"/>
    <x v="1"/>
    <x v="1"/>
    <x v="0"/>
    <x v="0"/>
    <n v="17042.71"/>
    <n v="8935.48"/>
    <s v="Actual"/>
    <n v="1"/>
    <n v="8107.23"/>
    <n v="0.47570075416409713"/>
  </r>
  <r>
    <s v="ORD2394"/>
    <d v="2023-06-25T00:00:00"/>
    <x v="0"/>
    <x v="0"/>
    <x v="0"/>
    <x v="0"/>
    <n v="14631.69"/>
    <n v="10313.14"/>
    <s v="Actual"/>
    <n v="1"/>
    <n v="4318.5500000000011"/>
    <n v="0.2951504576709868"/>
  </r>
  <r>
    <s v="ORD1525"/>
    <d v="2023-06-25T00:00:00"/>
    <x v="0"/>
    <x v="2"/>
    <x v="0"/>
    <x v="0"/>
    <n v="73974.38"/>
    <n v="52949.98"/>
    <s v="Actual"/>
    <n v="5"/>
    <n v="21024.400000000001"/>
    <n v="0.28421191228638887"/>
  </r>
  <r>
    <s v="ORD4155"/>
    <s v="Not Mentioned"/>
    <x v="3"/>
    <x v="1"/>
    <x v="2"/>
    <x v="0"/>
    <n v="97486.62"/>
    <n v="61204.38"/>
    <s v="Actual"/>
    <n v="5"/>
    <n v="36282.239999999998"/>
    <n v="0.37217661254436762"/>
  </r>
  <r>
    <s v="ORD8062"/>
    <d v="2023-03-20T00:00:00"/>
    <x v="5"/>
    <x v="2"/>
    <x v="0"/>
    <x v="0"/>
    <n v="17816.47"/>
    <n v="9145.33"/>
    <s v="Actual"/>
    <n v="1"/>
    <n v="8671.1400000000012"/>
    <n v="0.48669236947610839"/>
  </r>
  <r>
    <s v="ORD8115"/>
    <s v="Not Mentioned"/>
    <x v="3"/>
    <x v="0"/>
    <x v="0"/>
    <x v="0"/>
    <n v="29385.33"/>
    <n v="20346.95"/>
    <s v="Actual"/>
    <n v="2"/>
    <n v="9038.380000000001"/>
    <n v="0.30758136798191482"/>
  </r>
  <r>
    <s v="ORD3203"/>
    <s v="Not Mentioned"/>
    <x v="3"/>
    <x v="0"/>
    <x v="1"/>
    <x v="0"/>
    <n v="10422.15"/>
    <n v="6574.28"/>
    <s v="Actual"/>
    <n v="1"/>
    <n v="3847.87"/>
    <n v="0.36920117250279455"/>
  </r>
  <r>
    <s v="ORD7262"/>
    <d v="2023-06-25T00:00:00"/>
    <x v="0"/>
    <x v="2"/>
    <x v="0"/>
    <x v="0"/>
    <n v="61025.63"/>
    <n v="54833.66"/>
    <s v="Actual"/>
    <n v="5"/>
    <n v="6191.9699999999939"/>
    <n v="0.10146507295377359"/>
  </r>
  <r>
    <s v="ORD316"/>
    <d v="2023-02-15T00:00:00"/>
    <x v="1"/>
    <x v="2"/>
    <x v="0"/>
    <x v="0"/>
    <n v="63099.27"/>
    <n v="49808.38"/>
    <s v="Actual"/>
    <n v="5"/>
    <n v="13290.89"/>
    <n v="0.21063460797565486"/>
  </r>
  <r>
    <s v="ORD244"/>
    <d v="2023-02-15T00:00:00"/>
    <x v="1"/>
    <x v="1"/>
    <x v="3"/>
    <x v="0"/>
    <n v="293250.03000000003"/>
    <n v="240083"/>
    <s v="Actual"/>
    <n v="5"/>
    <n v="53167.030000000028"/>
    <n v="0.1813027265504458"/>
  </r>
  <r>
    <s v="ORD4124"/>
    <d v="2023-01-15T00:00:00"/>
    <x v="4"/>
    <x v="2"/>
    <x v="1"/>
    <x v="0"/>
    <n v="35171.379999999997"/>
    <n v="21470.02"/>
    <s v="Actual"/>
    <n v="3"/>
    <n v="13701.359999999997"/>
    <n v="0.38955992059452876"/>
  </r>
  <r>
    <s v="ORD7924"/>
    <d v="2023-06-25T00:00:00"/>
    <x v="0"/>
    <x v="1"/>
    <x v="2"/>
    <x v="0"/>
    <n v="69097.2"/>
    <n v="56069.35"/>
    <s v="Actual"/>
    <n v="4"/>
    <n v="13027.849999999999"/>
    <n v="0.18854381943117809"/>
  </r>
  <r>
    <s v="ORD2000"/>
    <d v="2023-06-25T00:00:00"/>
    <x v="0"/>
    <x v="3"/>
    <x v="0"/>
    <x v="0"/>
    <n v="63612.28"/>
    <n v="41651.910000000003"/>
    <s v="Actual"/>
    <n v="4"/>
    <n v="21960.369999999995"/>
    <n v="0.34522218037146279"/>
  </r>
  <r>
    <s v="ORD6592"/>
    <d v="2023-01-15T00:00:00"/>
    <x v="4"/>
    <x v="3"/>
    <x v="3"/>
    <x v="0"/>
    <n v="55881.15"/>
    <n v="45339.85"/>
    <s v="Actual"/>
    <n v="1"/>
    <n v="10541.300000000003"/>
    <n v="0.18863785015161647"/>
  </r>
  <r>
    <s v="ORD7228"/>
    <d v="2023-02-15T00:00:00"/>
    <x v="1"/>
    <x v="1"/>
    <x v="1"/>
    <x v="0"/>
    <n v="20696.490000000002"/>
    <n v="12489.56"/>
    <s v="Actual"/>
    <n v="2"/>
    <n v="8206.9300000000021"/>
    <n v="0.39653728724049353"/>
  </r>
  <r>
    <s v="ORD9234"/>
    <s v="Not Mentioned"/>
    <x v="3"/>
    <x v="1"/>
    <x v="1"/>
    <x v="0"/>
    <n v="56275.33"/>
    <n v="30703.040000000001"/>
    <s v="Actual"/>
    <n v="5"/>
    <n v="25572.29"/>
    <n v="0.45441386127811245"/>
  </r>
  <r>
    <s v="ORD4610"/>
    <d v="2023-04-05T00:00:00"/>
    <x v="2"/>
    <x v="3"/>
    <x v="0"/>
    <x v="0"/>
    <n v="70426.460000000006"/>
    <n v="37516.230000000003"/>
    <s v="Actual"/>
    <n v="4"/>
    <n v="32910.230000000003"/>
    <n v="0.46729922247973277"/>
  </r>
  <r>
    <s v="ORD207"/>
    <d v="2023-02-15T00:00:00"/>
    <x v="1"/>
    <x v="2"/>
    <x v="1"/>
    <x v="0"/>
    <n v="20882.669999999998"/>
    <n v="14406.53"/>
    <s v="Actual"/>
    <n v="2"/>
    <n v="6476.1399999999976"/>
    <n v="0.31012030549733333"/>
  </r>
  <r>
    <s v="ORD461"/>
    <d v="2023-03-20T00:00:00"/>
    <x v="5"/>
    <x v="2"/>
    <x v="0"/>
    <x v="0"/>
    <n v="15403.87"/>
    <n v="9141.41"/>
    <s v="Actual"/>
    <n v="1"/>
    <n v="6262.4600000000009"/>
    <n v="0.40655108099458126"/>
  </r>
  <r>
    <s v="ORD7295"/>
    <d v="2023-02-15T00:00:00"/>
    <x v="1"/>
    <x v="3"/>
    <x v="0"/>
    <x v="0"/>
    <n v="86526.19"/>
    <n v="45351"/>
    <s v="Actual"/>
    <n v="5"/>
    <n v="41175.19"/>
    <n v="0.47586967599058738"/>
  </r>
  <r>
    <s v="ORD4040"/>
    <d v="2023-06-25T00:00:00"/>
    <x v="0"/>
    <x v="1"/>
    <x v="3"/>
    <x v="0"/>
    <n v="218381.38"/>
    <n v="190017.64"/>
    <s v="Actual"/>
    <n v="4"/>
    <n v="28363.739999999991"/>
    <n v="0.12988167764119812"/>
  </r>
  <r>
    <s v="ORD7780"/>
    <d v="2023-01-15T00:00:00"/>
    <x v="4"/>
    <x v="3"/>
    <x v="3"/>
    <x v="0"/>
    <n v="311337.15999999997"/>
    <n v="219193.14"/>
    <s v="Actual"/>
    <n v="5"/>
    <n v="92144.01999999996"/>
    <n v="0.2959621652616089"/>
  </r>
  <r>
    <s v="ORD747"/>
    <d v="2023-01-15T00:00:00"/>
    <x v="4"/>
    <x v="3"/>
    <x v="0"/>
    <x v="0"/>
    <n v="67648.97"/>
    <n v="40032.19"/>
    <s v="Actual"/>
    <n v="4"/>
    <n v="27616.78"/>
    <n v="0.40823651860479176"/>
  </r>
  <r>
    <s v="ORD5255"/>
    <s v="Not Mentioned"/>
    <x v="3"/>
    <x v="2"/>
    <x v="2"/>
    <x v="0"/>
    <n v="20937.25"/>
    <n v="13448.43"/>
    <s v="Actual"/>
    <n v="1"/>
    <n v="7488.82"/>
    <n v="0.3576792558717119"/>
  </r>
  <r>
    <s v="ORD4874"/>
    <s v="Not Mentioned"/>
    <x v="3"/>
    <x v="0"/>
    <x v="0"/>
    <x v="0"/>
    <n v="55784.01"/>
    <n v="37330.019999999997"/>
    <s v="Actual"/>
    <n v="4"/>
    <n v="18453.990000000005"/>
    <n v="0.33081146371513998"/>
  </r>
  <r>
    <s v="ORD732"/>
    <d v="2023-04-05T00:00:00"/>
    <x v="2"/>
    <x v="1"/>
    <x v="1"/>
    <x v="0"/>
    <n v="33420.28"/>
    <n v="30531.66"/>
    <s v="Actual"/>
    <n v="4"/>
    <n v="2888.619999999999"/>
    <n v="8.6433147777337571E-2"/>
  </r>
  <r>
    <s v="ORD7099"/>
    <d v="2023-04-05T00:00:00"/>
    <x v="2"/>
    <x v="1"/>
    <x v="1"/>
    <x v="0"/>
    <n v="47699.78"/>
    <n v="27124.21"/>
    <s v="Actual"/>
    <n v="4"/>
    <n v="20575.57"/>
    <n v="0.43135565824412608"/>
  </r>
  <r>
    <s v="ORD903"/>
    <d v="2023-01-15T00:00:00"/>
    <x v="4"/>
    <x v="2"/>
    <x v="3"/>
    <x v="0"/>
    <n v="251151.5"/>
    <n v="205708.91"/>
    <s v="Actual"/>
    <n v="5"/>
    <n v="45442.59"/>
    <n v="0.18093696434223963"/>
  </r>
  <r>
    <s v="ORD8574"/>
    <d v="2023-02-15T00:00:00"/>
    <x v="1"/>
    <x v="1"/>
    <x v="3"/>
    <x v="0"/>
    <n v="114283.66"/>
    <n v="84292.24"/>
    <s v="Actual"/>
    <n v="2"/>
    <n v="29991.42"/>
    <n v="0.26242964217281806"/>
  </r>
  <r>
    <s v="ORD9785"/>
    <s v="Not Mentioned"/>
    <x v="3"/>
    <x v="2"/>
    <x v="0"/>
    <x v="0"/>
    <n v="46342.57"/>
    <n v="29749.32"/>
    <s v="Actual"/>
    <n v="3"/>
    <n v="16593.25"/>
    <n v="0.35805631841307034"/>
  </r>
  <r>
    <s v="ORD5225"/>
    <s v="Not Mentioned"/>
    <x v="3"/>
    <x v="0"/>
    <x v="2"/>
    <x v="0"/>
    <n v="66960.73"/>
    <n v="53568.584000000003"/>
    <s v="Estimated"/>
    <n v="3"/>
    <n v="13392.145999999993"/>
    <n v="0.1999999999999999"/>
  </r>
  <r>
    <s v="ORD5917"/>
    <d v="2023-04-05T00:00:00"/>
    <x v="2"/>
    <x v="3"/>
    <x v="2"/>
    <x v="0"/>
    <n v="45159.69"/>
    <n v="24727.67"/>
    <s v="Actual"/>
    <n v="2"/>
    <n v="20432.020000000004"/>
    <n v="0.45243933251091856"/>
  </r>
  <r>
    <s v="ORD8340"/>
    <d v="2023-04-05T00:00:00"/>
    <x v="2"/>
    <x v="2"/>
    <x v="0"/>
    <x v="0"/>
    <n v="16951.2"/>
    <n v="10165.77"/>
    <s v="Actual"/>
    <n v="1"/>
    <n v="6785.43"/>
    <n v="0.40029201472462128"/>
  </r>
  <r>
    <s v="ORD6179"/>
    <d v="2023-03-20T00:00:00"/>
    <x v="5"/>
    <x v="2"/>
    <x v="0"/>
    <x v="0"/>
    <n v="58548.28"/>
    <n v="35056.65"/>
    <s v="Actual"/>
    <n v="4"/>
    <n v="23491.629999999997"/>
    <n v="0.40123518573047745"/>
  </r>
  <r>
    <s v="ORD9648"/>
    <d v="2023-01-15T00:00:00"/>
    <x v="4"/>
    <x v="3"/>
    <x v="0"/>
    <x v="0"/>
    <n v="29517.61"/>
    <n v="17290.82"/>
    <s v="Actual"/>
    <n v="2"/>
    <n v="12226.79"/>
    <n v="0.4142201892361882"/>
  </r>
  <r>
    <s v="ORD2638"/>
    <d v="2023-06-25T00:00:00"/>
    <x v="0"/>
    <x v="0"/>
    <x v="3"/>
    <x v="0"/>
    <n v="66784.7"/>
    <n v="41235.61"/>
    <s v="Actual"/>
    <n v="1"/>
    <n v="25549.089999999997"/>
    <n v="0.38255902923873281"/>
  </r>
  <r>
    <s v="ORD6693"/>
    <d v="2023-03-20T00:00:00"/>
    <x v="5"/>
    <x v="3"/>
    <x v="1"/>
    <x v="0"/>
    <n v="52477.919999999998"/>
    <n v="34361.61"/>
    <s v="Actual"/>
    <n v="5"/>
    <n v="18116.309999999998"/>
    <n v="0.34521776015512806"/>
  </r>
  <r>
    <s v="ORD5837"/>
    <d v="2023-02-15T00:00:00"/>
    <x v="1"/>
    <x v="2"/>
    <x v="1"/>
    <x v="0"/>
    <n v="47741.58"/>
    <n v="38183.440000000002"/>
    <s v="Actual"/>
    <n v="5"/>
    <n v="9558.14"/>
    <n v="0.20020577450515881"/>
  </r>
  <r>
    <s v="ORD564"/>
    <d v="2023-03-20T00:00:00"/>
    <x v="5"/>
    <x v="1"/>
    <x v="1"/>
    <x v="0"/>
    <n v="44304.04"/>
    <n v="29856.06"/>
    <s v="Actual"/>
    <n v="5"/>
    <n v="14447.98"/>
    <n v="0.32610976335340974"/>
  </r>
  <r>
    <s v="ORD5719"/>
    <d v="2023-03-20T00:00:00"/>
    <x v="5"/>
    <x v="1"/>
    <x v="1"/>
    <x v="0"/>
    <n v="29452.53"/>
    <n v="23562.024000000001"/>
    <s v="Estimated"/>
    <n v="3"/>
    <n v="5890.5059999999976"/>
    <n v="0.19999999999999993"/>
  </r>
  <r>
    <s v="ORD4191"/>
    <d v="2023-01-15T00:00:00"/>
    <x v="4"/>
    <x v="2"/>
    <x v="3"/>
    <x v="0"/>
    <n v="274518.26"/>
    <n v="170657.72"/>
    <s v="Actual"/>
    <n v="4"/>
    <n v="103860.54000000001"/>
    <n v="0.37833745558492177"/>
  </r>
  <r>
    <s v="ORD1775"/>
    <d v="2023-01-15T00:00:00"/>
    <x v="4"/>
    <x v="1"/>
    <x v="1"/>
    <x v="0"/>
    <n v="45587.35"/>
    <n v="37890.29"/>
    <s v="Actual"/>
    <n v="5"/>
    <n v="7697.0599999999977"/>
    <n v="0.16884201428685805"/>
  </r>
  <r>
    <s v="ORD507"/>
    <d v="2023-03-20T00:00:00"/>
    <x v="5"/>
    <x v="1"/>
    <x v="1"/>
    <x v="0"/>
    <n v="43003.38"/>
    <n v="36202.550000000003"/>
    <s v="Actual"/>
    <s v="Unknown"/>
    <n v="6800.8299999999945"/>
    <n v="0.15814640616621287"/>
  </r>
  <r>
    <s v="ORD6510"/>
    <d v="2023-03-20T00:00:00"/>
    <x v="5"/>
    <x v="3"/>
    <x v="3"/>
    <x v="0"/>
    <n v="262800.8"/>
    <n v="168896.31"/>
    <s v="Actual"/>
    <n v="4"/>
    <n v="93904.489999999991"/>
    <n v="0.35732193357097847"/>
  </r>
  <r>
    <s v="ORD7511"/>
    <d v="2023-01-15T00:00:00"/>
    <x v="4"/>
    <x v="1"/>
    <x v="2"/>
    <x v="0"/>
    <n v="101984.64"/>
    <n v="81587.712"/>
    <s v="Estimated"/>
    <n v="5"/>
    <n v="20396.928"/>
    <n v="0.2"/>
  </r>
  <r>
    <s v="ORD5285"/>
    <d v="2023-02-15T00:00:00"/>
    <x v="1"/>
    <x v="2"/>
    <x v="2"/>
    <x v="0"/>
    <n v="32166.84"/>
    <n v="25587.89"/>
    <s v="Actual"/>
    <n v="2"/>
    <n v="6578.9500000000007"/>
    <n v="0.20452584089702316"/>
  </r>
  <r>
    <s v="ORD372"/>
    <d v="2023-02-15T00:00:00"/>
    <x v="1"/>
    <x v="1"/>
    <x v="1"/>
    <x v="0"/>
    <n v="39589.379999999997"/>
    <n v="24597.7"/>
    <s v="Actual"/>
    <n v="4"/>
    <n v="14991.679999999997"/>
    <n v="0.37867933268972631"/>
  </r>
  <r>
    <s v="ORD221"/>
    <s v="Not Mentioned"/>
    <x v="3"/>
    <x v="1"/>
    <x v="3"/>
    <x v="0"/>
    <n v="183606.62"/>
    <n v="127867.03"/>
    <s v="Actual"/>
    <n v="3"/>
    <n v="55739.59"/>
    <n v="0.30358159199270701"/>
  </r>
  <r>
    <s v="ORD7381"/>
    <d v="2023-04-05T00:00:00"/>
    <x v="2"/>
    <x v="3"/>
    <x v="1"/>
    <x v="0"/>
    <n v="10176.07"/>
    <n v="7063.12"/>
    <s v="Actual"/>
    <n v="1"/>
    <n v="3112.95"/>
    <n v="0.30590886265522937"/>
  </r>
  <r>
    <s v="ORD7579"/>
    <d v="2023-03-20T00:00:00"/>
    <x v="5"/>
    <x v="0"/>
    <x v="1"/>
    <x v="0"/>
    <n v="27231.98"/>
    <n v="20682.669999999998"/>
    <s v="Actual"/>
    <n v="3"/>
    <n v="6549.3100000000013"/>
    <n v="0.2405006907319997"/>
  </r>
  <r>
    <s v="ORD6926"/>
    <d v="2023-01-15T00:00:00"/>
    <x v="4"/>
    <x v="2"/>
    <x v="3"/>
    <x v="0"/>
    <n v="198589.32"/>
    <n v="139840.54999999999"/>
    <s v="Actual"/>
    <n v="3"/>
    <n v="58748.770000000019"/>
    <n v="0.29583046057058865"/>
  </r>
  <r>
    <s v="ORD6343"/>
    <d v="2023-02-15T00:00:00"/>
    <x v="1"/>
    <x v="3"/>
    <x v="0"/>
    <x v="0"/>
    <n v="30696.51"/>
    <n v="21058.76"/>
    <s v="Actual"/>
    <n v="2"/>
    <n v="9637.75"/>
    <n v="0.31396891698763152"/>
  </r>
  <r>
    <s v="ORD3547"/>
    <d v="2023-02-15T00:00:00"/>
    <x v="1"/>
    <x v="2"/>
    <x v="3"/>
    <x v="0"/>
    <n v="131632.71"/>
    <n v="94840.16"/>
    <s v="Actual"/>
    <n v="2"/>
    <n v="36792.549999999988"/>
    <n v="0.2795091736696752"/>
  </r>
  <r>
    <s v="ORD2778"/>
    <s v="Not Mentioned"/>
    <x v="3"/>
    <x v="3"/>
    <x v="2"/>
    <x v="0"/>
    <n v="87863.48"/>
    <n v="50434.73"/>
    <s v="Actual"/>
    <n v="4"/>
    <n v="37428.749999999993"/>
    <n v="0.42598756616514616"/>
  </r>
  <r>
    <s v="ORD2828"/>
    <s v="Not Mentioned"/>
    <x v="3"/>
    <x v="2"/>
    <x v="3"/>
    <x v="0"/>
    <n v="113678.86"/>
    <n v="86593.74"/>
    <s v="Actual"/>
    <n v="2"/>
    <n v="27085.119999999995"/>
    <n v="0.23825995440137238"/>
  </r>
  <r>
    <s v="ORD435"/>
    <d v="2023-02-15T00:00:00"/>
    <x v="1"/>
    <x v="0"/>
    <x v="2"/>
    <x v="0"/>
    <n v="69802.22"/>
    <n v="53027.43"/>
    <s v="Actual"/>
    <n v="4"/>
    <n v="16774.79"/>
    <n v="0.24031886091875015"/>
  </r>
  <r>
    <s v="ORD208"/>
    <d v="2023-04-05T00:00:00"/>
    <x v="2"/>
    <x v="1"/>
    <x v="1"/>
    <x v="0"/>
    <n v="20794.95"/>
    <n v="16635.960000000003"/>
    <s v="Estimated"/>
    <n v="2"/>
    <n v="4158.989999999998"/>
    <n v="0.1999999999999999"/>
  </r>
  <r>
    <s v="ORD2169"/>
    <d v="2023-01-15T00:00:00"/>
    <x v="4"/>
    <x v="3"/>
    <x v="2"/>
    <x v="0"/>
    <n v="111544.6"/>
    <n v="68552.210000000006"/>
    <s v="Actual"/>
    <n v="5"/>
    <n v="42992.39"/>
    <n v="0.385427801973381"/>
  </r>
  <r>
    <s v="ORD1659"/>
    <d v="2023-03-20T00:00:00"/>
    <x v="5"/>
    <x v="1"/>
    <x v="1"/>
    <x v="0"/>
    <n v="33199.06"/>
    <n v="21701.48"/>
    <s v="Actual"/>
    <n v="3"/>
    <n v="11497.579999999998"/>
    <n v="0.34632245611773343"/>
  </r>
  <r>
    <s v="ORD718"/>
    <d v="2023-01-15T00:00:00"/>
    <x v="4"/>
    <x v="1"/>
    <x v="0"/>
    <x v="0"/>
    <n v="57211.99"/>
    <n v="39718.720000000001"/>
    <s v="Actual"/>
    <n v="4"/>
    <n v="17493.269999999997"/>
    <n v="0.30576230611800076"/>
  </r>
  <r>
    <s v="ORD6017"/>
    <d v="2023-06-25T00:00:00"/>
    <x v="0"/>
    <x v="2"/>
    <x v="2"/>
    <x v="0"/>
    <n v="107906.83"/>
    <n v="75768.3"/>
    <s v="Actual"/>
    <n v="5"/>
    <n v="32138.53"/>
    <n v="0.29783592011738275"/>
  </r>
  <r>
    <s v="ORD8462"/>
    <d v="2023-01-15T00:00:00"/>
    <x v="4"/>
    <x v="1"/>
    <x v="1"/>
    <x v="0"/>
    <n v="9740.7199999999993"/>
    <n v="7590.37"/>
    <s v="Actual"/>
    <s v="Unknown"/>
    <n v="2150.3499999999995"/>
    <n v="0.22075883507584651"/>
  </r>
  <r>
    <s v="ORD975"/>
    <d v="2023-02-15T00:00:00"/>
    <x v="1"/>
    <x v="1"/>
    <x v="1"/>
    <x v="0"/>
    <n v="8635.6299999999992"/>
    <n v="7017.89"/>
    <s v="Actual"/>
    <n v="1"/>
    <n v="1617.7399999999989"/>
    <n v="0.18733317661826629"/>
  </r>
  <r>
    <s v="ORD3014"/>
    <d v="2023-06-25T00:00:00"/>
    <x v="0"/>
    <x v="1"/>
    <x v="2"/>
    <x v="0"/>
    <n v="72823.039999999994"/>
    <n v="51458.57"/>
    <s v="Actual"/>
    <n v="4"/>
    <n v="21364.469999999994"/>
    <n v="0.29337514610760546"/>
  </r>
  <r>
    <s v="ORD1689"/>
    <s v="Not Mentioned"/>
    <x v="3"/>
    <x v="2"/>
    <x v="1"/>
    <x v="0"/>
    <n v="9950.2800000000007"/>
    <n v="7960.2240000000011"/>
    <s v="Estimated"/>
    <n v="1"/>
    <n v="1990.0559999999996"/>
    <n v="0.19999999999999996"/>
  </r>
  <r>
    <s v="ORD7285"/>
    <d v="2023-02-15T00:00:00"/>
    <x v="1"/>
    <x v="2"/>
    <x v="1"/>
    <x v="0"/>
    <n v="35560.730000000003"/>
    <n v="20790.88"/>
    <s v="Actual"/>
    <n v="3"/>
    <n v="14769.850000000002"/>
    <n v="0.41534158606980232"/>
  </r>
  <r>
    <s v="ORD277"/>
    <d v="2023-06-25T00:00:00"/>
    <x v="0"/>
    <x v="0"/>
    <x v="2"/>
    <x v="0"/>
    <n v="106166.98"/>
    <n v="62966.71"/>
    <s v="Actual"/>
    <n v="5"/>
    <n v="43200.27"/>
    <n v="0.4069087205833678"/>
  </r>
  <r>
    <s v="ORD7171"/>
    <d v="2023-01-15T00:00:00"/>
    <x v="4"/>
    <x v="1"/>
    <x v="0"/>
    <x v="0"/>
    <n v="25066.080000000002"/>
    <n v="20418.77"/>
    <s v="Actual"/>
    <n v="2"/>
    <n v="4647.3100000000013"/>
    <n v="0.18540234452295695"/>
  </r>
  <r>
    <s v="ORD243"/>
    <d v="2023-03-20T00:00:00"/>
    <x v="5"/>
    <x v="2"/>
    <x v="3"/>
    <x v="0"/>
    <n v="62709.599999999999"/>
    <n v="40794.15"/>
    <s v="Actual"/>
    <n v="1"/>
    <n v="21915.449999999997"/>
    <n v="0.34947519996938264"/>
  </r>
  <r>
    <s v="ORD2854"/>
    <d v="2023-06-25T00:00:00"/>
    <x v="0"/>
    <x v="0"/>
    <x v="0"/>
    <x v="0"/>
    <n v="49494.55"/>
    <n v="39125.03"/>
    <s v="Actual"/>
    <n v="4"/>
    <n v="10369.520000000004"/>
    <n v="0.20950831960286542"/>
  </r>
  <r>
    <s v="ORD1781"/>
    <d v="2023-01-15T00:00:00"/>
    <x v="4"/>
    <x v="2"/>
    <x v="2"/>
    <x v="0"/>
    <n v="88216.05"/>
    <n v="54871.4"/>
    <s v="Actual"/>
    <n v="4"/>
    <n v="33344.65"/>
    <n v="0.37798847261921159"/>
  </r>
  <r>
    <s v="ORD2577"/>
    <s v="Not Mentioned"/>
    <x v="3"/>
    <x v="0"/>
    <x v="1"/>
    <x v="0"/>
    <n v="20463.849999999999"/>
    <n v="16371.08"/>
    <s v="Estimated"/>
    <n v="2"/>
    <n v="4092.7699999999986"/>
    <n v="0.19999999999999996"/>
  </r>
  <r>
    <s v="ORD1007"/>
    <d v="2023-04-05T00:00:00"/>
    <x v="2"/>
    <x v="1"/>
    <x v="0"/>
    <x v="0"/>
    <n v="14384.29"/>
    <n v="8733.52"/>
    <s v="Actual"/>
    <n v="1"/>
    <n v="5650.77"/>
    <n v="0.39284316431328903"/>
  </r>
  <r>
    <s v="ORD7971"/>
    <d v="2023-04-05T00:00:00"/>
    <x v="2"/>
    <x v="2"/>
    <x v="1"/>
    <x v="0"/>
    <n v="52691.65"/>
    <n v="36731.75"/>
    <s v="Actual"/>
    <n v="5"/>
    <n v="15959.900000000001"/>
    <n v="0.30289239376637478"/>
  </r>
  <r>
    <s v="ORD712"/>
    <d v="2023-04-05T00:00:00"/>
    <x v="2"/>
    <x v="3"/>
    <x v="0"/>
    <x v="0"/>
    <n v="42535.81"/>
    <n v="32228.9"/>
    <s v="Actual"/>
    <n v="3"/>
    <n v="10306.909999999996"/>
    <n v="0.24231136070995232"/>
  </r>
  <r>
    <s v="ORD8183"/>
    <d v="2023-06-25T00:00:00"/>
    <x v="0"/>
    <x v="2"/>
    <x v="3"/>
    <x v="0"/>
    <n v="268664.95"/>
    <n v="196549.01"/>
    <s v="Actual"/>
    <n v="4"/>
    <n v="72115.94"/>
    <n v="0.26842332801506114"/>
  </r>
  <r>
    <s v="ORD9004"/>
    <d v="2023-01-15T00:00:00"/>
    <x v="4"/>
    <x v="0"/>
    <x v="3"/>
    <x v="0"/>
    <n v="278761.34000000003"/>
    <n v="247335.65"/>
    <s v="Actual"/>
    <n v="5"/>
    <n v="31425.690000000031"/>
    <n v="0.11273331517203938"/>
  </r>
  <r>
    <s v="ORD1645"/>
    <d v="2023-04-05T00:00:00"/>
    <x v="2"/>
    <x v="1"/>
    <x v="3"/>
    <x v="0"/>
    <n v="277464.77"/>
    <n v="156573.29999999999"/>
    <s v="Actual"/>
    <n v="4"/>
    <n v="120891.47000000003"/>
    <n v="0.43570025124270739"/>
  </r>
  <r>
    <s v="ORD5079"/>
    <d v="2023-02-15T00:00:00"/>
    <x v="1"/>
    <x v="1"/>
    <x v="0"/>
    <x v="0"/>
    <n v="33859.64"/>
    <n v="19296.330000000002"/>
    <s v="Actual"/>
    <n v="2"/>
    <n v="14563.309999999998"/>
    <n v="0.43010823505506846"/>
  </r>
  <r>
    <s v="ORD3326"/>
    <s v="Not Mentioned"/>
    <x v="3"/>
    <x v="1"/>
    <x v="3"/>
    <x v="0"/>
    <n v="290414.25"/>
    <n v="242176.49"/>
    <s v="Actual"/>
    <n v="5"/>
    <n v="48237.760000000009"/>
    <n v="0.16609983842046322"/>
  </r>
  <r>
    <s v="ORD2089"/>
    <d v="2023-04-05T00:00:00"/>
    <x v="2"/>
    <x v="1"/>
    <x v="3"/>
    <x v="0"/>
    <n v="237243.57"/>
    <n v="197059.72"/>
    <s v="Actual"/>
    <n v="4"/>
    <n v="40183.850000000006"/>
    <n v="0.16937803625194142"/>
  </r>
  <r>
    <s v="ORD7040"/>
    <d v="2023-06-25T00:00:00"/>
    <x v="0"/>
    <x v="3"/>
    <x v="3"/>
    <x v="0"/>
    <n v="213809.24"/>
    <n v="190666.85"/>
    <s v="Actual"/>
    <n v="4"/>
    <n v="23142.389999999985"/>
    <n v="0.10823849334107349"/>
  </r>
  <r>
    <s v="ORD2787"/>
    <d v="2023-02-15T00:00:00"/>
    <x v="1"/>
    <x v="3"/>
    <x v="3"/>
    <x v="0"/>
    <n v="288996.76"/>
    <n v="233957.74"/>
    <s v="Actual"/>
    <n v="5"/>
    <n v="55039.020000000019"/>
    <n v="0.19044857111892888"/>
  </r>
  <r>
    <s v="ORD5596"/>
    <d v="2023-03-20T00:00:00"/>
    <x v="5"/>
    <x v="3"/>
    <x v="3"/>
    <x v="0"/>
    <n v="144013.56"/>
    <n v="120456.49"/>
    <s v="Actual"/>
    <n v="3"/>
    <n v="23557.069999999992"/>
    <n v="0.16357536054243776"/>
  </r>
  <r>
    <s v="ORD2967"/>
    <s v="Not Mentioned"/>
    <x v="3"/>
    <x v="3"/>
    <x v="2"/>
    <x v="0"/>
    <n v="58141.16"/>
    <n v="36141.26"/>
    <s v="Actual"/>
    <n v="3"/>
    <n v="21999.9"/>
    <n v="0.37838770330691718"/>
  </r>
  <r>
    <s v="ORD2531"/>
    <d v="2023-04-05T00:00:00"/>
    <x v="2"/>
    <x v="1"/>
    <x v="0"/>
    <x v="0"/>
    <n v="32391.78"/>
    <n v="21197.3"/>
    <s v="Actual"/>
    <n v="2"/>
    <n v="11194.48"/>
    <n v="0.34559632104194338"/>
  </r>
  <r>
    <s v="ORD4198"/>
    <d v="2023-06-25T00:00:00"/>
    <x v="0"/>
    <x v="1"/>
    <x v="3"/>
    <x v="0"/>
    <n v="198191.16"/>
    <n v="192475.78"/>
    <s v="Actual"/>
    <n v="4"/>
    <n v="5715.3800000000047"/>
    <n v="2.8837714053442164E-2"/>
  </r>
  <r>
    <s v="ORD300"/>
    <d v="2023-06-25T00:00:00"/>
    <x v="0"/>
    <x v="1"/>
    <x v="3"/>
    <x v="0"/>
    <n v="247949.46"/>
    <n v="197794.69"/>
    <s v="Actual"/>
    <n v="4"/>
    <n v="50154.76999999999"/>
    <n v="0.20227819814570272"/>
  </r>
  <r>
    <s v="ORD7581"/>
    <d v="2023-01-15T00:00:00"/>
    <x v="4"/>
    <x v="3"/>
    <x v="1"/>
    <x v="0"/>
    <n v="33951.440000000002"/>
    <n v="22464.639999999999"/>
    <s v="Actual"/>
    <n v="3"/>
    <n v="11486.800000000003"/>
    <n v="0.33833027406201333"/>
  </r>
  <r>
    <s v="ORD2846"/>
    <d v="2023-04-05T00:00:00"/>
    <x v="2"/>
    <x v="0"/>
    <x v="2"/>
    <x v="0"/>
    <n v="78188.160000000003"/>
    <n v="56099.25"/>
    <s v="Actual"/>
    <n v="4"/>
    <n v="22088.910000000003"/>
    <n v="0.28250965363553771"/>
  </r>
  <r>
    <s v="ORD764"/>
    <d v="2023-02-15T00:00:00"/>
    <x v="1"/>
    <x v="1"/>
    <x v="2"/>
    <x v="0"/>
    <n v="79605.350000000006"/>
    <n v="56731.14"/>
    <s v="Actual"/>
    <n v="4"/>
    <n v="22874.210000000006"/>
    <n v="0.28734513446646492"/>
  </r>
  <r>
    <s v="ORD3800"/>
    <s v="Not Mentioned"/>
    <x v="3"/>
    <x v="3"/>
    <x v="3"/>
    <x v="0"/>
    <n v="249990.88"/>
    <n v="193832.11"/>
    <s v="Actual"/>
    <n v="4"/>
    <n v="56158.770000000019"/>
    <n v="0.22464327498667158"/>
  </r>
  <r>
    <s v="ORD991"/>
    <d v="2023-01-15T00:00:00"/>
    <x v="4"/>
    <x v="2"/>
    <x v="1"/>
    <x v="0"/>
    <n v="49485.77"/>
    <n v="34920.089999999997"/>
    <s v="Actual"/>
    <s v="Unknown"/>
    <n v="14565.68"/>
    <n v="0.29434077715674628"/>
  </r>
  <r>
    <s v="ORD2356"/>
    <d v="2023-06-25T00:00:00"/>
    <x v="0"/>
    <x v="1"/>
    <x v="0"/>
    <x v="0"/>
    <n v="45133.41"/>
    <n v="32056.67"/>
    <s v="Actual"/>
    <n v="3"/>
    <n v="13076.740000000005"/>
    <n v="0.28973525377320269"/>
  </r>
  <r>
    <s v="ORD7048"/>
    <d v="2023-04-05T00:00:00"/>
    <x v="2"/>
    <x v="2"/>
    <x v="1"/>
    <x v="0"/>
    <n v="43677.760000000002"/>
    <n v="29975.81"/>
    <s v="Actual"/>
    <n v="4"/>
    <n v="13701.95"/>
    <n v="0.31370541895921406"/>
  </r>
  <r>
    <s v="ORD7993"/>
    <d v="2023-04-05T00:00:00"/>
    <x v="2"/>
    <x v="1"/>
    <x v="3"/>
    <x v="0"/>
    <n v="63273.63"/>
    <n v="38825.269999999997"/>
    <s v="Actual"/>
    <n v="1"/>
    <n v="24448.36"/>
    <n v="0.38639098151947349"/>
  </r>
  <r>
    <s v="ORD8922"/>
    <d v="2023-02-15T00:00:00"/>
    <x v="1"/>
    <x v="2"/>
    <x v="3"/>
    <x v="0"/>
    <n v="227429.09"/>
    <n v="158446.13"/>
    <s v="Actual"/>
    <n v="4"/>
    <n v="68982.959999999992"/>
    <n v="0.30331634356888992"/>
  </r>
  <r>
    <s v="ORD870"/>
    <d v="2023-04-05T00:00:00"/>
    <x v="2"/>
    <x v="1"/>
    <x v="3"/>
    <x v="0"/>
    <n v="113372.16"/>
    <n v="90697.728000000003"/>
    <s v="Estimated"/>
    <n v="2"/>
    <n v="22674.432000000001"/>
    <n v="0.2"/>
  </r>
  <r>
    <s v="ORD3466"/>
    <d v="2023-06-25T00:00:00"/>
    <x v="0"/>
    <x v="2"/>
    <x v="0"/>
    <x v="0"/>
    <n v="87073.600000000006"/>
    <n v="43330.55"/>
    <s v="Actual"/>
    <s v="Unknown"/>
    <n v="43743.05"/>
    <n v="0.5023686858014369"/>
  </r>
  <r>
    <s v="ORD2130"/>
    <d v="2023-03-20T00:00:00"/>
    <x v="5"/>
    <x v="2"/>
    <x v="3"/>
    <x v="0"/>
    <n v="336962.72"/>
    <n v="203402.89"/>
    <s v="Actual"/>
    <n v="5"/>
    <n v="133559.82999999996"/>
    <n v="0.39636381733860637"/>
  </r>
  <r>
    <s v="ORD4243"/>
    <d v="2023-03-20T00:00:00"/>
    <x v="5"/>
    <x v="2"/>
    <x v="0"/>
    <x v="0"/>
    <n v="13837.88"/>
    <n v="10472.459999999999"/>
    <s v="Actual"/>
    <n v="1"/>
    <n v="3365.42"/>
    <n v="0.24320343867702279"/>
  </r>
  <r>
    <s v="ORD667"/>
    <d v="2023-01-15T00:00:00"/>
    <x v="4"/>
    <x v="1"/>
    <x v="0"/>
    <x v="0"/>
    <n v="12164.52"/>
    <n v="9482.44"/>
    <s v="Actual"/>
    <n v="1"/>
    <n v="2682.08"/>
    <n v="0.2204838333119597"/>
  </r>
  <r>
    <s v="ORD4415"/>
    <d v="2023-03-20T00:00:00"/>
    <x v="5"/>
    <x v="2"/>
    <x v="1"/>
    <x v="0"/>
    <n v="40955.019999999997"/>
    <n v="24536.81"/>
    <s v="Actual"/>
    <n v="4"/>
    <n v="16418.209999999995"/>
    <n v="0.40088394536249761"/>
  </r>
  <r>
    <s v="ORD7268"/>
    <s v="Not Mentioned"/>
    <x v="3"/>
    <x v="2"/>
    <x v="1"/>
    <x v="0"/>
    <n v="16311.97"/>
    <n v="12008.35"/>
    <s v="Actual"/>
    <s v="Unknown"/>
    <n v="4303.619999999999"/>
    <n v="0.26383202028939479"/>
  </r>
  <r>
    <s v="ORD7139"/>
    <d v="2023-06-25T00:00:00"/>
    <x v="0"/>
    <x v="2"/>
    <x v="3"/>
    <x v="0"/>
    <n v="101574.67"/>
    <n v="98008.17"/>
    <s v="Actual"/>
    <n v="2"/>
    <n v="3566.5"/>
    <n v="3.5112100290357821E-2"/>
  </r>
  <r>
    <s v="ORD2932"/>
    <s v="Not Mentioned"/>
    <x v="3"/>
    <x v="2"/>
    <x v="0"/>
    <x v="0"/>
    <n v="48742.5"/>
    <n v="43707.42"/>
    <s v="Actual"/>
    <n v="4"/>
    <n v="5035.0800000000017"/>
    <n v="0.10329958455146949"/>
  </r>
  <r>
    <s v="ORD1382"/>
    <d v="2023-04-05T00:00:00"/>
    <x v="2"/>
    <x v="3"/>
    <x v="0"/>
    <x v="0"/>
    <n v="42411.34"/>
    <n v="31701.11"/>
    <s v="Actual"/>
    <n v="3"/>
    <n v="10710.229999999996"/>
    <n v="0.25253222369300277"/>
  </r>
  <r>
    <s v="ORD7652"/>
    <d v="2023-04-05T00:00:00"/>
    <x v="2"/>
    <x v="2"/>
    <x v="0"/>
    <x v="0"/>
    <n v="56334.65"/>
    <n v="39804.68"/>
    <s v="Actual"/>
    <n v="4"/>
    <n v="16529.97"/>
    <n v="0.29342456197029715"/>
  </r>
  <r>
    <s v="ORD3660"/>
    <d v="2023-03-20T00:00:00"/>
    <x v="5"/>
    <x v="3"/>
    <x v="1"/>
    <x v="0"/>
    <n v="11170.09"/>
    <n v="6757.53"/>
    <s v="Actual"/>
    <n v="1"/>
    <n v="4412.5600000000004"/>
    <n v="0.39503352255890511"/>
  </r>
  <r>
    <s v="ORD283"/>
    <d v="2023-04-05T00:00:00"/>
    <x v="2"/>
    <x v="1"/>
    <x v="3"/>
    <x v="0"/>
    <n v="130662.88"/>
    <n v="88501.2"/>
    <s v="Actual"/>
    <n v="2"/>
    <n v="42161.680000000008"/>
    <n v="0.322675269364949"/>
  </r>
  <r>
    <s v="ORD8166"/>
    <d v="2023-04-05T00:00:00"/>
    <x v="2"/>
    <x v="1"/>
    <x v="2"/>
    <x v="0"/>
    <n v="47104.67"/>
    <n v="24841.57"/>
    <s v="Actual"/>
    <n v="2"/>
    <n v="22263.1"/>
    <n v="0.47263042072049333"/>
  </r>
  <r>
    <s v="ORD4536"/>
    <s v="Not Mentioned"/>
    <x v="3"/>
    <x v="3"/>
    <x v="0"/>
    <x v="0"/>
    <n v="15376.27"/>
    <n v="9603.06"/>
    <s v="Actual"/>
    <n v="1"/>
    <n v="5773.2100000000009"/>
    <n v="0.37546231953523196"/>
  </r>
  <r>
    <s v="ORD2863"/>
    <d v="2023-01-15T00:00:00"/>
    <x v="4"/>
    <x v="1"/>
    <x v="2"/>
    <x v="0"/>
    <n v="90480.61"/>
    <n v="58303.39"/>
    <s v="Actual"/>
    <n v="4"/>
    <n v="32177.22"/>
    <n v="0.35562558652069215"/>
  </r>
  <r>
    <s v="ORD8661"/>
    <d v="2023-02-15T00:00:00"/>
    <x v="1"/>
    <x v="1"/>
    <x v="3"/>
    <x v="0"/>
    <n v="69434.16"/>
    <n v="38952.65"/>
    <s v="Actual"/>
    <n v="1"/>
    <n v="30481.510000000002"/>
    <n v="0.43899875796005888"/>
  </r>
  <r>
    <s v="ORD4735"/>
    <s v="Not Mentioned"/>
    <x v="3"/>
    <x v="1"/>
    <x v="3"/>
    <x v="0"/>
    <n v="206787.48"/>
    <n v="132543.88"/>
    <s v="Actual"/>
    <n v="3"/>
    <n v="74243.600000000006"/>
    <n v="0.35903334186383046"/>
  </r>
  <r>
    <s v="ORD2088"/>
    <d v="2023-06-25T00:00:00"/>
    <x v="0"/>
    <x v="1"/>
    <x v="2"/>
    <x v="0"/>
    <n v="71947.7"/>
    <n v="42806.62"/>
    <s v="Actual"/>
    <s v="Unknown"/>
    <n v="29141.079999999994"/>
    <n v="0.40503143255448049"/>
  </r>
  <r>
    <s v="ORD4175"/>
    <d v="2023-02-15T00:00:00"/>
    <x v="1"/>
    <x v="1"/>
    <x v="0"/>
    <x v="0"/>
    <n v="60169.97"/>
    <n v="54213.64"/>
    <s v="Actual"/>
    <n v="5"/>
    <n v="5956.3300000000017"/>
    <n v="9.8991739567096365E-2"/>
  </r>
  <r>
    <s v="ORD182"/>
    <d v="2023-03-20T00:00:00"/>
    <x v="5"/>
    <x v="1"/>
    <x v="2"/>
    <x v="0"/>
    <n v="77027.41"/>
    <n v="48524.14"/>
    <s v="Actual"/>
    <n v="4"/>
    <n v="28503.270000000004"/>
    <n v="0.37004061281561984"/>
  </r>
  <r>
    <s v="ORD2497"/>
    <d v="2023-04-05T00:00:00"/>
    <x v="2"/>
    <x v="2"/>
    <x v="1"/>
    <x v="0"/>
    <n v="16614.900000000001"/>
    <n v="13652.18"/>
    <s v="Actual"/>
    <n v="2"/>
    <n v="2962.7200000000012"/>
    <n v="0.17831705276589091"/>
  </r>
  <r>
    <s v="ORD2588"/>
    <d v="2023-01-15T00:00:00"/>
    <x v="4"/>
    <x v="1"/>
    <x v="0"/>
    <x v="0"/>
    <n v="50462.69"/>
    <n v="32469.21"/>
    <s v="Actual"/>
    <n v="3"/>
    <n v="17993.480000000003"/>
    <n v="0.35656997278583447"/>
  </r>
  <r>
    <s v="ORD1182"/>
    <s v="Not Mentioned"/>
    <x v="3"/>
    <x v="2"/>
    <x v="2"/>
    <x v="0"/>
    <n v="81346.77"/>
    <n v="63255.99"/>
    <s v="Actual"/>
    <n v="5"/>
    <n v="18090.780000000006"/>
    <n v="0.22239088288324177"/>
  </r>
  <r>
    <s v="ORD9244"/>
    <s v="Not Mentioned"/>
    <x v="3"/>
    <x v="1"/>
    <x v="2"/>
    <x v="0"/>
    <n v="83993.08"/>
    <n v="48604.86"/>
    <s v="Actual"/>
    <n v="4"/>
    <n v="35388.22"/>
    <n v="0.42132304232682027"/>
  </r>
  <r>
    <s v="ORD5945"/>
    <d v="2023-03-20T00:00:00"/>
    <x v="5"/>
    <x v="1"/>
    <x v="0"/>
    <x v="0"/>
    <n v="51429.02"/>
    <n v="41753.46"/>
    <s v="Actual"/>
    <n v="4"/>
    <n v="9675.5599999999977"/>
    <n v="0.18813424794017072"/>
  </r>
  <r>
    <s v="ORD6793"/>
    <d v="2023-04-05T00:00:00"/>
    <x v="2"/>
    <x v="2"/>
    <x v="3"/>
    <x v="0"/>
    <n v="263126.78999999998"/>
    <n v="167232.16"/>
    <s v="Actual"/>
    <n v="4"/>
    <n v="95894.629999999976"/>
    <n v="0.36444267039475525"/>
  </r>
  <r>
    <s v="ORD9662"/>
    <d v="2023-01-15T00:00:00"/>
    <x v="4"/>
    <x v="0"/>
    <x v="0"/>
    <x v="0"/>
    <n v="43808.71"/>
    <n v="32324.57"/>
    <s v="Actual"/>
    <n v="3"/>
    <n v="11484.14"/>
    <n v="0.26214284784920622"/>
  </r>
  <r>
    <s v="ORD4607"/>
    <d v="2023-01-15T00:00:00"/>
    <x v="4"/>
    <x v="0"/>
    <x v="0"/>
    <x v="0"/>
    <n v="16223.14"/>
    <n v="8510.91"/>
    <s v="Actual"/>
    <n v="1"/>
    <n v="7712.23"/>
    <n v="0.47538454331282354"/>
  </r>
  <r>
    <s v="ORD2124"/>
    <d v="2023-04-05T00:00:00"/>
    <x v="2"/>
    <x v="1"/>
    <x v="0"/>
    <x v="0"/>
    <n v="13788.31"/>
    <n v="8763.41"/>
    <s v="Actual"/>
    <s v="Unknown"/>
    <n v="5024.8999999999996"/>
    <n v="0.36443189919576802"/>
  </r>
  <r>
    <s v="ORD9588"/>
    <d v="2023-02-15T00:00:00"/>
    <x v="1"/>
    <x v="1"/>
    <x v="0"/>
    <x v="0"/>
    <n v="31613.09"/>
    <n v="25290.472000000002"/>
    <s v="Estimated"/>
    <n v="2"/>
    <n v="6322.6179999999986"/>
    <n v="0.19999999999999996"/>
  </r>
  <r>
    <s v="ORD362"/>
    <d v="2023-04-05T00:00:00"/>
    <x v="2"/>
    <x v="2"/>
    <x v="3"/>
    <x v="0"/>
    <n v="196595.74"/>
    <n v="136610.32"/>
    <s v="Actual"/>
    <s v="Unknown"/>
    <n v="59985.419999999984"/>
    <n v="0.30512065012192019"/>
  </r>
  <r>
    <s v="ORD1234"/>
    <d v="2023-01-15T00:00:00"/>
    <x v="4"/>
    <x v="1"/>
    <x v="0"/>
    <x v="0"/>
    <n v="71390.2"/>
    <n v="34521.99"/>
    <s v="Actual"/>
    <n v="4"/>
    <n v="36868.21"/>
    <n v="0.51643236746780374"/>
  </r>
  <r>
    <s v="ORD967"/>
    <s v="Not Mentioned"/>
    <x v="3"/>
    <x v="2"/>
    <x v="2"/>
    <x v="0"/>
    <n v="40700.89"/>
    <n v="24499.07"/>
    <s v="Actual"/>
    <n v="2"/>
    <n v="16201.82"/>
    <n v="0.39807041074531785"/>
  </r>
  <r>
    <s v="ORD957"/>
    <s v="Not Mentioned"/>
    <x v="3"/>
    <x v="1"/>
    <x v="0"/>
    <x v="0"/>
    <n v="16417.2"/>
    <n v="9325.61"/>
    <s v="Actual"/>
    <n v="1"/>
    <n v="7091.59"/>
    <n v="0.43196099213020489"/>
  </r>
  <r>
    <s v="ORD6818"/>
    <d v="2023-01-15T00:00:00"/>
    <x v="4"/>
    <x v="2"/>
    <x v="1"/>
    <x v="0"/>
    <n v="36276.04"/>
    <n v="25338.639999999999"/>
    <s v="Actual"/>
    <n v="4"/>
    <n v="10937.400000000001"/>
    <n v="0.30150479490043569"/>
  </r>
  <r>
    <s v="ORD1719"/>
    <d v="2023-04-05T00:00:00"/>
    <x v="2"/>
    <x v="2"/>
    <x v="3"/>
    <x v="0"/>
    <n v="281016.44"/>
    <n v="232820.24"/>
    <s v="Actual"/>
    <n v="5"/>
    <n v="48196.200000000012"/>
    <n v="0.17150669192165416"/>
  </r>
  <r>
    <s v="ORD9835"/>
    <d v="2023-06-25T00:00:00"/>
    <x v="0"/>
    <x v="1"/>
    <x v="0"/>
    <x v="0"/>
    <n v="68329.460000000006"/>
    <n v="34235.949999999997"/>
    <s v="Actual"/>
    <n v="4"/>
    <n v="34093.510000000009"/>
    <n v="0.49895769701677734"/>
  </r>
  <r>
    <s v="ORD6223"/>
    <d v="2023-06-25T00:00:00"/>
    <x v="0"/>
    <x v="0"/>
    <x v="3"/>
    <x v="0"/>
    <n v="124958.01"/>
    <n v="99966.407999999996"/>
    <s v="Estimated"/>
    <n v="2"/>
    <n v="24991.601999999999"/>
    <n v="0.2"/>
  </r>
  <r>
    <s v="ORD1025"/>
    <d v="2023-03-20T00:00:00"/>
    <x v="5"/>
    <x v="2"/>
    <x v="2"/>
    <x v="0"/>
    <n v="71106.44"/>
    <n v="36493.85"/>
    <s v="Actual"/>
    <n v="3"/>
    <n v="34612.590000000004"/>
    <n v="0.48677152167933035"/>
  </r>
  <r>
    <s v="ORD2072"/>
    <s v="Not Mentioned"/>
    <x v="3"/>
    <x v="1"/>
    <x v="0"/>
    <x v="0"/>
    <n v="53669.760000000002"/>
    <n v="29454.49"/>
    <s v="Actual"/>
    <n v="3"/>
    <n v="24215.27"/>
    <n v="0.45119020468882287"/>
  </r>
  <r>
    <s v="ORD6939"/>
    <s v="Not Mentioned"/>
    <x v="3"/>
    <x v="1"/>
    <x v="1"/>
    <x v="0"/>
    <n v="11560.56"/>
    <n v="9248.4480000000003"/>
    <s v="Estimated"/>
    <s v="Unknown"/>
    <n v="2312.1119999999992"/>
    <n v="0.19999999999999993"/>
  </r>
  <r>
    <s v="ORD3645"/>
    <s v="Not Mentioned"/>
    <x v="3"/>
    <x v="2"/>
    <x v="2"/>
    <x v="0"/>
    <n v="66266.12"/>
    <n v="39419.81"/>
    <s v="Actual"/>
    <n v="3"/>
    <n v="26846.309999999998"/>
    <n v="0.40512874452284214"/>
  </r>
  <r>
    <s v="ORD9811"/>
    <d v="2023-03-20T00:00:00"/>
    <x v="5"/>
    <x v="2"/>
    <x v="2"/>
    <x v="0"/>
    <n v="98343.92"/>
    <n v="69315.3"/>
    <s v="Actual"/>
    <n v="5"/>
    <n v="29028.619999999995"/>
    <n v="0.2951745262950673"/>
  </r>
  <r>
    <s v="ORD3743"/>
    <d v="2023-02-15T00:00:00"/>
    <x v="1"/>
    <x v="1"/>
    <x v="2"/>
    <x v="0"/>
    <n v="57404.6"/>
    <n v="42620.69"/>
    <s v="Actual"/>
    <n v="3"/>
    <n v="14783.909999999996"/>
    <n v="0.2575387686701065"/>
  </r>
  <r>
    <s v="ORD1619"/>
    <d v="2023-03-20T00:00:00"/>
    <x v="5"/>
    <x v="2"/>
    <x v="3"/>
    <x v="0"/>
    <n v="216916.01"/>
    <n v="172664.81"/>
    <s v="Actual"/>
    <n v="4"/>
    <n v="44251.200000000012"/>
    <n v="0.20400153958207146"/>
  </r>
  <r>
    <s v="ORD9199"/>
    <d v="2023-04-05T00:00:00"/>
    <x v="2"/>
    <x v="1"/>
    <x v="2"/>
    <x v="0"/>
    <n v="23681.08"/>
    <n v="13725.11"/>
    <s v="Actual"/>
    <n v="1"/>
    <n v="9955.9700000000012"/>
    <n v="0.42041874779359728"/>
  </r>
  <r>
    <s v="ORD712"/>
    <d v="2023-04-05T00:00:00"/>
    <x v="2"/>
    <x v="0"/>
    <x v="3"/>
    <x v="0"/>
    <n v="191995.23"/>
    <n v="120241.12"/>
    <s v="Actual"/>
    <n v="3"/>
    <n v="71754.110000000015"/>
    <n v="0.37372860773676519"/>
  </r>
  <r>
    <s v="ORD5444"/>
    <d v="2023-06-25T00:00:00"/>
    <x v="0"/>
    <x v="2"/>
    <x v="2"/>
    <x v="0"/>
    <n v="49105.36"/>
    <n v="44184.83"/>
    <s v="Actual"/>
    <n v="3"/>
    <n v="4920.5299999999988"/>
    <n v="0.10020352157076129"/>
  </r>
  <r>
    <s v="ORD5422"/>
    <d v="2023-04-05T00:00:00"/>
    <x v="2"/>
    <x v="0"/>
    <x v="2"/>
    <x v="0"/>
    <n v="73244.320000000007"/>
    <n v="53169.71"/>
    <s v="Actual"/>
    <s v="Unknown"/>
    <n v="20074.610000000008"/>
    <n v="0.27407736190328486"/>
  </r>
  <r>
    <s v="ORD5956"/>
    <d v="2023-03-20T00:00:00"/>
    <x v="5"/>
    <x v="2"/>
    <x v="3"/>
    <x v="0"/>
    <n v="148154.60999999999"/>
    <n v="129747.33"/>
    <s v="Actual"/>
    <n v="3"/>
    <n v="18407.279999999984"/>
    <n v="0.12424372079950793"/>
  </r>
  <r>
    <s v="ORD4786"/>
    <d v="2023-06-25T00:00:00"/>
    <x v="0"/>
    <x v="2"/>
    <x v="1"/>
    <x v="0"/>
    <n v="8961.6"/>
    <n v="6285.29"/>
    <s v="Actual"/>
    <n v="1"/>
    <n v="2676.3100000000004"/>
    <n v="0.29864198357436178"/>
  </r>
  <r>
    <s v="ORD3871"/>
    <d v="2023-03-20T00:00:00"/>
    <x v="5"/>
    <x v="0"/>
    <x v="3"/>
    <x v="0"/>
    <n v="51556.27"/>
    <n v="45894.94"/>
    <s v="Actual"/>
    <n v="1"/>
    <n v="5661.3299999999945"/>
    <n v="0.1098087584691444"/>
  </r>
  <r>
    <s v="ORD5557"/>
    <d v="2023-02-15T00:00:00"/>
    <x v="1"/>
    <x v="0"/>
    <x v="2"/>
    <x v="0"/>
    <n v="54779.91"/>
    <n v="39407.03"/>
    <s v="Actual"/>
    <n v="3"/>
    <n v="15372.880000000005"/>
    <n v="0.28062988785487242"/>
  </r>
  <r>
    <s v="ORD370"/>
    <d v="2023-03-20T00:00:00"/>
    <x v="5"/>
    <x v="2"/>
    <x v="0"/>
    <x v="0"/>
    <n v="26456.16"/>
    <n v="19955.650000000001"/>
    <s v="Actual"/>
    <n v="2"/>
    <n v="6500.5099999999984"/>
    <n v="0.24570874987148544"/>
  </r>
  <r>
    <s v="ORD532"/>
    <d v="2023-06-25T00:00:00"/>
    <x v="0"/>
    <x v="0"/>
    <x v="3"/>
    <x v="0"/>
    <n v="150843.82"/>
    <n v="120675.05600000001"/>
    <s v="Estimated"/>
    <n v="3"/>
    <n v="30168.763999999996"/>
    <n v="0.19999999999999996"/>
  </r>
  <r>
    <s v="ORD4240"/>
    <d v="2023-02-15T00:00:00"/>
    <x v="1"/>
    <x v="2"/>
    <x v="3"/>
    <x v="0"/>
    <n v="214120"/>
    <n v="153066.32"/>
    <s v="Actual"/>
    <n v="4"/>
    <n v="61053.679999999993"/>
    <n v="0.28513767980571642"/>
  </r>
  <r>
    <s v="ORD4811"/>
    <s v="Not Mentioned"/>
    <x v="3"/>
    <x v="2"/>
    <x v="2"/>
    <x v="0"/>
    <n v="108504.85"/>
    <n v="73793.64"/>
    <s v="Actual"/>
    <n v="5"/>
    <n v="34711.210000000006"/>
    <n v="0.31990468628821667"/>
  </r>
  <r>
    <s v="ORD9712"/>
    <d v="2023-02-15T00:00:00"/>
    <x v="1"/>
    <x v="1"/>
    <x v="2"/>
    <x v="0"/>
    <n v="85984.06"/>
    <n v="66162.070000000007"/>
    <s v="Actual"/>
    <s v="Unknown"/>
    <n v="19821.989999999991"/>
    <n v="0.23053098446386447"/>
  </r>
  <r>
    <s v="ORD6310"/>
    <d v="2023-04-05T00:00:00"/>
    <x v="2"/>
    <x v="1"/>
    <x v="3"/>
    <x v="0"/>
    <n v="62437.29"/>
    <n v="41586.300000000003"/>
    <s v="Actual"/>
    <n v="1"/>
    <n v="20850.989999999998"/>
    <n v="0.33395091298805568"/>
  </r>
  <r>
    <s v="ORD1166"/>
    <d v="2023-01-15T00:00:00"/>
    <x v="4"/>
    <x v="1"/>
    <x v="3"/>
    <x v="0"/>
    <n v="129466.05"/>
    <n v="92572.35"/>
    <s v="Actual"/>
    <n v="2"/>
    <n v="36893.699999999997"/>
    <n v="0.28496814415825611"/>
  </r>
  <r>
    <s v="ORD4408"/>
    <d v="2023-04-05T00:00:00"/>
    <x v="2"/>
    <x v="2"/>
    <x v="2"/>
    <x v="0"/>
    <n v="49245.49"/>
    <n v="37192.79"/>
    <s v="Actual"/>
    <n v="3"/>
    <n v="12052.699999999997"/>
    <n v="0.24474728548746286"/>
  </r>
  <r>
    <s v="ORD983"/>
    <d v="2023-03-20T00:00:00"/>
    <x v="5"/>
    <x v="1"/>
    <x v="0"/>
    <x v="0"/>
    <n v="13871.9"/>
    <n v="9706.25"/>
    <s v="Actual"/>
    <n v="1"/>
    <n v="4165.6499999999996"/>
    <n v="0.30029411976729936"/>
  </r>
  <r>
    <s v="ORD8032"/>
    <d v="2023-03-20T00:00:00"/>
    <x v="5"/>
    <x v="2"/>
    <x v="2"/>
    <x v="0"/>
    <n v="23762.06"/>
    <n v="13431.81"/>
    <s v="Actual"/>
    <n v="1"/>
    <n v="10330.250000000002"/>
    <n v="0.43473713979343548"/>
  </r>
  <r>
    <s v="ORD3763"/>
    <d v="2023-03-20T00:00:00"/>
    <x v="5"/>
    <x v="2"/>
    <x v="3"/>
    <x v="0"/>
    <n v="326214.46999999997"/>
    <n v="239773.53"/>
    <s v="Actual"/>
    <n v="5"/>
    <n v="86440.939999999973"/>
    <n v="0.26498193044594243"/>
  </r>
  <r>
    <s v="ORD4277"/>
    <d v="2023-03-20T00:00:00"/>
    <x v="5"/>
    <x v="2"/>
    <x v="3"/>
    <x v="0"/>
    <n v="257006.63"/>
    <n v="181126.31"/>
    <s v="Actual"/>
    <n v="4"/>
    <n v="75880.320000000007"/>
    <n v="0.29524654675250989"/>
  </r>
  <r>
    <s v="ORD1139"/>
    <d v="2023-01-15T00:00:00"/>
    <x v="4"/>
    <x v="2"/>
    <x v="1"/>
    <x v="0"/>
    <n v="31535.919999999998"/>
    <n v="19149.43"/>
    <s v="Actual"/>
    <s v="Unknown"/>
    <n v="12386.489999999998"/>
    <n v="0.392774017691572"/>
  </r>
  <r>
    <s v="ORD1018"/>
    <d v="2023-03-20T00:00:00"/>
    <x v="5"/>
    <x v="2"/>
    <x v="3"/>
    <x v="0"/>
    <n v="230834.63"/>
    <n v="156075.89000000001"/>
    <s v="Actual"/>
    <n v="4"/>
    <n v="74758.739999999991"/>
    <n v="0.32386275837381934"/>
  </r>
  <r>
    <s v="ORD9319"/>
    <d v="2023-04-05T00:00:00"/>
    <x v="2"/>
    <x v="2"/>
    <x v="2"/>
    <x v="0"/>
    <n v="95425.59"/>
    <n v="58588.07"/>
    <s v="Actual"/>
    <n v="4"/>
    <n v="36837.519999999997"/>
    <n v="0.38603397683996504"/>
  </r>
  <r>
    <s v="ORD1517"/>
    <d v="2023-04-05T00:00:00"/>
    <x v="2"/>
    <x v="1"/>
    <x v="1"/>
    <x v="0"/>
    <n v="23530.18"/>
    <n v="18824.144"/>
    <s v="Estimated"/>
    <n v="2"/>
    <n v="4706.0360000000001"/>
    <n v="0.2"/>
  </r>
  <r>
    <s v="ORD7241"/>
    <d v="2023-02-15T00:00:00"/>
    <x v="1"/>
    <x v="0"/>
    <x v="3"/>
    <x v="0"/>
    <n v="262777.84000000003"/>
    <n v="223997.81"/>
    <s v="Actual"/>
    <n v="5"/>
    <n v="38780.030000000028"/>
    <n v="0.14757724623963733"/>
  </r>
  <r>
    <s v="ORD7163"/>
    <s v="Not Mentioned"/>
    <x v="3"/>
    <x v="0"/>
    <x v="1"/>
    <x v="0"/>
    <n v="21518.23"/>
    <n v="12403.8"/>
    <s v="Actual"/>
    <n v="2"/>
    <n v="9114.43"/>
    <n v="0.42356783062547432"/>
  </r>
  <r>
    <s v="ORD7409"/>
    <d v="2023-03-20T00:00:00"/>
    <x v="5"/>
    <x v="1"/>
    <x v="1"/>
    <x v="0"/>
    <n v="10103.02"/>
    <n v="8082.4160000000011"/>
    <s v="Estimated"/>
    <n v="1"/>
    <n v="2020.6039999999994"/>
    <n v="0.19999999999999993"/>
  </r>
  <r>
    <s v="ORD5396"/>
    <d v="2023-01-15T00:00:00"/>
    <x v="4"/>
    <x v="1"/>
    <x v="0"/>
    <x v="0"/>
    <n v="66078.98"/>
    <n v="49844.82"/>
    <s v="Actual"/>
    <n v="5"/>
    <n v="16234.159999999996"/>
    <n v="0.24567812638754408"/>
  </r>
  <r>
    <s v="ORD9367"/>
    <d v="2023-02-15T00:00:00"/>
    <x v="1"/>
    <x v="2"/>
    <x v="1"/>
    <x v="0"/>
    <n v="35490.97"/>
    <n v="19944.939999999999"/>
    <s v="Actual"/>
    <n v="3"/>
    <n v="15546.030000000002"/>
    <n v="0.43802775748310069"/>
  </r>
  <r>
    <s v="ORD4676"/>
    <d v="2023-03-20T00:00:00"/>
    <x v="5"/>
    <x v="2"/>
    <x v="0"/>
    <x v="0"/>
    <n v="25111.51"/>
    <n v="20741.919999999998"/>
    <s v="Actual"/>
    <n v="2"/>
    <n v="4369.59"/>
    <n v="0.17400745713818089"/>
  </r>
  <r>
    <s v="ORD9560"/>
    <d v="2023-04-05T00:00:00"/>
    <x v="2"/>
    <x v="1"/>
    <x v="0"/>
    <x v="0"/>
    <n v="62719"/>
    <n v="40376.879999999997"/>
    <s v="Actual"/>
    <n v="4"/>
    <n v="22342.120000000003"/>
    <n v="0.35622570512922724"/>
  </r>
  <r>
    <s v="ORD2184"/>
    <d v="2023-02-15T00:00:00"/>
    <x v="1"/>
    <x v="1"/>
    <x v="3"/>
    <x v="0"/>
    <n v="249257.42"/>
    <n v="242503.22"/>
    <s v="Actual"/>
    <n v="5"/>
    <n v="6754.2000000000116"/>
    <n v="2.7097287615349672E-2"/>
  </r>
  <r>
    <s v="ORD2993"/>
    <d v="2023-03-20T00:00:00"/>
    <x v="5"/>
    <x v="1"/>
    <x v="1"/>
    <x v="0"/>
    <n v="23079.71"/>
    <n v="13241.49"/>
    <s v="Actual"/>
    <n v="2"/>
    <n v="9838.2199999999993"/>
    <n v="0.42627138729212799"/>
  </r>
  <r>
    <s v="ORD5027"/>
    <s v="Not Mentioned"/>
    <x v="3"/>
    <x v="2"/>
    <x v="1"/>
    <x v="0"/>
    <n v="33248.910000000003"/>
    <n v="20094.349999999999"/>
    <s v="Actual"/>
    <n v="3"/>
    <n v="13154.560000000005"/>
    <n v="0.39563883447607767"/>
  </r>
  <r>
    <s v="ORD3041"/>
    <d v="2023-02-15T00:00:00"/>
    <x v="1"/>
    <x v="0"/>
    <x v="3"/>
    <x v="0"/>
    <n v="133794.57999999999"/>
    <n v="86722.77"/>
    <s v="Actual"/>
    <n v="2"/>
    <n v="47071.809999999983"/>
    <n v="0.351821501289514"/>
  </r>
  <r>
    <s v="ORD7915"/>
    <d v="2023-06-25T00:00:00"/>
    <x v="0"/>
    <x v="3"/>
    <x v="0"/>
    <x v="0"/>
    <n v="83519.62"/>
    <n v="47742.37"/>
    <s v="Actual"/>
    <n v="5"/>
    <n v="35777.249999999993"/>
    <n v="0.42836940589528538"/>
  </r>
  <r>
    <s v="ORD1195"/>
    <d v="2023-03-20T00:00:00"/>
    <x v="5"/>
    <x v="2"/>
    <x v="1"/>
    <x v="0"/>
    <n v="54935.53"/>
    <n v="36054.949999999997"/>
    <s v="Actual"/>
    <n v="5"/>
    <n v="18880.580000000002"/>
    <n v="0.34368613536631032"/>
  </r>
  <r>
    <s v="ORD3591"/>
    <d v="2023-06-25T00:00:00"/>
    <x v="0"/>
    <x v="0"/>
    <x v="0"/>
    <x v="0"/>
    <n v="14141.32"/>
    <n v="9384.4699999999993"/>
    <s v="Actual"/>
    <n v="1"/>
    <n v="4756.8500000000004"/>
    <n v="0.33637948932631467"/>
  </r>
  <r>
    <s v="ORD2029"/>
    <d v="2023-03-20T00:00:00"/>
    <x v="5"/>
    <x v="1"/>
    <x v="2"/>
    <x v="0"/>
    <n v="37976.32"/>
    <n v="25700.49"/>
    <s v="Actual"/>
    <n v="2"/>
    <n v="12275.829999999998"/>
    <n v="0.32324959343085369"/>
  </r>
  <r>
    <s v="ORD3773"/>
    <d v="2023-06-25T00:00:00"/>
    <x v="0"/>
    <x v="2"/>
    <x v="3"/>
    <x v="0"/>
    <n v="321232.89"/>
    <n v="238382.35"/>
    <s v="Actual"/>
    <n v="5"/>
    <n v="82850.540000000008"/>
    <n v="0.25791425031228904"/>
  </r>
  <r>
    <s v="ORD9306"/>
    <d v="2023-01-15T00:00:00"/>
    <x v="4"/>
    <x v="2"/>
    <x v="2"/>
    <x v="0"/>
    <n v="18761.84"/>
    <n v="13349.7"/>
    <s v="Actual"/>
    <n v="1"/>
    <n v="5412.1399999999994"/>
    <n v="0.28846531043863499"/>
  </r>
  <r>
    <s v="ORD5507"/>
    <d v="2023-03-20T00:00:00"/>
    <x v="5"/>
    <x v="2"/>
    <x v="1"/>
    <x v="0"/>
    <n v="26944.23"/>
    <n v="18153.09"/>
    <s v="Actual"/>
    <n v="3"/>
    <n v="8791.14"/>
    <n v="0.32627171012123929"/>
  </r>
  <r>
    <s v="ORD6618"/>
    <d v="2023-01-15T00:00:00"/>
    <x v="4"/>
    <x v="2"/>
    <x v="3"/>
    <x v="0"/>
    <n v="58294.66"/>
    <n v="44335.18"/>
    <s v="Actual"/>
    <n v="1"/>
    <n v="13959.480000000003"/>
    <n v="0.23946412930446806"/>
  </r>
  <r>
    <s v="ORD7160"/>
    <d v="2023-06-25T00:00:00"/>
    <x v="0"/>
    <x v="2"/>
    <x v="3"/>
    <x v="0"/>
    <n v="323595.27"/>
    <n v="219133.34"/>
    <s v="Actual"/>
    <n v="5"/>
    <n v="104461.93000000002"/>
    <n v="0.32281661595362632"/>
  </r>
  <r>
    <s v="ORD1504"/>
    <d v="2023-01-15T00:00:00"/>
    <x v="4"/>
    <x v="3"/>
    <x v="0"/>
    <x v="0"/>
    <n v="27039.27"/>
    <n v="17049.89"/>
    <s v="Actual"/>
    <n v="2"/>
    <n v="9989.380000000001"/>
    <n v="0.36943970750689648"/>
  </r>
  <r>
    <s v="ORD641"/>
    <d v="2023-01-15T00:00:00"/>
    <x v="4"/>
    <x v="2"/>
    <x v="1"/>
    <x v="0"/>
    <n v="27426.11"/>
    <n v="20640.78"/>
    <s v="Actual"/>
    <n v="3"/>
    <n v="6785.3300000000017"/>
    <n v="0.24740402485077181"/>
  </r>
  <r>
    <s v="ORD9923"/>
    <d v="2023-01-15T00:00:00"/>
    <x v="4"/>
    <x v="2"/>
    <x v="0"/>
    <x v="0"/>
    <n v="24803.68"/>
    <n v="21386.75"/>
    <s v="Actual"/>
    <n v="2"/>
    <n v="3416.9300000000003"/>
    <n v="0.13775899382672249"/>
  </r>
  <r>
    <s v="ORD1002"/>
    <d v="2023-03-20T00:00:00"/>
    <x v="5"/>
    <x v="1"/>
    <x v="2"/>
    <x v="0"/>
    <n v="40213.89"/>
    <n v="30724.52"/>
    <s v="Actual"/>
    <s v="Unknown"/>
    <n v="9489.369999999999"/>
    <n v="0.23597244633632805"/>
  </r>
  <r>
    <s v="ORD1897"/>
    <d v="2023-01-15T00:00:00"/>
    <x v="4"/>
    <x v="1"/>
    <x v="1"/>
    <x v="0"/>
    <n v="28433.78"/>
    <n v="18087.93"/>
    <s v="Actual"/>
    <n v="3"/>
    <n v="10345.849999999999"/>
    <n v="0.3638577072763452"/>
  </r>
  <r>
    <s v="ORD7457"/>
    <d v="2023-06-25T00:00:00"/>
    <x v="0"/>
    <x v="1"/>
    <x v="1"/>
    <x v="0"/>
    <n v="33525.949999999997"/>
    <n v="26820.76"/>
    <s v="Estimated"/>
    <n v="4"/>
    <n v="6705.1899999999987"/>
    <n v="0.19999999999999998"/>
  </r>
  <r>
    <s v="ORD319"/>
    <s v="Not Mentioned"/>
    <x v="3"/>
    <x v="2"/>
    <x v="0"/>
    <x v="0"/>
    <n v="33102.019999999997"/>
    <n v="17073.14"/>
    <s v="Actual"/>
    <n v="2"/>
    <n v="16028.879999999997"/>
    <n v="0.48422664236200685"/>
  </r>
  <r>
    <s v="ORD6876"/>
    <d v="2023-02-15T00:00:00"/>
    <x v="1"/>
    <x v="0"/>
    <x v="2"/>
    <x v="0"/>
    <n v="18065.849999999999"/>
    <n v="14018.94"/>
    <s v="Actual"/>
    <n v="1"/>
    <n v="4046.909999999998"/>
    <n v="0.22400883434767799"/>
  </r>
  <r>
    <s v="ORD1954"/>
    <s v="Not Mentioned"/>
    <x v="3"/>
    <x v="0"/>
    <x v="2"/>
    <x v="0"/>
    <n v="108655.88"/>
    <n v="64241.5"/>
    <s v="Actual"/>
    <n v="5"/>
    <n v="44414.380000000005"/>
    <n v="0.40876186360093908"/>
  </r>
  <r>
    <s v="ORD5886"/>
    <d v="2023-01-15T00:00:00"/>
    <x v="4"/>
    <x v="1"/>
    <x v="2"/>
    <x v="0"/>
    <n v="87864.11"/>
    <n v="55410.98"/>
    <s v="Actual"/>
    <n v="4"/>
    <n v="32453.129999999997"/>
    <n v="0.36935592928671329"/>
  </r>
  <r>
    <s v="ORD5251"/>
    <s v="Not Mentioned"/>
    <x v="3"/>
    <x v="2"/>
    <x v="2"/>
    <x v="0"/>
    <n v="18112.5"/>
    <n v="15186.74"/>
    <s v="Actual"/>
    <n v="1"/>
    <n v="2925.76"/>
    <n v="0.16153264320220842"/>
  </r>
  <r>
    <s v="ORD5933"/>
    <d v="2023-02-15T00:00:00"/>
    <x v="1"/>
    <x v="2"/>
    <x v="0"/>
    <x v="0"/>
    <n v="67770.42"/>
    <n v="34631.4"/>
    <s v="Actual"/>
    <n v="4"/>
    <n v="33139.019999999997"/>
    <n v="0.48898944406719036"/>
  </r>
  <r>
    <s v="ORD9799"/>
    <d v="2023-06-25T00:00:00"/>
    <x v="0"/>
    <x v="0"/>
    <x v="1"/>
    <x v="0"/>
    <n v="34409.730000000003"/>
    <n v="25320.62"/>
    <s v="Actual"/>
    <n v="4"/>
    <n v="9089.1100000000042"/>
    <n v="0.26414360124302061"/>
  </r>
  <r>
    <s v="ORD5172"/>
    <d v="2023-02-15T00:00:00"/>
    <x v="1"/>
    <x v="3"/>
    <x v="1"/>
    <x v="0"/>
    <n v="22270.18"/>
    <n v="13401.45"/>
    <s v="Actual"/>
    <n v="2"/>
    <n v="8868.73"/>
    <n v="0.39823342245100846"/>
  </r>
  <r>
    <s v="ORD7623"/>
    <d v="2023-03-20T00:00:00"/>
    <x v="5"/>
    <x v="2"/>
    <x v="3"/>
    <x v="0"/>
    <n v="248070.71"/>
    <n v="196589.13"/>
    <s v="Actual"/>
    <n v="5"/>
    <n v="51481.579999999987"/>
    <n v="0.20752784558886453"/>
  </r>
  <r>
    <s v="ORD3964"/>
    <d v="2023-03-20T00:00:00"/>
    <x v="5"/>
    <x v="1"/>
    <x v="0"/>
    <x v="0"/>
    <n v="46280.92"/>
    <n v="27780.23"/>
    <s v="Actual"/>
    <n v="3"/>
    <n v="18500.689999999999"/>
    <n v="0.39974767139460493"/>
  </r>
  <r>
    <s v="ORD1991"/>
    <d v="2023-03-20T00:00:00"/>
    <x v="5"/>
    <x v="2"/>
    <x v="0"/>
    <x v="0"/>
    <n v="63704.21"/>
    <n v="50963.368000000002"/>
    <s v="Estimated"/>
    <n v="4"/>
    <n v="12740.841999999997"/>
    <n v="0.19999999999999996"/>
  </r>
  <r>
    <s v="ORD5478"/>
    <d v="2023-02-15T00:00:00"/>
    <x v="1"/>
    <x v="2"/>
    <x v="0"/>
    <x v="0"/>
    <n v="47243.05"/>
    <n v="31983.25"/>
    <s v="Actual"/>
    <n v="3"/>
    <n v="15259.800000000003"/>
    <n v="0.32300624112964771"/>
  </r>
  <r>
    <s v="ORD3587"/>
    <d v="2023-03-20T00:00:00"/>
    <x v="5"/>
    <x v="2"/>
    <x v="3"/>
    <x v="0"/>
    <n v="185676.49"/>
    <n v="133970.1"/>
    <s v="Actual"/>
    <n v="3"/>
    <n v="51706.389999999985"/>
    <n v="0.27847569716553772"/>
  </r>
  <r>
    <s v="ORD5383"/>
    <d v="2023-02-15T00:00:00"/>
    <x v="1"/>
    <x v="3"/>
    <x v="0"/>
    <x v="0"/>
    <n v="89433.54"/>
    <n v="50618.86"/>
    <s v="Actual"/>
    <n v="5"/>
    <n v="38814.679999999993"/>
    <n v="0.43400585507405831"/>
  </r>
  <r>
    <s v="ORD3904"/>
    <d v="2023-02-15T00:00:00"/>
    <x v="1"/>
    <x v="1"/>
    <x v="0"/>
    <x v="0"/>
    <n v="25320.76"/>
    <n v="21625.24"/>
    <s v="Actual"/>
    <n v="2"/>
    <n v="3695.5199999999968"/>
    <n v="0.14594822588263531"/>
  </r>
  <r>
    <s v="ORD8086"/>
    <s v="Not Mentioned"/>
    <x v="3"/>
    <x v="1"/>
    <x v="0"/>
    <x v="0"/>
    <n v="15815.64"/>
    <n v="9998.26"/>
    <s v="Actual"/>
    <n v="1"/>
    <n v="5817.3799999999992"/>
    <n v="0.36782450789218768"/>
  </r>
  <r>
    <s v="ORD5627"/>
    <d v="2023-03-20T00:00:00"/>
    <x v="5"/>
    <x v="0"/>
    <x v="2"/>
    <x v="0"/>
    <n v="85932.65"/>
    <n v="47949.53"/>
    <s v="Actual"/>
    <n v="4"/>
    <n v="37983.119999999995"/>
    <n v="0.4420103418200183"/>
  </r>
  <r>
    <s v="ORD910"/>
    <s v="Not Mentioned"/>
    <x v="3"/>
    <x v="0"/>
    <x v="1"/>
    <x v="0"/>
    <n v="19215.099999999999"/>
    <n v="12437.92"/>
    <s v="Actual"/>
    <n v="2"/>
    <n v="6777.1799999999985"/>
    <n v="0.352700740563411"/>
  </r>
  <r>
    <s v="ORD6866"/>
    <d v="2023-06-25T00:00:00"/>
    <x v="0"/>
    <x v="3"/>
    <x v="1"/>
    <x v="0"/>
    <n v="48466.7"/>
    <n v="30489.95"/>
    <s v="Actual"/>
    <n v="5"/>
    <n v="17976.749999999996"/>
    <n v="0.37090930473913009"/>
  </r>
  <r>
    <s v="ORD2257"/>
    <d v="2023-01-15T00:00:00"/>
    <x v="4"/>
    <x v="2"/>
    <x v="0"/>
    <x v="0"/>
    <n v="49273.67"/>
    <n v="27648.9"/>
    <s v="Actual"/>
    <s v="Unknown"/>
    <n v="21624.769999999997"/>
    <n v="0.43887069909750986"/>
  </r>
  <r>
    <s v="ORD7034"/>
    <d v="2023-02-15T00:00:00"/>
    <x v="1"/>
    <x v="2"/>
    <x v="2"/>
    <x v="0"/>
    <n v="75120.23"/>
    <n v="53695.51"/>
    <s v="Actual"/>
    <n v="4"/>
    <n v="21424.719999999994"/>
    <n v="0.28520572953517309"/>
  </r>
  <r>
    <s v="ORD7628"/>
    <d v="2023-06-25T00:00:00"/>
    <x v="0"/>
    <x v="1"/>
    <x v="0"/>
    <x v="0"/>
    <n v="52034.84"/>
    <n v="41627.872000000003"/>
    <s v="Estimated"/>
    <n v="4"/>
    <n v="10406.967999999993"/>
    <n v="0.1999999999999999"/>
  </r>
  <r>
    <s v="ORD1649"/>
    <d v="2023-01-15T00:00:00"/>
    <x v="4"/>
    <x v="0"/>
    <x v="3"/>
    <x v="0"/>
    <n v="218723.37"/>
    <n v="188923.19"/>
    <s v="Actual"/>
    <n v="4"/>
    <n v="29800.179999999993"/>
    <n v="0.13624598048210393"/>
  </r>
  <r>
    <s v="ORD3430"/>
    <s v="Not Mentioned"/>
    <x v="3"/>
    <x v="2"/>
    <x v="3"/>
    <x v="0"/>
    <n v="247507.78"/>
    <n v="203091.02"/>
    <s v="Actual"/>
    <n v="5"/>
    <n v="44416.760000000009"/>
    <n v="0.17945601548363455"/>
  </r>
  <r>
    <s v="ORD7381"/>
    <d v="2023-04-05T00:00:00"/>
    <x v="2"/>
    <x v="0"/>
    <x v="0"/>
    <x v="0"/>
    <n v="46141.35"/>
    <n v="31528.54"/>
    <s v="Actual"/>
    <n v="3"/>
    <n v="14612.809999999998"/>
    <n v="0.31669662894562034"/>
  </r>
  <r>
    <s v="ORD9417"/>
    <d v="2023-06-25T00:00:00"/>
    <x v="0"/>
    <x v="1"/>
    <x v="2"/>
    <x v="0"/>
    <n v="19533.97"/>
    <n v="15344.82"/>
    <s v="Actual"/>
    <n v="1"/>
    <n v="4189.1500000000015"/>
    <n v="0.21445461419260914"/>
  </r>
  <r>
    <s v="ORD5774"/>
    <d v="2023-01-15T00:00:00"/>
    <x v="4"/>
    <x v="0"/>
    <x v="1"/>
    <x v="0"/>
    <n v="21337.7"/>
    <n v="14619.67"/>
    <s v="Actual"/>
    <n v="2"/>
    <n v="6718.0300000000007"/>
    <n v="0.31484321178008878"/>
  </r>
  <r>
    <s v="ORD7587"/>
    <d v="2023-03-20T00:00:00"/>
    <x v="5"/>
    <x v="2"/>
    <x v="2"/>
    <x v="0"/>
    <n v="60546.239999999998"/>
    <n v="40644.11"/>
    <s v="Actual"/>
    <n v="3"/>
    <n v="19902.129999999997"/>
    <n v="0.32870959451817316"/>
  </r>
  <r>
    <s v="ORD6509"/>
    <d v="2023-01-15T00:00:00"/>
    <x v="4"/>
    <x v="0"/>
    <x v="1"/>
    <x v="0"/>
    <n v="38658.33"/>
    <n v="27396.959999999999"/>
    <s v="Actual"/>
    <n v="4"/>
    <n v="11261.370000000003"/>
    <n v="0.291305133977593"/>
  </r>
  <r>
    <s v="ORD833"/>
    <d v="2023-03-20T00:00:00"/>
    <x v="5"/>
    <x v="0"/>
    <x v="2"/>
    <x v="0"/>
    <n v="95047.53"/>
    <n v="60652.52"/>
    <s v="Actual"/>
    <n v="4"/>
    <n v="34395.01"/>
    <n v="0.36187168672347408"/>
  </r>
  <r>
    <s v="ORD5482"/>
    <d v="2023-04-05T00:00:00"/>
    <x v="2"/>
    <x v="1"/>
    <x v="0"/>
    <x v="0"/>
    <n v="72196.7"/>
    <n v="53789.88"/>
    <s v="Actual"/>
    <n v="5"/>
    <n v="18406.82"/>
    <n v="0.25495375827427014"/>
  </r>
  <r>
    <s v="ORD4558"/>
    <d v="2023-04-05T00:00:00"/>
    <x v="2"/>
    <x v="2"/>
    <x v="0"/>
    <x v="0"/>
    <n v="83877.789999999994"/>
    <n v="44689.04"/>
    <s v="Actual"/>
    <n v="5"/>
    <n v="39188.749999999993"/>
    <n v="0.46721247662819915"/>
  </r>
  <r>
    <s v="ORD157"/>
    <d v="2023-02-15T00:00:00"/>
    <x v="1"/>
    <x v="3"/>
    <x v="3"/>
    <x v="0"/>
    <n v="134044.54999999999"/>
    <n v="90614.9"/>
    <s v="Actual"/>
    <n v="2"/>
    <n v="43429.649999999994"/>
    <n v="0.32399414970619839"/>
  </r>
  <r>
    <s v="ORD4343"/>
    <s v="Not Mentioned"/>
    <x v="3"/>
    <x v="2"/>
    <x v="3"/>
    <x v="0"/>
    <n v="161146.56"/>
    <n v="145409.67000000001"/>
    <s v="Actual"/>
    <n v="3"/>
    <n v="15736.889999999985"/>
    <n v="9.7655761314420761E-2"/>
  </r>
  <r>
    <s v="ORD2647"/>
    <d v="2023-03-20T00:00:00"/>
    <x v="5"/>
    <x v="0"/>
    <x v="0"/>
    <x v="0"/>
    <n v="16224.5"/>
    <n v="10837.93"/>
    <s v="Actual"/>
    <n v="1"/>
    <n v="5386.57"/>
    <n v="0.33200221886652898"/>
  </r>
  <r>
    <s v="ORD2848"/>
    <s v="Not Mentioned"/>
    <x v="3"/>
    <x v="1"/>
    <x v="0"/>
    <x v="0"/>
    <n v="14809.98"/>
    <n v="10433.879999999999"/>
    <s v="Actual"/>
    <n v="1"/>
    <n v="4376.1000000000004"/>
    <n v="0.29548318093609854"/>
  </r>
  <r>
    <s v="ORD766"/>
    <s v="Not Mentioned"/>
    <x v="3"/>
    <x v="0"/>
    <x v="1"/>
    <x v="0"/>
    <n v="33044.81"/>
    <n v="18981.38"/>
    <s v="Actual"/>
    <n v="3"/>
    <n v="14063.429999999997"/>
    <n v="0.42558665036960414"/>
  </r>
  <r>
    <s v="ORD9924"/>
    <s v="Not Mentioned"/>
    <x v="3"/>
    <x v="1"/>
    <x v="3"/>
    <x v="0"/>
    <n v="201704.1"/>
    <n v="127983.16"/>
    <s v="Actual"/>
    <n v="3"/>
    <n v="73720.94"/>
    <n v="0.36549053787206109"/>
  </r>
  <r>
    <s v="ORD214"/>
    <d v="2023-02-15T00:00:00"/>
    <x v="1"/>
    <x v="3"/>
    <x v="2"/>
    <x v="0"/>
    <n v="109977.04"/>
    <n v="87981.631999999998"/>
    <s v="Estimated"/>
    <n v="5"/>
    <n v="21995.407999999996"/>
    <n v="0.19999999999999998"/>
  </r>
  <r>
    <s v="ORD8538"/>
    <s v="Not Mentioned"/>
    <x v="3"/>
    <x v="2"/>
    <x v="0"/>
    <x v="0"/>
    <n v="62335.02"/>
    <n v="40533.83"/>
    <s v="Actual"/>
    <n v="4"/>
    <n v="21801.189999999995"/>
    <n v="0.34974224761618744"/>
  </r>
  <r>
    <s v="ORD2517"/>
    <d v="2023-04-05T00:00:00"/>
    <x v="2"/>
    <x v="3"/>
    <x v="3"/>
    <x v="0"/>
    <n v="168463.46"/>
    <n v="130127.15"/>
    <s v="Actual"/>
    <n v="3"/>
    <n v="38336.31"/>
    <n v="0.2275645412957801"/>
  </r>
  <r>
    <s v="ORD5567"/>
    <d v="2023-04-05T00:00:00"/>
    <x v="2"/>
    <x v="1"/>
    <x v="2"/>
    <x v="0"/>
    <n v="68388.820000000007"/>
    <n v="36634.39"/>
    <s v="Actual"/>
    <n v="3"/>
    <n v="31754.430000000008"/>
    <n v="0.46432194618945033"/>
  </r>
  <r>
    <s v="ORD9728"/>
    <d v="2023-03-20T00:00:00"/>
    <x v="5"/>
    <x v="2"/>
    <x v="1"/>
    <x v="0"/>
    <n v="25108.33"/>
    <n v="18704.650000000001"/>
    <s v="Actual"/>
    <n v="3"/>
    <n v="6403.68"/>
    <n v="0.25504205178122158"/>
  </r>
  <r>
    <s v="ORD6314"/>
    <d v="2023-01-15T00:00:00"/>
    <x v="4"/>
    <x v="3"/>
    <x v="1"/>
    <x v="0"/>
    <n v="23238.13"/>
    <n v="14166.31"/>
    <s v="Actual"/>
    <n v="2"/>
    <n v="9071.8200000000015"/>
    <n v="0.3903851127435814"/>
  </r>
  <r>
    <s v="ORD8299"/>
    <d v="2023-01-15T00:00:00"/>
    <x v="4"/>
    <x v="1"/>
    <x v="1"/>
    <x v="0"/>
    <n v="10654.09"/>
    <n v="6669.6"/>
    <s v="Actual"/>
    <n v="1"/>
    <n v="3984.49"/>
    <n v="0.37398689141916386"/>
  </r>
  <r>
    <s v="ORD7589"/>
    <d v="2023-04-05T00:00:00"/>
    <x v="2"/>
    <x v="1"/>
    <x v="3"/>
    <x v="0"/>
    <n v="104862.36"/>
    <n v="84197.42"/>
    <s v="Actual"/>
    <n v="2"/>
    <n v="20664.940000000002"/>
    <n v="0.19706727943181904"/>
  </r>
  <r>
    <s v="ORD463"/>
    <d v="2023-04-05T00:00:00"/>
    <x v="2"/>
    <x v="3"/>
    <x v="3"/>
    <x v="0"/>
    <n v="110397.22"/>
    <n v="89911.84"/>
    <s v="Actual"/>
    <n v="2"/>
    <n v="20485.380000000005"/>
    <n v="0.18556065089320187"/>
  </r>
  <r>
    <s v="ORD5440"/>
    <d v="2023-03-20T00:00:00"/>
    <x v="5"/>
    <x v="2"/>
    <x v="2"/>
    <x v="0"/>
    <n v="112839.24"/>
    <n v="69415.59"/>
    <s v="Actual"/>
    <n v="5"/>
    <n v="43423.650000000009"/>
    <n v="0.38482756530441015"/>
  </r>
  <r>
    <s v="ORD1584"/>
    <d v="2023-02-15T00:00:00"/>
    <x v="1"/>
    <x v="1"/>
    <x v="1"/>
    <x v="0"/>
    <n v="41974.74"/>
    <n v="30412.03"/>
    <s v="Actual"/>
    <n v="5"/>
    <n v="11562.71"/>
    <n v="0.27546829354988261"/>
  </r>
  <r>
    <s v="ORD7078"/>
    <d v="2023-06-25T00:00:00"/>
    <x v="0"/>
    <x v="1"/>
    <x v="1"/>
    <x v="0"/>
    <n v="41871.1"/>
    <n v="29844.26"/>
    <s v="Actual"/>
    <n v="4"/>
    <n v="12026.84"/>
    <n v="0.2872348708297609"/>
  </r>
  <r>
    <s v="ORD687"/>
    <d v="2023-01-15T00:00:00"/>
    <x v="4"/>
    <x v="1"/>
    <x v="1"/>
    <x v="0"/>
    <n v="22348.57"/>
    <n v="12011.22"/>
    <s v="Actual"/>
    <n v="2"/>
    <n v="10337.35"/>
    <n v="0.46255084777236311"/>
  </r>
  <r>
    <s v="ORD5117"/>
    <d v="2023-06-25T00:00:00"/>
    <x v="0"/>
    <x v="1"/>
    <x v="1"/>
    <x v="0"/>
    <n v="52279.41"/>
    <n v="31962.51"/>
    <s v="Actual"/>
    <n v="5"/>
    <n v="20316.900000000005"/>
    <n v="0.38862144771717977"/>
  </r>
  <r>
    <s v="ORD3821"/>
    <s v="Not Mentioned"/>
    <x v="3"/>
    <x v="2"/>
    <x v="0"/>
    <x v="0"/>
    <n v="13969.08"/>
    <n v="11175.264000000001"/>
    <s v="Estimated"/>
    <n v="1"/>
    <n v="2793.8159999999989"/>
    <n v="0.19999999999999993"/>
  </r>
  <r>
    <s v="ORD8984"/>
    <d v="2023-02-15T00:00:00"/>
    <x v="1"/>
    <x v="2"/>
    <x v="0"/>
    <x v="0"/>
    <n v="71538.33"/>
    <n v="48239.05"/>
    <s v="Actual"/>
    <n v="5"/>
    <n v="23299.279999999999"/>
    <n v="0.32568945906341396"/>
  </r>
  <r>
    <s v="ORD6368"/>
    <d v="2023-06-25T00:00:00"/>
    <x v="0"/>
    <x v="0"/>
    <x v="0"/>
    <x v="0"/>
    <n v="69354.06"/>
    <n v="45622.15"/>
    <s v="Actual"/>
    <n v="5"/>
    <n v="23731.909999999996"/>
    <n v="0.34218486992686509"/>
  </r>
  <r>
    <s v="ORD9095"/>
    <d v="2023-04-05T00:00:00"/>
    <x v="2"/>
    <x v="2"/>
    <x v="0"/>
    <x v="0"/>
    <n v="49924.3"/>
    <n v="25830.3"/>
    <s v="Actual"/>
    <n v="3"/>
    <n v="24094.000000000004"/>
    <n v="0.48261067255825324"/>
  </r>
  <r>
    <s v="ORD850"/>
    <s v="Not Mentioned"/>
    <x v="3"/>
    <x v="0"/>
    <x v="3"/>
    <x v="0"/>
    <n v="69582.25"/>
    <n v="49075.44"/>
    <s v="Actual"/>
    <n v="1"/>
    <n v="20506.809999999998"/>
    <n v="0.29471323505635416"/>
  </r>
  <r>
    <s v="ORD6313"/>
    <s v="Not Mentioned"/>
    <x v="3"/>
    <x v="3"/>
    <x v="1"/>
    <x v="0"/>
    <n v="24349.86"/>
    <n v="22613.06"/>
    <s v="Actual"/>
    <n v="3"/>
    <n v="1736.7999999999993"/>
    <n v="7.1326898799418115E-2"/>
  </r>
  <r>
    <s v="ORD6244"/>
    <d v="2023-03-20T00:00:00"/>
    <x v="5"/>
    <x v="1"/>
    <x v="0"/>
    <x v="0"/>
    <n v="13878.3"/>
    <n v="11102.64"/>
    <s v="Estimated"/>
    <n v="1"/>
    <n v="2775.66"/>
    <n v="0.2"/>
  </r>
  <r>
    <s v="ORD3710"/>
    <s v="Not Mentioned"/>
    <x v="3"/>
    <x v="2"/>
    <x v="2"/>
    <x v="0"/>
    <n v="32688.84"/>
    <n v="29266.75"/>
    <s v="Actual"/>
    <n v="2"/>
    <n v="3422.09"/>
    <n v="0.10468679830792406"/>
  </r>
  <r>
    <s v="ORD1607"/>
    <d v="2023-02-15T00:00:00"/>
    <x v="1"/>
    <x v="0"/>
    <x v="3"/>
    <x v="0"/>
    <n v="228387.89"/>
    <n v="194177.73"/>
    <s v="Actual"/>
    <n v="4"/>
    <n v="34210.160000000003"/>
    <n v="0.14978972834330226"/>
  </r>
  <r>
    <s v="ORD1808"/>
    <s v="Not Mentioned"/>
    <x v="3"/>
    <x v="1"/>
    <x v="2"/>
    <x v="0"/>
    <n v="61425.73"/>
    <n v="44399.13"/>
    <s v="Actual"/>
    <n v="3"/>
    <n v="17026.600000000006"/>
    <n v="0.27719003095282718"/>
  </r>
  <r>
    <s v="ORD369"/>
    <d v="2023-01-15T00:00:00"/>
    <x v="4"/>
    <x v="2"/>
    <x v="0"/>
    <x v="0"/>
    <n v="14401.27"/>
    <n v="10458.24"/>
    <s v="Actual"/>
    <s v="Unknown"/>
    <n v="3943.0300000000007"/>
    <n v="0.27379738036992574"/>
  </r>
  <r>
    <s v="ORD347"/>
    <d v="2023-01-15T00:00:00"/>
    <x v="4"/>
    <x v="2"/>
    <x v="3"/>
    <x v="0"/>
    <n v="211574.14"/>
    <n v="120864.94"/>
    <s v="Actual"/>
    <n v="3"/>
    <n v="90709.200000000012"/>
    <n v="0.42873481607912955"/>
  </r>
  <r>
    <s v="ORD7401"/>
    <d v="2023-02-15T00:00:00"/>
    <x v="1"/>
    <x v="2"/>
    <x v="0"/>
    <x v="0"/>
    <n v="50942.720000000001"/>
    <n v="32611.89"/>
    <s v="Actual"/>
    <n v="3"/>
    <n v="18330.830000000002"/>
    <n v="0.35983218014271717"/>
  </r>
  <r>
    <s v="ORD2902"/>
    <d v="2023-04-05T00:00:00"/>
    <x v="2"/>
    <x v="0"/>
    <x v="1"/>
    <x v="0"/>
    <n v="51324.3"/>
    <n v="41059.440000000002"/>
    <s v="Estimated"/>
    <n v="5"/>
    <n v="10264.86"/>
    <n v="0.2"/>
  </r>
  <r>
    <s v="ORD729"/>
    <d v="2023-06-25T00:00:00"/>
    <x v="0"/>
    <x v="0"/>
    <x v="3"/>
    <x v="0"/>
    <n v="202006.71"/>
    <n v="122320.75"/>
    <s v="Actual"/>
    <n v="3"/>
    <n v="79685.959999999992"/>
    <n v="0.39447184699953775"/>
  </r>
  <r>
    <s v="ORD717"/>
    <d v="2023-06-25T00:00:00"/>
    <x v="0"/>
    <x v="2"/>
    <x v="3"/>
    <x v="0"/>
    <n v="127814.22"/>
    <n v="96089.26"/>
    <s v="Actual"/>
    <n v="2"/>
    <n v="31724.960000000006"/>
    <n v="0.24821150573073955"/>
  </r>
  <r>
    <s v="ORD8108"/>
    <s v="Not Mentioned"/>
    <x v="3"/>
    <x v="2"/>
    <x v="0"/>
    <x v="0"/>
    <n v="61137.96"/>
    <n v="41339.050000000003"/>
    <s v="Actual"/>
    <n v="4"/>
    <n v="19798.909999999996"/>
    <n v="0.32383988605442504"/>
  </r>
  <r>
    <s v="ORD649"/>
    <s v="Not Mentioned"/>
    <x v="3"/>
    <x v="0"/>
    <x v="0"/>
    <x v="0"/>
    <n v="26321.22"/>
    <n v="20207.52"/>
    <s v="Actual"/>
    <n v="2"/>
    <n v="6113.7000000000007"/>
    <n v="0.23227266821218776"/>
  </r>
  <r>
    <s v="ORD6308"/>
    <d v="2023-06-25T00:00:00"/>
    <x v="0"/>
    <x v="2"/>
    <x v="2"/>
    <x v="0"/>
    <n v="119703.27"/>
    <n v="62233.53"/>
    <s v="Actual"/>
    <n v="5"/>
    <n v="57469.740000000005"/>
    <n v="0.48010167140797411"/>
  </r>
  <r>
    <s v="ORD1244"/>
    <d v="2023-01-15T00:00:00"/>
    <x v="4"/>
    <x v="3"/>
    <x v="0"/>
    <x v="0"/>
    <n v="58714.61"/>
    <n v="40187.72"/>
    <s v="Actual"/>
    <n v="4"/>
    <n v="18526.89"/>
    <n v="0.31554139591491792"/>
  </r>
  <r>
    <s v="ORD8498"/>
    <d v="2023-04-05T00:00:00"/>
    <x v="2"/>
    <x v="3"/>
    <x v="2"/>
    <x v="0"/>
    <n v="41639.519999999997"/>
    <n v="33311.616000000002"/>
    <s v="Estimated"/>
    <n v="2"/>
    <n v="8327.903999999995"/>
    <n v="0.1999999999999999"/>
  </r>
  <r>
    <s v="ORD195"/>
    <d v="2023-06-25T00:00:00"/>
    <x v="0"/>
    <x v="2"/>
    <x v="2"/>
    <x v="0"/>
    <n v="62261.8"/>
    <n v="42033.08"/>
    <s v="Actual"/>
    <n v="3"/>
    <n v="20228.72"/>
    <n v="0.32489777038248174"/>
  </r>
  <r>
    <s v="ORD2260"/>
    <d v="2023-04-05T00:00:00"/>
    <x v="2"/>
    <x v="2"/>
    <x v="1"/>
    <x v="0"/>
    <n v="17866.66"/>
    <n v="14088.66"/>
    <s v="Actual"/>
    <n v="2"/>
    <n v="3778"/>
    <n v="0.21145530278182939"/>
  </r>
  <r>
    <s v="ORD621"/>
    <d v="2023-01-15T00:00:00"/>
    <x v="4"/>
    <x v="2"/>
    <x v="0"/>
    <x v="0"/>
    <n v="49214.720000000001"/>
    <n v="28059.89"/>
    <s v="Actual"/>
    <n v="3"/>
    <n v="21154.83"/>
    <n v="0.42984761469739136"/>
  </r>
  <r>
    <s v="ORD2409"/>
    <s v="Not Mentioned"/>
    <x v="3"/>
    <x v="2"/>
    <x v="1"/>
    <x v="0"/>
    <n v="39723.42"/>
    <n v="29242.19"/>
    <s v="Actual"/>
    <n v="4"/>
    <n v="10481.23"/>
    <n v="0.2638551766187302"/>
  </r>
  <r>
    <s v="ORD773"/>
    <d v="2023-02-15T00:00:00"/>
    <x v="1"/>
    <x v="0"/>
    <x v="3"/>
    <x v="0"/>
    <n v="248833.62"/>
    <n v="199066.89600000001"/>
    <s v="Estimated"/>
    <n v="4"/>
    <n v="49766.723999999987"/>
    <n v="0.19999999999999996"/>
  </r>
  <r>
    <s v="ORD8697"/>
    <d v="2023-06-25T00:00:00"/>
    <x v="0"/>
    <x v="3"/>
    <x v="2"/>
    <x v="0"/>
    <n v="95726.51"/>
    <n v="57775.74"/>
    <s v="Actual"/>
    <n v="4"/>
    <n v="37950.769999999997"/>
    <n v="0.39644994892219509"/>
  </r>
  <r>
    <s v="ORD8148"/>
    <d v="2023-06-25T00:00:00"/>
    <x v="0"/>
    <x v="1"/>
    <x v="1"/>
    <x v="0"/>
    <n v="35091.440000000002"/>
    <n v="19560.57"/>
    <s v="Actual"/>
    <s v="Unknown"/>
    <n v="15530.870000000003"/>
    <n v="0.44258286351315312"/>
  </r>
  <r>
    <s v="ORD7998"/>
    <d v="2023-03-20T00:00:00"/>
    <x v="5"/>
    <x v="1"/>
    <x v="1"/>
    <x v="0"/>
    <n v="46788.07"/>
    <n v="27024.69"/>
    <s v="Actual"/>
    <n v="4"/>
    <n v="19763.38"/>
    <n v="0.42240212088252416"/>
  </r>
  <r>
    <s v="ORD5054"/>
    <d v="2023-06-25T00:00:00"/>
    <x v="0"/>
    <x v="3"/>
    <x v="0"/>
    <x v="0"/>
    <n v="36000.550000000003"/>
    <n v="30841.03"/>
    <s v="Actual"/>
    <s v="Unknown"/>
    <n v="5159.5200000000041"/>
    <n v="0.14331781042234087"/>
  </r>
  <r>
    <s v="ORD5932"/>
    <d v="2023-01-15T00:00:00"/>
    <x v="4"/>
    <x v="1"/>
    <x v="1"/>
    <x v="0"/>
    <n v="34785.449999999997"/>
    <n v="20753.84"/>
    <s v="Actual"/>
    <n v="3"/>
    <n v="14031.609999999997"/>
    <n v="0.40337583673633653"/>
  </r>
  <r>
    <s v="ORD3575"/>
    <s v="Not Mentioned"/>
    <x v="3"/>
    <x v="3"/>
    <x v="1"/>
    <x v="0"/>
    <n v="33546.32"/>
    <n v="25038.28"/>
    <s v="Actual"/>
    <n v="4"/>
    <n v="8508.0400000000009"/>
    <n v="0.25362066539638328"/>
  </r>
  <r>
    <s v="ORD230"/>
    <d v="2023-04-05T00:00:00"/>
    <x v="2"/>
    <x v="3"/>
    <x v="3"/>
    <x v="0"/>
    <n v="118870.14"/>
    <n v="83661.84"/>
    <s v="Actual"/>
    <n v="2"/>
    <n v="35208.300000000003"/>
    <n v="0.29619128908235492"/>
  </r>
  <r>
    <s v="ORD8954"/>
    <d v="2023-06-25T00:00:00"/>
    <x v="0"/>
    <x v="3"/>
    <x v="3"/>
    <x v="0"/>
    <n v="152608.46"/>
    <n v="134076.70000000001"/>
    <s v="Actual"/>
    <n v="3"/>
    <n v="18531.75999999998"/>
    <n v="0.12143337269768649"/>
  </r>
  <r>
    <s v="ORD909"/>
    <d v="2023-02-15T00:00:00"/>
    <x v="1"/>
    <x v="3"/>
    <x v="3"/>
    <x v="0"/>
    <n v="243082.76"/>
    <n v="207255.45"/>
    <s v="Actual"/>
    <n v="5"/>
    <n v="35827.31"/>
    <n v="0.14738729311778423"/>
  </r>
  <r>
    <s v="ORD6326"/>
    <s v="Not Mentioned"/>
    <x v="3"/>
    <x v="3"/>
    <x v="2"/>
    <x v="0"/>
    <n v="54668.28"/>
    <n v="43800.88"/>
    <s v="Actual"/>
    <n v="3"/>
    <n v="10867.400000000001"/>
    <n v="0.19878803576772494"/>
  </r>
  <r>
    <s v="ORD5837"/>
    <d v="2023-04-05T00:00:00"/>
    <x v="2"/>
    <x v="1"/>
    <x v="2"/>
    <x v="0"/>
    <n v="45121.08"/>
    <n v="24091.05"/>
    <s v="Actual"/>
    <n v="2"/>
    <n v="21030.030000000002"/>
    <n v="0.46607993425689281"/>
  </r>
  <r>
    <s v="ORD8833"/>
    <d v="2023-04-05T00:00:00"/>
    <x v="2"/>
    <x v="3"/>
    <x v="0"/>
    <x v="0"/>
    <n v="38442.39"/>
    <n v="30753.912"/>
    <s v="Estimated"/>
    <n v="3"/>
    <n v="7688.4779999999992"/>
    <n v="0.19999999999999998"/>
  </r>
  <r>
    <s v="ORD4637"/>
    <s v="Not Mentioned"/>
    <x v="3"/>
    <x v="0"/>
    <x v="0"/>
    <x v="0"/>
    <n v="75891.42"/>
    <n v="51654.86"/>
    <s v="Actual"/>
    <n v="5"/>
    <n v="24236.559999999998"/>
    <n v="0.31935836752033364"/>
  </r>
  <r>
    <s v="ORD4569"/>
    <d v="2023-01-15T00:00:00"/>
    <x v="4"/>
    <x v="2"/>
    <x v="0"/>
    <x v="0"/>
    <n v="16056.63"/>
    <n v="9268.1"/>
    <s v="Actual"/>
    <n v="1"/>
    <n v="6788.5299999999988"/>
    <n v="0.42278672423790042"/>
  </r>
  <r>
    <s v="ORD2773"/>
    <d v="2023-06-25T00:00:00"/>
    <x v="0"/>
    <x v="2"/>
    <x v="3"/>
    <x v="0"/>
    <n v="280716.63"/>
    <n v="219708.66"/>
    <s v="Actual"/>
    <n v="5"/>
    <n v="61007.97"/>
    <n v="0.21732937589055554"/>
  </r>
  <r>
    <s v="ORD7360"/>
    <s v="Not Mentioned"/>
    <x v="3"/>
    <x v="1"/>
    <x v="0"/>
    <x v="0"/>
    <n v="14488.95"/>
    <n v="9468.19"/>
    <s v="Actual"/>
    <n v="1"/>
    <n v="5020.76"/>
    <n v="0.34652338506240965"/>
  </r>
  <r>
    <s v="ORD287"/>
    <d v="2023-02-15T00:00:00"/>
    <x v="1"/>
    <x v="0"/>
    <x v="2"/>
    <x v="0"/>
    <n v="17211.46"/>
    <n v="13570.96"/>
    <s v="Actual"/>
    <n v="1"/>
    <n v="3640.5"/>
    <n v="0.21151604802846477"/>
  </r>
  <r>
    <s v="ORD391"/>
    <d v="2023-02-15T00:00:00"/>
    <x v="1"/>
    <x v="0"/>
    <x v="3"/>
    <x v="0"/>
    <n v="212047.77"/>
    <n v="155635.44"/>
    <s v="Actual"/>
    <n v="4"/>
    <n v="56412.329999999987"/>
    <n v="0.2660359502955395"/>
  </r>
  <r>
    <s v="ORD9750"/>
    <d v="2023-04-05T00:00:00"/>
    <x v="2"/>
    <x v="2"/>
    <x v="0"/>
    <x v="0"/>
    <n v="46185.31"/>
    <n v="32310.14"/>
    <s v="Actual"/>
    <n v="3"/>
    <n v="13875.169999999998"/>
    <n v="0.30042387936770371"/>
  </r>
  <r>
    <s v="ORD7411"/>
    <d v="2023-02-15T00:00:00"/>
    <x v="1"/>
    <x v="2"/>
    <x v="3"/>
    <x v="0"/>
    <n v="118555.94"/>
    <n v="87806.04"/>
    <s v="Actual"/>
    <n v="2"/>
    <n v="30749.900000000009"/>
    <n v="0.25937038667147344"/>
  </r>
  <r>
    <s v="ORD3645"/>
    <d v="2023-02-15T00:00:00"/>
    <x v="1"/>
    <x v="1"/>
    <x v="3"/>
    <x v="0"/>
    <n v="254921.5"/>
    <n v="240476.27"/>
    <s v="Actual"/>
    <n v="5"/>
    <n v="14445.23000000001"/>
    <n v="5.6665404840313627E-2"/>
  </r>
  <r>
    <s v="ORD858"/>
    <d v="2023-06-25T00:00:00"/>
    <x v="0"/>
    <x v="1"/>
    <x v="3"/>
    <x v="0"/>
    <n v="69481.570000000007"/>
    <n v="39927.83"/>
    <s v="Actual"/>
    <n v="1"/>
    <n v="29553.740000000005"/>
    <n v="0.42534646237844081"/>
  </r>
  <r>
    <s v="ORD1421"/>
    <d v="2023-01-15T00:00:00"/>
    <x v="4"/>
    <x v="0"/>
    <x v="0"/>
    <x v="0"/>
    <n v="73195.67"/>
    <n v="50549.46"/>
    <s v="Actual"/>
    <n v="5"/>
    <n v="22646.21"/>
    <n v="0.30939275506324349"/>
  </r>
  <r>
    <s v="ORD2473"/>
    <s v="Not Mentioned"/>
    <x v="3"/>
    <x v="2"/>
    <x v="0"/>
    <x v="0"/>
    <n v="29293.81"/>
    <n v="17997.060000000001"/>
    <s v="Actual"/>
    <n v="2"/>
    <n v="11296.75"/>
    <n v="0.3856360780656391"/>
  </r>
  <r>
    <s v="ORD761"/>
    <d v="2023-06-25T00:00:00"/>
    <x v="0"/>
    <x v="2"/>
    <x v="3"/>
    <x v="0"/>
    <n v="48349.61"/>
    <n v="41033.25"/>
    <s v="Actual"/>
    <n v="1"/>
    <n v="7316.3600000000006"/>
    <n v="0.15132200652704336"/>
  </r>
  <r>
    <s v="ORD447"/>
    <d v="2023-06-25T00:00:00"/>
    <x v="0"/>
    <x v="3"/>
    <x v="2"/>
    <x v="0"/>
    <n v="100936.05"/>
    <n v="63468.52"/>
    <s v="Actual"/>
    <n v="5"/>
    <n v="37467.530000000006"/>
    <n v="0.37120067607163154"/>
  </r>
  <r>
    <s v="ORD9531"/>
    <d v="2023-03-20T00:00:00"/>
    <x v="5"/>
    <x v="2"/>
    <x v="2"/>
    <x v="0"/>
    <n v="76729.39"/>
    <n v="54763.9"/>
    <s v="Actual"/>
    <n v="4"/>
    <n v="21965.489999999998"/>
    <n v="0.28627218331854326"/>
  </r>
  <r>
    <s v="ORD2016"/>
    <s v="Not Mentioned"/>
    <x v="3"/>
    <x v="2"/>
    <x v="0"/>
    <x v="0"/>
    <n v="76598.720000000001"/>
    <n v="49005.62"/>
    <s v="Actual"/>
    <n v="5"/>
    <n v="27593.1"/>
    <n v="0.36022925709463549"/>
  </r>
  <r>
    <s v="ORD5056"/>
    <d v="2023-01-15T00:00:00"/>
    <x v="4"/>
    <x v="1"/>
    <x v="3"/>
    <x v="0"/>
    <n v="63493.73"/>
    <n v="38762.83"/>
    <s v="Actual"/>
    <n v="1"/>
    <n v="24730.9"/>
    <n v="0.38950145156065019"/>
  </r>
  <r>
    <s v="ORD6649"/>
    <d v="2023-03-20T00:00:00"/>
    <x v="5"/>
    <x v="1"/>
    <x v="1"/>
    <x v="0"/>
    <n v="22054.06"/>
    <n v="14281.95"/>
    <s v="Actual"/>
    <n v="2"/>
    <n v="7772.1100000000006"/>
    <n v="0.35241175547722281"/>
  </r>
  <r>
    <s v="ORD7280"/>
    <d v="2023-04-05T00:00:00"/>
    <x v="2"/>
    <x v="0"/>
    <x v="1"/>
    <x v="0"/>
    <n v="21379.119999999999"/>
    <n v="17103.295999999998"/>
    <s v="Estimated"/>
    <n v="2"/>
    <n v="4275.8240000000005"/>
    <n v="0.20000000000000004"/>
  </r>
  <r>
    <s v="ORD3653"/>
    <d v="2023-06-25T00:00:00"/>
    <x v="0"/>
    <x v="1"/>
    <x v="3"/>
    <x v="0"/>
    <n v="208999.9"/>
    <n v="157429.09"/>
    <s v="Actual"/>
    <n v="4"/>
    <n v="51570.81"/>
    <n v="0.2467504051437345"/>
  </r>
  <r>
    <s v="ORD1494"/>
    <d v="2023-01-15T00:00:00"/>
    <x v="4"/>
    <x v="3"/>
    <x v="1"/>
    <x v="0"/>
    <n v="22380.11"/>
    <n v="14271.41"/>
    <s v="Actual"/>
    <n v="2"/>
    <n v="8108.7000000000007"/>
    <n v="0.36231725402600795"/>
  </r>
  <r>
    <s v="ORD5658"/>
    <s v="Not Mentioned"/>
    <x v="3"/>
    <x v="1"/>
    <x v="0"/>
    <x v="0"/>
    <n v="41848.61"/>
    <n v="30654.720000000001"/>
    <s v="Actual"/>
    <n v="3"/>
    <n v="11193.89"/>
    <n v="0.26748534778096572"/>
  </r>
  <r>
    <s v="ORD509"/>
    <d v="2023-03-20T00:00:00"/>
    <x v="5"/>
    <x v="2"/>
    <x v="0"/>
    <x v="0"/>
    <n v="33725.620000000003"/>
    <n v="18363.25"/>
    <s v="Actual"/>
    <n v="2"/>
    <n v="15362.370000000003"/>
    <n v="0.45551038053562842"/>
  </r>
  <r>
    <s v="ORD7683"/>
    <d v="2023-04-05T00:00:00"/>
    <x v="2"/>
    <x v="2"/>
    <x v="0"/>
    <x v="0"/>
    <n v="44273.599999999999"/>
    <n v="30568.21"/>
    <s v="Actual"/>
    <n v="3"/>
    <n v="13705.39"/>
    <n v="0.30956122836182287"/>
  </r>
  <r>
    <s v="ORD5758"/>
    <d v="2023-03-20T00:00:00"/>
    <x v="5"/>
    <x v="3"/>
    <x v="2"/>
    <x v="0"/>
    <n v="87365.55"/>
    <n v="55605.05"/>
    <s v="Actual"/>
    <n v="4"/>
    <n v="31760.5"/>
    <n v="0.3635357414907821"/>
  </r>
  <r>
    <s v="ORD5908"/>
    <d v="2023-03-20T00:00:00"/>
    <x v="5"/>
    <x v="3"/>
    <x v="0"/>
    <x v="0"/>
    <n v="77813.42"/>
    <n v="49694.92"/>
    <s v="Actual"/>
    <n v="5"/>
    <n v="28118.5"/>
    <n v="0.36135797655468682"/>
  </r>
  <r>
    <s v="ORD3580"/>
    <d v="2023-06-25T00:00:00"/>
    <x v="0"/>
    <x v="2"/>
    <x v="2"/>
    <x v="0"/>
    <n v="32693.040000000001"/>
    <n v="28695.38"/>
    <s v="Actual"/>
    <n v="2"/>
    <n v="3997.66"/>
    <n v="0.12227862566466746"/>
  </r>
  <r>
    <s v="ORD9488"/>
    <d v="2023-01-15T00:00:00"/>
    <x v="4"/>
    <x v="2"/>
    <x v="3"/>
    <x v="0"/>
    <n v="217087.97"/>
    <n v="171859.48"/>
    <s v="Actual"/>
    <n v="4"/>
    <n v="45228.489999999991"/>
    <n v="0.20834176117635625"/>
  </r>
  <r>
    <s v="ORD6650"/>
    <d v="2023-01-15T00:00:00"/>
    <x v="4"/>
    <x v="0"/>
    <x v="2"/>
    <x v="0"/>
    <n v="92747.58"/>
    <n v="61331.83"/>
    <s v="Actual"/>
    <n v="5"/>
    <n v="31415.75"/>
    <n v="0.33872312355750955"/>
  </r>
  <r>
    <s v="ORD4553"/>
    <d v="2023-02-15T00:00:00"/>
    <x v="1"/>
    <x v="2"/>
    <x v="3"/>
    <x v="0"/>
    <n v="270433.53000000003"/>
    <n v="227367.37"/>
    <s v="Actual"/>
    <n v="5"/>
    <n v="43066.160000000033"/>
    <n v="0.15924859613377093"/>
  </r>
  <r>
    <s v="ORD538"/>
    <d v="2023-02-15T00:00:00"/>
    <x v="1"/>
    <x v="2"/>
    <x v="0"/>
    <x v="0"/>
    <n v="47009.64"/>
    <n v="27718.11"/>
    <s v="Actual"/>
    <n v="3"/>
    <n v="19291.53"/>
    <n v="0.4103739147970501"/>
  </r>
  <r>
    <s v="ORD2001"/>
    <d v="2023-01-15T00:00:00"/>
    <x v="4"/>
    <x v="0"/>
    <x v="3"/>
    <x v="0"/>
    <n v="311285.94"/>
    <n v="249028.75200000001"/>
    <s v="Estimated"/>
    <n v="5"/>
    <n v="62257.187999999995"/>
    <n v="0.19999999999999998"/>
  </r>
  <r>
    <s v="ORD7297"/>
    <d v="2023-03-20T00:00:00"/>
    <x v="5"/>
    <x v="1"/>
    <x v="2"/>
    <x v="0"/>
    <n v="64467.49"/>
    <n v="52645.26"/>
    <s v="Actual"/>
    <n v="4"/>
    <n v="11822.229999999996"/>
    <n v="0.18338281822357277"/>
  </r>
  <r>
    <s v="ORD6033"/>
    <d v="2023-06-25T00:00:00"/>
    <x v="0"/>
    <x v="1"/>
    <x v="1"/>
    <x v="0"/>
    <n v="49170.37"/>
    <n v="34690.17"/>
    <s v="Actual"/>
    <n v="5"/>
    <n v="14480.200000000004"/>
    <n v="0.29449036075994556"/>
  </r>
  <r>
    <s v="ORD8465"/>
    <d v="2023-06-25T00:00:00"/>
    <x v="0"/>
    <x v="0"/>
    <x v="1"/>
    <x v="0"/>
    <n v="24590.65"/>
    <n v="19063.169999999998"/>
    <s v="Actual"/>
    <n v="3"/>
    <n v="5527.4800000000032"/>
    <n v="0.2247797435204032"/>
  </r>
  <r>
    <s v="ORD2174"/>
    <d v="2023-02-15T00:00:00"/>
    <x v="1"/>
    <x v="3"/>
    <x v="3"/>
    <x v="0"/>
    <n v="139762.84"/>
    <n v="77406.5"/>
    <s v="Actual"/>
    <n v="2"/>
    <n v="62356.34"/>
    <n v="0.44615822059712007"/>
  </r>
  <r>
    <s v="ORD1731"/>
    <s v="Not Mentioned"/>
    <x v="3"/>
    <x v="3"/>
    <x v="3"/>
    <x v="0"/>
    <n v="51645.27"/>
    <n v="41316.216"/>
    <s v="Estimated"/>
    <n v="1"/>
    <n v="10329.053999999996"/>
    <n v="0.19999999999999996"/>
  </r>
  <r>
    <s v="ORD2490"/>
    <s v="Not Mentioned"/>
    <x v="3"/>
    <x v="1"/>
    <x v="2"/>
    <x v="0"/>
    <n v="58259.199999999997"/>
    <n v="42474.8"/>
    <s v="Actual"/>
    <n v="3"/>
    <n v="15784.399999999994"/>
    <n v="0.27093403273646044"/>
  </r>
  <r>
    <s v="ORD2167"/>
    <d v="2023-03-20T00:00:00"/>
    <x v="5"/>
    <x v="2"/>
    <x v="1"/>
    <x v="0"/>
    <n v="9294.92"/>
    <n v="7289.09"/>
    <s v="Actual"/>
    <n v="1"/>
    <n v="2005.83"/>
    <n v="0.21579852220352622"/>
  </r>
  <r>
    <s v="ORD314"/>
    <s v="Not Mentioned"/>
    <x v="3"/>
    <x v="2"/>
    <x v="1"/>
    <x v="0"/>
    <n v="39770.35"/>
    <n v="27621.46"/>
    <s v="Actual"/>
    <n v="4"/>
    <n v="12148.89"/>
    <n v="0.30547606445505254"/>
  </r>
  <r>
    <s v="ORD288"/>
    <s v="Not Mentioned"/>
    <x v="3"/>
    <x v="3"/>
    <x v="2"/>
    <x v="0"/>
    <n v="16430.18"/>
    <n v="14242.75"/>
    <s v="Actual"/>
    <n v="1"/>
    <n v="2187.4300000000003"/>
    <n v="0.13313487740243871"/>
  </r>
  <r>
    <s v="ORD4797"/>
    <d v="2023-01-15T00:00:00"/>
    <x v="4"/>
    <x v="2"/>
    <x v="2"/>
    <x v="0"/>
    <n v="107306.1"/>
    <n v="63623.4"/>
    <s v="Actual"/>
    <n v="5"/>
    <n v="43682.700000000004"/>
    <n v="0.40708496534679761"/>
  </r>
  <r>
    <s v="ORD1615"/>
    <d v="2023-01-15T00:00:00"/>
    <x v="4"/>
    <x v="3"/>
    <x v="3"/>
    <x v="0"/>
    <n v="329037.33"/>
    <n v="229371.93"/>
    <s v="Actual"/>
    <n v="5"/>
    <n v="99665.400000000023"/>
    <n v="0.30289997794475182"/>
  </r>
  <r>
    <s v="ORD3212"/>
    <d v="2023-01-15T00:00:00"/>
    <x v="4"/>
    <x v="3"/>
    <x v="1"/>
    <x v="0"/>
    <n v="35112.559999999998"/>
    <n v="29543.86"/>
    <s v="Actual"/>
    <n v="4"/>
    <n v="5568.6999999999971"/>
    <n v="0.15859567060903557"/>
  </r>
  <r>
    <s v="ORD2391"/>
    <d v="2023-01-15T00:00:00"/>
    <x v="4"/>
    <x v="0"/>
    <x v="1"/>
    <x v="0"/>
    <n v="59624.83"/>
    <n v="37909.279999999999"/>
    <s v="Actual"/>
    <n v="5"/>
    <n v="21715.550000000003"/>
    <n v="0.36420313483493372"/>
  </r>
  <r>
    <s v="ORD7924"/>
    <s v="Not Mentioned"/>
    <x v="3"/>
    <x v="0"/>
    <x v="0"/>
    <x v="0"/>
    <n v="68948.17"/>
    <n v="52193.82"/>
    <s v="Actual"/>
    <s v="Unknown"/>
    <n v="16754.349999999999"/>
    <n v="0.24299919780321941"/>
  </r>
  <r>
    <s v="ORD8951"/>
    <d v="2023-01-15T00:00:00"/>
    <x v="4"/>
    <x v="3"/>
    <x v="3"/>
    <x v="0"/>
    <n v="319577.55"/>
    <n v="224739.36"/>
    <s v="Actual"/>
    <n v="5"/>
    <n v="94838.19"/>
    <n v="0.29676111479044759"/>
  </r>
  <r>
    <s v="ORD7468"/>
    <d v="2023-03-20T00:00:00"/>
    <x v="5"/>
    <x v="1"/>
    <x v="3"/>
    <x v="0"/>
    <n v="98211.03"/>
    <n v="97443.54"/>
    <s v="Actual"/>
    <n v="2"/>
    <n v="767.49000000000524"/>
    <n v="7.8147026866534769E-3"/>
  </r>
  <r>
    <s v="ORD8445"/>
    <d v="2023-06-25T00:00:00"/>
    <x v="0"/>
    <x v="1"/>
    <x v="3"/>
    <x v="0"/>
    <n v="58048.68"/>
    <n v="46438.944000000003"/>
    <s v="Estimated"/>
    <n v="1"/>
    <n v="11609.735999999997"/>
    <n v="0.19999999999999996"/>
  </r>
  <r>
    <s v="ORD158"/>
    <d v="2023-01-15T00:00:00"/>
    <x v="4"/>
    <x v="0"/>
    <x v="0"/>
    <x v="0"/>
    <n v="16344.18"/>
    <n v="10822.02"/>
    <s v="Actual"/>
    <n v="1"/>
    <n v="5522.16"/>
    <n v="0.33786705726442073"/>
  </r>
  <r>
    <s v="ORD112"/>
    <d v="2023-02-15T00:00:00"/>
    <x v="1"/>
    <x v="1"/>
    <x v="2"/>
    <x v="0"/>
    <n v="21995.03"/>
    <n v="15112.44"/>
    <s v="Actual"/>
    <n v="1"/>
    <n v="6882.5899999999983"/>
    <n v="0.31291569049917178"/>
  </r>
  <r>
    <s v="ORD965"/>
    <d v="2023-02-15T00:00:00"/>
    <x v="1"/>
    <x v="0"/>
    <x v="3"/>
    <x v="0"/>
    <n v="58660.4"/>
    <n v="45850.35"/>
    <s v="Actual"/>
    <n v="1"/>
    <n v="12810.050000000003"/>
    <n v="0.21837645157550925"/>
  </r>
  <r>
    <s v="ORD9243"/>
    <d v="2023-06-25T00:00:00"/>
    <x v="0"/>
    <x v="2"/>
    <x v="0"/>
    <x v="0"/>
    <n v="35842.75"/>
    <n v="20772.849999999999"/>
    <s v="Actual"/>
    <n v="2"/>
    <n v="15069.900000000001"/>
    <n v="0.42044485983915858"/>
  </r>
  <r>
    <s v="ORD939"/>
    <d v="2023-01-15T00:00:00"/>
    <x v="4"/>
    <x v="1"/>
    <x v="2"/>
    <x v="0"/>
    <n v="16055.86"/>
    <n v="13312.18"/>
    <s v="Actual"/>
    <n v="1"/>
    <n v="2743.6800000000003"/>
    <n v="0.17088340331816546"/>
  </r>
  <r>
    <s v="ORD9802"/>
    <d v="2023-06-25T00:00:00"/>
    <x v="0"/>
    <x v="1"/>
    <x v="3"/>
    <x v="0"/>
    <n v="53605.62"/>
    <n v="39017.1"/>
    <s v="Actual"/>
    <n v="1"/>
    <n v="14588.520000000004"/>
    <n v="0.27214534595439815"/>
  </r>
  <r>
    <s v="ORD4830"/>
    <s v="Not Mentioned"/>
    <x v="3"/>
    <x v="1"/>
    <x v="0"/>
    <x v="0"/>
    <n v="67388.78"/>
    <n v="41374.1"/>
    <s v="Actual"/>
    <n v="4"/>
    <n v="26014.68"/>
    <n v="0.38603874413515127"/>
  </r>
  <r>
    <s v="ORD8970"/>
    <d v="2023-01-15T00:00:00"/>
    <x v="4"/>
    <x v="0"/>
    <x v="0"/>
    <x v="0"/>
    <n v="17065.89"/>
    <n v="10789.52"/>
    <s v="Actual"/>
    <n v="1"/>
    <n v="6276.369999999999"/>
    <n v="0.36777279122272549"/>
  </r>
  <r>
    <s v="ORD1060"/>
    <d v="2023-02-15T00:00:00"/>
    <x v="1"/>
    <x v="0"/>
    <x v="3"/>
    <x v="0"/>
    <n v="254239.27"/>
    <n v="200918.05"/>
    <s v="Actual"/>
    <n v="5"/>
    <n v="53321.22"/>
    <n v="0.20972849709645563"/>
  </r>
  <r>
    <s v="ORD4398"/>
    <d v="2023-02-15T00:00:00"/>
    <x v="1"/>
    <x v="1"/>
    <x v="3"/>
    <x v="0"/>
    <n v="281740.37"/>
    <n v="193914.1"/>
    <s v="Actual"/>
    <n v="4"/>
    <n v="87826.26999999999"/>
    <n v="0.31172767324753636"/>
  </r>
  <r>
    <s v="ORD2104"/>
    <s v="Not Mentioned"/>
    <x v="3"/>
    <x v="1"/>
    <x v="3"/>
    <x v="0"/>
    <n v="264435.53999999998"/>
    <n v="173045.38"/>
    <s v="Actual"/>
    <n v="4"/>
    <n v="91390.159999999974"/>
    <n v="0.34560467931050409"/>
  </r>
  <r>
    <s v="ORD6398"/>
    <d v="2023-06-25T00:00:00"/>
    <x v="0"/>
    <x v="0"/>
    <x v="1"/>
    <x v="0"/>
    <n v="10582.14"/>
    <n v="6222.6"/>
    <s v="Actual"/>
    <n v="1"/>
    <n v="4359.5399999999991"/>
    <n v="0.41197149158865781"/>
  </r>
  <r>
    <s v="ORD2590"/>
    <s v="Not Mentioned"/>
    <x v="3"/>
    <x v="1"/>
    <x v="0"/>
    <x v="0"/>
    <n v="32816.5"/>
    <n v="20497.98"/>
    <s v="Actual"/>
    <n v="2"/>
    <n v="12318.52"/>
    <n v="0.37537580180701785"/>
  </r>
  <r>
    <s v="ORD7726"/>
    <d v="2023-02-15T00:00:00"/>
    <x v="1"/>
    <x v="3"/>
    <x v="3"/>
    <x v="0"/>
    <n v="132862.56"/>
    <n v="90642.74"/>
    <s v="Actual"/>
    <n v="2"/>
    <n v="42219.819999999992"/>
    <n v="0.31777063455649202"/>
  </r>
  <r>
    <s v="ORD5321"/>
    <d v="2023-06-25T00:00:00"/>
    <x v="0"/>
    <x v="1"/>
    <x v="0"/>
    <x v="0"/>
    <n v="14008.73"/>
    <n v="9284.26"/>
    <s v="Actual"/>
    <n v="1"/>
    <n v="4724.4699999999993"/>
    <n v="0.33725184224408633"/>
  </r>
  <r>
    <s v="ORD9911"/>
    <s v="Not Mentioned"/>
    <x v="3"/>
    <x v="3"/>
    <x v="1"/>
    <x v="0"/>
    <n v="9703.99"/>
    <n v="7643.55"/>
    <s v="Actual"/>
    <n v="1"/>
    <n v="2060.4399999999996"/>
    <n v="0.21232915532682944"/>
  </r>
  <r>
    <s v="ORD4672"/>
    <s v="Not Mentioned"/>
    <x v="3"/>
    <x v="2"/>
    <x v="1"/>
    <x v="0"/>
    <n v="8772.64"/>
    <n v="6774.79"/>
    <s v="Actual"/>
    <n v="1"/>
    <n v="1997.8499999999995"/>
    <n v="0.22773646245599952"/>
  </r>
  <r>
    <s v="ORD328"/>
    <d v="2023-01-15T00:00:00"/>
    <x v="4"/>
    <x v="2"/>
    <x v="3"/>
    <x v="0"/>
    <n v="148013.34"/>
    <n v="135331.18"/>
    <s v="Actual"/>
    <n v="3"/>
    <n v="12682.160000000003"/>
    <n v="8.5682547262294087E-2"/>
  </r>
  <r>
    <s v="ORD4001"/>
    <d v="2023-06-25T00:00:00"/>
    <x v="0"/>
    <x v="2"/>
    <x v="1"/>
    <x v="0"/>
    <n v="8982.2000000000007"/>
    <n v="7371.57"/>
    <s v="Actual"/>
    <n v="1"/>
    <n v="1610.630000000001"/>
    <n v="0.17931353120616339"/>
  </r>
  <r>
    <s v="ORD2552"/>
    <d v="2023-01-15T00:00:00"/>
    <x v="4"/>
    <x v="2"/>
    <x v="0"/>
    <x v="0"/>
    <n v="76619.8"/>
    <n v="49181.99"/>
    <s v="Actual"/>
    <n v="5"/>
    <n v="27437.810000000005"/>
    <n v="0.35810338841918149"/>
  </r>
  <r>
    <s v="ORD8246"/>
    <d v="2023-04-05T00:00:00"/>
    <x v="2"/>
    <x v="2"/>
    <x v="0"/>
    <x v="0"/>
    <n v="70849.5"/>
    <n v="41379.279999999999"/>
    <s v="Actual"/>
    <s v="Unknown"/>
    <n v="29470.22"/>
    <n v="0.41595522904184223"/>
  </r>
  <r>
    <s v="ORD6599"/>
    <d v="2023-02-15T00:00:00"/>
    <x v="1"/>
    <x v="1"/>
    <x v="0"/>
    <x v="0"/>
    <n v="37567.97"/>
    <n v="29155.38"/>
    <s v="Actual"/>
    <n v="3"/>
    <n v="8412.59"/>
    <n v="0.22392985301042351"/>
  </r>
  <r>
    <s v="ORD9857"/>
    <d v="2023-04-05T00:00:00"/>
    <x v="2"/>
    <x v="0"/>
    <x v="2"/>
    <x v="0"/>
    <n v="61654.93"/>
    <n v="43702.83"/>
    <s v="Actual"/>
    <n v="3"/>
    <n v="17952.099999999999"/>
    <n v="0.29117055197370262"/>
  </r>
  <r>
    <s v="ORD3511"/>
    <d v="2023-06-25T00:00:00"/>
    <x v="0"/>
    <x v="0"/>
    <x v="3"/>
    <x v="0"/>
    <n v="269289.34000000003"/>
    <n v="191026.78"/>
    <s v="Actual"/>
    <n v="4"/>
    <n v="78262.560000000027"/>
    <n v="0.2906262832386905"/>
  </r>
  <r>
    <s v="ORD823"/>
    <d v="2023-03-20T00:00:00"/>
    <x v="5"/>
    <x v="0"/>
    <x v="2"/>
    <x v="0"/>
    <n v="69965.429999999993"/>
    <n v="58091.17"/>
    <s v="Actual"/>
    <n v="4"/>
    <n v="11874.259999999995"/>
    <n v="0.16971610122313258"/>
  </r>
  <r>
    <s v="ORD7048"/>
    <s v="Not Mentioned"/>
    <x v="3"/>
    <x v="2"/>
    <x v="1"/>
    <x v="0"/>
    <n v="47915.55"/>
    <n v="35115.08"/>
    <s v="Actual"/>
    <n v="5"/>
    <n v="12800.470000000001"/>
    <n v="0.26714646915249851"/>
  </r>
  <r>
    <s v="ORD9269"/>
    <d v="2023-02-15T00:00:00"/>
    <x v="1"/>
    <x v="0"/>
    <x v="2"/>
    <x v="0"/>
    <n v="91422.86"/>
    <n v="60742"/>
    <s v="Actual"/>
    <n v="4"/>
    <n v="30680.86"/>
    <n v="0.33559287031711765"/>
  </r>
  <r>
    <s v="ORD579"/>
    <d v="2023-03-20T00:00:00"/>
    <x v="5"/>
    <x v="1"/>
    <x v="3"/>
    <x v="0"/>
    <n v="347687.67999999999"/>
    <n v="197965.18"/>
    <s v="Actual"/>
    <n v="5"/>
    <n v="149722.5"/>
    <n v="0.43062354121952207"/>
  </r>
  <r>
    <s v="ORD634"/>
    <d v="2023-06-25T00:00:00"/>
    <x v="0"/>
    <x v="2"/>
    <x v="1"/>
    <x v="0"/>
    <n v="34216.870000000003"/>
    <n v="18292.39"/>
    <s v="Actual"/>
    <n v="3"/>
    <n v="15924.480000000003"/>
    <n v="0.46539850079799822"/>
  </r>
  <r>
    <s v="ORD9007"/>
    <d v="2023-06-25T00:00:00"/>
    <x v="0"/>
    <x v="3"/>
    <x v="3"/>
    <x v="0"/>
    <n v="158147.06"/>
    <n v="126517.648"/>
    <s v="Estimated"/>
    <n v="3"/>
    <n v="31629.411999999997"/>
    <n v="0.19999999999999998"/>
  </r>
  <r>
    <s v="ORD1882"/>
    <d v="2023-04-05T00:00:00"/>
    <x v="2"/>
    <x v="2"/>
    <x v="0"/>
    <x v="0"/>
    <n v="35161.980000000003"/>
    <n v="19637.939999999999"/>
    <s v="Actual"/>
    <n v="2"/>
    <n v="15524.040000000005"/>
    <n v="0.44150073460027006"/>
  </r>
  <r>
    <s v="ORD6200"/>
    <s v="Not Mentioned"/>
    <x v="3"/>
    <x v="2"/>
    <x v="3"/>
    <x v="0"/>
    <n v="114227.4"/>
    <n v="90386.87"/>
    <s v="Actual"/>
    <n v="2"/>
    <n v="23840.53"/>
    <n v="0.2087111323552843"/>
  </r>
  <r>
    <s v="ORD311"/>
    <d v="2023-04-05T00:00:00"/>
    <x v="2"/>
    <x v="2"/>
    <x v="0"/>
    <x v="0"/>
    <n v="47220.83"/>
    <n v="30018.52"/>
    <s v="Actual"/>
    <n v="3"/>
    <n v="17202.310000000001"/>
    <n v="0.36429495203705653"/>
  </r>
  <r>
    <s v="ORD9669"/>
    <d v="2023-01-15T00:00:00"/>
    <x v="4"/>
    <x v="1"/>
    <x v="2"/>
    <x v="0"/>
    <n v="80213.95"/>
    <n v="59584.02"/>
    <s v="Actual"/>
    <n v="4"/>
    <n v="20629.93"/>
    <n v="0.25718631235589323"/>
  </r>
  <r>
    <s v="ORD1755"/>
    <d v="2023-02-15T00:00:00"/>
    <x v="1"/>
    <x v="3"/>
    <x v="1"/>
    <x v="0"/>
    <n v="45627.01"/>
    <n v="33753.78"/>
    <s v="Actual"/>
    <n v="5"/>
    <n v="11873.230000000003"/>
    <n v="0.26022371397994309"/>
  </r>
  <r>
    <s v="ORD9371"/>
    <d v="2023-06-25T00:00:00"/>
    <x v="0"/>
    <x v="1"/>
    <x v="2"/>
    <x v="0"/>
    <n v="22149.98"/>
    <n v="12116.81"/>
    <s v="Actual"/>
    <s v="Unknown"/>
    <n v="10033.17"/>
    <n v="0.45296519455096573"/>
  </r>
  <r>
    <s v="ORD5497"/>
    <d v="2023-06-25T00:00:00"/>
    <x v="0"/>
    <x v="1"/>
    <x v="3"/>
    <x v="0"/>
    <n v="108595.6"/>
    <n v="86876.48000000001"/>
    <s v="Estimated"/>
    <n v="2"/>
    <n v="21719.119999999995"/>
    <n v="0.19999999999999996"/>
  </r>
  <r>
    <s v="ORD1942"/>
    <d v="2023-01-15T00:00:00"/>
    <x v="4"/>
    <x v="0"/>
    <x v="1"/>
    <x v="0"/>
    <n v="41989.89"/>
    <n v="36457.71"/>
    <s v="Actual"/>
    <n v="5"/>
    <n v="5532.18"/>
    <n v="0.13175028560446336"/>
  </r>
  <r>
    <s v="ORD5887"/>
    <d v="2023-01-15T00:00:00"/>
    <x v="4"/>
    <x v="2"/>
    <x v="2"/>
    <x v="0"/>
    <n v="64444.19"/>
    <n v="38745.46"/>
    <s v="Actual"/>
    <n v="3"/>
    <n v="25698.730000000003"/>
    <n v="0.39877497102531667"/>
  </r>
  <r>
    <s v="ORD207"/>
    <d v="2023-04-05T00:00:00"/>
    <x v="2"/>
    <x v="2"/>
    <x v="3"/>
    <x v="0"/>
    <n v="259751.91"/>
    <n v="194843.24"/>
    <s v="Actual"/>
    <n v="5"/>
    <n v="64908.670000000013"/>
    <n v="0.24988717118576725"/>
  </r>
  <r>
    <s v="ORD353"/>
    <d v="2023-04-05T00:00:00"/>
    <x v="2"/>
    <x v="1"/>
    <x v="3"/>
    <x v="0"/>
    <n v="312385.57"/>
    <n v="195733.97"/>
    <s v="Actual"/>
    <n v="5"/>
    <n v="116651.6"/>
    <n v="0.37342185812231982"/>
  </r>
  <r>
    <s v="ORD1654"/>
    <d v="2023-04-05T00:00:00"/>
    <x v="2"/>
    <x v="3"/>
    <x v="1"/>
    <x v="0"/>
    <n v="50746.81"/>
    <n v="31429.61"/>
    <s v="Actual"/>
    <n v="5"/>
    <n v="19317.199999999997"/>
    <n v="0.38065840985866889"/>
  </r>
  <r>
    <s v="ORD6972"/>
    <d v="2023-06-25T00:00:00"/>
    <x v="0"/>
    <x v="1"/>
    <x v="0"/>
    <x v="0"/>
    <n v="66154.83"/>
    <n v="38741.58"/>
    <s v="Actual"/>
    <s v="Unknown"/>
    <n v="27413.25"/>
    <n v="0.41438017450880005"/>
  </r>
  <r>
    <s v="ORD7964"/>
    <d v="2023-04-05T00:00:00"/>
    <x v="2"/>
    <x v="0"/>
    <x v="0"/>
    <x v="0"/>
    <n v="63910.59"/>
    <n v="45044.19"/>
    <s v="Actual"/>
    <n v="5"/>
    <n v="18866.399999999994"/>
    <n v="0.29519990349017267"/>
  </r>
  <r>
    <s v="ORD5379"/>
    <d v="2023-06-25T00:00:00"/>
    <x v="0"/>
    <x v="2"/>
    <x v="2"/>
    <x v="0"/>
    <n v="92072.37"/>
    <n v="60154.45"/>
    <s v="Actual"/>
    <n v="5"/>
    <n v="31917.919999999998"/>
    <n v="0.34666121877822847"/>
  </r>
  <r>
    <s v="ORD3883"/>
    <d v="2023-01-15T00:00:00"/>
    <x v="4"/>
    <x v="2"/>
    <x v="2"/>
    <x v="0"/>
    <n v="44022.77"/>
    <n v="30389.34"/>
    <s v="Actual"/>
    <n v="2"/>
    <n v="13633.429999999997"/>
    <n v="0.3096904170273701"/>
  </r>
  <r>
    <s v="ORD5402"/>
    <s v="Not Mentioned"/>
    <x v="3"/>
    <x v="0"/>
    <x v="1"/>
    <x v="0"/>
    <n v="26457.63"/>
    <n v="22039.49"/>
    <s v="Actual"/>
    <n v="3"/>
    <n v="4418.1399999999994"/>
    <n v="0.1669892579191711"/>
  </r>
  <r>
    <s v="ORD1572"/>
    <d v="2023-03-20T00:00:00"/>
    <x v="5"/>
    <x v="3"/>
    <x v="0"/>
    <x v="0"/>
    <n v="24563.91"/>
    <n v="18694.07"/>
    <s v="Actual"/>
    <n v="2"/>
    <n v="5869.84"/>
    <n v="0.23896195678945251"/>
  </r>
  <r>
    <s v="ORD168"/>
    <d v="2023-02-15T00:00:00"/>
    <x v="1"/>
    <x v="2"/>
    <x v="2"/>
    <x v="0"/>
    <n v="18609.759999999998"/>
    <n v="14546.67"/>
    <s v="Actual"/>
    <n v="1"/>
    <n v="4063.0899999999983"/>
    <n v="0.21833113377066651"/>
  </r>
  <r>
    <s v="ORD8257"/>
    <s v="Not Mentioned"/>
    <x v="3"/>
    <x v="1"/>
    <x v="3"/>
    <x v="0"/>
    <n v="101675.44"/>
    <n v="97963.77"/>
    <s v="Actual"/>
    <n v="2"/>
    <n v="3711.6699999999983"/>
    <n v="3.6505079299386345E-2"/>
  </r>
  <r>
    <s v="ORD466"/>
    <d v="2023-03-20T00:00:00"/>
    <x v="5"/>
    <x v="3"/>
    <x v="1"/>
    <x v="0"/>
    <n v="9129.26"/>
    <n v="6974.27"/>
    <s v="Actual"/>
    <n v="1"/>
    <n v="2154.9899999999998"/>
    <n v="0.2360530864495041"/>
  </r>
  <r>
    <s v="ORD5573"/>
    <d v="2023-04-05T00:00:00"/>
    <x v="2"/>
    <x v="3"/>
    <x v="2"/>
    <x v="0"/>
    <n v="21738.1"/>
    <n v="13937.25"/>
    <s v="Actual"/>
    <n v="1"/>
    <n v="7800.8499999999985"/>
    <n v="0.35885610977960353"/>
  </r>
  <r>
    <s v="ORD2847"/>
    <d v="2023-04-05T00:00:00"/>
    <x v="2"/>
    <x v="2"/>
    <x v="2"/>
    <x v="0"/>
    <n v="16665.78"/>
    <n v="14920.36"/>
    <s v="Actual"/>
    <n v="1"/>
    <n v="1745.4199999999983"/>
    <n v="0.10473077167705312"/>
  </r>
  <r>
    <s v="ORD5428"/>
    <d v="2023-06-25T00:00:00"/>
    <x v="0"/>
    <x v="2"/>
    <x v="0"/>
    <x v="0"/>
    <n v="61866.15"/>
    <n v="52783.79"/>
    <s v="Actual"/>
    <n v="5"/>
    <n v="9082.36"/>
    <n v="0.14680661395609715"/>
  </r>
  <r>
    <s v="ORD1579"/>
    <d v="2023-02-15T00:00:00"/>
    <x v="1"/>
    <x v="2"/>
    <x v="2"/>
    <x v="0"/>
    <n v="73531.5"/>
    <n v="58520.67"/>
    <s v="Actual"/>
    <n v="4"/>
    <n v="15010.830000000002"/>
    <n v="0.20414149038167317"/>
  </r>
  <r>
    <s v="ORD9154"/>
    <d v="2023-03-20T00:00:00"/>
    <x v="5"/>
    <x v="2"/>
    <x v="0"/>
    <x v="0"/>
    <n v="29480.77"/>
    <n v="23584.616000000002"/>
    <s v="Estimated"/>
    <n v="2"/>
    <n v="5896.1539999999986"/>
    <n v="0.19999999999999996"/>
  </r>
  <r>
    <s v="ORD7364"/>
    <d v="2023-04-05T00:00:00"/>
    <x v="2"/>
    <x v="2"/>
    <x v="1"/>
    <x v="0"/>
    <n v="24325.279999999999"/>
    <n v="19460.223999999998"/>
    <s v="Estimated"/>
    <n v="3"/>
    <n v="4865.0560000000005"/>
    <n v="0.20000000000000004"/>
  </r>
  <r>
    <s v="ORD5175"/>
    <d v="2023-04-05T00:00:00"/>
    <x v="2"/>
    <x v="0"/>
    <x v="1"/>
    <x v="0"/>
    <n v="20077.25"/>
    <n v="15081.03"/>
    <s v="Actual"/>
    <n v="2"/>
    <n v="4996.2199999999993"/>
    <n v="0.24884981757959876"/>
  </r>
  <r>
    <s v="ORD2407"/>
    <d v="2023-06-25T00:00:00"/>
    <x v="0"/>
    <x v="3"/>
    <x v="2"/>
    <x v="0"/>
    <n v="23670.97"/>
    <n v="12399.85"/>
    <s v="Actual"/>
    <n v="1"/>
    <n v="11271.12"/>
    <n v="0.47615792677697621"/>
  </r>
  <r>
    <s v="ORD7099"/>
    <d v="2023-06-25T00:00:00"/>
    <x v="0"/>
    <x v="2"/>
    <x v="2"/>
    <x v="0"/>
    <n v="95690.68"/>
    <n v="67332.160000000003"/>
    <s v="Actual"/>
    <n v="5"/>
    <n v="28358.51999999999"/>
    <n v="0.29635613416060991"/>
  </r>
  <r>
    <s v="ORD802"/>
    <d v="2023-02-15T00:00:00"/>
    <x v="1"/>
    <x v="2"/>
    <x v="3"/>
    <x v="0"/>
    <n v="162627.19"/>
    <n v="126467.74"/>
    <s v="Actual"/>
    <n v="3"/>
    <n v="36159.449999999997"/>
    <n v="0.22234566064875128"/>
  </r>
  <r>
    <s v="ORD6585"/>
    <d v="2023-03-20T00:00:00"/>
    <x v="5"/>
    <x v="1"/>
    <x v="0"/>
    <x v="0"/>
    <n v="66916.820000000007"/>
    <n v="34240.410000000003"/>
    <s v="Actual"/>
    <n v="4"/>
    <n v="32676.410000000003"/>
    <n v="0.48831384994086691"/>
  </r>
  <r>
    <s v="ORD2992"/>
    <s v="Not Mentioned"/>
    <x v="3"/>
    <x v="2"/>
    <x v="0"/>
    <x v="0"/>
    <n v="50327.49"/>
    <n v="34557.07"/>
    <s v="Actual"/>
    <n v="4"/>
    <n v="15770.419999999998"/>
    <n v="0.31335598099567452"/>
  </r>
  <r>
    <s v="ORD9400"/>
    <d v="2023-04-05T00:00:00"/>
    <x v="2"/>
    <x v="1"/>
    <x v="2"/>
    <x v="0"/>
    <n v="47844.56"/>
    <n v="28079.39"/>
    <s v="Actual"/>
    <n v="2"/>
    <n v="19765.169999999998"/>
    <n v="0.41311216991022592"/>
  </r>
  <r>
    <s v="ORD208"/>
    <d v="2023-01-15T00:00:00"/>
    <x v="4"/>
    <x v="2"/>
    <x v="0"/>
    <x v="0"/>
    <n v="59620.15"/>
    <n v="41940.14"/>
    <s v="Actual"/>
    <n v="4"/>
    <n v="17680.010000000002"/>
    <n v="0.29654420527288178"/>
  </r>
  <r>
    <s v="ORD8194"/>
    <d v="2023-03-20T00:00:00"/>
    <x v="5"/>
    <x v="1"/>
    <x v="0"/>
    <x v="0"/>
    <n v="36163.57"/>
    <n v="30362.23"/>
    <s v="Actual"/>
    <n v="3"/>
    <n v="5801.34"/>
    <n v="0.16041944973906061"/>
  </r>
  <r>
    <s v="ORD7654"/>
    <d v="2023-01-15T00:00:00"/>
    <x v="4"/>
    <x v="1"/>
    <x v="3"/>
    <x v="0"/>
    <n v="137663.01999999999"/>
    <n v="89619.88"/>
    <s v="Actual"/>
    <n v="2"/>
    <n v="48043.139999999985"/>
    <n v="0.3489908909451499"/>
  </r>
  <r>
    <s v="ORD4483"/>
    <d v="2023-03-20T00:00:00"/>
    <x v="5"/>
    <x v="1"/>
    <x v="1"/>
    <x v="0"/>
    <n v="35497.660000000003"/>
    <n v="19150.07"/>
    <s v="Actual"/>
    <n v="3"/>
    <n v="16347.590000000004"/>
    <n v="0.46052584874608643"/>
  </r>
  <r>
    <s v="ORD6470"/>
    <d v="2023-06-25T00:00:00"/>
    <x v="0"/>
    <x v="0"/>
    <x v="2"/>
    <x v="0"/>
    <n v="71370.22"/>
    <n v="49089.760000000002"/>
    <s v="Actual"/>
    <n v="4"/>
    <n v="22280.46"/>
    <n v="0.31218146728425383"/>
  </r>
  <r>
    <s v="ORD3064"/>
    <s v="Not Mentioned"/>
    <x v="3"/>
    <x v="1"/>
    <x v="2"/>
    <x v="0"/>
    <n v="36951.51"/>
    <n v="30624.33"/>
    <s v="Actual"/>
    <n v="2"/>
    <n v="6327.18"/>
    <n v="0.17122926776199404"/>
  </r>
  <r>
    <s v="ORD4250"/>
    <d v="2023-04-05T00:00:00"/>
    <x v="2"/>
    <x v="1"/>
    <x v="0"/>
    <x v="0"/>
    <n v="46931.839999999997"/>
    <n v="26164.34"/>
    <s v="Actual"/>
    <n v="3"/>
    <n v="20767.499999999996"/>
    <n v="0.44250342624538047"/>
  </r>
  <r>
    <s v="ORD787"/>
    <d v="2023-01-15T00:00:00"/>
    <x v="4"/>
    <x v="2"/>
    <x v="2"/>
    <x v="0"/>
    <n v="38678.269999999997"/>
    <n v="25967.68"/>
    <s v="Actual"/>
    <n v="2"/>
    <n v="12710.589999999997"/>
    <n v="0.32862353978086395"/>
  </r>
  <r>
    <s v="ORD4557"/>
    <d v="2023-03-20T00:00:00"/>
    <x v="5"/>
    <x v="3"/>
    <x v="1"/>
    <x v="0"/>
    <n v="17005.150000000001"/>
    <n v="12914.05"/>
    <s v="Actual"/>
    <n v="2"/>
    <n v="4091.1000000000022"/>
    <n v="0.24058005957018913"/>
  </r>
  <r>
    <s v="ORD4395"/>
    <d v="2023-06-25T00:00:00"/>
    <x v="0"/>
    <x v="3"/>
    <x v="0"/>
    <x v="0"/>
    <n v="53799.81"/>
    <n v="34680.370000000003"/>
    <s v="Actual"/>
    <n v="4"/>
    <n v="19119.439999999995"/>
    <n v="0.35538118071420688"/>
  </r>
  <r>
    <s v="ORD9257"/>
    <d v="2023-03-20T00:00:00"/>
    <x v="5"/>
    <x v="3"/>
    <x v="2"/>
    <x v="0"/>
    <n v="17462.919999999998"/>
    <n v="12713.41"/>
    <s v="Actual"/>
    <n v="1"/>
    <n v="4749.5099999999984"/>
    <n v="0.27197685152311291"/>
  </r>
  <r>
    <s v="ORD2036"/>
    <d v="2023-06-25T00:00:00"/>
    <x v="0"/>
    <x v="2"/>
    <x v="2"/>
    <x v="0"/>
    <n v="67479.05"/>
    <n v="38786.129999999997"/>
    <s v="Actual"/>
    <n v="3"/>
    <n v="28692.920000000006"/>
    <n v="0.42521226958589375"/>
  </r>
  <r>
    <s v="ORD5354"/>
    <d v="2023-02-15T00:00:00"/>
    <x v="1"/>
    <x v="3"/>
    <x v="1"/>
    <x v="0"/>
    <n v="58301.97"/>
    <n v="31118.17"/>
    <s v="Actual"/>
    <n v="5"/>
    <n v="27183.800000000003"/>
    <n v="0.46625868731365344"/>
  </r>
  <r>
    <s v="ORD5934"/>
    <s v="Not Mentioned"/>
    <x v="3"/>
    <x v="1"/>
    <x v="2"/>
    <x v="0"/>
    <n v="102772.2"/>
    <n v="70555.14"/>
    <s v="Actual"/>
    <n v="5"/>
    <n v="32217.059999999998"/>
    <n v="0.31348029914704562"/>
  </r>
  <r>
    <s v="ORD9060"/>
    <s v="Not Mentioned"/>
    <x v="3"/>
    <x v="1"/>
    <x v="0"/>
    <x v="0"/>
    <n v="55747.44"/>
    <n v="36581.08"/>
    <s v="Actual"/>
    <n v="4"/>
    <n v="19166.36"/>
    <n v="0.34380699813300841"/>
  </r>
  <r>
    <s v="ORD5777"/>
    <d v="2023-04-05T00:00:00"/>
    <x v="2"/>
    <x v="2"/>
    <x v="0"/>
    <x v="0"/>
    <n v="61031.31"/>
    <n v="48825.048000000003"/>
    <s v="Estimated"/>
    <n v="5"/>
    <n v="12206.261999999995"/>
    <n v="0.19999999999999993"/>
  </r>
  <r>
    <s v="ORD474"/>
    <d v="2023-04-05T00:00:00"/>
    <x v="2"/>
    <x v="2"/>
    <x v="0"/>
    <x v="0"/>
    <n v="12619.3"/>
    <n v="9962.59"/>
    <s v="Actual"/>
    <n v="1"/>
    <n v="2656.7099999999991"/>
    <n v="0.21052752529855057"/>
  </r>
  <r>
    <s v="ORD552"/>
    <d v="2023-04-05T00:00:00"/>
    <x v="2"/>
    <x v="2"/>
    <x v="0"/>
    <x v="0"/>
    <n v="82268.960000000006"/>
    <n v="50538.8"/>
    <s v="Actual"/>
    <n v="5"/>
    <n v="31730.160000000003"/>
    <n v="0.38568811371870998"/>
  </r>
  <r>
    <s v="ORD8206"/>
    <d v="2023-03-20T00:00:00"/>
    <x v="5"/>
    <x v="2"/>
    <x v="3"/>
    <x v="0"/>
    <n v="120335.98"/>
    <n v="89373.87"/>
    <s v="Actual"/>
    <n v="2"/>
    <n v="30962.11"/>
    <n v="0.25729719407279522"/>
  </r>
  <r>
    <s v="ORD263"/>
    <d v="2023-03-20T00:00:00"/>
    <x v="5"/>
    <x v="2"/>
    <x v="1"/>
    <x v="0"/>
    <n v="24295.73"/>
    <n v="21507.62"/>
    <s v="Actual"/>
    <n v="3"/>
    <n v="2788.1100000000006"/>
    <n v="0.11475720219149622"/>
  </r>
  <r>
    <s v="ORD150"/>
    <d v="2023-02-15T00:00:00"/>
    <x v="1"/>
    <x v="2"/>
    <x v="0"/>
    <x v="0"/>
    <n v="15085.36"/>
    <n v="9847.98"/>
    <s v="Actual"/>
    <n v="1"/>
    <n v="5237.380000000001"/>
    <n v="0.34718296414537014"/>
  </r>
  <r>
    <s v="ORD4185"/>
    <s v="Not Mentioned"/>
    <x v="3"/>
    <x v="2"/>
    <x v="2"/>
    <x v="0"/>
    <n v="82966.27"/>
    <n v="59150.49"/>
    <s v="Actual"/>
    <n v="4"/>
    <n v="23815.780000000006"/>
    <n v="0.28705376293281604"/>
  </r>
  <r>
    <s v="ORD3302"/>
    <d v="2023-06-25T00:00:00"/>
    <x v="0"/>
    <x v="1"/>
    <x v="3"/>
    <x v="0"/>
    <n v="71545.08"/>
    <n v="45695.37"/>
    <s v="Actual"/>
    <n v="1"/>
    <n v="25849.71"/>
    <n v="0.36130660556952343"/>
  </r>
  <r>
    <s v="ORD9399"/>
    <d v="2023-06-25T00:00:00"/>
    <x v="0"/>
    <x v="2"/>
    <x v="0"/>
    <x v="0"/>
    <n v="37845.53"/>
    <n v="25589.38"/>
    <s v="Actual"/>
    <n v="3"/>
    <n v="12256.149999999998"/>
    <n v="0.32384669999336774"/>
  </r>
  <r>
    <s v="ORD3823"/>
    <s v="Not Mentioned"/>
    <x v="3"/>
    <x v="2"/>
    <x v="2"/>
    <x v="0"/>
    <n v="67710.23"/>
    <n v="38268.879999999997"/>
    <s v="Actual"/>
    <n v="3"/>
    <n v="29441.35"/>
    <n v="0.43481391216659582"/>
  </r>
  <r>
    <s v="ORD1604"/>
    <s v="Not Mentioned"/>
    <x v="3"/>
    <x v="2"/>
    <x v="1"/>
    <x v="0"/>
    <n v="31572.59"/>
    <n v="17981.169999999998"/>
    <s v="Actual"/>
    <n v="3"/>
    <n v="13591.420000000002"/>
    <n v="0.43048162979343796"/>
  </r>
  <r>
    <s v="ORD713"/>
    <d v="2023-04-05T00:00:00"/>
    <x v="2"/>
    <x v="1"/>
    <x v="2"/>
    <x v="0"/>
    <n v="109098.1"/>
    <n v="74718.289999999994"/>
    <s v="Actual"/>
    <n v="5"/>
    <n v="34379.810000000012"/>
    <n v="0.31512748617986941"/>
  </r>
  <r>
    <s v="ORD2840"/>
    <d v="2023-04-05T00:00:00"/>
    <x v="2"/>
    <x v="2"/>
    <x v="0"/>
    <x v="0"/>
    <n v="69802.17"/>
    <n v="46870.18"/>
    <s v="Actual"/>
    <s v="Unknown"/>
    <n v="22931.989999999998"/>
    <n v="0.32852832512227054"/>
  </r>
  <r>
    <s v="ORD3970"/>
    <d v="2023-02-15T00:00:00"/>
    <x v="1"/>
    <x v="2"/>
    <x v="3"/>
    <x v="0"/>
    <n v="105882.34"/>
    <n v="84430.82"/>
    <s v="Actual"/>
    <n v="2"/>
    <n v="21451.51999999999"/>
    <n v="0.20259771365083157"/>
  </r>
  <r>
    <s v="ORD4670"/>
    <s v="Not Mentioned"/>
    <x v="3"/>
    <x v="2"/>
    <x v="1"/>
    <x v="0"/>
    <n v="8422.6"/>
    <n v="7372.49"/>
    <s v="Actual"/>
    <n v="1"/>
    <n v="1050.1100000000006"/>
    <n v="0.12467765298126475"/>
  </r>
  <r>
    <s v="ORD2507"/>
    <d v="2023-03-20T00:00:00"/>
    <x v="5"/>
    <x v="1"/>
    <x v="1"/>
    <x v="0"/>
    <n v="32769.26"/>
    <n v="26215.408000000003"/>
    <s v="Estimated"/>
    <n v="4"/>
    <n v="6553.851999999999"/>
    <n v="0.19999999999999996"/>
  </r>
  <r>
    <s v="ORD581"/>
    <d v="2023-01-15T00:00:00"/>
    <x v="4"/>
    <x v="2"/>
    <x v="0"/>
    <x v="0"/>
    <n v="14104.67"/>
    <n v="10581.73"/>
    <s v="Actual"/>
    <n v="1"/>
    <n v="3522.9400000000005"/>
    <n v="0.24977117507889235"/>
  </r>
  <r>
    <s v="ORD8169"/>
    <d v="2023-04-05T00:00:00"/>
    <x v="2"/>
    <x v="0"/>
    <x v="2"/>
    <x v="0"/>
    <n v="58987.32"/>
    <n v="38419.1"/>
    <s v="Actual"/>
    <n v="3"/>
    <n v="20568.22"/>
    <n v="0.34868883685510721"/>
  </r>
  <r>
    <s v="ORD828"/>
    <d v="2023-02-15T00:00:00"/>
    <x v="1"/>
    <x v="3"/>
    <x v="2"/>
    <x v="0"/>
    <n v="117828.6"/>
    <n v="71344.350000000006"/>
    <s v="Actual"/>
    <n v="5"/>
    <n v="46484.25"/>
    <n v="0.3945073606917166"/>
  </r>
  <r>
    <s v="ORD791"/>
    <d v="2023-06-25T00:00:00"/>
    <x v="0"/>
    <x v="2"/>
    <x v="3"/>
    <x v="0"/>
    <n v="256966.03"/>
    <n v="198580.52"/>
    <s v="Actual"/>
    <n v="5"/>
    <n v="58385.510000000009"/>
    <n v="0.22721100528346105"/>
  </r>
  <r>
    <s v="ORD696"/>
    <d v="2023-01-15T00:00:00"/>
    <x v="4"/>
    <x v="0"/>
    <x v="2"/>
    <x v="0"/>
    <n v="18927.189999999999"/>
    <n v="12702.88"/>
    <s v="Actual"/>
    <s v="Unknown"/>
    <n v="6224.3099999999995"/>
    <n v="0.32885547194274478"/>
  </r>
  <r>
    <s v="ORD8226"/>
    <d v="2023-02-15T00:00:00"/>
    <x v="1"/>
    <x v="2"/>
    <x v="0"/>
    <x v="0"/>
    <n v="50983.040000000001"/>
    <n v="32937.18"/>
    <s v="Actual"/>
    <n v="3"/>
    <n v="18045.86"/>
    <n v="0.35395810057619159"/>
  </r>
  <r>
    <s v="ORD5235"/>
    <s v="Not Mentioned"/>
    <x v="3"/>
    <x v="0"/>
    <x v="0"/>
    <x v="0"/>
    <n v="50374.01"/>
    <n v="26302.720000000001"/>
    <s v="Actual"/>
    <n v="3"/>
    <n v="24071.29"/>
    <n v="0.4778513761362258"/>
  </r>
  <r>
    <s v="ORD4720"/>
    <d v="2023-04-05T00:00:00"/>
    <x v="2"/>
    <x v="0"/>
    <x v="0"/>
    <x v="0"/>
    <n v="82863.89"/>
    <n v="54202.21"/>
    <s v="Actual"/>
    <n v="5"/>
    <n v="28661.68"/>
    <n v="0.34588866151468389"/>
  </r>
  <r>
    <s v="ORD960"/>
    <d v="2023-04-05T00:00:00"/>
    <x v="2"/>
    <x v="2"/>
    <x v="2"/>
    <x v="0"/>
    <n v="18171.45"/>
    <n v="11912.96"/>
    <s v="Actual"/>
    <n v="1"/>
    <n v="6258.4900000000016"/>
    <n v="0.34441335171381487"/>
  </r>
  <r>
    <s v="ORD973"/>
    <d v="2023-02-15T00:00:00"/>
    <x v="1"/>
    <x v="2"/>
    <x v="2"/>
    <x v="0"/>
    <n v="16764.47"/>
    <n v="15043.51"/>
    <s v="Actual"/>
    <n v="1"/>
    <n v="1720.9600000000009"/>
    <n v="0.10265519876262123"/>
  </r>
  <r>
    <s v="ORD2075"/>
    <d v="2023-04-05T00:00:00"/>
    <x v="2"/>
    <x v="2"/>
    <x v="0"/>
    <x v="0"/>
    <n v="67672.25"/>
    <n v="43993.5"/>
    <s v="Actual"/>
    <n v="4"/>
    <n v="23678.75"/>
    <n v="0.3499033946706368"/>
  </r>
  <r>
    <s v="ORD1541"/>
    <d v="2023-06-25T00:00:00"/>
    <x v="0"/>
    <x v="3"/>
    <x v="1"/>
    <x v="0"/>
    <n v="42714.92"/>
    <n v="38302.58"/>
    <s v="Actual"/>
    <n v="5"/>
    <n v="4412.3399999999965"/>
    <n v="0.10329739585137926"/>
  </r>
  <r>
    <s v="ORD2164"/>
    <d v="2023-03-20T00:00:00"/>
    <x v="5"/>
    <x v="1"/>
    <x v="2"/>
    <x v="0"/>
    <n v="18085.29"/>
    <n v="12223.85"/>
    <s v="Actual"/>
    <n v="1"/>
    <n v="5861.4400000000005"/>
    <n v="0.32409986237433852"/>
  </r>
  <r>
    <s v="ORD9012"/>
    <d v="2023-02-15T00:00:00"/>
    <x v="1"/>
    <x v="2"/>
    <x v="2"/>
    <x v="0"/>
    <n v="85744.86"/>
    <n v="71014.12"/>
    <s v="Actual"/>
    <n v="5"/>
    <n v="14730.740000000005"/>
    <n v="0.17179735321744075"/>
  </r>
  <r>
    <s v="ORD1885"/>
    <d v="2023-06-25T00:00:00"/>
    <x v="0"/>
    <x v="3"/>
    <x v="1"/>
    <x v="0"/>
    <n v="21854.98"/>
    <n v="12508.87"/>
    <s v="Actual"/>
    <n v="2"/>
    <n v="9346.1099999999988"/>
    <n v="0.42764212092621445"/>
  </r>
  <r>
    <s v="ORD3032"/>
    <d v="2023-03-20T00:00:00"/>
    <x v="5"/>
    <x v="2"/>
    <x v="2"/>
    <x v="0"/>
    <n v="22528.45"/>
    <n v="13412.24"/>
    <s v="Actual"/>
    <n v="1"/>
    <n v="9116.2100000000009"/>
    <n v="0.40465322736362247"/>
  </r>
  <r>
    <s v="ORD4697"/>
    <d v="2023-06-25T00:00:00"/>
    <x v="0"/>
    <x v="0"/>
    <x v="2"/>
    <x v="0"/>
    <n v="34308.99"/>
    <n v="27447.191999999999"/>
    <s v="Estimated"/>
    <n v="2"/>
    <n v="6861.7979999999989"/>
    <n v="0.19999999999999998"/>
  </r>
  <r>
    <s v="ORD310"/>
    <d v="2023-03-20T00:00:00"/>
    <x v="5"/>
    <x v="2"/>
    <x v="2"/>
    <x v="0"/>
    <n v="34600.18"/>
    <n v="30518.22"/>
    <s v="Actual"/>
    <n v="2"/>
    <n v="4081.9599999999991"/>
    <n v="0.117975108800012"/>
  </r>
  <r>
    <s v="ORD8776"/>
    <d v="2023-02-15T00:00:00"/>
    <x v="1"/>
    <x v="0"/>
    <x v="0"/>
    <x v="0"/>
    <n v="45324.28"/>
    <n v="25555.97"/>
    <s v="Actual"/>
    <n v="3"/>
    <n v="19768.309999999998"/>
    <n v="0.43615276403728859"/>
  </r>
  <r>
    <s v="ORD6738"/>
    <d v="2023-03-20T00:00:00"/>
    <x v="5"/>
    <x v="2"/>
    <x v="1"/>
    <x v="0"/>
    <n v="48803.61"/>
    <n v="30356.44"/>
    <s v="Actual"/>
    <n v="5"/>
    <n v="18447.170000000002"/>
    <n v="0.37798781688485755"/>
  </r>
  <r>
    <s v="ORD2392"/>
    <d v="2023-02-15T00:00:00"/>
    <x v="1"/>
    <x v="1"/>
    <x v="2"/>
    <x v="0"/>
    <n v="105072.11"/>
    <n v="65777.990000000005"/>
    <s v="Actual"/>
    <n v="5"/>
    <n v="39294.119999999995"/>
    <n v="0.37397288395559958"/>
  </r>
  <r>
    <s v="ORD7213"/>
    <s v="Not Mentioned"/>
    <x v="3"/>
    <x v="1"/>
    <x v="2"/>
    <x v="0"/>
    <n v="41379.769999999997"/>
    <n v="27246.57"/>
    <s v="Actual"/>
    <n v="2"/>
    <n v="14133.199999999997"/>
    <n v="0.34154853929830925"/>
  </r>
  <r>
    <s v="ORD794"/>
    <d v="2023-03-20T00:00:00"/>
    <x v="5"/>
    <x v="1"/>
    <x v="2"/>
    <x v="0"/>
    <n v="84209.42"/>
    <n v="55201.17"/>
    <s v="Actual"/>
    <n v="4"/>
    <n v="29008.25"/>
    <n v="0.34447749432308167"/>
  </r>
  <r>
    <s v="ORD8610"/>
    <d v="2023-01-15T00:00:00"/>
    <x v="4"/>
    <x v="3"/>
    <x v="0"/>
    <x v="0"/>
    <n v="57751.97"/>
    <n v="43265.85"/>
    <s v="Actual"/>
    <n v="4"/>
    <n v="14486.120000000003"/>
    <n v="0.25083334819574127"/>
  </r>
  <r>
    <s v="ORD1964"/>
    <d v="2023-04-05T00:00:00"/>
    <x v="2"/>
    <x v="2"/>
    <x v="0"/>
    <x v="0"/>
    <n v="35590.04"/>
    <n v="17873.919999999998"/>
    <s v="Actual"/>
    <n v="2"/>
    <n v="17716.120000000003"/>
    <n v="0.49778308762788698"/>
  </r>
  <r>
    <s v="ORD1355"/>
    <d v="2023-02-15T00:00:00"/>
    <x v="1"/>
    <x v="1"/>
    <x v="2"/>
    <x v="0"/>
    <n v="66516.05"/>
    <n v="52232.81"/>
    <s v="Actual"/>
    <n v="4"/>
    <n v="14283.240000000005"/>
    <n v="0.21473373719575958"/>
  </r>
  <r>
    <s v="ORD6791"/>
    <d v="2023-02-15T00:00:00"/>
    <x v="1"/>
    <x v="2"/>
    <x v="3"/>
    <x v="0"/>
    <n v="189739.08"/>
    <n v="116152.64"/>
    <s v="Actual"/>
    <n v="3"/>
    <n v="73586.439999999988"/>
    <n v="0.38782964479431437"/>
  </r>
  <r>
    <s v="ORD2460"/>
    <d v="2023-02-15T00:00:00"/>
    <x v="1"/>
    <x v="2"/>
    <x v="2"/>
    <x v="0"/>
    <n v="57790.51"/>
    <n v="45992.74"/>
    <s v="Actual"/>
    <s v="Unknown"/>
    <n v="11797.770000000004"/>
    <n v="0.20414718610373925"/>
  </r>
  <r>
    <s v="ORD116"/>
    <d v="2023-03-20T00:00:00"/>
    <x v="5"/>
    <x v="2"/>
    <x v="3"/>
    <x v="0"/>
    <n v="337312.22"/>
    <n v="213770.06"/>
    <s v="Actual"/>
    <n v="5"/>
    <n v="123542.15999999997"/>
    <n v="0.3662546230907377"/>
  </r>
  <r>
    <s v="ORD1392"/>
    <d v="2023-06-25T00:00:00"/>
    <x v="0"/>
    <x v="3"/>
    <x v="1"/>
    <x v="0"/>
    <n v="33906.42"/>
    <n v="22004.38"/>
    <s v="Actual"/>
    <n v="3"/>
    <n v="11902.039999999997"/>
    <n v="0.35102614785046599"/>
  </r>
  <r>
    <s v="ORD442"/>
    <d v="2023-01-15T00:00:00"/>
    <x v="4"/>
    <x v="2"/>
    <x v="0"/>
    <x v="0"/>
    <n v="14262.05"/>
    <n v="10912.32"/>
    <s v="Actual"/>
    <n v="1"/>
    <n v="3349.7299999999996"/>
    <n v="0.23487016242405542"/>
  </r>
  <r>
    <s v="ORD1340"/>
    <d v="2023-06-25T00:00:00"/>
    <x v="0"/>
    <x v="1"/>
    <x v="1"/>
    <x v="0"/>
    <n v="8057.49"/>
    <n v="6036.65"/>
    <s v="Actual"/>
    <n v="1"/>
    <n v="2020.8400000000001"/>
    <n v="0.2508026693176163"/>
  </r>
  <r>
    <s v="ORD1818"/>
    <d v="2023-03-20T00:00:00"/>
    <x v="5"/>
    <x v="0"/>
    <x v="1"/>
    <x v="0"/>
    <n v="17004.66"/>
    <n v="14579.4"/>
    <s v="Actual"/>
    <n v="2"/>
    <n v="2425.2600000000002"/>
    <n v="0.14262325738944504"/>
  </r>
  <r>
    <s v="ORD5792"/>
    <d v="2023-03-20T00:00:00"/>
    <x v="5"/>
    <x v="0"/>
    <x v="1"/>
    <x v="0"/>
    <n v="8335.16"/>
    <n v="7075.36"/>
    <s v="Actual"/>
    <n v="1"/>
    <n v="1259.8000000000002"/>
    <n v="0.15114286948300934"/>
  </r>
  <r>
    <s v="ORD9699"/>
    <d v="2023-04-05T00:00:00"/>
    <x v="2"/>
    <x v="0"/>
    <x v="3"/>
    <x v="0"/>
    <n v="240179.47"/>
    <n v="173473.06"/>
    <s v="Actual"/>
    <n v="4"/>
    <n v="66706.41"/>
    <n v="0.27773568656804848"/>
  </r>
  <r>
    <s v="ORD597"/>
    <d v="2023-02-15T00:00:00"/>
    <x v="1"/>
    <x v="2"/>
    <x v="3"/>
    <x v="0"/>
    <n v="240075.3"/>
    <n v="245424.04"/>
    <s v="Actual"/>
    <n v="5"/>
    <n v="-5348.7400000000198"/>
    <n v="-2.227942649660344E-2"/>
  </r>
  <r>
    <s v="ORD4401"/>
    <d v="2023-01-15T00:00:00"/>
    <x v="4"/>
    <x v="2"/>
    <x v="1"/>
    <x v="0"/>
    <n v="34834.42"/>
    <n v="27867.536"/>
    <s v="Estimated"/>
    <n v="3"/>
    <n v="6966.8839999999982"/>
    <n v="0.19999999999999996"/>
  </r>
  <r>
    <s v="ORD888"/>
    <d v="2023-01-15T00:00:00"/>
    <x v="4"/>
    <x v="1"/>
    <x v="0"/>
    <x v="0"/>
    <n v="62245.81"/>
    <n v="35271.1"/>
    <s v="Actual"/>
    <n v="4"/>
    <n v="26974.71"/>
    <n v="0.43335784368457891"/>
  </r>
  <r>
    <s v="ORD3513"/>
    <s v="Not Mentioned"/>
    <x v="3"/>
    <x v="1"/>
    <x v="0"/>
    <x v="0"/>
    <n v="14152.36"/>
    <n v="9823.17"/>
    <s v="Actual"/>
    <n v="1"/>
    <n v="4329.1900000000005"/>
    <n v="0.30589880415704523"/>
  </r>
  <r>
    <s v="ORD8799"/>
    <d v="2023-04-05T00:00:00"/>
    <x v="2"/>
    <x v="1"/>
    <x v="0"/>
    <x v="0"/>
    <n v="31054.83"/>
    <n v="21672.7"/>
    <s v="Actual"/>
    <n v="2"/>
    <n v="9382.130000000001"/>
    <n v="0.30211500111254835"/>
  </r>
  <r>
    <s v="ORD4454"/>
    <d v="2023-03-20T00:00:00"/>
    <x v="5"/>
    <x v="2"/>
    <x v="1"/>
    <x v="0"/>
    <n v="17910.759999999998"/>
    <n v="15222.48"/>
    <s v="Actual"/>
    <n v="2"/>
    <n v="2688.2799999999988"/>
    <n v="0.15009301671174194"/>
  </r>
  <r>
    <s v="ORD5055"/>
    <d v="2023-01-15T00:00:00"/>
    <x v="4"/>
    <x v="2"/>
    <x v="1"/>
    <x v="0"/>
    <n v="36775.89"/>
    <n v="28506.53"/>
    <s v="Actual"/>
    <n v="4"/>
    <n v="8269.36"/>
    <n v="0.22485818834024141"/>
  </r>
  <r>
    <s v="ORD2221"/>
    <d v="2023-06-25T00:00:00"/>
    <x v="0"/>
    <x v="2"/>
    <x v="3"/>
    <x v="0"/>
    <n v="255747.17"/>
    <n v="163690.20000000001"/>
    <s v="Actual"/>
    <n v="4"/>
    <n v="92056.97"/>
    <n v="0.35995303486642688"/>
  </r>
  <r>
    <s v="ORD3665"/>
    <s v="Not Mentioned"/>
    <x v="3"/>
    <x v="0"/>
    <x v="3"/>
    <x v="0"/>
    <n v="137971.10999999999"/>
    <n v="84431.91"/>
    <s v="Actual"/>
    <n v="2"/>
    <n v="53539.199999999983"/>
    <n v="0.38804645407288518"/>
  </r>
  <r>
    <s v="ORD136"/>
    <d v="2023-02-15T00:00:00"/>
    <x v="1"/>
    <x v="1"/>
    <x v="1"/>
    <x v="0"/>
    <n v="17567.84"/>
    <n v="15203.18"/>
    <s v="Actual"/>
    <n v="2"/>
    <n v="2364.66"/>
    <n v="0.13460163571617226"/>
  </r>
  <r>
    <s v="ORD3914"/>
    <d v="2023-03-20T00:00:00"/>
    <x v="5"/>
    <x v="1"/>
    <x v="1"/>
    <x v="0"/>
    <n v="35869.5"/>
    <n v="19241.5"/>
    <s v="Actual"/>
    <n v="3"/>
    <n v="16628"/>
    <n v="0.46356932770180792"/>
  </r>
  <r>
    <s v="ORD5636"/>
    <d v="2023-02-15T00:00:00"/>
    <x v="1"/>
    <x v="0"/>
    <x v="1"/>
    <x v="0"/>
    <n v="43640.58"/>
    <n v="24606.09"/>
    <s v="Actual"/>
    <n v="4"/>
    <n v="19034.490000000002"/>
    <n v="0.43616491806479202"/>
  </r>
  <r>
    <s v="ORD5938"/>
    <d v="2023-02-15T00:00:00"/>
    <x v="1"/>
    <x v="3"/>
    <x v="2"/>
    <x v="0"/>
    <n v="67274.63"/>
    <n v="53346.98"/>
    <s v="Actual"/>
    <n v="4"/>
    <n v="13927.650000000001"/>
    <n v="0.2070267796344625"/>
  </r>
  <r>
    <s v="ORD4771"/>
    <d v="2023-02-15T00:00:00"/>
    <x v="1"/>
    <x v="2"/>
    <x v="3"/>
    <x v="0"/>
    <n v="257277.28"/>
    <n v="162129.29"/>
    <s v="Actual"/>
    <n v="4"/>
    <n v="95147.989999999991"/>
    <n v="0.3698266321845442"/>
  </r>
  <r>
    <s v="ORD8111"/>
    <d v="2023-01-15T00:00:00"/>
    <x v="4"/>
    <x v="3"/>
    <x v="3"/>
    <x v="0"/>
    <n v="197920.76"/>
    <n v="173252.89"/>
    <s v="Actual"/>
    <n v="4"/>
    <n v="24667.869999999995"/>
    <n v="0.12463508123149888"/>
  </r>
  <r>
    <s v="ORD2422"/>
    <d v="2023-01-15T00:00:00"/>
    <x v="4"/>
    <x v="1"/>
    <x v="0"/>
    <x v="0"/>
    <n v="34626.71"/>
    <n v="17050.05"/>
    <s v="Actual"/>
    <n v="2"/>
    <n v="17576.66"/>
    <n v="0.50760410099602304"/>
  </r>
  <r>
    <s v="ORD969"/>
    <d v="2023-02-15T00:00:00"/>
    <x v="1"/>
    <x v="3"/>
    <x v="1"/>
    <x v="0"/>
    <n v="35857.03"/>
    <n v="23909.87"/>
    <s v="Actual"/>
    <n v="4"/>
    <n v="11947.16"/>
    <n v="0.33318877776547584"/>
  </r>
  <r>
    <s v="ORD8637"/>
    <d v="2023-04-05T00:00:00"/>
    <x v="2"/>
    <x v="2"/>
    <x v="2"/>
    <x v="0"/>
    <n v="23365.03"/>
    <n v="12227.72"/>
    <s v="Actual"/>
    <s v="Unknown"/>
    <n v="11137.31"/>
    <n v="0.47666576931422727"/>
  </r>
  <r>
    <s v="ORD7452"/>
    <d v="2023-03-20T00:00:00"/>
    <x v="5"/>
    <x v="0"/>
    <x v="2"/>
    <x v="0"/>
    <n v="79478.11"/>
    <n v="52017.75"/>
    <s v="Actual"/>
    <n v="4"/>
    <n v="27460.36"/>
    <n v="0.3455084676774523"/>
  </r>
  <r>
    <s v="ORD4078"/>
    <d v="2023-04-05T00:00:00"/>
    <x v="2"/>
    <x v="1"/>
    <x v="3"/>
    <x v="0"/>
    <n v="67276.09"/>
    <n v="39975.89"/>
    <s v="Actual"/>
    <n v="1"/>
    <n v="27300.199999999997"/>
    <n v="0.40579349959250005"/>
  </r>
  <r>
    <s v="ORD7552"/>
    <d v="2023-04-05T00:00:00"/>
    <x v="2"/>
    <x v="2"/>
    <x v="0"/>
    <x v="0"/>
    <n v="49133.4"/>
    <n v="35764.400000000001"/>
    <s v="Actual"/>
    <n v="4"/>
    <n v="13369"/>
    <n v="0.27209596730533608"/>
  </r>
  <r>
    <s v="ORD1834"/>
    <d v="2023-06-25T00:00:00"/>
    <x v="0"/>
    <x v="1"/>
    <x v="0"/>
    <x v="0"/>
    <n v="52187.96"/>
    <n v="37787.03"/>
    <s v="Actual"/>
    <n v="4"/>
    <n v="14400.93"/>
    <n v="0.27594353180312087"/>
  </r>
  <r>
    <s v="ORD1792"/>
    <d v="2023-04-05T00:00:00"/>
    <x v="2"/>
    <x v="1"/>
    <x v="2"/>
    <x v="0"/>
    <n v="43667.38"/>
    <n v="27302.03"/>
    <s v="Actual"/>
    <n v="2"/>
    <n v="16365.349999999999"/>
    <n v="0.37477288538950582"/>
  </r>
  <r>
    <s v="ORD6024"/>
    <d v="2023-03-20T00:00:00"/>
    <x v="5"/>
    <x v="1"/>
    <x v="0"/>
    <x v="0"/>
    <n v="36325.46"/>
    <n v="28502.47"/>
    <s v="Actual"/>
    <n v="3"/>
    <n v="7822.989999999998"/>
    <n v="0.21535831893112981"/>
  </r>
  <r>
    <s v="ORD7906"/>
    <d v="2023-06-25T00:00:00"/>
    <x v="0"/>
    <x v="3"/>
    <x v="2"/>
    <x v="0"/>
    <n v="52573.83"/>
    <n v="40551.410000000003"/>
    <s v="Actual"/>
    <n v="3"/>
    <n v="12022.419999999998"/>
    <n v="0.22867689114527129"/>
  </r>
  <r>
    <s v="ORD6988"/>
    <d v="2023-01-15T00:00:00"/>
    <x v="4"/>
    <x v="1"/>
    <x v="2"/>
    <x v="0"/>
    <n v="46853.96"/>
    <n v="24259.38"/>
    <s v="Actual"/>
    <n v="2"/>
    <n v="22594.579999999998"/>
    <n v="0.48223415907641526"/>
  </r>
  <r>
    <s v="ORD875"/>
    <d v="2023-01-15T00:00:00"/>
    <x v="4"/>
    <x v="2"/>
    <x v="1"/>
    <x v="0"/>
    <n v="51253.11"/>
    <n v="36419.14"/>
    <s v="Actual"/>
    <n v="5"/>
    <n v="14833.970000000001"/>
    <n v="0.28942575387132607"/>
  </r>
  <r>
    <s v="ORD8490"/>
    <s v="Not Mentioned"/>
    <x v="3"/>
    <x v="2"/>
    <x v="2"/>
    <x v="0"/>
    <n v="17142.29"/>
    <n v="13263.02"/>
    <s v="Actual"/>
    <n v="1"/>
    <n v="3879.2700000000004"/>
    <n v="0.22629823669999752"/>
  </r>
  <r>
    <s v="ORD645"/>
    <d v="2023-04-05T00:00:00"/>
    <x v="2"/>
    <x v="1"/>
    <x v="2"/>
    <x v="0"/>
    <n v="64876.79"/>
    <n v="35927.85"/>
    <s v="Actual"/>
    <n v="3"/>
    <n v="28948.940000000002"/>
    <n v="0.44621412372591185"/>
  </r>
  <r>
    <s v="ORD2721"/>
    <d v="2023-02-15T00:00:00"/>
    <x v="1"/>
    <x v="1"/>
    <x v="3"/>
    <x v="0"/>
    <n v="261928.56"/>
    <n v="167240.46"/>
    <s v="Actual"/>
    <n v="4"/>
    <n v="94688.1"/>
    <n v="0.36150353363527826"/>
  </r>
  <r>
    <s v="ORD1368"/>
    <d v="2023-03-20T00:00:00"/>
    <x v="5"/>
    <x v="0"/>
    <x v="1"/>
    <x v="0"/>
    <n v="30114.11"/>
    <n v="20715.189999999999"/>
    <s v="Actual"/>
    <n v="3"/>
    <n v="9398.9200000000019"/>
    <n v="0.31211017028230292"/>
  </r>
  <r>
    <s v="ORD155"/>
    <s v="Not Mentioned"/>
    <x v="3"/>
    <x v="0"/>
    <x v="2"/>
    <x v="0"/>
    <n v="17899.89"/>
    <n v="15326.22"/>
    <s v="Actual"/>
    <n v="1"/>
    <n v="2573.67"/>
    <n v="0.14378133049979638"/>
  </r>
  <r>
    <s v="ORD4718"/>
    <d v="2023-03-20T00:00:00"/>
    <x v="5"/>
    <x v="1"/>
    <x v="3"/>
    <x v="0"/>
    <n v="215756.45"/>
    <n v="182035.69"/>
    <s v="Actual"/>
    <n v="4"/>
    <n v="33720.760000000009"/>
    <n v="0.15629085480410901"/>
  </r>
  <r>
    <s v="ORD5335"/>
    <d v="2023-01-15T00:00:00"/>
    <x v="4"/>
    <x v="1"/>
    <x v="2"/>
    <x v="0"/>
    <n v="119973.45"/>
    <n v="95978.760000000009"/>
    <s v="Estimated"/>
    <n v="5"/>
    <n v="23994.689999999988"/>
    <n v="0.1999999999999999"/>
  </r>
  <r>
    <s v="ORD9817"/>
    <d v="2023-03-20T00:00:00"/>
    <x v="5"/>
    <x v="1"/>
    <x v="2"/>
    <x v="0"/>
    <n v="92447.79"/>
    <n v="63158.52"/>
    <s v="Actual"/>
    <n v="5"/>
    <n v="29289.269999999997"/>
    <n v="0.31681958000294003"/>
  </r>
  <r>
    <s v="ORD2356"/>
    <d v="2023-06-25T00:00:00"/>
    <x v="0"/>
    <x v="2"/>
    <x v="1"/>
    <x v="0"/>
    <n v="21312.1"/>
    <n v="13084.29"/>
    <s v="Actual"/>
    <n v="2"/>
    <n v="8227.8099999999977"/>
    <n v="0.38606284692733228"/>
  </r>
  <r>
    <s v="ORD3384"/>
    <s v="Not Mentioned"/>
    <x v="3"/>
    <x v="1"/>
    <x v="3"/>
    <x v="0"/>
    <n v="339983"/>
    <n v="215256.95999999999"/>
    <s v="Actual"/>
    <n v="5"/>
    <n v="124726.04000000001"/>
    <n v="0.36685963709950203"/>
  </r>
  <r>
    <s v="ORD6264"/>
    <s v="Not Mentioned"/>
    <x v="3"/>
    <x v="1"/>
    <x v="0"/>
    <x v="0"/>
    <n v="68566.8"/>
    <n v="40842.089999999997"/>
    <s v="Actual"/>
    <n v="4"/>
    <n v="27724.710000000006"/>
    <n v="0.40434598085370771"/>
  </r>
  <r>
    <s v="ORD5009"/>
    <d v="2023-01-15T00:00:00"/>
    <x v="4"/>
    <x v="2"/>
    <x v="3"/>
    <x v="0"/>
    <n v="352882.82"/>
    <n v="193937.7"/>
    <s v="Actual"/>
    <n v="5"/>
    <n v="158945.12"/>
    <n v="0.45041898044228956"/>
  </r>
  <r>
    <s v="ORD5036"/>
    <d v="2023-01-15T00:00:00"/>
    <x v="4"/>
    <x v="1"/>
    <x v="0"/>
    <x v="0"/>
    <n v="34649.300000000003"/>
    <n v="17686.52"/>
    <s v="Actual"/>
    <n v="2"/>
    <n v="16962.780000000002"/>
    <n v="0.48955621037077229"/>
  </r>
  <r>
    <s v="ORD1132"/>
    <d v="2023-02-15T00:00:00"/>
    <x v="1"/>
    <x v="3"/>
    <x v="2"/>
    <x v="0"/>
    <n v="87086.37"/>
    <n v="60777.91"/>
    <s v="Actual"/>
    <n v="4"/>
    <n v="26308.459999999992"/>
    <n v="0.30209618336371113"/>
  </r>
  <r>
    <s v="ORD2963"/>
    <d v="2023-02-15T00:00:00"/>
    <x v="1"/>
    <x v="1"/>
    <x v="3"/>
    <x v="0"/>
    <n v="191290.7"/>
    <n v="121439.46"/>
    <s v="Actual"/>
    <n v="3"/>
    <n v="69851.240000000005"/>
    <n v="0.36515753248851096"/>
  </r>
  <r>
    <s v="ORD207"/>
    <d v="2023-03-20T00:00:00"/>
    <x v="5"/>
    <x v="3"/>
    <x v="2"/>
    <x v="0"/>
    <n v="21769.8"/>
    <n v="12706.38"/>
    <s v="Actual"/>
    <n v="1"/>
    <n v="9063.42"/>
    <n v="0.41632996169004771"/>
  </r>
  <r>
    <s v="ORD5584"/>
    <d v="2023-02-15T00:00:00"/>
    <x v="1"/>
    <x v="0"/>
    <x v="2"/>
    <x v="0"/>
    <n v="70718.37"/>
    <n v="43326.19"/>
    <s v="Actual"/>
    <n v="3"/>
    <n v="27392.179999999993"/>
    <n v="0.38734178969339927"/>
  </r>
  <r>
    <s v="ORD7642"/>
    <s v="Not Mentioned"/>
    <x v="3"/>
    <x v="2"/>
    <x v="3"/>
    <x v="0"/>
    <n v="50809.55"/>
    <n v="44192"/>
    <s v="Actual"/>
    <n v="1"/>
    <n v="6617.5500000000029"/>
    <n v="0.13024224776641405"/>
  </r>
  <r>
    <s v="ORD1292"/>
    <d v="2023-01-15T00:00:00"/>
    <x v="4"/>
    <x v="2"/>
    <x v="1"/>
    <x v="0"/>
    <n v="29092.46"/>
    <n v="21602.15"/>
    <s v="Actual"/>
    <n v="3"/>
    <n v="7490.3099999999977"/>
    <n v="0.25746568011092902"/>
  </r>
  <r>
    <s v="ORD8869"/>
    <d v="2023-02-15T00:00:00"/>
    <x v="1"/>
    <x v="1"/>
    <x v="3"/>
    <x v="0"/>
    <n v="193188.64"/>
    <n v="116516.23"/>
    <s v="Actual"/>
    <n v="3"/>
    <n v="76672.410000000018"/>
    <n v="0.39687846034839325"/>
  </r>
  <r>
    <s v="ORD6755"/>
    <s v="Not Mentioned"/>
    <x v="3"/>
    <x v="2"/>
    <x v="0"/>
    <x v="0"/>
    <n v="26707.97"/>
    <n v="18058.990000000002"/>
    <s v="Actual"/>
    <n v="2"/>
    <n v="8648.98"/>
    <n v="0.32383516980137389"/>
  </r>
  <r>
    <s v="ORD5050"/>
    <d v="2023-06-25T00:00:00"/>
    <x v="0"/>
    <x v="3"/>
    <x v="3"/>
    <x v="0"/>
    <n v="107164.99"/>
    <n v="79098.880000000005"/>
    <s v="Actual"/>
    <n v="2"/>
    <n v="28066.11"/>
    <n v="0.26189625921674609"/>
  </r>
  <r>
    <s v="ORD4808"/>
    <d v="2023-03-20T00:00:00"/>
    <x v="5"/>
    <x v="1"/>
    <x v="0"/>
    <x v="0"/>
    <n v="31283.68"/>
    <n v="17942.5"/>
    <s v="Actual"/>
    <n v="2"/>
    <n v="13341.18"/>
    <n v="0.42645814047452218"/>
  </r>
  <r>
    <s v="ORD898"/>
    <d v="2023-03-20T00:00:00"/>
    <x v="5"/>
    <x v="1"/>
    <x v="2"/>
    <x v="0"/>
    <n v="39073.06"/>
    <n v="26138.73"/>
    <s v="Actual"/>
    <s v="Unknown"/>
    <n v="12934.329999999998"/>
    <n v="0.33102935884724666"/>
  </r>
  <r>
    <s v="ORD775"/>
    <s v="Not Mentioned"/>
    <x v="3"/>
    <x v="0"/>
    <x v="0"/>
    <x v="0"/>
    <n v="68496.570000000007"/>
    <n v="53517.63"/>
    <s v="Actual"/>
    <n v="5"/>
    <n v="14978.94000000001"/>
    <n v="0.21868160697681663"/>
  </r>
  <r>
    <s v="ORD2079"/>
    <d v="2023-06-25T00:00:00"/>
    <x v="0"/>
    <x v="1"/>
    <x v="3"/>
    <x v="0"/>
    <n v="318720.15999999997"/>
    <n v="210439.65"/>
    <s v="Actual"/>
    <n v="5"/>
    <n v="108280.50999999998"/>
    <n v="0.33973536534369209"/>
  </r>
  <r>
    <s v="ORD761"/>
    <s v="Not Mentioned"/>
    <x v="3"/>
    <x v="1"/>
    <x v="1"/>
    <x v="0"/>
    <n v="38019.67"/>
    <n v="30279.08"/>
    <s v="Actual"/>
    <n v="4"/>
    <n v="7740.5899999999965"/>
    <n v="0.2035943499772617"/>
  </r>
  <r>
    <s v="ORD5846"/>
    <d v="2023-01-15T00:00:00"/>
    <x v="4"/>
    <x v="1"/>
    <x v="0"/>
    <x v="0"/>
    <n v="61474.45"/>
    <n v="44888.28"/>
    <s v="Actual"/>
    <n v="5"/>
    <n v="16586.169999999998"/>
    <n v="0.2698059112362941"/>
  </r>
  <r>
    <s v="ORD2875"/>
    <d v="2023-01-15T00:00:00"/>
    <x v="4"/>
    <x v="1"/>
    <x v="0"/>
    <x v="0"/>
    <n v="54047.96"/>
    <n v="43207.56"/>
    <s v="Actual"/>
    <n v="4"/>
    <n v="10840.400000000001"/>
    <n v="0.20057001226318258"/>
  </r>
  <r>
    <s v="ORD2209"/>
    <d v="2023-06-25T00:00:00"/>
    <x v="0"/>
    <x v="1"/>
    <x v="2"/>
    <x v="0"/>
    <n v="36134.28"/>
    <n v="29530.15"/>
    <s v="Actual"/>
    <n v="2"/>
    <n v="6604.1299999999974"/>
    <n v="0.18276633711810494"/>
  </r>
  <r>
    <s v="ORD9444"/>
    <d v="2023-03-20T00:00:00"/>
    <x v="5"/>
    <x v="2"/>
    <x v="3"/>
    <x v="0"/>
    <n v="130967.71"/>
    <n v="80992.570000000007"/>
    <s v="Actual"/>
    <n v="2"/>
    <n v="49975.14"/>
    <n v="0.38158367432705359"/>
  </r>
  <r>
    <s v="ORD6574"/>
    <d v="2023-04-05T00:00:00"/>
    <x v="2"/>
    <x v="1"/>
    <x v="3"/>
    <x v="0"/>
    <n v="285378.12"/>
    <n v="228302.49600000001"/>
    <s v="Estimated"/>
    <n v="4"/>
    <n v="57075.623999999982"/>
    <n v="0.19999999999999993"/>
  </r>
  <r>
    <s v="ORD7843"/>
    <d v="2023-03-20T00:00:00"/>
    <x v="5"/>
    <x v="3"/>
    <x v="3"/>
    <x v="0"/>
    <n v="141497.45000000001"/>
    <n v="78059.350000000006"/>
    <s v="Actual"/>
    <n v="2"/>
    <n v="63438.100000000006"/>
    <n v="0.44833387456805757"/>
  </r>
  <r>
    <s v="ORD693"/>
    <d v="2023-04-05T00:00:00"/>
    <x v="2"/>
    <x v="1"/>
    <x v="0"/>
    <x v="0"/>
    <n v="37628.93"/>
    <n v="29231.47"/>
    <s v="Actual"/>
    <n v="3"/>
    <n v="8397.4599999999991"/>
    <n v="0.22316499565626763"/>
  </r>
  <r>
    <s v="ORD5864"/>
    <d v="2023-06-25T00:00:00"/>
    <x v="0"/>
    <x v="0"/>
    <x v="1"/>
    <x v="0"/>
    <n v="17914.96"/>
    <n v="13362.89"/>
    <s v="Actual"/>
    <n v="2"/>
    <n v="4552.07"/>
    <n v="0.25409322711298266"/>
  </r>
  <r>
    <s v="ORD1864"/>
    <d v="2023-04-05T00:00:00"/>
    <x v="2"/>
    <x v="2"/>
    <x v="3"/>
    <x v="0"/>
    <n v="330814.71000000002"/>
    <n v="209925.04"/>
    <s v="Actual"/>
    <n v="5"/>
    <n v="120889.67000000001"/>
    <n v="0.36543015272809365"/>
  </r>
  <r>
    <s v="ORD1421"/>
    <d v="2023-01-15T00:00:00"/>
    <x v="4"/>
    <x v="3"/>
    <x v="0"/>
    <x v="0"/>
    <n v="51161.03"/>
    <n v="42587.45"/>
    <s v="Actual"/>
    <n v="4"/>
    <n v="8573.5800000000017"/>
    <n v="0.1675802852288158"/>
  </r>
  <r>
    <s v="ORD3986"/>
    <d v="2023-02-15T00:00:00"/>
    <x v="1"/>
    <x v="3"/>
    <x v="0"/>
    <x v="0"/>
    <n v="41568.629999999997"/>
    <n v="33254.904000000002"/>
    <s v="Estimated"/>
    <n v="3"/>
    <n v="8313.7259999999951"/>
    <n v="0.1999999999999999"/>
  </r>
  <r>
    <s v="ORD1055"/>
    <d v="2023-02-15T00:00:00"/>
    <x v="1"/>
    <x v="2"/>
    <x v="2"/>
    <x v="0"/>
    <n v="85665.21"/>
    <n v="58844.97"/>
    <s v="Actual"/>
    <n v="4"/>
    <n v="26820.240000000005"/>
    <n v="0.31308205513066512"/>
  </r>
  <r>
    <s v="ORD7499"/>
    <d v="2023-06-25T00:00:00"/>
    <x v="0"/>
    <x v="0"/>
    <x v="3"/>
    <x v="0"/>
    <n v="213811.94"/>
    <n v="171288.28"/>
    <s v="Actual"/>
    <n v="4"/>
    <n v="42523.66"/>
    <n v="0.19888346740598306"/>
  </r>
  <r>
    <s v="ORD9572"/>
    <s v="Not Mentioned"/>
    <x v="3"/>
    <x v="0"/>
    <x v="0"/>
    <x v="0"/>
    <n v="86665.65"/>
    <n v="69332.52"/>
    <s v="Estimated"/>
    <n v="5"/>
    <n v="17333.12999999999"/>
    <n v="0.1999999999999999"/>
  </r>
  <r>
    <s v="ORD955"/>
    <d v="2023-02-15T00:00:00"/>
    <x v="1"/>
    <x v="1"/>
    <x v="1"/>
    <x v="0"/>
    <n v="16088.11"/>
    <n v="13358.23"/>
    <s v="Actual"/>
    <n v="2"/>
    <n v="2729.880000000001"/>
    <n v="0.16968307650805475"/>
  </r>
  <r>
    <s v="ORD882"/>
    <d v="2023-03-20T00:00:00"/>
    <x v="5"/>
    <x v="1"/>
    <x v="2"/>
    <x v="0"/>
    <n v="66959.39"/>
    <n v="42412.6"/>
    <s v="Actual"/>
    <n v="3"/>
    <n v="24546.79"/>
    <n v="0.36659219864458148"/>
  </r>
  <r>
    <s v="ORD4034"/>
    <d v="2023-02-15T00:00:00"/>
    <x v="1"/>
    <x v="1"/>
    <x v="3"/>
    <x v="0"/>
    <n v="50740.41"/>
    <n v="44081.09"/>
    <s v="Actual"/>
    <n v="1"/>
    <n v="6659.320000000007"/>
    <n v="0.13124292846667984"/>
  </r>
  <r>
    <s v="ORD2465"/>
    <d v="2023-04-05T00:00:00"/>
    <x v="2"/>
    <x v="2"/>
    <x v="1"/>
    <x v="0"/>
    <n v="45609.1"/>
    <n v="31147.81"/>
    <s v="Actual"/>
    <n v="5"/>
    <n v="14461.289999999997"/>
    <n v="0.31707027764196177"/>
  </r>
  <r>
    <s v="ORD7331"/>
    <d v="2023-02-15T00:00:00"/>
    <x v="1"/>
    <x v="1"/>
    <x v="3"/>
    <x v="0"/>
    <n v="124230.9"/>
    <n v="79611.37"/>
    <s v="Actual"/>
    <n v="2"/>
    <n v="44619.53"/>
    <n v="0.35916611728643999"/>
  </r>
  <r>
    <s v="ORD9974"/>
    <d v="2023-06-25T00:00:00"/>
    <x v="0"/>
    <x v="3"/>
    <x v="2"/>
    <x v="0"/>
    <n v="91580.17"/>
    <n v="55499.97"/>
    <s v="Actual"/>
    <n v="4"/>
    <n v="36080.199999999997"/>
    <n v="0.39397393562383642"/>
  </r>
  <r>
    <s v="ORD4391"/>
    <d v="2023-01-15T00:00:00"/>
    <x v="4"/>
    <x v="2"/>
    <x v="3"/>
    <x v="0"/>
    <n v="50368.45"/>
    <n v="44772.81"/>
    <s v="Actual"/>
    <n v="1"/>
    <n v="5595.6399999999994"/>
    <n v="0.11109414722906899"/>
  </r>
  <r>
    <s v="ORD1968"/>
    <d v="2023-01-15T00:00:00"/>
    <x v="4"/>
    <x v="0"/>
    <x v="1"/>
    <x v="0"/>
    <n v="51296.83"/>
    <n v="41037.464000000007"/>
    <s v="Estimated"/>
    <n v="5"/>
    <n v="10259.365999999995"/>
    <n v="0.1999999999999999"/>
  </r>
  <r>
    <s v="ORD4349"/>
    <d v="2023-02-15T00:00:00"/>
    <x v="1"/>
    <x v="1"/>
    <x v="1"/>
    <x v="0"/>
    <n v="22876.02"/>
    <n v="14384.25"/>
    <s v="Actual"/>
    <n v="2"/>
    <n v="8491.77"/>
    <n v="0.37120836579090244"/>
  </r>
  <r>
    <s v="ORD8083"/>
    <s v="Not Mentioned"/>
    <x v="3"/>
    <x v="2"/>
    <x v="2"/>
    <x v="0"/>
    <n v="33990.949999999997"/>
    <n v="30535.37"/>
    <s v="Actual"/>
    <n v="2"/>
    <n v="3455.5799999999981"/>
    <n v="0.10166176585238125"/>
  </r>
  <r>
    <s v="ORD3889"/>
    <s v="Not Mentioned"/>
    <x v="3"/>
    <x v="1"/>
    <x v="2"/>
    <x v="0"/>
    <n v="56799.3"/>
    <n v="42200.77"/>
    <s v="Actual"/>
    <n v="3"/>
    <n v="14598.530000000006"/>
    <n v="0.25701954073377675"/>
  </r>
  <r>
    <s v="ORD5240"/>
    <d v="2023-03-20T00:00:00"/>
    <x v="5"/>
    <x v="1"/>
    <x v="2"/>
    <x v="0"/>
    <n v="68098.820000000007"/>
    <n v="38953.589999999997"/>
    <s v="Actual"/>
    <n v="3"/>
    <n v="29145.23000000001"/>
    <n v="0.42798436154987718"/>
  </r>
  <r>
    <s v="ORD6909"/>
    <d v="2023-02-15T00:00:00"/>
    <x v="1"/>
    <x v="2"/>
    <x v="2"/>
    <x v="0"/>
    <n v="105118.35"/>
    <n v="64315.83"/>
    <s v="Actual"/>
    <n v="5"/>
    <n v="40802.520000000004"/>
    <n v="0.38815791914542042"/>
  </r>
  <r>
    <s v="ORD8586"/>
    <d v="2023-06-25T00:00:00"/>
    <x v="0"/>
    <x v="1"/>
    <x v="3"/>
    <x v="0"/>
    <n v="221122.97"/>
    <n v="170677.76000000001"/>
    <s v="Actual"/>
    <n v="4"/>
    <n v="50445.209999999992"/>
    <n v="0.22813193039149207"/>
  </r>
  <r>
    <s v="ORD231"/>
    <d v="2023-03-20T00:00:00"/>
    <x v="5"/>
    <x v="1"/>
    <x v="2"/>
    <x v="0"/>
    <n v="58432.28"/>
    <n v="37724.82"/>
    <s v="Actual"/>
    <n v="3"/>
    <n v="20707.46"/>
    <n v="0.35438391245386969"/>
  </r>
  <r>
    <s v="ORD8848"/>
    <d v="2023-02-15T00:00:00"/>
    <x v="1"/>
    <x v="0"/>
    <x v="2"/>
    <x v="0"/>
    <n v="70479.87"/>
    <n v="36815.919999999998"/>
    <s v="Actual"/>
    <n v="3"/>
    <n v="33663.949999999997"/>
    <n v="0.4776392181200107"/>
  </r>
  <r>
    <s v="ORD831"/>
    <d v="2023-03-20T00:00:00"/>
    <x v="5"/>
    <x v="3"/>
    <x v="0"/>
    <x v="0"/>
    <n v="29800.83"/>
    <n v="17558.18"/>
    <s v="Actual"/>
    <n v="2"/>
    <n v="12242.650000000001"/>
    <n v="0.41081573902471846"/>
  </r>
  <r>
    <s v="ORD7111"/>
    <d v="2023-03-20T00:00:00"/>
    <x v="5"/>
    <x v="2"/>
    <x v="1"/>
    <x v="0"/>
    <n v="9096.33"/>
    <n v="7352.04"/>
    <s v="Actual"/>
    <n v="1"/>
    <n v="1744.29"/>
    <n v="0.19175755496997141"/>
  </r>
  <r>
    <s v="ORD9627"/>
    <d v="2023-04-05T00:00:00"/>
    <x v="2"/>
    <x v="3"/>
    <x v="0"/>
    <x v="0"/>
    <n v="49591.09"/>
    <n v="30542.45"/>
    <s v="Actual"/>
    <n v="3"/>
    <n v="19048.639999999996"/>
    <n v="0.38411416244329366"/>
  </r>
  <r>
    <s v="ORD7694"/>
    <d v="2023-03-20T00:00:00"/>
    <x v="5"/>
    <x v="3"/>
    <x v="3"/>
    <x v="0"/>
    <n v="288364.65000000002"/>
    <n v="227764.91"/>
    <s v="Actual"/>
    <n v="5"/>
    <n v="60599.74000000002"/>
    <n v="0.21014968374244214"/>
  </r>
  <r>
    <s v="ORD9333"/>
    <d v="2023-04-05T00:00:00"/>
    <x v="2"/>
    <x v="1"/>
    <x v="3"/>
    <x v="0"/>
    <n v="245921.95"/>
    <n v="223275.07"/>
    <s v="Actual"/>
    <n v="5"/>
    <n v="22646.880000000005"/>
    <n v="9.2089705697275107E-2"/>
  </r>
  <r>
    <s v="ORD367"/>
    <d v="2023-04-05T00:00:00"/>
    <x v="2"/>
    <x v="1"/>
    <x v="3"/>
    <x v="0"/>
    <n v="325307.32"/>
    <n v="246001.87"/>
    <s v="Actual"/>
    <n v="5"/>
    <n v="79305.450000000012"/>
    <n v="0.24378624495753742"/>
  </r>
  <r>
    <s v="ORD6646"/>
    <d v="2023-04-05T00:00:00"/>
    <x v="2"/>
    <x v="1"/>
    <x v="1"/>
    <x v="0"/>
    <n v="32127.61"/>
    <n v="21538.81"/>
    <s v="Actual"/>
    <n v="3"/>
    <n v="10588.8"/>
    <n v="0.32958567412888784"/>
  </r>
  <r>
    <s v="ORD1941"/>
    <s v="Not Mentioned"/>
    <x v="3"/>
    <x v="0"/>
    <x v="0"/>
    <x v="0"/>
    <n v="17102.580000000002"/>
    <n v="9535.82"/>
    <s v="Actual"/>
    <n v="1"/>
    <n v="7566.760000000002"/>
    <n v="0.4424338316207263"/>
  </r>
  <r>
    <s v="ORD5076"/>
    <d v="2023-01-15T00:00:00"/>
    <x v="4"/>
    <x v="1"/>
    <x v="3"/>
    <x v="0"/>
    <n v="118683.64"/>
    <n v="94946.912000000011"/>
    <s v="Estimated"/>
    <n v="2"/>
    <n v="23736.727999999988"/>
    <n v="0.1999999999999999"/>
  </r>
  <r>
    <s v="ORD1730"/>
    <d v="2023-03-20T00:00:00"/>
    <x v="5"/>
    <x v="1"/>
    <x v="0"/>
    <x v="0"/>
    <n v="61913.69"/>
    <n v="40670.370000000003"/>
    <s v="Actual"/>
    <n v="4"/>
    <n v="21243.32"/>
    <n v="0.34311183843185566"/>
  </r>
  <r>
    <s v="ORD6310"/>
    <d v="2023-06-25T00:00:00"/>
    <x v="0"/>
    <x v="2"/>
    <x v="1"/>
    <x v="0"/>
    <n v="11610.17"/>
    <n v="6078.29"/>
    <s v="Actual"/>
    <n v="1"/>
    <n v="5531.88"/>
    <n v="0.47646847548313248"/>
  </r>
  <r>
    <s v="ORD9459"/>
    <d v="2023-03-20T00:00:00"/>
    <x v="5"/>
    <x v="1"/>
    <x v="1"/>
    <x v="0"/>
    <n v="34033.42"/>
    <n v="19241.080000000002"/>
    <s v="Actual"/>
    <n v="3"/>
    <n v="14792.339999999997"/>
    <n v="0.43464159640729605"/>
  </r>
  <r>
    <s v="ORD5953"/>
    <s v="Not Mentioned"/>
    <x v="3"/>
    <x v="2"/>
    <x v="2"/>
    <x v="0"/>
    <n v="46205.41"/>
    <n v="26985.87"/>
    <s v="Actual"/>
    <n v="2"/>
    <n v="19219.540000000005"/>
    <n v="0.41595865072942761"/>
  </r>
  <r>
    <s v="ORD461"/>
    <d v="2023-06-25T00:00:00"/>
    <x v="0"/>
    <x v="1"/>
    <x v="1"/>
    <x v="0"/>
    <n v="28657.18"/>
    <n v="19122.04"/>
    <s v="Actual"/>
    <s v="Unknown"/>
    <n v="9535.14"/>
    <n v="0.33273127362845889"/>
  </r>
  <r>
    <s v="ORD2019"/>
    <d v="2023-03-20T00:00:00"/>
    <x v="5"/>
    <x v="2"/>
    <x v="1"/>
    <x v="0"/>
    <n v="10226.84"/>
    <n v="7242.02"/>
    <s v="Actual"/>
    <n v="1"/>
    <n v="2984.8199999999997"/>
    <n v="0.29186141564745316"/>
  </r>
  <r>
    <s v="ORD8195"/>
    <d v="2023-04-05T00:00:00"/>
    <x v="2"/>
    <x v="2"/>
    <x v="1"/>
    <x v="0"/>
    <n v="31423.02"/>
    <n v="25138.416000000001"/>
    <s v="Estimated"/>
    <n v="3"/>
    <n v="6284.6039999999994"/>
    <n v="0.19999999999999998"/>
  </r>
  <r>
    <s v="ORD1973"/>
    <d v="2023-02-15T00:00:00"/>
    <x v="1"/>
    <x v="1"/>
    <x v="0"/>
    <x v="0"/>
    <n v="85067.15"/>
    <n v="43045.760000000002"/>
    <s v="Actual"/>
    <s v="Unknown"/>
    <n v="42021.389999999992"/>
    <n v="0.4939790506676196"/>
  </r>
  <r>
    <s v="ORD6873"/>
    <d v="2023-06-25T00:00:00"/>
    <x v="0"/>
    <x v="0"/>
    <x v="1"/>
    <x v="0"/>
    <n v="21312.81"/>
    <n v="13748.17"/>
    <s v="Actual"/>
    <n v="2"/>
    <n v="7564.6400000000012"/>
    <n v="0.35493395755885782"/>
  </r>
  <r>
    <s v="ORD4239"/>
    <d v="2023-03-20T00:00:00"/>
    <x v="5"/>
    <x v="2"/>
    <x v="3"/>
    <x v="0"/>
    <n v="269219.94"/>
    <n v="155962.34"/>
    <s v="Actual"/>
    <n v="4"/>
    <n v="113257.60000000001"/>
    <n v="0.42068800698789249"/>
  </r>
  <r>
    <s v="ORD7981"/>
    <s v="Not Mentioned"/>
    <x v="3"/>
    <x v="2"/>
    <x v="2"/>
    <x v="0"/>
    <n v="16563.689999999999"/>
    <n v="12873.5"/>
    <s v="Actual"/>
    <n v="1"/>
    <n v="3690.1899999999987"/>
    <n v="0.222787917426612"/>
  </r>
  <r>
    <s v="ORD988"/>
    <d v="2023-03-20T00:00:00"/>
    <x v="5"/>
    <x v="1"/>
    <x v="0"/>
    <x v="0"/>
    <n v="13184.69"/>
    <n v="10960.3"/>
    <s v="Actual"/>
    <n v="1"/>
    <n v="2224.3900000000012"/>
    <n v="0.16871007206085248"/>
  </r>
  <r>
    <s v="ORD1481"/>
    <s v="Not Mentioned"/>
    <x v="3"/>
    <x v="3"/>
    <x v="2"/>
    <x v="0"/>
    <n v="83085.77"/>
    <n v="64858.43"/>
    <s v="Actual"/>
    <n v="5"/>
    <n v="18227.340000000004"/>
    <n v="0.21937980474875546"/>
  </r>
  <r>
    <s v="ORD5018"/>
    <d v="2023-03-20T00:00:00"/>
    <x v="5"/>
    <x v="2"/>
    <x v="0"/>
    <x v="0"/>
    <n v="54905.24"/>
    <n v="43924.192000000003"/>
    <s v="Estimated"/>
    <n v="4"/>
    <n v="10981.047999999995"/>
    <n v="0.19999999999999993"/>
  </r>
  <r>
    <s v="ORD9978"/>
    <d v="2023-02-15T00:00:00"/>
    <x v="1"/>
    <x v="3"/>
    <x v="1"/>
    <x v="0"/>
    <n v="29499.040000000001"/>
    <n v="19227.68"/>
    <s v="Actual"/>
    <n v="3"/>
    <n v="10271.36"/>
    <n v="0.34819302594253915"/>
  </r>
  <r>
    <s v="ORD4052"/>
    <d v="2023-06-25T00:00:00"/>
    <x v="0"/>
    <x v="0"/>
    <x v="1"/>
    <x v="0"/>
    <n v="23695.11"/>
    <n v="14184.11"/>
    <s v="Actual"/>
    <n v="2"/>
    <n v="9511"/>
    <n v="0.40139083549306165"/>
  </r>
  <r>
    <s v="ORD3586"/>
    <s v="Not Mentioned"/>
    <x v="3"/>
    <x v="1"/>
    <x v="2"/>
    <x v="0"/>
    <n v="23377.79"/>
    <n v="13973.99"/>
    <s v="Actual"/>
    <n v="1"/>
    <n v="9403.8000000000011"/>
    <n v="0.40225359197768484"/>
  </r>
  <r>
    <s v="ORD788"/>
    <d v="2023-01-15T00:00:00"/>
    <x v="4"/>
    <x v="3"/>
    <x v="3"/>
    <x v="0"/>
    <n v="183006.74"/>
    <n v="119173.95"/>
    <s v="Actual"/>
    <n v="3"/>
    <n v="63832.789999999994"/>
    <n v="0.34880021358776181"/>
  </r>
  <r>
    <s v="ORD105"/>
    <s v="Not Mentioned"/>
    <x v="3"/>
    <x v="1"/>
    <x v="2"/>
    <x v="0"/>
    <n v="90110.63"/>
    <n v="66616.14"/>
    <s v="Actual"/>
    <n v="5"/>
    <n v="23494.490000000005"/>
    <n v="0.26072939452315452"/>
  </r>
  <r>
    <s v="ORD1906"/>
    <d v="2023-02-15T00:00:00"/>
    <x v="1"/>
    <x v="1"/>
    <x v="1"/>
    <x v="0"/>
    <n v="30788.97"/>
    <n v="21602.19"/>
    <s v="Actual"/>
    <n v="3"/>
    <n v="9186.7800000000025"/>
    <n v="0.29837893245535663"/>
  </r>
  <r>
    <s v="ORD4081"/>
    <d v="2023-04-05T00:00:00"/>
    <x v="2"/>
    <x v="0"/>
    <x v="1"/>
    <x v="0"/>
    <n v="57186.5"/>
    <n v="30712.66"/>
    <s v="Actual"/>
    <s v="Unknown"/>
    <n v="26473.84"/>
    <n v="0.46293863062086332"/>
  </r>
  <r>
    <s v="ORD6830"/>
    <d v="2023-03-20T00:00:00"/>
    <x v="5"/>
    <x v="2"/>
    <x v="3"/>
    <x v="0"/>
    <n v="194103.47"/>
    <n v="120304.51"/>
    <s v="Actual"/>
    <n v="3"/>
    <n v="73798.960000000006"/>
    <n v="0.38020422818819266"/>
  </r>
  <r>
    <s v="ORD5490"/>
    <s v="Not Mentioned"/>
    <x v="3"/>
    <x v="1"/>
    <x v="2"/>
    <x v="0"/>
    <n v="59522.59"/>
    <n v="41321.39"/>
    <s v="Actual"/>
    <n v="3"/>
    <n v="18201.199999999997"/>
    <n v="0.30578642495227437"/>
  </r>
  <r>
    <s v="ORD5300"/>
    <s v="Not Mentioned"/>
    <x v="3"/>
    <x v="2"/>
    <x v="1"/>
    <x v="0"/>
    <n v="21762.99"/>
    <n v="13455.68"/>
    <s v="Actual"/>
    <n v="2"/>
    <n v="8307.3100000000013"/>
    <n v="0.38171730998360065"/>
  </r>
  <r>
    <s v="ORD659"/>
    <d v="2023-02-15T00:00:00"/>
    <x v="1"/>
    <x v="2"/>
    <x v="0"/>
    <x v="0"/>
    <n v="42952.26"/>
    <n v="29136.44"/>
    <s v="Actual"/>
    <n v="3"/>
    <n v="13815.820000000003"/>
    <n v="0.32165525166778192"/>
  </r>
  <r>
    <s v="ORD2832"/>
    <d v="2023-01-15T00:00:00"/>
    <x v="4"/>
    <x v="1"/>
    <x v="3"/>
    <x v="0"/>
    <n v="251346.76"/>
    <n v="233909.14"/>
    <s v="Actual"/>
    <n v="5"/>
    <n v="17437.619999999995"/>
    <n v="6.9376744701224694E-2"/>
  </r>
  <r>
    <s v="ORD1489"/>
    <d v="2023-01-15T00:00:00"/>
    <x v="4"/>
    <x v="3"/>
    <x v="0"/>
    <x v="0"/>
    <n v="14046.12"/>
    <n v="10904.66"/>
    <s v="Actual"/>
    <n v="1"/>
    <n v="3141.4600000000009"/>
    <n v="0.22365322238454469"/>
  </r>
  <r>
    <s v="ORD533"/>
    <d v="2023-03-20T00:00:00"/>
    <x v="5"/>
    <x v="3"/>
    <x v="1"/>
    <x v="0"/>
    <n v="28369.45"/>
    <n v="21206.78"/>
    <s v="Actual"/>
    <n v="3"/>
    <n v="7162.6700000000019"/>
    <n v="0.25247828209570511"/>
  </r>
  <r>
    <s v="ORD891"/>
    <d v="2023-06-25T00:00:00"/>
    <x v="0"/>
    <x v="1"/>
    <x v="3"/>
    <x v="0"/>
    <n v="133885.95000000001"/>
    <n v="77202.31"/>
    <s v="Actual"/>
    <n v="2"/>
    <n v="56683.640000000014"/>
    <n v="0.42337257942300899"/>
  </r>
  <r>
    <s v="ORD4644"/>
    <d v="2023-03-20T00:00:00"/>
    <x v="5"/>
    <x v="3"/>
    <x v="1"/>
    <x v="0"/>
    <n v="19541.89"/>
    <n v="15221.21"/>
    <s v="Actual"/>
    <n v="2"/>
    <n v="4320.68"/>
    <n v="0.22109836868388882"/>
  </r>
  <r>
    <s v="ORD928"/>
    <s v="Not Mentioned"/>
    <x v="3"/>
    <x v="2"/>
    <x v="2"/>
    <x v="0"/>
    <n v="42585.46"/>
    <n v="34068.368000000002"/>
    <s v="Estimated"/>
    <n v="2"/>
    <n v="8517.0919999999969"/>
    <n v="0.19999999999999993"/>
  </r>
  <r>
    <s v="ORD2845"/>
    <d v="2023-01-15T00:00:00"/>
    <x v="4"/>
    <x v="2"/>
    <x v="2"/>
    <x v="0"/>
    <n v="72592"/>
    <n v="56759.3"/>
    <s v="Actual"/>
    <n v="4"/>
    <n v="15832.699999999997"/>
    <n v="0.21810530085959881"/>
  </r>
  <r>
    <s v="ORD8714"/>
    <d v="2023-06-25T00:00:00"/>
    <x v="0"/>
    <x v="2"/>
    <x v="0"/>
    <x v="0"/>
    <n v="44189.11"/>
    <n v="29030.89"/>
    <s v="Actual"/>
    <n v="3"/>
    <n v="15158.220000000001"/>
    <n v="0.34303066977361618"/>
  </r>
  <r>
    <s v="ORD1667"/>
    <d v="2023-04-05T00:00:00"/>
    <x v="2"/>
    <x v="3"/>
    <x v="3"/>
    <x v="0"/>
    <n v="257163.67"/>
    <n v="160923.72"/>
    <s v="Actual"/>
    <n v="4"/>
    <n v="96239.950000000012"/>
    <n v="0.37423618196147229"/>
  </r>
  <r>
    <s v="ORD2025"/>
    <d v="2023-03-20T00:00:00"/>
    <x v="5"/>
    <x v="1"/>
    <x v="3"/>
    <x v="0"/>
    <n v="119046.48"/>
    <n v="84897.17"/>
    <s v="Actual"/>
    <n v="2"/>
    <n v="34149.31"/>
    <n v="0.28685694864728467"/>
  </r>
  <r>
    <s v="ORD1904"/>
    <s v="Not Mentioned"/>
    <x v="3"/>
    <x v="1"/>
    <x v="2"/>
    <x v="0"/>
    <n v="84838.43"/>
    <n v="60877.21"/>
    <s v="Actual"/>
    <n v="5"/>
    <n v="23961.219999999994"/>
    <n v="0.2824335622429599"/>
  </r>
  <r>
    <s v="ORD2440"/>
    <d v="2023-06-25T00:00:00"/>
    <x v="0"/>
    <x v="1"/>
    <x v="2"/>
    <x v="0"/>
    <n v="102446.01"/>
    <n v="71530.149999999994"/>
    <s v="Actual"/>
    <n v="5"/>
    <n v="30915.86"/>
    <n v="0.30177710190958146"/>
  </r>
  <r>
    <s v="ORD3982"/>
    <d v="2023-06-25T00:00:00"/>
    <x v="0"/>
    <x v="0"/>
    <x v="2"/>
    <x v="0"/>
    <n v="103403.11"/>
    <n v="68480.479999999996"/>
    <s v="Actual"/>
    <n v="5"/>
    <n v="34922.630000000005"/>
    <n v="0.33773287863392121"/>
  </r>
  <r>
    <s v="ORD1671"/>
    <d v="2023-06-25T00:00:00"/>
    <x v="0"/>
    <x v="0"/>
    <x v="3"/>
    <x v="0"/>
    <n v="276580.58"/>
    <n v="229944.94"/>
    <s v="Actual"/>
    <n v="5"/>
    <n v="46635.640000000014"/>
    <n v="0.16861501989763711"/>
  </r>
  <r>
    <s v="ORD7327"/>
    <d v="2023-01-15T00:00:00"/>
    <x v="4"/>
    <x v="3"/>
    <x v="2"/>
    <x v="0"/>
    <n v="77304.789999999994"/>
    <n v="54168.480000000003"/>
    <s v="Actual"/>
    <n v="4"/>
    <n v="23136.30999999999"/>
    <n v="0.29928688765599121"/>
  </r>
  <r>
    <s v="ORD1600"/>
    <d v="2023-06-25T00:00:00"/>
    <x v="0"/>
    <x v="2"/>
    <x v="1"/>
    <x v="0"/>
    <n v="48633.2"/>
    <n v="36903.699999999997"/>
    <s v="Actual"/>
    <n v="5"/>
    <n v="11729.5"/>
    <n v="0.24118297788342122"/>
  </r>
  <r>
    <s v="ORD8400"/>
    <d v="2023-06-25T00:00:00"/>
    <x v="0"/>
    <x v="2"/>
    <x v="2"/>
    <x v="0"/>
    <n v="33202.29"/>
    <n v="24739.42"/>
    <s v="Actual"/>
    <n v="2"/>
    <n v="8462.8700000000026"/>
    <n v="0.25488814175166841"/>
  </r>
  <r>
    <s v="ORD2782"/>
    <d v="2023-01-15T00:00:00"/>
    <x v="4"/>
    <x v="0"/>
    <x v="0"/>
    <x v="0"/>
    <n v="86778.34"/>
    <n v="48233.120000000003"/>
    <s v="Actual"/>
    <n v="5"/>
    <n v="38545.219999999994"/>
    <n v="0.44418019519617447"/>
  </r>
  <r>
    <s v="ORD4041"/>
    <d v="2023-06-25T00:00:00"/>
    <x v="0"/>
    <x v="3"/>
    <x v="3"/>
    <x v="0"/>
    <n v="293608.74"/>
    <n v="210541.87"/>
    <s v="Actual"/>
    <n v="5"/>
    <n v="83066.87"/>
    <n v="0.28291688455868175"/>
  </r>
  <r>
    <s v="ORD874"/>
    <d v="2023-01-15T00:00:00"/>
    <x v="4"/>
    <x v="2"/>
    <x v="3"/>
    <x v="0"/>
    <n v="281599.62"/>
    <n v="191643.41"/>
    <s v="Actual"/>
    <n v="4"/>
    <n v="89956.209999999992"/>
    <n v="0.31944719953812434"/>
  </r>
  <r>
    <s v="ORD8973"/>
    <d v="2023-02-15T00:00:00"/>
    <x v="1"/>
    <x v="1"/>
    <x v="3"/>
    <x v="0"/>
    <n v="283456.59999999998"/>
    <n v="171218.7"/>
    <s v="Actual"/>
    <n v="4"/>
    <n v="112237.89999999997"/>
    <n v="0.39596149816232884"/>
  </r>
  <r>
    <s v="ORD2241"/>
    <s v="Not Mentioned"/>
    <x v="3"/>
    <x v="0"/>
    <x v="1"/>
    <x v="0"/>
    <n v="20491.82"/>
    <n v="12550.77"/>
    <s v="Actual"/>
    <n v="2"/>
    <n v="7941.0499999999993"/>
    <n v="0.38752292378129416"/>
  </r>
  <r>
    <s v="ORD9719"/>
    <s v="Not Mentioned"/>
    <x v="3"/>
    <x v="2"/>
    <x v="2"/>
    <x v="0"/>
    <n v="87947.55"/>
    <n v="58575"/>
    <s v="Actual"/>
    <n v="4"/>
    <n v="29372.550000000003"/>
    <n v="0.3339780357724576"/>
  </r>
  <r>
    <s v="ORD6778"/>
    <s v="Not Mentioned"/>
    <x v="3"/>
    <x v="3"/>
    <x v="0"/>
    <x v="0"/>
    <n v="31024.51"/>
    <n v="19738.080000000002"/>
    <s v="Actual"/>
    <n v="2"/>
    <n v="11286.429999999997"/>
    <n v="0.36379075769448083"/>
  </r>
  <r>
    <s v="ORD5370"/>
    <d v="2023-02-15T00:00:00"/>
    <x v="1"/>
    <x v="1"/>
    <x v="3"/>
    <x v="0"/>
    <n v="334684.87"/>
    <n v="210992.38"/>
    <s v="Actual"/>
    <n v="5"/>
    <n v="123692.48999999999"/>
    <n v="0.36957897140674445"/>
  </r>
  <r>
    <s v="ORD6969"/>
    <d v="2023-04-05T00:00:00"/>
    <x v="2"/>
    <x v="1"/>
    <x v="2"/>
    <x v="0"/>
    <n v="81867.39"/>
    <n v="73141.8"/>
    <s v="Actual"/>
    <n v="5"/>
    <n v="8725.5899999999965"/>
    <n v="0.10658199803364925"/>
  </r>
  <r>
    <s v="ORD136"/>
    <d v="2023-01-15T00:00:00"/>
    <x v="4"/>
    <x v="2"/>
    <x v="0"/>
    <x v="0"/>
    <n v="73487.97"/>
    <n v="44857.9"/>
    <s v="Actual"/>
    <n v="5"/>
    <n v="28630.07"/>
    <n v="0.38958852721064413"/>
  </r>
  <r>
    <s v="ORD372"/>
    <d v="2023-04-05T00:00:00"/>
    <x v="2"/>
    <x v="1"/>
    <x v="0"/>
    <x v="0"/>
    <n v="65145.3"/>
    <n v="43166.43"/>
    <s v="Actual"/>
    <n v="4"/>
    <n v="21978.870000000003"/>
    <n v="0.33738228237493728"/>
  </r>
  <r>
    <s v="ORD8759"/>
    <d v="2023-02-15T00:00:00"/>
    <x v="1"/>
    <x v="1"/>
    <x v="3"/>
    <x v="0"/>
    <n v="135582.06"/>
    <n v="90187.88"/>
    <s v="Actual"/>
    <s v="Unknown"/>
    <n v="45394.179999999993"/>
    <n v="0.33480963484401988"/>
  </r>
  <r>
    <s v="ORD1689"/>
    <d v="2023-01-15T00:00:00"/>
    <x v="4"/>
    <x v="2"/>
    <x v="0"/>
    <x v="0"/>
    <n v="71229.179999999993"/>
    <n v="45391.43"/>
    <s v="Actual"/>
    <n v="5"/>
    <n v="25837.749999999993"/>
    <n v="0.36274108448251119"/>
  </r>
  <r>
    <s v="ORD444"/>
    <s v="Not Mentioned"/>
    <x v="3"/>
    <x v="1"/>
    <x v="3"/>
    <x v="0"/>
    <n v="68343.37"/>
    <n v="46930.16"/>
    <s v="Actual"/>
    <n v="1"/>
    <n v="21413.209999999992"/>
    <n v="0.31331802923970525"/>
  </r>
  <r>
    <s v="ORD7839"/>
    <d v="2023-01-15T00:00:00"/>
    <x v="4"/>
    <x v="3"/>
    <x v="0"/>
    <x v="0"/>
    <n v="63325.05"/>
    <n v="34505.97"/>
    <s v="Actual"/>
    <n v="4"/>
    <n v="28819.08"/>
    <n v="0.45509762724229985"/>
  </r>
  <r>
    <s v="ORD7182"/>
    <d v="2023-06-25T00:00:00"/>
    <x v="0"/>
    <x v="1"/>
    <x v="0"/>
    <x v="0"/>
    <n v="15080.61"/>
    <n v="10126.52"/>
    <s v="Actual"/>
    <n v="1"/>
    <n v="4954.09"/>
    <n v="0.32850726860518242"/>
  </r>
  <r>
    <s v="ORD665"/>
    <d v="2023-02-15T00:00:00"/>
    <x v="1"/>
    <x v="1"/>
    <x v="1"/>
    <x v="0"/>
    <n v="23090.95"/>
    <n v="14832.56"/>
    <s v="Actual"/>
    <n v="2"/>
    <n v="8258.3900000000012"/>
    <n v="0.35764617739850463"/>
  </r>
  <r>
    <s v="ORD4683"/>
    <d v="2023-04-05T00:00:00"/>
    <x v="2"/>
    <x v="2"/>
    <x v="3"/>
    <x v="0"/>
    <n v="58519.17"/>
    <n v="41205.300000000003"/>
    <s v="Actual"/>
    <n v="1"/>
    <n v="17313.869999999995"/>
    <n v="0.2958666365226984"/>
  </r>
  <r>
    <s v="ORD194"/>
    <d v="2023-06-25T00:00:00"/>
    <x v="0"/>
    <x v="1"/>
    <x v="1"/>
    <x v="0"/>
    <n v="17179.62"/>
    <n v="12156.36"/>
    <s v="Actual"/>
    <n v="2"/>
    <n v="5023.2599999999984"/>
    <n v="0.29239645580053569"/>
  </r>
  <r>
    <s v="ORD587"/>
    <d v="2023-03-20T00:00:00"/>
    <x v="5"/>
    <x v="3"/>
    <x v="1"/>
    <x v="0"/>
    <n v="46445.21"/>
    <n v="38275.17"/>
    <s v="Actual"/>
    <n v="5"/>
    <n v="8170.0400000000009"/>
    <n v="0.17590705263255352"/>
  </r>
  <r>
    <s v="ORD3544"/>
    <d v="2023-01-15T00:00:00"/>
    <x v="4"/>
    <x v="2"/>
    <x v="0"/>
    <x v="0"/>
    <n v="62757.67"/>
    <n v="50206.135999999999"/>
    <s v="Estimated"/>
    <n v="4"/>
    <n v="12551.534"/>
    <n v="0.2"/>
  </r>
  <r>
    <s v="ORD5722"/>
    <d v="2023-04-05T00:00:00"/>
    <x v="2"/>
    <x v="1"/>
    <x v="2"/>
    <x v="0"/>
    <n v="92195.36"/>
    <n v="51193.26"/>
    <s v="Actual"/>
    <n v="4"/>
    <n v="41002.1"/>
    <n v="0.44473062418759468"/>
  </r>
  <r>
    <s v="ORD7131"/>
    <s v="Not Mentioned"/>
    <x v="3"/>
    <x v="0"/>
    <x v="1"/>
    <x v="0"/>
    <n v="59933.67"/>
    <n v="36319.410000000003"/>
    <s v="Actual"/>
    <s v="Unknown"/>
    <n v="23614.259999999995"/>
    <n v="0.39400657426785302"/>
  </r>
  <r>
    <s v="ORD264"/>
    <d v="2023-03-20T00:00:00"/>
    <x v="5"/>
    <x v="1"/>
    <x v="2"/>
    <x v="0"/>
    <n v="48380.49"/>
    <n v="36665.839999999997"/>
    <s v="Actual"/>
    <n v="3"/>
    <n v="11714.650000000001"/>
    <n v="0.24213582789260715"/>
  </r>
  <r>
    <s v="ORD6141"/>
    <d v="2023-02-15T00:00:00"/>
    <x v="1"/>
    <x v="1"/>
    <x v="2"/>
    <x v="0"/>
    <n v="38814.29"/>
    <n v="30698.67"/>
    <s v="Actual"/>
    <s v="Unknown"/>
    <n v="8115.6200000000026"/>
    <n v="0.20908845685442146"/>
  </r>
  <r>
    <s v="ORD2160"/>
    <s v="Not Mentioned"/>
    <x v="3"/>
    <x v="2"/>
    <x v="1"/>
    <x v="0"/>
    <n v="32490.43"/>
    <n v="20279.11"/>
    <s v="Actual"/>
    <n v="3"/>
    <n v="12211.32"/>
    <n v="0.37584359455999811"/>
  </r>
  <r>
    <s v="ORD9370"/>
    <d v="2023-01-15T00:00:00"/>
    <x v="4"/>
    <x v="2"/>
    <x v="3"/>
    <x v="0"/>
    <n v="106015.29"/>
    <n v="84812.232000000004"/>
    <s v="Estimated"/>
    <n v="2"/>
    <n v="21203.05799999999"/>
    <n v="0.19999999999999993"/>
  </r>
  <r>
    <s v="ORD2340"/>
    <d v="2023-01-15T00:00:00"/>
    <x v="4"/>
    <x v="2"/>
    <x v="3"/>
    <x v="0"/>
    <n v="263197.23"/>
    <n v="166618.82"/>
    <s v="Actual"/>
    <n v="4"/>
    <n v="96578.409999999974"/>
    <n v="0.36694310954564369"/>
  </r>
  <r>
    <s v="ORD3758"/>
    <s v="Not Mentioned"/>
    <x v="3"/>
    <x v="3"/>
    <x v="2"/>
    <x v="0"/>
    <n v="35143.06"/>
    <n v="28114.448"/>
    <s v="Estimated"/>
    <n v="2"/>
    <n v="7028.6119999999974"/>
    <n v="0.19999999999999993"/>
  </r>
  <r>
    <s v="ORD9953"/>
    <d v="2023-02-15T00:00:00"/>
    <x v="1"/>
    <x v="3"/>
    <x v="3"/>
    <x v="0"/>
    <n v="326282.74"/>
    <n v="219593.74"/>
    <s v="Actual"/>
    <n v="5"/>
    <n v="106689"/>
    <n v="0.32698327836771263"/>
  </r>
  <r>
    <s v="ORD1430"/>
    <s v="Not Mentioned"/>
    <x v="3"/>
    <x v="3"/>
    <x v="3"/>
    <x v="0"/>
    <n v="175489.03"/>
    <n v="146226.64000000001"/>
    <s v="Actual"/>
    <n v="3"/>
    <n v="29262.389999999985"/>
    <n v="0.16674768787541869"/>
  </r>
  <r>
    <s v="ORD2538"/>
    <d v="2023-01-15T00:00:00"/>
    <x v="4"/>
    <x v="3"/>
    <x v="2"/>
    <x v="0"/>
    <n v="80975.64"/>
    <n v="69674.94"/>
    <s v="Actual"/>
    <n v="5"/>
    <n v="11300.699999999997"/>
    <n v="0.13955678522577897"/>
  </r>
  <r>
    <s v="ORD3892"/>
    <d v="2023-06-25T00:00:00"/>
    <x v="0"/>
    <x v="2"/>
    <x v="1"/>
    <x v="0"/>
    <n v="8934.32"/>
    <n v="7147.4560000000001"/>
    <s v="Estimated"/>
    <n v="1"/>
    <n v="1786.8639999999996"/>
    <n v="0.19999999999999996"/>
  </r>
  <r>
    <s v="ORD324"/>
    <d v="2023-01-15T00:00:00"/>
    <x v="4"/>
    <x v="2"/>
    <x v="0"/>
    <x v="0"/>
    <n v="53942.81"/>
    <n v="39064.559999999998"/>
    <s v="Actual"/>
    <n v="4"/>
    <n v="14878.25"/>
    <n v="0.27581525693600317"/>
  </r>
  <r>
    <s v="ORD5833"/>
    <d v="2023-02-15T00:00:00"/>
    <x v="1"/>
    <x v="1"/>
    <x v="0"/>
    <x v="0"/>
    <n v="62984.94"/>
    <n v="50387.952000000005"/>
    <s v="Estimated"/>
    <n v="4"/>
    <n v="12596.987999999998"/>
    <n v="0.19999999999999996"/>
  </r>
  <r>
    <s v="ORD7739"/>
    <d v="2023-04-05T00:00:00"/>
    <x v="2"/>
    <x v="1"/>
    <x v="3"/>
    <x v="0"/>
    <n v="205684.56"/>
    <n v="146613.20000000001"/>
    <s v="Actual"/>
    <n v="3"/>
    <n v="59071.359999999986"/>
    <n v="0.28719394396934794"/>
  </r>
  <r>
    <s v="ORD2741"/>
    <d v="2023-03-20T00:00:00"/>
    <x v="5"/>
    <x v="2"/>
    <x v="2"/>
    <x v="0"/>
    <n v="86331.45"/>
    <n v="67474.06"/>
    <s v="Actual"/>
    <n v="5"/>
    <n v="18857.39"/>
    <n v="0.21843013177700596"/>
  </r>
  <r>
    <s v="ORD775"/>
    <d v="2023-01-15T00:00:00"/>
    <x v="4"/>
    <x v="1"/>
    <x v="3"/>
    <x v="0"/>
    <n v="153485.54999999999"/>
    <n v="137708.01999999999"/>
    <s v="Actual"/>
    <n v="3"/>
    <n v="15777.529999999999"/>
    <n v="0.10279488850904857"/>
  </r>
  <r>
    <s v="ORD1889"/>
    <d v="2023-02-15T00:00:00"/>
    <x v="1"/>
    <x v="2"/>
    <x v="2"/>
    <x v="0"/>
    <n v="18000.66"/>
    <n v="14827.93"/>
    <s v="Actual"/>
    <n v="1"/>
    <n v="3172.7299999999996"/>
    <n v="0.17625631504622605"/>
  </r>
  <r>
    <s v="ORD363"/>
    <d v="2023-03-20T00:00:00"/>
    <x v="5"/>
    <x v="1"/>
    <x v="1"/>
    <x v="0"/>
    <n v="38436.400000000001"/>
    <n v="26422.54"/>
    <s v="Actual"/>
    <n v="4"/>
    <n v="12013.86"/>
    <n v="0.31256465225671498"/>
  </r>
  <r>
    <s v="ORD494"/>
    <d v="2023-02-15T00:00:00"/>
    <x v="1"/>
    <x v="1"/>
    <x v="1"/>
    <x v="0"/>
    <n v="31330.32"/>
    <n v="25064.256000000001"/>
    <s v="Estimated"/>
    <n v="3"/>
    <n v="6266.0639999999985"/>
    <n v="0.19999999999999996"/>
  </r>
  <r>
    <s v="ORD5975"/>
    <d v="2023-01-15T00:00:00"/>
    <x v="4"/>
    <x v="1"/>
    <x v="1"/>
    <x v="0"/>
    <n v="41027.120000000003"/>
    <n v="27259.1"/>
    <s v="Actual"/>
    <n v="4"/>
    <n v="13768.020000000004"/>
    <n v="0.3355833897188007"/>
  </r>
  <r>
    <s v="ORD7030"/>
    <d v="2023-03-20T00:00:00"/>
    <x v="5"/>
    <x v="2"/>
    <x v="0"/>
    <x v="0"/>
    <n v="43947.61"/>
    <n v="29179.599999999999"/>
    <s v="Actual"/>
    <n v="3"/>
    <n v="14768.010000000002"/>
    <n v="0.33603670370243116"/>
  </r>
  <r>
    <s v="ORD855"/>
    <s v="Not Mentioned"/>
    <x v="3"/>
    <x v="1"/>
    <x v="1"/>
    <x v="0"/>
    <n v="30449.93"/>
    <n v="24359.944000000003"/>
    <s v="Estimated"/>
    <n v="3"/>
    <n v="6089.9859999999971"/>
    <n v="0.1999999999999999"/>
  </r>
  <r>
    <s v="ORD2690"/>
    <d v="2023-01-15T00:00:00"/>
    <x v="4"/>
    <x v="0"/>
    <x v="0"/>
    <x v="0"/>
    <n v="71326.820000000007"/>
    <n v="34375.519999999997"/>
    <s v="Actual"/>
    <n v="4"/>
    <n v="36951.30000000001"/>
    <n v="0.51805618139151588"/>
  </r>
  <r>
    <s v="ORD1444"/>
    <d v="2023-02-15T00:00:00"/>
    <x v="1"/>
    <x v="1"/>
    <x v="2"/>
    <x v="0"/>
    <n v="88616.02"/>
    <n v="55954.12"/>
    <s v="Actual"/>
    <n v="4"/>
    <n v="32661.9"/>
    <n v="0.36857782599579625"/>
  </r>
  <r>
    <s v="ORD6430"/>
    <d v="2023-02-15T00:00:00"/>
    <x v="1"/>
    <x v="0"/>
    <x v="3"/>
    <x v="0"/>
    <n v="51934.09"/>
    <n v="42540.85"/>
    <s v="Actual"/>
    <n v="1"/>
    <n v="9393.239999999998"/>
    <n v="0.18086848156962024"/>
  </r>
  <r>
    <s v="ORD2883"/>
    <d v="2023-03-20T00:00:00"/>
    <x v="5"/>
    <x v="2"/>
    <x v="0"/>
    <x v="0"/>
    <n v="31236.17"/>
    <n v="17285.66"/>
    <s v="Actual"/>
    <n v="2"/>
    <n v="13950.509999999998"/>
    <n v="0.44661397348010334"/>
  </r>
  <r>
    <s v="ORD5060"/>
    <d v="2023-06-25T00:00:00"/>
    <x v="0"/>
    <x v="2"/>
    <x v="2"/>
    <x v="0"/>
    <n v="74077.86"/>
    <n v="49405.7"/>
    <s v="Actual"/>
    <s v="Unknown"/>
    <n v="24672.160000000003"/>
    <n v="0.333057137449705"/>
  </r>
  <r>
    <s v="ORD3515"/>
    <d v="2023-06-25T00:00:00"/>
    <x v="0"/>
    <x v="2"/>
    <x v="3"/>
    <x v="0"/>
    <n v="108985.05"/>
    <n v="94606.33"/>
    <s v="Actual"/>
    <n v="2"/>
    <n v="14378.720000000001"/>
    <n v="0.13193295777723643"/>
  </r>
  <r>
    <s v="ORD9104"/>
    <d v="2023-03-20T00:00:00"/>
    <x v="5"/>
    <x v="3"/>
    <x v="0"/>
    <x v="0"/>
    <n v="83765.7"/>
    <n v="52982.77"/>
    <s v="Actual"/>
    <n v="5"/>
    <n v="30782.93"/>
    <n v="0.36748848275606844"/>
  </r>
  <r>
    <s v="ORD5087"/>
    <d v="2023-04-05T00:00:00"/>
    <x v="2"/>
    <x v="0"/>
    <x v="1"/>
    <x v="0"/>
    <n v="10821.23"/>
    <n v="7237.01"/>
    <s v="Actual"/>
    <n v="1"/>
    <n v="3584.2199999999993"/>
    <n v="0.33122112735798054"/>
  </r>
  <r>
    <s v="ORD3722"/>
    <d v="2023-02-15T00:00:00"/>
    <x v="1"/>
    <x v="1"/>
    <x v="3"/>
    <x v="0"/>
    <n v="129288.47"/>
    <n v="77393.5"/>
    <s v="Actual"/>
    <n v="2"/>
    <n v="51894.97"/>
    <n v="0.40138900243772707"/>
  </r>
  <r>
    <s v="ORD2384"/>
    <s v="Not Mentioned"/>
    <x v="3"/>
    <x v="2"/>
    <x v="0"/>
    <x v="0"/>
    <n v="32675.32"/>
    <n v="18030.990000000002"/>
    <s v="Actual"/>
    <n v="2"/>
    <n v="14644.329999999998"/>
    <n v="0.44817709512867809"/>
  </r>
  <r>
    <s v="ORD9664"/>
    <s v="Not Mentioned"/>
    <x v="3"/>
    <x v="3"/>
    <x v="3"/>
    <x v="0"/>
    <n v="213852.72"/>
    <n v="176599.64"/>
    <s v="Actual"/>
    <n v="4"/>
    <n v="37253.079999999987"/>
    <n v="0.17419970155160985"/>
  </r>
  <r>
    <s v="ORD7651"/>
    <d v="2023-06-25T00:00:00"/>
    <x v="0"/>
    <x v="3"/>
    <x v="2"/>
    <x v="0"/>
    <n v="40535.660000000003"/>
    <n v="24169.3"/>
    <s v="Actual"/>
    <n v="2"/>
    <n v="16366.360000000004"/>
    <n v="0.40375215304253104"/>
  </r>
  <r>
    <s v="ORD4675"/>
    <s v="Not Mentioned"/>
    <x v="3"/>
    <x v="0"/>
    <x v="3"/>
    <x v="0"/>
    <n v="205310.64"/>
    <n v="158729.03"/>
    <s v="Actual"/>
    <n v="4"/>
    <n v="46581.610000000015"/>
    <n v="0.22688356531351717"/>
  </r>
  <r>
    <s v="ORD4092"/>
    <d v="2023-01-15T00:00:00"/>
    <x v="4"/>
    <x v="2"/>
    <x v="3"/>
    <x v="0"/>
    <n v="55866.51"/>
    <n v="47925.83"/>
    <s v="Actual"/>
    <n v="1"/>
    <n v="7940.68"/>
    <n v="0.14213667544294425"/>
  </r>
  <r>
    <s v="ORD6756"/>
    <d v="2023-01-15T00:00:00"/>
    <x v="4"/>
    <x v="1"/>
    <x v="0"/>
    <x v="0"/>
    <n v="16921.66"/>
    <n v="9023.2999999999993"/>
    <s v="Actual"/>
    <n v="1"/>
    <n v="7898.3600000000006"/>
    <n v="0.46676035329867166"/>
  </r>
  <r>
    <s v="ORD5027"/>
    <d v="2023-04-05T00:00:00"/>
    <x v="2"/>
    <x v="1"/>
    <x v="2"/>
    <x v="0"/>
    <n v="43686.66"/>
    <n v="27530.14"/>
    <s v="Actual"/>
    <n v="2"/>
    <n v="16156.520000000004"/>
    <n v="0.36982731112884354"/>
  </r>
  <r>
    <s v="ORD2941"/>
    <d v="2023-04-05T00:00:00"/>
    <x v="2"/>
    <x v="1"/>
    <x v="1"/>
    <x v="0"/>
    <n v="42571.64"/>
    <n v="30454.240000000002"/>
    <s v="Actual"/>
    <n v="4"/>
    <n v="12117.399999999998"/>
    <n v="0.28463549912570901"/>
  </r>
  <r>
    <s v="ORD9000"/>
    <d v="2023-02-15T00:00:00"/>
    <x v="1"/>
    <x v="2"/>
    <x v="3"/>
    <x v="0"/>
    <n v="121550.61"/>
    <n v="97240.488000000012"/>
    <s v="Estimated"/>
    <n v="2"/>
    <n v="24310.121999999988"/>
    <n v="0.1999999999999999"/>
  </r>
  <r>
    <s v="ORD3881"/>
    <d v="2023-02-15T00:00:00"/>
    <x v="1"/>
    <x v="1"/>
    <x v="1"/>
    <x v="0"/>
    <n v="8189.66"/>
    <n v="7352.05"/>
    <s v="Actual"/>
    <n v="1"/>
    <n v="837.60999999999967"/>
    <n v="0.10227652918436171"/>
  </r>
  <r>
    <s v="ORD508"/>
    <d v="2023-02-15T00:00:00"/>
    <x v="1"/>
    <x v="2"/>
    <x v="2"/>
    <x v="0"/>
    <n v="48433.45"/>
    <n v="40768.65"/>
    <s v="Actual"/>
    <n v="3"/>
    <n v="7664.7999999999956"/>
    <n v="0.15825426435655515"/>
  </r>
  <r>
    <s v="ORD8032"/>
    <d v="2023-03-20T00:00:00"/>
    <x v="5"/>
    <x v="2"/>
    <x v="3"/>
    <x v="0"/>
    <n v="214916.42"/>
    <n v="115723.23"/>
    <s v="Actual"/>
    <n v="3"/>
    <n v="99193.190000000017"/>
    <n v="0.46154309661402332"/>
  </r>
  <r>
    <s v="ORD1264"/>
    <d v="2023-03-20T00:00:00"/>
    <x v="5"/>
    <x v="2"/>
    <x v="3"/>
    <x v="0"/>
    <n v="250422.87"/>
    <n v="196690.71"/>
    <s v="Actual"/>
    <n v="4"/>
    <n v="53732.160000000003"/>
    <n v="0.21456570639894035"/>
  </r>
  <r>
    <s v="ORD5549"/>
    <d v="2023-03-20T00:00:00"/>
    <x v="5"/>
    <x v="1"/>
    <x v="1"/>
    <x v="0"/>
    <n v="19323.95"/>
    <n v="15459.160000000002"/>
    <s v="Estimated"/>
    <n v="2"/>
    <n v="3864.7899999999991"/>
    <n v="0.19999999999999996"/>
  </r>
  <r>
    <s v="ORD5677"/>
    <d v="2023-03-20T00:00:00"/>
    <x v="5"/>
    <x v="2"/>
    <x v="0"/>
    <x v="0"/>
    <n v="48099.61"/>
    <n v="26975.69"/>
    <s v="Actual"/>
    <n v="3"/>
    <n v="21123.920000000002"/>
    <n v="0.43917029680698039"/>
  </r>
  <r>
    <s v="ORD1442"/>
    <d v="2023-04-05T00:00:00"/>
    <x v="2"/>
    <x v="2"/>
    <x v="0"/>
    <x v="0"/>
    <n v="29896.89"/>
    <n v="20609.88"/>
    <s v="Actual"/>
    <s v="Unknown"/>
    <n v="9287.0099999999984"/>
    <n v="0.31063465129650603"/>
  </r>
  <r>
    <s v="ORD786"/>
    <d v="2023-01-15T00:00:00"/>
    <x v="4"/>
    <x v="3"/>
    <x v="2"/>
    <x v="0"/>
    <n v="55162.82"/>
    <n v="42399.97"/>
    <s v="Actual"/>
    <n v="3"/>
    <n v="12762.849999999999"/>
    <n v="0.23136688805974748"/>
  </r>
  <r>
    <s v="ORD3939"/>
    <d v="2023-04-05T00:00:00"/>
    <x v="2"/>
    <x v="1"/>
    <x v="0"/>
    <x v="0"/>
    <n v="89874.07"/>
    <n v="46110.12"/>
    <s v="Actual"/>
    <n v="5"/>
    <n v="43763.950000000004"/>
    <n v="0.48694745881654189"/>
  </r>
  <r>
    <s v="ORD7044"/>
    <d v="2023-03-20T00:00:00"/>
    <x v="5"/>
    <x v="1"/>
    <x v="3"/>
    <x v="0"/>
    <n v="112080.41"/>
    <n v="81163.86"/>
    <s v="Actual"/>
    <n v="2"/>
    <n v="30916.550000000003"/>
    <n v="0.27584258480139395"/>
  </r>
  <r>
    <s v="ORD133"/>
    <d v="2023-02-15T00:00:00"/>
    <x v="1"/>
    <x v="0"/>
    <x v="0"/>
    <x v="0"/>
    <n v="52756.17"/>
    <n v="26331.9"/>
    <s v="Actual"/>
    <n v="3"/>
    <n v="26424.269999999997"/>
    <n v="0.50087544262595252"/>
  </r>
  <r>
    <s v="ORD5846"/>
    <d v="2023-02-15T00:00:00"/>
    <x v="1"/>
    <x v="2"/>
    <x v="0"/>
    <x v="0"/>
    <n v="86943.72"/>
    <n v="51645.05"/>
    <s v="Actual"/>
    <n v="5"/>
    <n v="35298.67"/>
    <n v="0.40599447550668405"/>
  </r>
  <r>
    <s v="ORD2257"/>
    <s v="Not Mentioned"/>
    <x v="3"/>
    <x v="3"/>
    <x v="2"/>
    <x v="0"/>
    <n v="87703.27"/>
    <n v="61208.33"/>
    <s v="Actual"/>
    <n v="5"/>
    <n v="26494.940000000002"/>
    <n v="0.30209751586229339"/>
  </r>
  <r>
    <s v="ORD9991"/>
    <s v="Not Mentioned"/>
    <x v="3"/>
    <x v="2"/>
    <x v="2"/>
    <x v="0"/>
    <n v="70495.789999999994"/>
    <n v="53926.17"/>
    <s v="Actual"/>
    <n v="4"/>
    <n v="16569.619999999995"/>
    <n v="0.23504410688921987"/>
  </r>
  <r>
    <s v="ORD6828"/>
    <d v="2023-06-25T00:00:00"/>
    <x v="0"/>
    <x v="2"/>
    <x v="2"/>
    <x v="0"/>
    <n v="65572.88"/>
    <n v="47674.400000000001"/>
    <s v="Actual"/>
    <n v="4"/>
    <n v="17898.480000000003"/>
    <n v="0.27295552673605311"/>
  </r>
  <r>
    <s v="ORD8011"/>
    <d v="2023-03-20T00:00:00"/>
    <x v="5"/>
    <x v="1"/>
    <x v="1"/>
    <x v="0"/>
    <n v="10784.13"/>
    <n v="6549.33"/>
    <s v="Actual"/>
    <n v="1"/>
    <n v="4234.7999999999993"/>
    <n v="0.39268814452348028"/>
  </r>
  <r>
    <s v="ORD1625"/>
    <d v="2023-06-25T00:00:00"/>
    <x v="0"/>
    <x v="0"/>
    <x v="3"/>
    <x v="0"/>
    <n v="243173.63"/>
    <n v="210125.09"/>
    <s v="Actual"/>
    <n v="5"/>
    <n v="33048.540000000008"/>
    <n v="0.13590511438267383"/>
  </r>
  <r>
    <s v="ORD864"/>
    <d v="2023-04-05T00:00:00"/>
    <x v="2"/>
    <x v="0"/>
    <x v="3"/>
    <x v="0"/>
    <n v="128269.38"/>
    <n v="96694.39"/>
    <s v="Actual"/>
    <n v="2"/>
    <n v="31574.990000000005"/>
    <n v="0.24616155469060508"/>
  </r>
  <r>
    <s v="ORD4897"/>
    <d v="2023-02-15T00:00:00"/>
    <x v="1"/>
    <x v="0"/>
    <x v="3"/>
    <x v="0"/>
    <n v="265368.53999999998"/>
    <n v="197691.93"/>
    <s v="Actual"/>
    <n v="4"/>
    <n v="67676.609999999986"/>
    <n v="0.25502876113347872"/>
  </r>
  <r>
    <s v="ORD5477"/>
    <d v="2023-01-15T00:00:00"/>
    <x v="4"/>
    <x v="1"/>
    <x v="0"/>
    <x v="0"/>
    <n v="51604.94"/>
    <n v="31100.57"/>
    <s v="Actual"/>
    <n v="3"/>
    <n v="20504.370000000003"/>
    <n v="0.39733347233811339"/>
  </r>
  <r>
    <s v="ORD6373"/>
    <s v="Not Mentioned"/>
    <x v="3"/>
    <x v="2"/>
    <x v="3"/>
    <x v="0"/>
    <n v="339037.01"/>
    <n v="198334.16"/>
    <s v="Actual"/>
    <n v="5"/>
    <n v="140702.85"/>
    <n v="0.41500734683803397"/>
  </r>
  <r>
    <s v="ORD1815"/>
    <d v="2023-03-20T00:00:00"/>
    <x v="5"/>
    <x v="2"/>
    <x v="3"/>
    <x v="0"/>
    <n v="133718.81"/>
    <n v="86905.279999999999"/>
    <s v="Actual"/>
    <n v="2"/>
    <n v="46813.53"/>
    <n v="0.35008934046002954"/>
  </r>
  <r>
    <s v="ORD2421"/>
    <d v="2023-04-05T00:00:00"/>
    <x v="2"/>
    <x v="1"/>
    <x v="3"/>
    <x v="0"/>
    <n v="66071.67"/>
    <n v="52857.336000000003"/>
    <s v="Estimated"/>
    <n v="1"/>
    <n v="13214.333999999995"/>
    <n v="0.19999999999999993"/>
  </r>
  <r>
    <s v="ORD5952"/>
    <d v="2023-01-15T00:00:00"/>
    <x v="4"/>
    <x v="0"/>
    <x v="2"/>
    <x v="0"/>
    <n v="17578.509999999998"/>
    <n v="13010.39"/>
    <s v="Actual"/>
    <n v="1"/>
    <n v="4568.119999999999"/>
    <n v="0.25986957938983446"/>
  </r>
  <r>
    <s v="ORD320"/>
    <d v="2023-04-05T00:00:00"/>
    <x v="2"/>
    <x v="1"/>
    <x v="1"/>
    <x v="0"/>
    <n v="50342.42"/>
    <n v="36431.589999999997"/>
    <s v="Actual"/>
    <n v="5"/>
    <n v="13910.830000000002"/>
    <n v="0.27632422120350991"/>
  </r>
  <r>
    <s v="ORD3577"/>
    <d v="2023-03-20T00:00:00"/>
    <x v="5"/>
    <x v="0"/>
    <x v="3"/>
    <x v="0"/>
    <n v="123875.38"/>
    <n v="85232.99"/>
    <s v="Actual"/>
    <n v="2"/>
    <n v="38642.39"/>
    <n v="0.31194568283059959"/>
  </r>
  <r>
    <s v="ORD118"/>
    <d v="2023-03-20T00:00:00"/>
    <x v="5"/>
    <x v="0"/>
    <x v="3"/>
    <x v="0"/>
    <n v="256399.35999999999"/>
    <n v="184639.23"/>
    <s v="Actual"/>
    <n v="4"/>
    <n v="71760.129999999976"/>
    <n v="0.279876400627521"/>
  </r>
  <r>
    <s v="ORD2348"/>
    <d v="2023-02-15T00:00:00"/>
    <x v="1"/>
    <x v="2"/>
    <x v="0"/>
    <x v="0"/>
    <n v="12387.22"/>
    <n v="9944.15"/>
    <s v="Actual"/>
    <n v="1"/>
    <n v="2443.0699999999997"/>
    <n v="0.1972250432300387"/>
  </r>
  <r>
    <s v="ORD7635"/>
    <d v="2023-01-15T00:00:00"/>
    <x v="4"/>
    <x v="0"/>
    <x v="3"/>
    <x v="0"/>
    <n v="113105.60000000001"/>
    <n v="95231.22"/>
    <s v="Actual"/>
    <n v="2"/>
    <n v="17874.380000000005"/>
    <n v="0.15803267035407623"/>
  </r>
  <r>
    <s v="ORD1588"/>
    <d v="2023-01-15T00:00:00"/>
    <x v="4"/>
    <x v="2"/>
    <x v="2"/>
    <x v="0"/>
    <n v="71297.98"/>
    <n v="47761.36"/>
    <s v="Actual"/>
    <n v="4"/>
    <n v="23536.619999999995"/>
    <n v="0.33011622489164483"/>
  </r>
  <r>
    <s v="ORD7783"/>
    <d v="2023-04-05T00:00:00"/>
    <x v="2"/>
    <x v="1"/>
    <x v="0"/>
    <x v="0"/>
    <n v="36832.65"/>
    <n v="27496.84"/>
    <s v="Actual"/>
    <n v="3"/>
    <n v="9335.8100000000013"/>
    <n v="0.25346560728049711"/>
  </r>
  <r>
    <s v="ORD691"/>
    <d v="2023-02-15T00:00:00"/>
    <x v="1"/>
    <x v="1"/>
    <x v="0"/>
    <x v="0"/>
    <n v="61591.38"/>
    <n v="49286.58"/>
    <s v="Actual"/>
    <n v="5"/>
    <n v="12304.799999999996"/>
    <n v="0.19978120314888215"/>
  </r>
  <r>
    <s v="ORD4680"/>
    <d v="2023-06-25T00:00:00"/>
    <x v="0"/>
    <x v="2"/>
    <x v="0"/>
    <x v="0"/>
    <n v="43947.85"/>
    <n v="32587.39"/>
    <s v="Actual"/>
    <n v="3"/>
    <n v="11360.46"/>
    <n v="0.25849865238003678"/>
  </r>
  <r>
    <s v="ORD7991"/>
    <d v="2023-01-15T00:00:00"/>
    <x v="4"/>
    <x v="0"/>
    <x v="0"/>
    <x v="0"/>
    <n v="15196.11"/>
    <n v="10096.82"/>
    <s v="Actual"/>
    <n v="1"/>
    <n v="5099.2900000000009"/>
    <n v="0.33556548353493104"/>
  </r>
  <r>
    <s v="ORD4065"/>
    <d v="2023-06-25T00:00:00"/>
    <x v="0"/>
    <x v="1"/>
    <x v="2"/>
    <x v="0"/>
    <n v="65676.98"/>
    <n v="60309.42"/>
    <s v="Actual"/>
    <n v="4"/>
    <n v="5367.5599999999977"/>
    <n v="8.1726656737261635E-2"/>
  </r>
  <r>
    <s v="ORD7487"/>
    <d v="2023-01-15T00:00:00"/>
    <x v="4"/>
    <x v="1"/>
    <x v="1"/>
    <x v="0"/>
    <n v="42700.76"/>
    <n v="33850.699999999997"/>
    <s v="Actual"/>
    <n v="5"/>
    <n v="8850.0600000000049"/>
    <n v="0.20725766941853035"/>
  </r>
  <r>
    <s v="ORD472"/>
    <d v="2023-04-05T00:00:00"/>
    <x v="2"/>
    <x v="1"/>
    <x v="0"/>
    <x v="0"/>
    <n v="61299.09"/>
    <n v="40087.230000000003"/>
    <s v="Actual"/>
    <n v="4"/>
    <n v="21211.859999999993"/>
    <n v="0.34603874217382335"/>
  </r>
  <r>
    <s v="ORD6679"/>
    <d v="2023-06-25T00:00:00"/>
    <x v="0"/>
    <x v="2"/>
    <x v="1"/>
    <x v="0"/>
    <n v="58458.6"/>
    <n v="37485.660000000003"/>
    <s v="Actual"/>
    <s v="Unknown"/>
    <n v="20972.939999999995"/>
    <n v="0.35876569059129015"/>
  </r>
  <r>
    <s v="ORD2478"/>
    <d v="2023-01-15T00:00:00"/>
    <x v="4"/>
    <x v="3"/>
    <x v="0"/>
    <x v="0"/>
    <n v="56555.44"/>
    <n v="35627.760000000002"/>
    <s v="Actual"/>
    <n v="4"/>
    <n v="20927.68"/>
    <n v="0.37003831992112518"/>
  </r>
  <r>
    <s v="ORD8971"/>
    <d v="2023-04-05T00:00:00"/>
    <x v="2"/>
    <x v="1"/>
    <x v="2"/>
    <x v="0"/>
    <n v="94587.839999999997"/>
    <n v="57877.52"/>
    <s v="Actual"/>
    <n v="4"/>
    <n v="36710.32"/>
    <n v="0.38810823886030171"/>
  </r>
  <r>
    <s v="ORD8147"/>
    <d v="2023-02-15T00:00:00"/>
    <x v="1"/>
    <x v="0"/>
    <x v="0"/>
    <x v="0"/>
    <n v="50772.43"/>
    <n v="43693.61"/>
    <s v="Actual"/>
    <n v="4"/>
    <n v="7078.82"/>
    <n v="0.13942251729925079"/>
  </r>
  <r>
    <s v="ORD8210"/>
    <d v="2023-02-15T00:00:00"/>
    <x v="1"/>
    <x v="0"/>
    <x v="0"/>
    <x v="0"/>
    <n v="79924.58"/>
    <n v="47742.35"/>
    <s v="Actual"/>
    <n v="5"/>
    <n v="32182.230000000003"/>
    <n v="0.4026574803395902"/>
  </r>
  <r>
    <s v="ORD9705"/>
    <d v="2023-02-15T00:00:00"/>
    <x v="1"/>
    <x v="2"/>
    <x v="3"/>
    <x v="0"/>
    <n v="293779.3"/>
    <n v="206685.71"/>
    <s v="Actual"/>
    <n v="5"/>
    <n v="87093.59"/>
    <n v="0.29645924678832036"/>
  </r>
  <r>
    <s v="ORD578"/>
    <d v="2023-01-15T00:00:00"/>
    <x v="4"/>
    <x v="1"/>
    <x v="2"/>
    <x v="0"/>
    <n v="55891.24"/>
    <n v="42622.95"/>
    <s v="Actual"/>
    <n v="3"/>
    <n v="13268.29"/>
    <n v="0.2373948046241236"/>
  </r>
  <r>
    <s v="ORD4331"/>
    <d v="2023-06-25T00:00:00"/>
    <x v="0"/>
    <x v="3"/>
    <x v="0"/>
    <x v="0"/>
    <n v="33153.589999999997"/>
    <n v="19565.39"/>
    <s v="Actual"/>
    <s v="Unknown"/>
    <n v="13588.199999999997"/>
    <n v="0.4098560668693797"/>
  </r>
  <r>
    <s v="ORD6913"/>
    <d v="2023-02-15T00:00:00"/>
    <x v="1"/>
    <x v="0"/>
    <x v="3"/>
    <x v="0"/>
    <n v="210781.23"/>
    <n v="116987.29"/>
    <s v="Actual"/>
    <s v="Unknown"/>
    <n v="93793.940000000017"/>
    <n v="0.44498241138454314"/>
  </r>
  <r>
    <s v="ORD561"/>
    <s v="Not Mentioned"/>
    <x v="3"/>
    <x v="0"/>
    <x v="3"/>
    <x v="0"/>
    <n v="161990.46"/>
    <n v="136358.47"/>
    <s v="Actual"/>
    <n v="3"/>
    <n v="25631.989999999991"/>
    <n v="0.15823147856978734"/>
  </r>
  <r>
    <s v="ORD3611"/>
    <d v="2023-06-25T00:00:00"/>
    <x v="0"/>
    <x v="1"/>
    <x v="2"/>
    <x v="0"/>
    <n v="60275.55"/>
    <n v="42462.28"/>
    <s v="Actual"/>
    <n v="3"/>
    <n v="17813.270000000004"/>
    <n v="0.29553060901144829"/>
  </r>
  <r>
    <s v="ORD6247"/>
    <d v="2023-03-20T00:00:00"/>
    <x v="5"/>
    <x v="3"/>
    <x v="1"/>
    <x v="0"/>
    <n v="18267.689999999999"/>
    <n v="14303.65"/>
    <s v="Actual"/>
    <s v="Unknown"/>
    <n v="3964.0399999999991"/>
    <n v="0.21699733244871133"/>
  </r>
  <r>
    <s v="ORD8391"/>
    <d v="2023-06-25T00:00:00"/>
    <x v="0"/>
    <x v="1"/>
    <x v="1"/>
    <x v="0"/>
    <n v="35364.480000000003"/>
    <n v="20500.59"/>
    <s v="Actual"/>
    <n v="3"/>
    <n v="14863.890000000003"/>
    <n v="0.42030562869862648"/>
  </r>
  <r>
    <s v="ORD4466"/>
    <d v="2023-02-15T00:00:00"/>
    <x v="1"/>
    <x v="0"/>
    <x v="3"/>
    <x v="0"/>
    <n v="58779.56"/>
    <n v="47023.648000000001"/>
    <s v="Estimated"/>
    <n v="1"/>
    <n v="11755.911999999997"/>
    <n v="0.19999999999999996"/>
  </r>
  <r>
    <s v="ORD6228"/>
    <d v="2023-03-20T00:00:00"/>
    <x v="5"/>
    <x v="1"/>
    <x v="1"/>
    <x v="0"/>
    <n v="18971.71"/>
    <n v="13471.19"/>
    <s v="Actual"/>
    <n v="2"/>
    <n v="5500.5199999999986"/>
    <n v="0.28993274723258994"/>
  </r>
  <r>
    <s v="ORD6604"/>
    <d v="2023-06-25T00:00:00"/>
    <x v="0"/>
    <x v="2"/>
    <x v="1"/>
    <x v="0"/>
    <n v="17087.46"/>
    <n v="13641.77"/>
    <s v="Actual"/>
    <n v="2"/>
    <n v="3445.6899999999987"/>
    <n v="0.20165021600635782"/>
  </r>
  <r>
    <s v="ORD1100"/>
    <d v="2023-01-15T00:00:00"/>
    <x v="4"/>
    <x v="0"/>
    <x v="0"/>
    <x v="0"/>
    <n v="51870.14"/>
    <n v="28459.95"/>
    <s v="Actual"/>
    <n v="3"/>
    <n v="23410.19"/>
    <n v="0.45132305407311413"/>
  </r>
  <r>
    <s v="ORD4819"/>
    <d v="2023-04-05T00:00:00"/>
    <x v="2"/>
    <x v="3"/>
    <x v="2"/>
    <x v="0"/>
    <n v="18110.45"/>
    <n v="11942.24"/>
    <s v="Actual"/>
    <n v="1"/>
    <n v="6168.2100000000009"/>
    <n v="0.34058844479292344"/>
  </r>
  <r>
    <s v="ORD2626"/>
    <s v="Not Mentioned"/>
    <x v="3"/>
    <x v="1"/>
    <x v="3"/>
    <x v="0"/>
    <n v="225585.62"/>
    <n v="181237.78"/>
    <s v="Actual"/>
    <n v="4"/>
    <n v="44347.839999999997"/>
    <n v="0.19658983582375505"/>
  </r>
  <r>
    <s v="ORD4046"/>
    <d v="2023-06-25T00:00:00"/>
    <x v="0"/>
    <x v="0"/>
    <x v="0"/>
    <x v="0"/>
    <n v="84179.1"/>
    <n v="46118.720000000001"/>
    <s v="Actual"/>
    <n v="5"/>
    <n v="38060.380000000005"/>
    <n v="0.45213574390792965"/>
  </r>
  <r>
    <s v="ORD1818"/>
    <d v="2023-04-05T00:00:00"/>
    <x v="2"/>
    <x v="2"/>
    <x v="3"/>
    <x v="0"/>
    <n v="67767.820000000007"/>
    <n v="45930.68"/>
    <s v="Actual"/>
    <n v="1"/>
    <n v="21837.140000000007"/>
    <n v="0.32223465355680625"/>
  </r>
  <r>
    <s v="ORD8963"/>
    <d v="2023-03-20T00:00:00"/>
    <x v="5"/>
    <x v="2"/>
    <x v="1"/>
    <x v="0"/>
    <n v="26113.07"/>
    <n v="21752.5"/>
    <s v="Actual"/>
    <n v="3"/>
    <n v="4360.57"/>
    <n v="0.16698802553663739"/>
  </r>
  <r>
    <s v="ORD424"/>
    <d v="2023-03-20T00:00:00"/>
    <x v="5"/>
    <x v="1"/>
    <x v="3"/>
    <x v="0"/>
    <n v="207390.77"/>
    <n v="165697"/>
    <s v="Actual"/>
    <s v="Unknown"/>
    <n v="41693.76999999999"/>
    <n v="0.20103966054034128"/>
  </r>
  <r>
    <s v="ORD9823"/>
    <s v="Not Mentioned"/>
    <x v="3"/>
    <x v="1"/>
    <x v="0"/>
    <x v="0"/>
    <n v="46974.75"/>
    <n v="26973.62"/>
    <s v="Actual"/>
    <n v="3"/>
    <n v="20001.13"/>
    <n v="0.42578470348431874"/>
  </r>
  <r>
    <s v="ORD2620"/>
    <d v="2023-01-15T00:00:00"/>
    <x v="4"/>
    <x v="2"/>
    <x v="3"/>
    <x v="0"/>
    <n v="216307.92"/>
    <n v="164201.79999999999"/>
    <s v="Actual"/>
    <s v="Unknown"/>
    <n v="52106.120000000024"/>
    <n v="0.24088863690243068"/>
  </r>
  <r>
    <s v="ORD9776"/>
    <s v="Not Mentioned"/>
    <x v="3"/>
    <x v="0"/>
    <x v="0"/>
    <x v="0"/>
    <n v="46012.26"/>
    <n v="28585.58"/>
    <s v="Actual"/>
    <n v="3"/>
    <n v="17426.68"/>
    <n v="0.37873992714115756"/>
  </r>
  <r>
    <s v="ORD408"/>
    <d v="2023-03-20T00:00:00"/>
    <x v="5"/>
    <x v="2"/>
    <x v="0"/>
    <x v="0"/>
    <n v="33743.78"/>
    <n v="18597.61"/>
    <s v="Actual"/>
    <n v="2"/>
    <n v="15146.169999999998"/>
    <n v="0.44885813029838384"/>
  </r>
  <r>
    <s v="ORD8635"/>
    <d v="2023-01-15T00:00:00"/>
    <x v="4"/>
    <x v="2"/>
    <x v="3"/>
    <x v="0"/>
    <n v="60221.34"/>
    <n v="45310.01"/>
    <s v="Actual"/>
    <s v="Unknown"/>
    <n v="14911.329999999994"/>
    <n v="0.24760873803206629"/>
  </r>
  <r>
    <s v="ORD8187"/>
    <d v="2023-06-25T00:00:00"/>
    <x v="0"/>
    <x v="1"/>
    <x v="3"/>
    <x v="0"/>
    <n v="331633.84000000003"/>
    <n v="205777.37"/>
    <s v="Actual"/>
    <n v="5"/>
    <n v="125856.47000000003"/>
    <n v="0.37950430510951483"/>
  </r>
  <r>
    <s v="ORD1288"/>
    <d v="2023-04-05T00:00:00"/>
    <x v="2"/>
    <x v="2"/>
    <x v="1"/>
    <x v="0"/>
    <n v="16983.29"/>
    <n v="12610.75"/>
    <s v="Actual"/>
    <n v="2"/>
    <n v="4372.5400000000009"/>
    <n v="0.25746130461176842"/>
  </r>
  <r>
    <s v="ORD8894"/>
    <d v="2023-02-15T00:00:00"/>
    <x v="1"/>
    <x v="3"/>
    <x v="0"/>
    <x v="0"/>
    <n v="55537.06"/>
    <n v="38596"/>
    <s v="Actual"/>
    <n v="4"/>
    <n v="16941.059999999998"/>
    <n v="0.30504063412791382"/>
  </r>
  <r>
    <s v="ORD3365"/>
    <d v="2023-06-25T00:00:00"/>
    <x v="0"/>
    <x v="2"/>
    <x v="1"/>
    <x v="0"/>
    <n v="50684.94"/>
    <n v="37116.89"/>
    <s v="Actual"/>
    <n v="5"/>
    <n v="13568.050000000003"/>
    <n v="0.26769391460264136"/>
  </r>
  <r>
    <s v="ORD616"/>
    <d v="2023-03-20T00:00:00"/>
    <x v="5"/>
    <x v="2"/>
    <x v="3"/>
    <x v="0"/>
    <n v="245899.02"/>
    <n v="223509.35"/>
    <s v="Actual"/>
    <n v="5"/>
    <n v="22389.669999999984"/>
    <n v="9.1052294555708208E-2"/>
  </r>
  <r>
    <s v="ORD7189"/>
    <d v="2023-06-25T00:00:00"/>
    <x v="0"/>
    <x v="3"/>
    <x v="2"/>
    <x v="0"/>
    <n v="21220.91"/>
    <n v="12114.55"/>
    <s v="Actual"/>
    <n v="1"/>
    <n v="9106.36"/>
    <n v="0.42912203105333374"/>
  </r>
  <r>
    <s v="ORD1557"/>
    <d v="2023-06-25T00:00:00"/>
    <x v="0"/>
    <x v="3"/>
    <x v="0"/>
    <x v="0"/>
    <n v="50514.3"/>
    <n v="38542.28"/>
    <s v="Actual"/>
    <n v="4"/>
    <n v="11972.020000000004"/>
    <n v="0.23700259134542107"/>
  </r>
  <r>
    <s v="ORD6606"/>
    <d v="2023-03-20T00:00:00"/>
    <x v="5"/>
    <x v="3"/>
    <x v="1"/>
    <x v="0"/>
    <n v="53836.94"/>
    <n v="35327.18"/>
    <s v="Actual"/>
    <n v="5"/>
    <n v="18509.760000000002"/>
    <n v="0.34381151677639926"/>
  </r>
  <r>
    <s v="ORD3063"/>
    <s v="Not Mentioned"/>
    <x v="3"/>
    <x v="1"/>
    <x v="0"/>
    <x v="0"/>
    <n v="34979.160000000003"/>
    <n v="17847.82"/>
    <s v="Actual"/>
    <n v="2"/>
    <n v="17131.340000000004"/>
    <n v="0.48975847333097772"/>
  </r>
  <r>
    <s v="ORD1543"/>
    <d v="2023-04-05T00:00:00"/>
    <x v="2"/>
    <x v="1"/>
    <x v="1"/>
    <x v="0"/>
    <n v="9243.89"/>
    <n v="6124.41"/>
    <s v="Actual"/>
    <n v="1"/>
    <n v="3119.4799999999996"/>
    <n v="0.33746398972726849"/>
  </r>
  <r>
    <s v="ORD533"/>
    <d v="2023-03-20T00:00:00"/>
    <x v="5"/>
    <x v="3"/>
    <x v="0"/>
    <x v="0"/>
    <n v="12311.29"/>
    <n v="10855.58"/>
    <s v="Actual"/>
    <n v="1"/>
    <n v="1455.7100000000009"/>
    <n v="0.11824187392222918"/>
  </r>
  <r>
    <s v="ORD5861"/>
    <d v="2023-01-15T00:00:00"/>
    <x v="4"/>
    <x v="2"/>
    <x v="2"/>
    <x v="0"/>
    <n v="105148.86"/>
    <n v="69190.240000000005"/>
    <s v="Actual"/>
    <n v="5"/>
    <n v="35958.619999999995"/>
    <n v="0.3419782202108515"/>
  </r>
  <r>
    <s v="ORD6373"/>
    <d v="2023-06-25T00:00:00"/>
    <x v="0"/>
    <x v="1"/>
    <x v="3"/>
    <x v="0"/>
    <n v="202395.78"/>
    <n v="171939.48"/>
    <s v="Actual"/>
    <n v="4"/>
    <n v="30456.299999999988"/>
    <n v="0.15047892796974319"/>
  </r>
  <r>
    <s v="ORD7227"/>
    <s v="Not Mentioned"/>
    <x v="3"/>
    <x v="2"/>
    <x v="2"/>
    <x v="0"/>
    <n v="78795.570000000007"/>
    <n v="53060.92"/>
    <s v="Actual"/>
    <n v="4"/>
    <n v="25734.650000000009"/>
    <n v="0.32660021369221653"/>
  </r>
  <r>
    <s v="ORD8145"/>
    <d v="2023-04-05T00:00:00"/>
    <x v="2"/>
    <x v="3"/>
    <x v="0"/>
    <x v="0"/>
    <n v="30777.83"/>
    <n v="18696.02"/>
    <s v="Actual"/>
    <n v="2"/>
    <n v="12081.810000000001"/>
    <n v="0.39254911733543268"/>
  </r>
  <r>
    <s v="ORD4749"/>
    <d v="2023-01-15T00:00:00"/>
    <x v="4"/>
    <x v="0"/>
    <x v="3"/>
    <x v="0"/>
    <n v="144838.43"/>
    <n v="133542.41"/>
    <s v="Actual"/>
    <n v="3"/>
    <n v="11296.01999999999"/>
    <n v="7.7990489126400983E-2"/>
  </r>
  <r>
    <s v="ORD6531"/>
    <d v="2023-01-15T00:00:00"/>
    <x v="4"/>
    <x v="1"/>
    <x v="3"/>
    <x v="0"/>
    <n v="57455.47"/>
    <n v="41234.769999999997"/>
    <s v="Actual"/>
    <n v="1"/>
    <n v="16220.700000000004"/>
    <n v="0.28231776713339918"/>
  </r>
  <r>
    <s v="ORD8540"/>
    <d v="2023-01-15T00:00:00"/>
    <x v="4"/>
    <x v="2"/>
    <x v="1"/>
    <x v="0"/>
    <n v="20427.419999999998"/>
    <n v="11939.86"/>
    <s v="Actual"/>
    <n v="2"/>
    <n v="8487.5599999999977"/>
    <n v="0.41549838403479239"/>
  </r>
  <r>
    <s v="ORD2614"/>
    <d v="2023-01-15T00:00:00"/>
    <x v="4"/>
    <x v="1"/>
    <x v="0"/>
    <x v="0"/>
    <n v="76761.88"/>
    <n v="61409.504000000008"/>
    <s v="Estimated"/>
    <n v="5"/>
    <n v="15352.375999999997"/>
    <n v="0.19999999999999996"/>
  </r>
  <r>
    <s v="ORD6733"/>
    <d v="2023-01-15T00:00:00"/>
    <x v="4"/>
    <x v="1"/>
    <x v="0"/>
    <x v="0"/>
    <n v="30710.23"/>
    <n v="19660.66"/>
    <s v="Actual"/>
    <n v="2"/>
    <n v="11049.57"/>
    <n v="0.35980095232109949"/>
  </r>
  <r>
    <s v="ORD9841"/>
    <d v="2023-03-20T00:00:00"/>
    <x v="5"/>
    <x v="0"/>
    <x v="0"/>
    <x v="0"/>
    <n v="17486.75"/>
    <n v="8725.2800000000007"/>
    <s v="Actual"/>
    <n v="1"/>
    <n v="8761.4699999999993"/>
    <n v="0.50103478347891972"/>
  </r>
  <r>
    <s v="ORD810"/>
    <d v="2023-02-15T00:00:00"/>
    <x v="1"/>
    <x v="0"/>
    <x v="0"/>
    <x v="0"/>
    <n v="55333.84"/>
    <n v="39176.39"/>
    <s v="Actual"/>
    <n v="4"/>
    <n v="16157.449999999997"/>
    <n v="0.29199943470397133"/>
  </r>
  <r>
    <s v="ORD2104"/>
    <d v="2023-04-05T00:00:00"/>
    <x v="2"/>
    <x v="2"/>
    <x v="2"/>
    <x v="0"/>
    <n v="37822.39"/>
    <n v="29632.92"/>
    <s v="Actual"/>
    <n v="2"/>
    <n v="8189.4700000000012"/>
    <n v="0.21652439203339613"/>
  </r>
  <r>
    <s v="ORD3804"/>
    <s v="Not Mentioned"/>
    <x v="3"/>
    <x v="1"/>
    <x v="1"/>
    <x v="0"/>
    <n v="18461.79"/>
    <n v="12290.58"/>
    <s v="Actual"/>
    <n v="2"/>
    <n v="6171.2100000000009"/>
    <n v="0.33426932058050712"/>
  </r>
  <r>
    <s v="ORD4909"/>
    <d v="2023-06-25T00:00:00"/>
    <x v="0"/>
    <x v="0"/>
    <x v="2"/>
    <x v="0"/>
    <n v="70139.97"/>
    <n v="44652.99"/>
    <s v="Actual"/>
    <n v="3"/>
    <n v="25486.980000000003"/>
    <n v="0.36337312376951403"/>
  </r>
  <r>
    <s v="ORD3711"/>
    <d v="2023-04-05T00:00:00"/>
    <x v="2"/>
    <x v="1"/>
    <x v="0"/>
    <x v="0"/>
    <n v="38372.589999999997"/>
    <n v="32149.42"/>
    <s v="Actual"/>
    <n v="3"/>
    <n v="6223.1699999999983"/>
    <n v="0.16217748137407453"/>
  </r>
  <r>
    <s v="ORD1376"/>
    <d v="2023-06-25T00:00:00"/>
    <x v="0"/>
    <x v="0"/>
    <x v="3"/>
    <x v="0"/>
    <n v="280556.40000000002"/>
    <n v="217678.81"/>
    <s v="Actual"/>
    <n v="5"/>
    <n v="62877.590000000026"/>
    <n v="0.22411746800286866"/>
  </r>
  <r>
    <s v="ORD727"/>
    <d v="2023-04-05T00:00:00"/>
    <x v="2"/>
    <x v="1"/>
    <x v="1"/>
    <x v="0"/>
    <n v="31345.9"/>
    <n v="25076.720000000001"/>
    <s v="Estimated"/>
    <n v="3"/>
    <n v="6269.18"/>
    <n v="0.2"/>
  </r>
  <r>
    <s v="ORD2999"/>
    <d v="2023-01-15T00:00:00"/>
    <x v="4"/>
    <x v="2"/>
    <x v="0"/>
    <x v="0"/>
    <n v="66517.710000000006"/>
    <n v="39226.94"/>
    <s v="Actual"/>
    <n v="4"/>
    <n v="27290.770000000004"/>
    <n v="0.4102782552195498"/>
  </r>
  <r>
    <s v="ORD5719"/>
    <s v="Not Mentioned"/>
    <x v="3"/>
    <x v="0"/>
    <x v="3"/>
    <x v="0"/>
    <n v="299169.21000000002"/>
    <n v="206190.53"/>
    <s v="Actual"/>
    <n v="5"/>
    <n v="92978.680000000022"/>
    <n v="0.31078960298086833"/>
  </r>
  <r>
    <s v="ORD7060"/>
    <s v="Not Mentioned"/>
    <x v="3"/>
    <x v="2"/>
    <x v="0"/>
    <x v="0"/>
    <n v="52879.76"/>
    <n v="31966.15"/>
    <s v="Actual"/>
    <n v="3"/>
    <n v="20913.61"/>
    <n v="0.39549366336004549"/>
  </r>
  <r>
    <s v="ORD9621"/>
    <s v="Not Mentioned"/>
    <x v="3"/>
    <x v="0"/>
    <x v="0"/>
    <x v="0"/>
    <n v="31019.91"/>
    <n v="20446.310000000001"/>
    <s v="Actual"/>
    <n v="2"/>
    <n v="10573.599999999999"/>
    <n v="0.34086494770616671"/>
  </r>
  <r>
    <s v="ORD3809"/>
    <d v="2023-02-15T00:00:00"/>
    <x v="1"/>
    <x v="2"/>
    <x v="3"/>
    <x v="0"/>
    <n v="191590.12"/>
    <n v="125647.91"/>
    <s v="Actual"/>
    <n v="3"/>
    <n v="65942.209999999992"/>
    <n v="0.34418377106293369"/>
  </r>
  <r>
    <s v="ORD8081"/>
    <d v="2023-02-15T00:00:00"/>
    <x v="1"/>
    <x v="0"/>
    <x v="3"/>
    <x v="0"/>
    <n v="174230.67"/>
    <n v="139384.53600000002"/>
    <s v="Estimated"/>
    <n v="3"/>
    <n v="34846.133999999991"/>
    <n v="0.19999999999999993"/>
  </r>
  <r>
    <s v="ORD5370"/>
    <d v="2023-01-15T00:00:00"/>
    <x v="4"/>
    <x v="0"/>
    <x v="3"/>
    <x v="0"/>
    <n v="208233.97"/>
    <n v="158676.10999999999"/>
    <s v="Actual"/>
    <n v="4"/>
    <n v="49557.860000000015"/>
    <n v="0.23799123649229764"/>
  </r>
  <r>
    <s v="ORD7125"/>
    <d v="2023-04-05T00:00:00"/>
    <x v="2"/>
    <x v="1"/>
    <x v="0"/>
    <x v="0"/>
    <n v="68309.929999999993"/>
    <n v="49186.3"/>
    <s v="Actual"/>
    <n v="5"/>
    <n v="19123.62999999999"/>
    <n v="0.27995388079009875"/>
  </r>
  <r>
    <s v="ORD7658"/>
    <d v="2023-01-15T00:00:00"/>
    <x v="4"/>
    <x v="1"/>
    <x v="0"/>
    <x v="0"/>
    <n v="13643.49"/>
    <n v="8999.68"/>
    <s v="Actual"/>
    <n v="1"/>
    <n v="4643.8099999999995"/>
    <n v="0.34036819025044174"/>
  </r>
  <r>
    <s v="ORD7655"/>
    <d v="2023-04-05T00:00:00"/>
    <x v="2"/>
    <x v="0"/>
    <x v="2"/>
    <x v="0"/>
    <n v="21375.55"/>
    <n v="13508.19"/>
    <s v="Actual"/>
    <n v="1"/>
    <n v="7867.3599999999988"/>
    <n v="0.36805415533167563"/>
  </r>
  <r>
    <s v="ORD5781"/>
    <d v="2023-04-05T00:00:00"/>
    <x v="2"/>
    <x v="1"/>
    <x v="2"/>
    <x v="0"/>
    <n v="79391.37"/>
    <n v="50484.33"/>
    <s v="Actual"/>
    <n v="4"/>
    <n v="28907.039999999994"/>
    <n v="0.36410808882627915"/>
  </r>
  <r>
    <s v="ORD1949"/>
    <d v="2023-01-15T00:00:00"/>
    <x v="4"/>
    <x v="1"/>
    <x v="1"/>
    <x v="0"/>
    <n v="28852.37"/>
    <n v="18700.330000000002"/>
    <s v="Actual"/>
    <n v="3"/>
    <n v="10152.039999999997"/>
    <n v="0.35186156284561709"/>
  </r>
  <r>
    <s v="ORD5716"/>
    <d v="2023-02-15T00:00:00"/>
    <x v="1"/>
    <x v="3"/>
    <x v="3"/>
    <x v="0"/>
    <n v="189459.18"/>
    <n v="134882.42000000001"/>
    <s v="Actual"/>
    <n v="3"/>
    <n v="54576.75999999998"/>
    <n v="0.28806606256820061"/>
  </r>
  <r>
    <s v="ORD1730"/>
    <d v="2023-02-15T00:00:00"/>
    <x v="1"/>
    <x v="3"/>
    <x v="1"/>
    <x v="0"/>
    <n v="9165.5400000000009"/>
    <n v="7389.79"/>
    <s v="Actual"/>
    <n v="1"/>
    <n v="1775.7500000000009"/>
    <n v="0.1937419944705932"/>
  </r>
  <r>
    <s v="ORD8050"/>
    <d v="2023-03-20T00:00:00"/>
    <x v="5"/>
    <x v="2"/>
    <x v="0"/>
    <x v="0"/>
    <n v="70270.42"/>
    <n v="38540.97"/>
    <s v="Actual"/>
    <s v="Unknown"/>
    <n v="31729.449999999997"/>
    <n v="0.45153351865550251"/>
  </r>
  <r>
    <s v="ORD6229"/>
    <s v="Not Mentioned"/>
    <x v="3"/>
    <x v="1"/>
    <x v="1"/>
    <x v="0"/>
    <n v="21563.91"/>
    <n v="14345.22"/>
    <s v="Actual"/>
    <n v="2"/>
    <n v="7218.6900000000005"/>
    <n v="0.33475793582889191"/>
  </r>
  <r>
    <s v="ORD4283"/>
    <d v="2023-03-20T00:00:00"/>
    <x v="5"/>
    <x v="1"/>
    <x v="0"/>
    <x v="0"/>
    <n v="63204.85"/>
    <n v="36485.360000000001"/>
    <s v="Actual"/>
    <n v="4"/>
    <n v="26719.489999999998"/>
    <n v="0.42274429889478415"/>
  </r>
  <r>
    <s v="ORD6247"/>
    <d v="2023-06-25T00:00:00"/>
    <x v="0"/>
    <x v="2"/>
    <x v="1"/>
    <x v="0"/>
    <n v="39260.06"/>
    <n v="27348.51"/>
    <s v="Actual"/>
    <n v="4"/>
    <n v="11911.55"/>
    <n v="0.30340121742045223"/>
  </r>
  <r>
    <s v="ORD1567"/>
    <d v="2023-04-05T00:00:00"/>
    <x v="2"/>
    <x v="1"/>
    <x v="1"/>
    <x v="0"/>
    <n v="18313.43"/>
    <n v="12984.18"/>
    <s v="Actual"/>
    <n v="2"/>
    <n v="5329.25"/>
    <n v="0.29100228630027253"/>
  </r>
  <r>
    <s v="ORD4081"/>
    <d v="2023-06-25T00:00:00"/>
    <x v="0"/>
    <x v="1"/>
    <x v="0"/>
    <x v="0"/>
    <n v="49914.94"/>
    <n v="38179.699999999997"/>
    <s v="Actual"/>
    <n v="4"/>
    <n v="11735.240000000005"/>
    <n v="0.2351047602180831"/>
  </r>
  <r>
    <s v="ORD2487"/>
    <d v="2023-01-15T00:00:00"/>
    <x v="4"/>
    <x v="2"/>
    <x v="1"/>
    <x v="0"/>
    <n v="39477.72"/>
    <n v="28185.4"/>
    <s v="Actual"/>
    <n v="4"/>
    <n v="11292.32"/>
    <n v="0.28604286164449211"/>
  </r>
  <r>
    <s v="ORD801"/>
    <d v="2023-02-15T00:00:00"/>
    <x v="1"/>
    <x v="2"/>
    <x v="3"/>
    <x v="0"/>
    <n v="211926.82"/>
    <n v="118074.19"/>
    <s v="Actual"/>
    <n v="3"/>
    <n v="93852.63"/>
    <n v="0.44285395307682152"/>
  </r>
  <r>
    <s v="ORD5905"/>
    <d v="2023-06-25T00:00:00"/>
    <x v="0"/>
    <x v="3"/>
    <x v="1"/>
    <x v="0"/>
    <n v="9588.9699999999993"/>
    <n v="6420.23"/>
    <s v="Actual"/>
    <n v="1"/>
    <n v="3168.74"/>
    <n v="0.33045676438658167"/>
  </r>
  <r>
    <s v="ORD2028"/>
    <d v="2023-03-20T00:00:00"/>
    <x v="5"/>
    <x v="1"/>
    <x v="1"/>
    <x v="0"/>
    <n v="11790.14"/>
    <n v="6572.73"/>
    <s v="Actual"/>
    <n v="1"/>
    <n v="5217.41"/>
    <n v="0.44252315918216412"/>
  </r>
  <r>
    <s v="ORD4626"/>
    <d v="2023-01-15T00:00:00"/>
    <x v="4"/>
    <x v="2"/>
    <x v="3"/>
    <x v="0"/>
    <n v="158977.76999999999"/>
    <n v="126147.74"/>
    <s v="Actual"/>
    <n v="3"/>
    <n v="32830.029999999984"/>
    <n v="0.20650704812377219"/>
  </r>
  <r>
    <s v="ORD9792"/>
    <d v="2023-03-20T00:00:00"/>
    <x v="5"/>
    <x v="2"/>
    <x v="3"/>
    <x v="0"/>
    <n v="315921.24"/>
    <n v="246150.78"/>
    <s v="Actual"/>
    <n v="5"/>
    <n v="69770.459999999992"/>
    <n v="0.22084763911410324"/>
  </r>
  <r>
    <s v="ORD7361"/>
    <d v="2023-01-15T00:00:00"/>
    <x v="4"/>
    <x v="2"/>
    <x v="1"/>
    <x v="0"/>
    <n v="31250.47"/>
    <n v="22469.22"/>
    <s v="Actual"/>
    <n v="3"/>
    <n v="8781.25"/>
    <n v="0.28099577382356167"/>
  </r>
  <r>
    <s v="ORD8078"/>
    <s v="Not Mentioned"/>
    <x v="3"/>
    <x v="2"/>
    <x v="1"/>
    <x v="0"/>
    <n v="55762.38"/>
    <n v="37060.5"/>
    <s v="Actual"/>
    <n v="5"/>
    <n v="18701.879999999997"/>
    <n v="0.33538525435965966"/>
  </r>
  <r>
    <s v="ORD4759"/>
    <d v="2023-02-15T00:00:00"/>
    <x v="1"/>
    <x v="2"/>
    <x v="1"/>
    <x v="0"/>
    <n v="33110.33"/>
    <n v="29418.75"/>
    <s v="Actual"/>
    <n v="4"/>
    <n v="3691.5800000000017"/>
    <n v="0.11149330133526308"/>
  </r>
  <r>
    <s v="ORD5210"/>
    <d v="2023-01-15T00:00:00"/>
    <x v="4"/>
    <x v="2"/>
    <x v="1"/>
    <x v="0"/>
    <n v="20513.02"/>
    <n v="14188.76"/>
    <s v="Actual"/>
    <s v="Unknown"/>
    <n v="6324.26"/>
    <n v="0.30830467673701872"/>
  </r>
  <r>
    <s v="ORD9804"/>
    <d v="2023-01-15T00:00:00"/>
    <x v="4"/>
    <x v="3"/>
    <x v="0"/>
    <x v="0"/>
    <n v="69098.649999999994"/>
    <n v="42127.57"/>
    <s v="Actual"/>
    <n v="4"/>
    <n v="26971.079999999994"/>
    <n v="0.39032716268696999"/>
  </r>
  <r>
    <s v="ORD4842"/>
    <d v="2023-04-05T00:00:00"/>
    <x v="2"/>
    <x v="1"/>
    <x v="1"/>
    <x v="0"/>
    <n v="11056.98"/>
    <n v="6894.33"/>
    <s v="Actual"/>
    <n v="1"/>
    <n v="4162.6499999999996"/>
    <n v="0.37647259920882553"/>
  </r>
  <r>
    <s v="ORD1309"/>
    <d v="2023-01-15T00:00:00"/>
    <x v="4"/>
    <x v="1"/>
    <x v="0"/>
    <x v="0"/>
    <n v="24151.14"/>
    <n v="17480.03"/>
    <s v="Actual"/>
    <n v="2"/>
    <n v="6671.1100000000006"/>
    <n v="0.27622339980638599"/>
  </r>
  <r>
    <s v="ORD9006"/>
    <d v="2023-02-15T00:00:00"/>
    <x v="1"/>
    <x v="1"/>
    <x v="2"/>
    <x v="0"/>
    <n v="115862.86"/>
    <n v="70724.38"/>
    <s v="Actual"/>
    <n v="5"/>
    <n v="45138.479999999996"/>
    <n v="0.38958541158055304"/>
  </r>
  <r>
    <s v="ORD3769"/>
    <d v="2023-03-20T00:00:00"/>
    <x v="5"/>
    <x v="1"/>
    <x v="3"/>
    <x v="0"/>
    <n v="66652.460000000006"/>
    <n v="41460.81"/>
    <s v="Actual"/>
    <n v="1"/>
    <n v="25191.650000000009"/>
    <n v="0.37795529227278341"/>
  </r>
  <r>
    <s v="ORD1815"/>
    <s v="Not Mentioned"/>
    <x v="3"/>
    <x v="2"/>
    <x v="3"/>
    <x v="0"/>
    <n v="215963.74"/>
    <n v="123628.6"/>
    <s v="Actual"/>
    <n v="3"/>
    <n v="92335.139999999985"/>
    <n v="0.42754927285478567"/>
  </r>
  <r>
    <s v="ORD3823"/>
    <s v="Not Mentioned"/>
    <x v="3"/>
    <x v="3"/>
    <x v="0"/>
    <x v="0"/>
    <n v="48342.65"/>
    <n v="40013.17"/>
    <s v="Actual"/>
    <n v="4"/>
    <n v="8329.4800000000032"/>
    <n v="0.17230085649007662"/>
  </r>
  <r>
    <s v="ORD1497"/>
    <d v="2023-06-25T00:00:00"/>
    <x v="0"/>
    <x v="0"/>
    <x v="1"/>
    <x v="0"/>
    <n v="33160.75"/>
    <n v="28512.43"/>
    <s v="Actual"/>
    <n v="4"/>
    <n v="4648.32"/>
    <n v="0.14017535791560806"/>
  </r>
  <r>
    <s v="ORD5604"/>
    <s v="Not Mentioned"/>
    <x v="3"/>
    <x v="2"/>
    <x v="3"/>
    <x v="0"/>
    <n v="238753.54"/>
    <n v="189593.2"/>
    <s v="Actual"/>
    <n v="4"/>
    <n v="49160.34"/>
    <n v="0.20590413025917853"/>
  </r>
  <r>
    <s v="ORD274"/>
    <d v="2023-03-20T00:00:00"/>
    <x v="5"/>
    <x v="0"/>
    <x v="1"/>
    <x v="0"/>
    <n v="8827.9500000000007"/>
    <n v="7556.84"/>
    <s v="Actual"/>
    <n v="1"/>
    <n v="1271.1100000000006"/>
    <n v="0.14398699584841335"/>
  </r>
  <r>
    <s v="ORD9596"/>
    <d v="2023-03-20T00:00:00"/>
    <x v="5"/>
    <x v="2"/>
    <x v="3"/>
    <x v="0"/>
    <n v="254118.74"/>
    <n v="173892.26"/>
    <s v="Actual"/>
    <n v="4"/>
    <n v="80226.479999999981"/>
    <n v="0.31570469773303605"/>
  </r>
  <r>
    <s v="ORD2469"/>
    <d v="2023-06-25T00:00:00"/>
    <x v="0"/>
    <x v="0"/>
    <x v="0"/>
    <x v="0"/>
    <n v="15742.63"/>
    <n v="8972.5400000000009"/>
    <s v="Actual"/>
    <n v="1"/>
    <n v="6770.0899999999983"/>
    <n v="0.43004821938900922"/>
  </r>
  <r>
    <s v="ORD1824"/>
    <d v="2023-02-15T00:00:00"/>
    <x v="1"/>
    <x v="1"/>
    <x v="0"/>
    <x v="0"/>
    <n v="41122.980000000003"/>
    <n v="28225.3"/>
    <s v="Actual"/>
    <n v="3"/>
    <n v="12897.680000000004"/>
    <n v="0.31363680355849705"/>
  </r>
  <r>
    <s v="ORD678"/>
    <d v="2023-06-25T00:00:00"/>
    <x v="0"/>
    <x v="3"/>
    <x v="1"/>
    <x v="0"/>
    <n v="44547.6"/>
    <n v="35638.080000000002"/>
    <s v="Estimated"/>
    <n v="5"/>
    <n v="8909.5199999999968"/>
    <n v="0.19999999999999993"/>
  </r>
  <r>
    <s v="ORD574"/>
    <d v="2023-02-15T00:00:00"/>
    <x v="1"/>
    <x v="2"/>
    <x v="1"/>
    <x v="0"/>
    <n v="39504.97"/>
    <n v="26138.95"/>
    <s v="Actual"/>
    <s v="Unknown"/>
    <n v="13366.02"/>
    <n v="0.33833768257512914"/>
  </r>
  <r>
    <s v="ORD5409"/>
    <d v="2023-01-15T00:00:00"/>
    <x v="4"/>
    <x v="0"/>
    <x v="2"/>
    <x v="0"/>
    <n v="35975.5"/>
    <n v="28297.72"/>
    <s v="Actual"/>
    <n v="2"/>
    <n v="7677.7799999999988"/>
    <n v="0.21341690872955202"/>
  </r>
  <r>
    <s v="ORD164"/>
    <d v="2023-04-05T00:00:00"/>
    <x v="2"/>
    <x v="1"/>
    <x v="3"/>
    <x v="0"/>
    <n v="168499.8"/>
    <n v="135703.1"/>
    <s v="Actual"/>
    <n v="3"/>
    <n v="32796.699999999983"/>
    <n v="0.19463940016546005"/>
  </r>
  <r>
    <s v="ORD4205"/>
    <d v="2023-03-20T00:00:00"/>
    <x v="5"/>
    <x v="2"/>
    <x v="2"/>
    <x v="0"/>
    <n v="43486.99"/>
    <n v="34789.591999999997"/>
    <s v="Estimated"/>
    <n v="2"/>
    <n v="8697.398000000001"/>
    <n v="0.20000000000000004"/>
  </r>
  <r>
    <s v="ORD6228"/>
    <s v="Not Mentioned"/>
    <x v="3"/>
    <x v="2"/>
    <x v="3"/>
    <x v="0"/>
    <n v="116214.52"/>
    <n v="78041.31"/>
    <s v="Actual"/>
    <n v="2"/>
    <n v="38173.210000000006"/>
    <n v="0.32847194997664669"/>
  </r>
  <r>
    <s v="ORD2032"/>
    <d v="2023-06-25T00:00:00"/>
    <x v="0"/>
    <x v="1"/>
    <x v="3"/>
    <x v="0"/>
    <n v="258395.54"/>
    <n v="206716.43200000003"/>
    <s v="Estimated"/>
    <n v="5"/>
    <n v="51679.107999999978"/>
    <n v="0.1999999999999999"/>
  </r>
  <r>
    <s v="ORD5103"/>
    <d v="2023-06-25T00:00:00"/>
    <x v="0"/>
    <x v="0"/>
    <x v="2"/>
    <x v="0"/>
    <n v="94331.58"/>
    <n v="75465.26400000001"/>
    <s v="Estimated"/>
    <n v="5"/>
    <n v="18866.315999999992"/>
    <n v="0.1999999999999999"/>
  </r>
  <r>
    <s v="ORD376"/>
    <s v="Not Mentioned"/>
    <x v="3"/>
    <x v="3"/>
    <x v="0"/>
    <x v="0"/>
    <n v="53494.64"/>
    <n v="31877.01"/>
    <s v="Actual"/>
    <n v="3"/>
    <n v="21617.63"/>
    <n v="0.40410833683524183"/>
  </r>
  <r>
    <s v="ORD200"/>
    <d v="2023-02-15T00:00:00"/>
    <x v="1"/>
    <x v="2"/>
    <x v="1"/>
    <x v="0"/>
    <n v="10966.41"/>
    <n v="6626.28"/>
    <s v="Actual"/>
    <n v="1"/>
    <n v="4340.13"/>
    <n v="0.39576579755817992"/>
  </r>
  <r>
    <s v="ORD5316"/>
    <d v="2023-01-15T00:00:00"/>
    <x v="4"/>
    <x v="0"/>
    <x v="2"/>
    <x v="0"/>
    <n v="80251.199999999997"/>
    <n v="49871.3"/>
    <s v="Actual"/>
    <n v="4"/>
    <n v="30379.899999999994"/>
    <n v="0.37856007137587966"/>
  </r>
  <r>
    <s v="ORD2059"/>
    <d v="2023-01-15T00:00:00"/>
    <x v="4"/>
    <x v="1"/>
    <x v="2"/>
    <x v="0"/>
    <n v="43185.7"/>
    <n v="30252.52"/>
    <s v="Actual"/>
    <n v="2"/>
    <n v="12933.179999999997"/>
    <n v="0.29947829952970539"/>
  </r>
  <r>
    <s v="ORD1594"/>
    <d v="2023-02-15T00:00:00"/>
    <x v="1"/>
    <x v="1"/>
    <x v="3"/>
    <x v="0"/>
    <n v="98280.85"/>
    <n v="81434.14"/>
    <s v="Actual"/>
    <n v="2"/>
    <n v="16846.710000000006"/>
    <n v="0.17141396314744944"/>
  </r>
  <r>
    <s v="ORD375"/>
    <d v="2023-04-05T00:00:00"/>
    <x v="2"/>
    <x v="2"/>
    <x v="3"/>
    <x v="0"/>
    <n v="247676.91"/>
    <n v="198141.52800000002"/>
    <s v="Estimated"/>
    <n v="4"/>
    <n v="49535.381999999983"/>
    <n v="0.19999999999999993"/>
  </r>
  <r>
    <s v="ORD1494"/>
    <d v="2023-06-25T00:00:00"/>
    <x v="0"/>
    <x v="0"/>
    <x v="2"/>
    <x v="0"/>
    <n v="88276.65"/>
    <n v="75254.11"/>
    <s v="Actual"/>
    <n v="5"/>
    <n v="13022.539999999994"/>
    <n v="0.14751964420942565"/>
  </r>
  <r>
    <s v="ORD1663"/>
    <d v="2023-02-15T00:00:00"/>
    <x v="1"/>
    <x v="1"/>
    <x v="1"/>
    <x v="0"/>
    <n v="34939.42"/>
    <n v="20486.349999999999"/>
    <s v="Actual"/>
    <n v="3"/>
    <n v="14453.07"/>
    <n v="0.41366084497109568"/>
  </r>
  <r>
    <s v="ORD4427"/>
    <d v="2023-04-05T00:00:00"/>
    <x v="2"/>
    <x v="1"/>
    <x v="3"/>
    <x v="0"/>
    <n v="54186.13"/>
    <n v="40797.33"/>
    <s v="Actual"/>
    <n v="1"/>
    <n v="13388.799999999996"/>
    <n v="0.24708906135204703"/>
  </r>
  <r>
    <s v="ORD1999"/>
    <s v="Not Mentioned"/>
    <x v="3"/>
    <x v="0"/>
    <x v="3"/>
    <x v="0"/>
    <n v="302236.64"/>
    <n v="235072.55"/>
    <s v="Actual"/>
    <n v="5"/>
    <n v="67164.090000000026"/>
    <n v="0.22222351995443049"/>
  </r>
  <r>
    <s v="ORD2615"/>
    <d v="2023-06-25T00:00:00"/>
    <x v="0"/>
    <x v="1"/>
    <x v="1"/>
    <x v="0"/>
    <n v="36292.519999999997"/>
    <n v="29694.17"/>
    <s v="Actual"/>
    <n v="4"/>
    <n v="6598.3499999999985"/>
    <n v="0.18181019119091205"/>
  </r>
  <r>
    <s v="ORD2359"/>
    <s v="Not Mentioned"/>
    <x v="3"/>
    <x v="1"/>
    <x v="0"/>
    <x v="0"/>
    <n v="47480.800000000003"/>
    <n v="37984.640000000007"/>
    <s v="Estimated"/>
    <n v="3"/>
    <n v="9496.1599999999962"/>
    <n v="0.1999999999999999"/>
  </r>
  <r>
    <s v="ORD7594"/>
    <d v="2023-04-05T00:00:00"/>
    <x v="2"/>
    <x v="3"/>
    <x v="0"/>
    <x v="0"/>
    <n v="87930.58"/>
    <n v="53017.71"/>
    <s v="Actual"/>
    <n v="5"/>
    <n v="34912.870000000003"/>
    <n v="0.39705037769567769"/>
  </r>
  <r>
    <s v="ORD8162"/>
    <d v="2023-02-15T00:00:00"/>
    <x v="1"/>
    <x v="1"/>
    <x v="1"/>
    <x v="0"/>
    <n v="59720.56"/>
    <n v="31328.71"/>
    <s v="Actual"/>
    <n v="5"/>
    <n v="28391.85"/>
    <n v="0.47541165052705464"/>
  </r>
  <r>
    <s v="ORD149"/>
    <d v="2023-04-05T00:00:00"/>
    <x v="2"/>
    <x v="1"/>
    <x v="0"/>
    <x v="0"/>
    <n v="57578.62"/>
    <n v="40154.01"/>
    <s v="Actual"/>
    <n v="4"/>
    <n v="17424.61"/>
    <n v="0.30262291802061253"/>
  </r>
  <r>
    <s v="ORD8711"/>
    <s v="Not Mentioned"/>
    <x v="3"/>
    <x v="0"/>
    <x v="1"/>
    <x v="0"/>
    <n v="44223.16"/>
    <n v="35378.528000000006"/>
    <s v="Estimated"/>
    <n v="5"/>
    <n v="8844.6319999999978"/>
    <n v="0.19999999999999993"/>
  </r>
  <r>
    <s v="ORD3269"/>
    <d v="2023-02-15T00:00:00"/>
    <x v="1"/>
    <x v="1"/>
    <x v="2"/>
    <x v="0"/>
    <n v="93624.05"/>
    <n v="56634.84"/>
    <s v="Actual"/>
    <n v="4"/>
    <n v="36989.210000000006"/>
    <n v="0.39508235330558766"/>
  </r>
  <r>
    <s v="ORD241"/>
    <d v="2023-02-15T00:00:00"/>
    <x v="1"/>
    <x v="3"/>
    <x v="3"/>
    <x v="0"/>
    <n v="233202.3"/>
    <n v="166716.59"/>
    <s v="Actual"/>
    <s v="Unknown"/>
    <n v="66485.709999999992"/>
    <n v="0.28509886051724187"/>
  </r>
  <r>
    <s v="ORD5703"/>
    <d v="2023-06-25T00:00:00"/>
    <x v="0"/>
    <x v="1"/>
    <x v="1"/>
    <x v="0"/>
    <n v="23022.44"/>
    <n v="18417.952000000001"/>
    <s v="Estimated"/>
    <n v="2"/>
    <n v="4604.4879999999976"/>
    <n v="0.1999999999999999"/>
  </r>
  <r>
    <s v="ORD8041"/>
    <d v="2023-04-05T00:00:00"/>
    <x v="2"/>
    <x v="1"/>
    <x v="2"/>
    <x v="0"/>
    <n v="71519.67"/>
    <n v="44962.75"/>
    <s v="Actual"/>
    <n v="3"/>
    <n v="26556.92"/>
    <n v="0.37132330168749378"/>
  </r>
  <r>
    <s v="ORD9511"/>
    <d v="2023-03-20T00:00:00"/>
    <x v="5"/>
    <x v="2"/>
    <x v="3"/>
    <x v="0"/>
    <n v="139988.26999999999"/>
    <n v="77625.5"/>
    <s v="Actual"/>
    <n v="2"/>
    <n v="62362.76999999999"/>
    <n v="0.44548568247896764"/>
  </r>
  <r>
    <s v="ORD831"/>
    <d v="2023-01-15T00:00:00"/>
    <x v="4"/>
    <x v="1"/>
    <x v="2"/>
    <x v="0"/>
    <n v="90347.12"/>
    <n v="57128.45"/>
    <s v="Actual"/>
    <n v="4"/>
    <n v="33218.67"/>
    <n v="0.36767823921780796"/>
  </r>
  <r>
    <s v="ORD968"/>
    <d v="2023-01-15T00:00:00"/>
    <x v="4"/>
    <x v="1"/>
    <x v="2"/>
    <x v="0"/>
    <n v="109436.08"/>
    <n v="74173.77"/>
    <s v="Actual"/>
    <n v="5"/>
    <n v="35262.31"/>
    <n v="0.32221832141648343"/>
  </r>
  <r>
    <s v="ORD4404"/>
    <d v="2023-03-20T00:00:00"/>
    <x v="5"/>
    <x v="0"/>
    <x v="1"/>
    <x v="0"/>
    <n v="10662.04"/>
    <n v="7662.07"/>
    <s v="Actual"/>
    <n v="1"/>
    <n v="2999.9700000000012"/>
    <n v="0.28136923140412162"/>
  </r>
  <r>
    <s v="ORD7875"/>
    <d v="2023-01-15T00:00:00"/>
    <x v="4"/>
    <x v="2"/>
    <x v="2"/>
    <x v="0"/>
    <n v="43395.01"/>
    <n v="27858.46"/>
    <s v="Actual"/>
    <n v="2"/>
    <n v="15536.550000000003"/>
    <n v="0.35802618780362078"/>
  </r>
  <r>
    <s v="ORD7617"/>
    <d v="2023-06-25T00:00:00"/>
    <x v="0"/>
    <x v="0"/>
    <x v="2"/>
    <x v="0"/>
    <n v="22578.2"/>
    <n v="13869.34"/>
    <s v="Actual"/>
    <n v="1"/>
    <n v="8708.86"/>
    <n v="0.38571985366415396"/>
  </r>
  <r>
    <s v="ORD6659"/>
    <d v="2023-06-25T00:00:00"/>
    <x v="0"/>
    <x v="0"/>
    <x v="2"/>
    <x v="0"/>
    <n v="44827.96"/>
    <n v="29037.94"/>
    <s v="Actual"/>
    <n v="2"/>
    <n v="15790.02"/>
    <n v="0.35223597058621453"/>
  </r>
  <r>
    <s v="ORD695"/>
    <d v="2023-01-15T00:00:00"/>
    <x v="4"/>
    <x v="1"/>
    <x v="3"/>
    <x v="0"/>
    <n v="173610.17"/>
    <n v="146135.54999999999"/>
    <s v="Actual"/>
    <n v="3"/>
    <n v="27474.620000000024"/>
    <n v="0.15825466906691021"/>
  </r>
  <r>
    <s v="ORD7158"/>
    <d v="2023-06-25T00:00:00"/>
    <x v="0"/>
    <x v="2"/>
    <x v="1"/>
    <x v="0"/>
    <n v="29658.48"/>
    <n v="18636.650000000001"/>
    <s v="Actual"/>
    <n v="3"/>
    <n v="11021.829999999998"/>
    <n v="0.3716249113238439"/>
  </r>
  <r>
    <s v="ORD6672"/>
    <d v="2023-04-05T00:00:00"/>
    <x v="2"/>
    <x v="0"/>
    <x v="3"/>
    <x v="0"/>
    <n v="62738.18"/>
    <n v="50190.544000000002"/>
    <s v="Estimated"/>
    <n v="1"/>
    <n v="12547.635999999999"/>
    <n v="0.19999999999999998"/>
  </r>
  <r>
    <s v="ORD9664"/>
    <d v="2023-06-25T00:00:00"/>
    <x v="0"/>
    <x v="1"/>
    <x v="3"/>
    <x v="0"/>
    <n v="71557.899999999994"/>
    <n v="48354.12"/>
    <s v="Actual"/>
    <n v="1"/>
    <n v="23203.779999999992"/>
    <n v="0.32426580433467156"/>
  </r>
  <r>
    <s v="ORD133"/>
    <d v="2023-04-05T00:00:00"/>
    <x v="2"/>
    <x v="2"/>
    <x v="3"/>
    <x v="0"/>
    <n v="197174.24"/>
    <n v="153548.09"/>
    <s v="Actual"/>
    <n v="4"/>
    <n v="43626.149999999994"/>
    <n v="0.22125684369317208"/>
  </r>
  <r>
    <s v="ORD9915"/>
    <d v="2023-02-15T00:00:00"/>
    <x v="1"/>
    <x v="2"/>
    <x v="2"/>
    <x v="0"/>
    <n v="20099.43"/>
    <n v="14254.5"/>
    <s v="Actual"/>
    <n v="1"/>
    <n v="5844.93"/>
    <n v="0.2908007839028271"/>
  </r>
  <r>
    <s v="ORD9983"/>
    <d v="2023-04-05T00:00:00"/>
    <x v="2"/>
    <x v="2"/>
    <x v="0"/>
    <x v="0"/>
    <n v="83751.490000000005"/>
    <n v="54720.93"/>
    <s v="Actual"/>
    <n v="5"/>
    <n v="29030.560000000005"/>
    <n v="0.34662738537547216"/>
  </r>
  <r>
    <s v="ORD776"/>
    <d v="2023-04-05T00:00:00"/>
    <x v="2"/>
    <x v="2"/>
    <x v="3"/>
    <x v="0"/>
    <n v="101262.15"/>
    <n v="93366.58"/>
    <s v="Actual"/>
    <n v="2"/>
    <n v="7895.5699999999924"/>
    <n v="7.7971581681803057E-2"/>
  </r>
  <r>
    <s v="ORD5443"/>
    <d v="2023-01-15T00:00:00"/>
    <x v="4"/>
    <x v="3"/>
    <x v="0"/>
    <x v="0"/>
    <n v="33962.129999999997"/>
    <n v="21753.06"/>
    <s v="Actual"/>
    <n v="2"/>
    <n v="12209.069999999996"/>
    <n v="0.35949070332161137"/>
  </r>
  <r>
    <s v="ORD8824"/>
    <d v="2023-06-25T00:00:00"/>
    <x v="0"/>
    <x v="1"/>
    <x v="2"/>
    <x v="0"/>
    <n v="55795.17"/>
    <n v="44636.135999999999"/>
    <s v="Estimated"/>
    <n v="3"/>
    <n v="11159.034"/>
    <n v="0.2"/>
  </r>
  <r>
    <s v="ORD1863"/>
    <d v="2023-06-25T00:00:00"/>
    <x v="0"/>
    <x v="1"/>
    <x v="1"/>
    <x v="0"/>
    <n v="11430.62"/>
    <n v="7520.64"/>
    <s v="Actual"/>
    <n v="1"/>
    <n v="3909.9800000000005"/>
    <n v="0.34206193539807989"/>
  </r>
  <r>
    <s v="ORD8189"/>
    <s v="Not Mentioned"/>
    <x v="3"/>
    <x v="3"/>
    <x v="0"/>
    <x v="0"/>
    <n v="52800.76"/>
    <n v="27878.05"/>
    <s v="Actual"/>
    <n v="3"/>
    <n v="24922.710000000003"/>
    <n v="0.47201422858307346"/>
  </r>
  <r>
    <s v="ORD747"/>
    <d v="2023-04-05T00:00:00"/>
    <x v="2"/>
    <x v="2"/>
    <x v="2"/>
    <x v="0"/>
    <n v="62990.33"/>
    <n v="40076.76"/>
    <s v="Actual"/>
    <n v="3"/>
    <n v="22913.57"/>
    <n v="0.36376329509624727"/>
  </r>
  <r>
    <s v="ORD9772"/>
    <s v="Not Mentioned"/>
    <x v="3"/>
    <x v="2"/>
    <x v="0"/>
    <x v="0"/>
    <n v="13674.51"/>
    <n v="9948.4500000000007"/>
    <s v="Actual"/>
    <n v="1"/>
    <n v="3726.0599999999995"/>
    <n v="0.27248215841006362"/>
  </r>
  <r>
    <s v="ORD9391"/>
    <d v="2023-04-05T00:00:00"/>
    <x v="2"/>
    <x v="3"/>
    <x v="1"/>
    <x v="0"/>
    <n v="59864.52"/>
    <n v="29851.26"/>
    <s v="Actual"/>
    <n v="5"/>
    <n v="30013.26"/>
    <n v="0.50135305519863849"/>
  </r>
  <r>
    <s v="ORD6025"/>
    <d v="2023-06-25T00:00:00"/>
    <x v="0"/>
    <x v="1"/>
    <x v="1"/>
    <x v="0"/>
    <n v="11239.65"/>
    <n v="6755.36"/>
    <s v="Actual"/>
    <n v="1"/>
    <n v="4484.29"/>
    <n v="0.39897060851538974"/>
  </r>
  <r>
    <s v="ORD8635"/>
    <d v="2023-02-15T00:00:00"/>
    <x v="1"/>
    <x v="3"/>
    <x v="2"/>
    <x v="0"/>
    <n v="67886.87"/>
    <n v="56119.49"/>
    <s v="Actual"/>
    <n v="4"/>
    <n v="11767.379999999997"/>
    <n v="0.17333808437478407"/>
  </r>
  <r>
    <s v="ORD7886"/>
    <d v="2023-03-20T00:00:00"/>
    <x v="5"/>
    <x v="3"/>
    <x v="0"/>
    <x v="0"/>
    <n v="53826.74"/>
    <n v="43061.392"/>
    <s v="Estimated"/>
    <n v="3"/>
    <n v="10765.347999999998"/>
    <n v="0.19999999999999998"/>
  </r>
  <r>
    <s v="ORD8248"/>
    <d v="2023-03-20T00:00:00"/>
    <x v="5"/>
    <x v="1"/>
    <x v="0"/>
    <x v="0"/>
    <n v="17452.939999999999"/>
    <n v="8552.93"/>
    <s v="Actual"/>
    <n v="1"/>
    <n v="8900.0099999999984"/>
    <n v="0.50994331041073881"/>
  </r>
  <r>
    <s v="ORD1446"/>
    <d v="2023-01-15T00:00:00"/>
    <x v="4"/>
    <x v="0"/>
    <x v="3"/>
    <x v="0"/>
    <n v="225410.89"/>
    <n v="174906.32"/>
    <s v="Actual"/>
    <n v="4"/>
    <n v="50504.570000000007"/>
    <n v="0.22405559021571675"/>
  </r>
  <r>
    <s v="ORD4413"/>
    <d v="2023-01-15T00:00:00"/>
    <x v="4"/>
    <x v="3"/>
    <x v="3"/>
    <x v="0"/>
    <n v="142660.60999999999"/>
    <n v="90395.04"/>
    <s v="Actual"/>
    <n v="2"/>
    <n v="52265.569999999992"/>
    <n v="0.36636300657904097"/>
  </r>
  <r>
    <s v="ORD5173"/>
    <d v="2023-01-15T00:00:00"/>
    <x v="4"/>
    <x v="2"/>
    <x v="0"/>
    <x v="0"/>
    <n v="26011.46"/>
    <n v="20809.168000000001"/>
    <s v="Estimated"/>
    <n v="2"/>
    <n v="5202.2919999999976"/>
    <n v="0.19999999999999993"/>
  </r>
  <r>
    <s v="ORD624"/>
    <s v="Not Mentioned"/>
    <x v="3"/>
    <x v="2"/>
    <x v="1"/>
    <x v="0"/>
    <n v="25130.52"/>
    <n v="20104.416000000001"/>
    <s v="Estimated"/>
    <n v="3"/>
    <n v="5026.1039999999994"/>
    <n v="0.19999999999999998"/>
  </r>
  <r>
    <s v="ORD2507"/>
    <d v="2023-01-15T00:00:00"/>
    <x v="4"/>
    <x v="1"/>
    <x v="2"/>
    <x v="0"/>
    <n v="21454.66"/>
    <n v="15377.26"/>
    <s v="Actual"/>
    <n v="1"/>
    <n v="6077.4"/>
    <n v="0.28326713170938156"/>
  </r>
  <r>
    <s v="ORD6291"/>
    <d v="2023-04-05T00:00:00"/>
    <x v="2"/>
    <x v="1"/>
    <x v="1"/>
    <x v="0"/>
    <n v="42858.39"/>
    <n v="24256.400000000001"/>
    <s v="Actual"/>
    <n v="4"/>
    <n v="18601.989999999998"/>
    <n v="0.43403380294966748"/>
  </r>
  <r>
    <s v="ORD1805"/>
    <d v="2023-04-05T00:00:00"/>
    <x v="2"/>
    <x v="2"/>
    <x v="1"/>
    <x v="0"/>
    <n v="46211.040000000001"/>
    <n v="29783.22"/>
    <s v="Actual"/>
    <n v="4"/>
    <n v="16427.82"/>
    <n v="0.35549556988979253"/>
  </r>
  <r>
    <s v="ORD1559"/>
    <d v="2023-01-15T00:00:00"/>
    <x v="4"/>
    <x v="0"/>
    <x v="1"/>
    <x v="0"/>
    <n v="37859.86"/>
    <n v="26839.31"/>
    <s v="Actual"/>
    <n v="4"/>
    <n v="11020.55"/>
    <n v="0.29108797549700394"/>
  </r>
  <r>
    <s v="ORD7601"/>
    <s v="Not Mentioned"/>
    <x v="3"/>
    <x v="0"/>
    <x v="0"/>
    <x v="0"/>
    <n v="32275.63"/>
    <n v="19346.62"/>
    <s v="Actual"/>
    <n v="2"/>
    <n v="12929.010000000002"/>
    <n v="0.40058118152922195"/>
  </r>
  <r>
    <s v="ORD619"/>
    <d v="2023-04-05T00:00:00"/>
    <x v="2"/>
    <x v="2"/>
    <x v="0"/>
    <x v="0"/>
    <n v="37737.910000000003"/>
    <n v="25600.67"/>
    <s v="Actual"/>
    <s v="Unknown"/>
    <n v="12137.240000000005"/>
    <n v="0.32161929476221668"/>
  </r>
  <r>
    <s v="ORD2395"/>
    <d v="2023-06-25T00:00:00"/>
    <x v="0"/>
    <x v="0"/>
    <x v="0"/>
    <x v="0"/>
    <n v="65218.43"/>
    <n v="41626.53"/>
    <s v="Actual"/>
    <n v="4"/>
    <n v="23591.9"/>
    <n v="0.36173670540673858"/>
  </r>
  <r>
    <s v="ORD933"/>
    <s v="Not Mentioned"/>
    <x v="3"/>
    <x v="2"/>
    <x v="3"/>
    <x v="0"/>
    <n v="190408.55"/>
    <n v="139331.91"/>
    <s v="Actual"/>
    <n v="3"/>
    <n v="51076.639999999985"/>
    <n v="0.26824761808227621"/>
  </r>
  <r>
    <s v="ORD5087"/>
    <s v="Not Mentioned"/>
    <x v="3"/>
    <x v="2"/>
    <x v="2"/>
    <x v="0"/>
    <n v="104900.63"/>
    <n v="65013.49"/>
    <s v="Actual"/>
    <n v="5"/>
    <n v="39887.140000000007"/>
    <n v="0.38023737321691969"/>
  </r>
  <r>
    <s v="ORD1292"/>
    <d v="2023-03-20T00:00:00"/>
    <x v="5"/>
    <x v="3"/>
    <x v="3"/>
    <x v="0"/>
    <n v="129925.94"/>
    <n v="94284.17"/>
    <s v="Actual"/>
    <n v="2"/>
    <n v="35641.770000000004"/>
    <n v="0.27432374166390489"/>
  </r>
  <r>
    <s v="ORD9619"/>
    <d v="2023-04-05T00:00:00"/>
    <x v="2"/>
    <x v="3"/>
    <x v="2"/>
    <x v="0"/>
    <n v="82579.83"/>
    <n v="58423.26"/>
    <s v="Actual"/>
    <n v="4"/>
    <n v="24156.57"/>
    <n v="0.29252385237412087"/>
  </r>
  <r>
    <s v="ORD1895"/>
    <d v="2023-06-25T00:00:00"/>
    <x v="0"/>
    <x v="1"/>
    <x v="1"/>
    <x v="0"/>
    <n v="27200.44"/>
    <n v="22926.67"/>
    <s v="Actual"/>
    <n v="3"/>
    <n v="4273.7700000000004"/>
    <n v="0.15712135538983932"/>
  </r>
  <r>
    <s v="ORD7858"/>
    <d v="2023-01-15T00:00:00"/>
    <x v="4"/>
    <x v="0"/>
    <x v="1"/>
    <x v="0"/>
    <n v="55860.160000000003"/>
    <n v="37821.31"/>
    <s v="Actual"/>
    <n v="5"/>
    <n v="18038.850000000006"/>
    <n v="0.32292872057652544"/>
  </r>
  <r>
    <s v="ORD4833"/>
    <s v="Not Mentioned"/>
    <x v="3"/>
    <x v="0"/>
    <x v="3"/>
    <x v="0"/>
    <n v="65122.98"/>
    <n v="52098.384000000005"/>
    <s v="Estimated"/>
    <n v="1"/>
    <n v="13024.595999999998"/>
    <n v="0.19999999999999996"/>
  </r>
  <r>
    <s v="ORD2351"/>
    <d v="2023-04-05T00:00:00"/>
    <x v="2"/>
    <x v="1"/>
    <x v="1"/>
    <x v="0"/>
    <n v="23976.17"/>
    <n v="13495.53"/>
    <s v="Actual"/>
    <n v="2"/>
    <n v="10480.639999999998"/>
    <n v="0.43712736437888111"/>
  </r>
  <r>
    <s v="ORD2059"/>
    <d v="2023-04-05T00:00:00"/>
    <x v="2"/>
    <x v="1"/>
    <x v="2"/>
    <x v="0"/>
    <n v="63781.64"/>
    <n v="44972.75"/>
    <s v="Actual"/>
    <n v="3"/>
    <n v="18808.89"/>
    <n v="0.29489505130316496"/>
  </r>
  <r>
    <s v="ORD9702"/>
    <d v="2023-04-05T00:00:00"/>
    <x v="2"/>
    <x v="0"/>
    <x v="2"/>
    <x v="0"/>
    <n v="67695.06"/>
    <n v="37043.47"/>
    <s v="Actual"/>
    <n v="3"/>
    <n v="30651.589999999997"/>
    <n v="0.45278916954944715"/>
  </r>
  <r>
    <s v="ORD665"/>
    <d v="2023-06-25T00:00:00"/>
    <x v="0"/>
    <x v="1"/>
    <x v="2"/>
    <x v="0"/>
    <n v="23301.61"/>
    <n v="12574.81"/>
    <s v="Actual"/>
    <n v="1"/>
    <n v="10726.800000000001"/>
    <n v="0.46034587309632258"/>
  </r>
  <r>
    <s v="ORD1755"/>
    <s v="Not Mentioned"/>
    <x v="3"/>
    <x v="0"/>
    <x v="2"/>
    <x v="0"/>
    <n v="22292.39"/>
    <n v="17833.912"/>
    <s v="Estimated"/>
    <n v="1"/>
    <n v="4458.4779999999992"/>
    <n v="0.19999999999999996"/>
  </r>
  <r>
    <s v="ORD4414"/>
    <s v="Not Mentioned"/>
    <x v="3"/>
    <x v="2"/>
    <x v="2"/>
    <x v="0"/>
    <n v="83560.13"/>
    <n v="71644.86"/>
    <s v="Actual"/>
    <n v="5"/>
    <n v="11915.270000000004"/>
    <n v="0.1425951587198345"/>
  </r>
  <r>
    <s v="ORD386"/>
    <d v="2023-02-15T00:00:00"/>
    <x v="1"/>
    <x v="0"/>
    <x v="2"/>
    <x v="0"/>
    <n v="17136.490000000002"/>
    <n v="14366.79"/>
    <s v="Actual"/>
    <n v="1"/>
    <n v="2769.7000000000007"/>
    <n v="0.16162586387294017"/>
  </r>
  <r>
    <s v="ORD3841"/>
    <s v="Not Mentioned"/>
    <x v="3"/>
    <x v="0"/>
    <x v="3"/>
    <x v="0"/>
    <n v="202260.8"/>
    <n v="189949.97"/>
    <s v="Actual"/>
    <n v="4"/>
    <n v="12310.829999999987"/>
    <n v="6.0866119386455447E-2"/>
  </r>
  <r>
    <s v="ORD1461"/>
    <d v="2023-04-05T00:00:00"/>
    <x v="2"/>
    <x v="2"/>
    <x v="0"/>
    <x v="0"/>
    <n v="53237.94"/>
    <n v="42590.352000000006"/>
    <s v="Estimated"/>
    <n v="3"/>
    <n v="10647.587999999996"/>
    <n v="0.19999999999999993"/>
  </r>
  <r>
    <s v="ORD7337"/>
    <d v="2023-02-15T00:00:00"/>
    <x v="1"/>
    <x v="3"/>
    <x v="1"/>
    <x v="0"/>
    <n v="10219.73"/>
    <n v="6270.12"/>
    <s v="Actual"/>
    <n v="1"/>
    <n v="3949.6099999999997"/>
    <n v="0.38646911415467922"/>
  </r>
  <r>
    <s v="ORD952"/>
    <d v="2023-06-25T00:00:00"/>
    <x v="0"/>
    <x v="0"/>
    <x v="1"/>
    <x v="0"/>
    <n v="22308.65"/>
    <n v="14378.08"/>
    <s v="Actual"/>
    <n v="2"/>
    <n v="7930.5700000000015"/>
    <n v="0.35549304866049719"/>
  </r>
  <r>
    <s v="ORD4890"/>
    <d v="2023-01-15T00:00:00"/>
    <x v="4"/>
    <x v="1"/>
    <x v="1"/>
    <x v="0"/>
    <n v="49942.81"/>
    <n v="36831.75"/>
    <s v="Actual"/>
    <n v="5"/>
    <n v="13111.059999999998"/>
    <n v="0.26252147205974191"/>
  </r>
  <r>
    <s v="ORD139"/>
    <d v="2023-01-15T00:00:00"/>
    <x v="4"/>
    <x v="0"/>
    <x v="1"/>
    <x v="0"/>
    <n v="8635.41"/>
    <n v="6292.42"/>
    <s v="Actual"/>
    <n v="1"/>
    <n v="2342.9899999999998"/>
    <n v="0.27132353877812398"/>
  </r>
  <r>
    <s v="ORD6142"/>
    <d v="2023-03-20T00:00:00"/>
    <x v="5"/>
    <x v="1"/>
    <x v="3"/>
    <x v="0"/>
    <n v="248690.68"/>
    <n v="207858.41"/>
    <s v="Actual"/>
    <n v="5"/>
    <n v="40832.26999999999"/>
    <n v="0.1641889836804499"/>
  </r>
  <r>
    <s v="ORD784"/>
    <d v="2023-01-15T00:00:00"/>
    <x v="4"/>
    <x v="1"/>
    <x v="0"/>
    <x v="0"/>
    <n v="46818.47"/>
    <n v="27955.33"/>
    <s v="Actual"/>
    <n v="3"/>
    <n v="18863.14"/>
    <n v="0.40289953943390289"/>
  </r>
  <r>
    <s v="ORD2935"/>
    <d v="2023-03-20T00:00:00"/>
    <x v="5"/>
    <x v="1"/>
    <x v="0"/>
    <x v="0"/>
    <n v="87236.72"/>
    <n v="47039.86"/>
    <s v="Actual"/>
    <n v="5"/>
    <n v="40196.86"/>
    <n v="0.46077913062297621"/>
  </r>
  <r>
    <s v="ORD918"/>
    <s v="Not Mentioned"/>
    <x v="3"/>
    <x v="3"/>
    <x v="0"/>
    <x v="0"/>
    <n v="12619.55"/>
    <n v="8630.2199999999993"/>
    <s v="Actual"/>
    <n v="1"/>
    <n v="3989.33"/>
    <n v="0.31612299963152413"/>
  </r>
  <r>
    <s v="ORD980"/>
    <d v="2023-03-20T00:00:00"/>
    <x v="5"/>
    <x v="2"/>
    <x v="2"/>
    <x v="0"/>
    <n v="18613.93"/>
    <n v="13645.56"/>
    <s v="Actual"/>
    <n v="1"/>
    <n v="4968.3700000000008"/>
    <n v="0.26691676609936754"/>
  </r>
  <r>
    <s v="ORD528"/>
    <d v="2023-01-15T00:00:00"/>
    <x v="4"/>
    <x v="1"/>
    <x v="1"/>
    <x v="0"/>
    <n v="49059.96"/>
    <n v="34237.72"/>
    <s v="Actual"/>
    <n v="5"/>
    <n v="14822.239999999998"/>
    <n v="0.30212499154096328"/>
  </r>
  <r>
    <s v="ORD6765"/>
    <d v="2023-04-05T00:00:00"/>
    <x v="2"/>
    <x v="3"/>
    <x v="3"/>
    <x v="0"/>
    <n v="314433.46000000002"/>
    <n v="221861.25"/>
    <s v="Actual"/>
    <n v="5"/>
    <n v="92572.210000000021"/>
    <n v="0.2944095389848142"/>
  </r>
  <r>
    <s v="ORD6413"/>
    <d v="2023-02-15T00:00:00"/>
    <x v="1"/>
    <x v="0"/>
    <x v="3"/>
    <x v="0"/>
    <n v="137508.28"/>
    <n v="86522.82"/>
    <s v="Actual"/>
    <s v="Unknown"/>
    <n v="50985.459999999992"/>
    <n v="0.37078101769580707"/>
  </r>
  <r>
    <s v="ORD724"/>
    <d v="2023-04-05T00:00:00"/>
    <x v="2"/>
    <x v="1"/>
    <x v="3"/>
    <x v="0"/>
    <n v="224235.51"/>
    <n v="153142.84"/>
    <s v="Actual"/>
    <n v="4"/>
    <n v="71092.670000000013"/>
    <n v="0.31704465541608468"/>
  </r>
  <r>
    <s v="ORD6491"/>
    <d v="2023-03-20T00:00:00"/>
    <x v="5"/>
    <x v="3"/>
    <x v="3"/>
    <x v="0"/>
    <n v="115654.6"/>
    <n v="97944.14"/>
    <s v="Actual"/>
    <n v="2"/>
    <n v="17710.460000000006"/>
    <n v="0.15313234406586512"/>
  </r>
  <r>
    <s v="ORD450"/>
    <d v="2023-02-15T00:00:00"/>
    <x v="1"/>
    <x v="1"/>
    <x v="0"/>
    <x v="0"/>
    <n v="60237.36"/>
    <n v="35048.230000000003"/>
    <s v="Actual"/>
    <n v="4"/>
    <n v="25189.129999999997"/>
    <n v="0.41816457427749154"/>
  </r>
  <r>
    <s v="ORD3591"/>
    <s v="Not Mentioned"/>
    <x v="3"/>
    <x v="3"/>
    <x v="2"/>
    <x v="0"/>
    <n v="119889.09"/>
    <n v="68684.289999999994"/>
    <s v="Actual"/>
    <n v="5"/>
    <n v="51204.800000000003"/>
    <n v="0.42710141514961875"/>
  </r>
  <r>
    <s v="ORD527"/>
    <d v="2023-01-15T00:00:00"/>
    <x v="4"/>
    <x v="2"/>
    <x v="2"/>
    <x v="0"/>
    <n v="37668.25"/>
    <n v="30141.66"/>
    <s v="Actual"/>
    <n v="2"/>
    <n v="7526.59"/>
    <n v="0.19981257425019744"/>
  </r>
  <r>
    <s v="ORD2766"/>
    <d v="2023-04-05T00:00:00"/>
    <x v="2"/>
    <x v="3"/>
    <x v="3"/>
    <x v="0"/>
    <n v="242858.39"/>
    <n v="194286.71200000003"/>
    <s v="Estimated"/>
    <n v="4"/>
    <n v="48571.677999999985"/>
    <n v="0.19999999999999993"/>
  </r>
  <r>
    <s v="ORD647"/>
    <d v="2023-06-25T00:00:00"/>
    <x v="0"/>
    <x v="2"/>
    <x v="3"/>
    <x v="0"/>
    <n v="190052.43"/>
    <n v="152041.94399999999"/>
    <s v="Estimated"/>
    <n v="3"/>
    <n v="38010.486000000004"/>
    <n v="0.20000000000000004"/>
  </r>
  <r>
    <s v="ORD369"/>
    <d v="2023-06-25T00:00:00"/>
    <x v="0"/>
    <x v="3"/>
    <x v="2"/>
    <x v="0"/>
    <n v="21290.43"/>
    <n v="15089.4"/>
    <s v="Actual"/>
    <n v="1"/>
    <n v="6201.0300000000007"/>
    <n v="0.29125903046580087"/>
  </r>
  <r>
    <s v="ORD1831"/>
    <d v="2023-03-20T00:00:00"/>
    <x v="5"/>
    <x v="0"/>
    <x v="0"/>
    <x v="0"/>
    <n v="14089.65"/>
    <n v="9473.8700000000008"/>
    <s v="Actual"/>
    <n v="1"/>
    <n v="4615.7799999999988"/>
    <n v="0.32760075658373339"/>
  </r>
  <r>
    <s v="ORD6431"/>
    <d v="2023-06-25T00:00:00"/>
    <x v="0"/>
    <x v="2"/>
    <x v="2"/>
    <x v="0"/>
    <n v="41836.339999999997"/>
    <n v="30119.43"/>
    <s v="Actual"/>
    <n v="2"/>
    <n v="11716.909999999996"/>
    <n v="0.28006536900694462"/>
  </r>
  <r>
    <s v="ORD4392"/>
    <d v="2023-01-15T00:00:00"/>
    <x v="4"/>
    <x v="1"/>
    <x v="2"/>
    <x v="0"/>
    <n v="94702.07"/>
    <n v="53815.23"/>
    <s v="Actual"/>
    <n v="4"/>
    <n v="40886.840000000004"/>
    <n v="0.43174177713327705"/>
  </r>
  <r>
    <s v="ORD2018"/>
    <d v="2023-03-20T00:00:00"/>
    <x v="5"/>
    <x v="2"/>
    <x v="1"/>
    <x v="0"/>
    <n v="17715.669999999998"/>
    <n v="12159.56"/>
    <s v="Actual"/>
    <n v="2"/>
    <n v="5556.1099999999988"/>
    <n v="0.31362686254598326"/>
  </r>
  <r>
    <s v="ORD4097"/>
    <s v="Not Mentioned"/>
    <x v="3"/>
    <x v="2"/>
    <x v="0"/>
    <x v="0"/>
    <n v="15414.85"/>
    <n v="9455.91"/>
    <s v="Actual"/>
    <n v="1"/>
    <n v="5958.9400000000005"/>
    <n v="0.38657139057467316"/>
  </r>
  <r>
    <s v="ORD697"/>
    <d v="2023-01-15T00:00:00"/>
    <x v="4"/>
    <x v="3"/>
    <x v="2"/>
    <x v="0"/>
    <n v="43683.91"/>
    <n v="27387.32"/>
    <s v="Actual"/>
    <n v="2"/>
    <n v="16296.590000000004"/>
    <n v="0.37305703633214155"/>
  </r>
  <r>
    <s v="ORD746"/>
    <s v="Not Mentioned"/>
    <x v="3"/>
    <x v="1"/>
    <x v="1"/>
    <x v="0"/>
    <n v="41471.01"/>
    <n v="31699.05"/>
    <s v="Actual"/>
    <n v="5"/>
    <n v="9771.9600000000028"/>
    <n v="0.23563351845059965"/>
  </r>
  <r>
    <s v="ORD757"/>
    <d v="2023-04-05T00:00:00"/>
    <x v="2"/>
    <x v="1"/>
    <x v="3"/>
    <x v="0"/>
    <n v="169407.17"/>
    <n v="119578.3"/>
    <s v="Actual"/>
    <n v="3"/>
    <n v="49828.87000000001"/>
    <n v="0.29413672396510732"/>
  </r>
  <r>
    <s v="ORD4807"/>
    <d v="2023-04-05T00:00:00"/>
    <x v="2"/>
    <x v="1"/>
    <x v="1"/>
    <x v="0"/>
    <n v="17026.21"/>
    <n v="12686.24"/>
    <s v="Actual"/>
    <n v="2"/>
    <n v="4339.9699999999993"/>
    <n v="0.25489935810729453"/>
  </r>
  <r>
    <s v="ORD6188"/>
    <s v="Not Mentioned"/>
    <x v="3"/>
    <x v="2"/>
    <x v="3"/>
    <x v="0"/>
    <n v="209699.35"/>
    <n v="172938.42"/>
    <s v="Actual"/>
    <n v="4"/>
    <n v="36760.929999999993"/>
    <n v="0.17530302311380552"/>
  </r>
  <r>
    <s v="ORD305"/>
    <d v="2023-01-15T00:00:00"/>
    <x v="4"/>
    <x v="0"/>
    <x v="0"/>
    <x v="0"/>
    <n v="12563.46"/>
    <n v="10148.44"/>
    <s v="Actual"/>
    <n v="1"/>
    <n v="2415.0199999999986"/>
    <n v="0.1922257085229705"/>
  </r>
  <r>
    <s v="ORD9636"/>
    <d v="2023-01-15T00:00:00"/>
    <x v="4"/>
    <x v="1"/>
    <x v="1"/>
    <x v="0"/>
    <n v="21430.21"/>
    <n v="12708.81"/>
    <s v="Actual"/>
    <n v="2"/>
    <n v="8721.4"/>
    <n v="0.40696754721488965"/>
  </r>
  <r>
    <s v="ORD628"/>
    <d v="2023-06-25T00:00:00"/>
    <x v="0"/>
    <x v="2"/>
    <x v="1"/>
    <x v="0"/>
    <n v="8100.06"/>
    <n v="7006.79"/>
    <s v="Actual"/>
    <n v="1"/>
    <n v="1093.2700000000004"/>
    <n v="0.13497060515601123"/>
  </r>
  <r>
    <s v="ORD8611"/>
    <d v="2023-01-15T00:00:00"/>
    <x v="4"/>
    <x v="2"/>
    <x v="2"/>
    <x v="0"/>
    <n v="66651.87"/>
    <n v="38104.370000000003"/>
    <s v="Actual"/>
    <n v="3"/>
    <n v="28547.499999999993"/>
    <n v="0.42830756286357752"/>
  </r>
  <r>
    <s v="ORD1436"/>
    <d v="2023-03-20T00:00:00"/>
    <x v="5"/>
    <x v="2"/>
    <x v="3"/>
    <x v="0"/>
    <n v="125097.29"/>
    <n v="89049.71"/>
    <s v="Actual"/>
    <n v="2"/>
    <n v="36047.579999999987"/>
    <n v="0.28815636214021895"/>
  </r>
  <r>
    <s v="ORD2403"/>
    <d v="2023-01-15T00:00:00"/>
    <x v="4"/>
    <x v="2"/>
    <x v="3"/>
    <x v="0"/>
    <n v="52464.82"/>
    <n v="48763.54"/>
    <s v="Actual"/>
    <n v="1"/>
    <n v="3701.2799999999988"/>
    <n v="7.0547845203700291E-2"/>
  </r>
  <r>
    <s v="ORD9802"/>
    <s v="Not Mentioned"/>
    <x v="3"/>
    <x v="2"/>
    <x v="3"/>
    <x v="0"/>
    <n v="106791.02"/>
    <n v="98991.8"/>
    <s v="Actual"/>
    <s v="Unknown"/>
    <n v="7799.2200000000012"/>
    <n v="7.3032545245845584E-2"/>
  </r>
  <r>
    <s v="ORD5554"/>
    <s v="Not Mentioned"/>
    <x v="3"/>
    <x v="2"/>
    <x v="1"/>
    <x v="0"/>
    <n v="44706.6"/>
    <n v="25217.27"/>
    <s v="Actual"/>
    <n v="4"/>
    <n v="19489.329999999998"/>
    <n v="0.43593854151288619"/>
  </r>
  <r>
    <s v="ORD7980"/>
    <d v="2023-01-15T00:00:00"/>
    <x v="4"/>
    <x v="2"/>
    <x v="2"/>
    <x v="0"/>
    <n v="16070.52"/>
    <n v="14406.45"/>
    <s v="Actual"/>
    <n v="1"/>
    <n v="1664.0699999999997"/>
    <n v="0.10354798724621229"/>
  </r>
  <r>
    <s v="ORD3996"/>
    <d v="2023-03-20T00:00:00"/>
    <x v="5"/>
    <x v="2"/>
    <x v="2"/>
    <x v="0"/>
    <n v="21371.66"/>
    <n v="17097.328000000001"/>
    <s v="Estimated"/>
    <n v="1"/>
    <n v="4274.3319999999985"/>
    <n v="0.19999999999999993"/>
  </r>
  <r>
    <s v="ORD7026"/>
    <d v="2023-03-20T00:00:00"/>
    <x v="5"/>
    <x v="3"/>
    <x v="0"/>
    <x v="0"/>
    <n v="24766.94"/>
    <n v="17829.97"/>
    <s v="Actual"/>
    <n v="2"/>
    <n v="6936.9699999999975"/>
    <n v="0.28008991017864937"/>
  </r>
  <r>
    <s v="ORD3835"/>
    <d v="2023-04-05T00:00:00"/>
    <x v="2"/>
    <x v="2"/>
    <x v="2"/>
    <x v="0"/>
    <n v="108224.79"/>
    <n v="69603.48"/>
    <s v="Actual"/>
    <n v="5"/>
    <n v="38621.31"/>
    <n v="0.35686195371688872"/>
  </r>
  <r>
    <s v="ORD2140"/>
    <d v="2023-06-25T00:00:00"/>
    <x v="0"/>
    <x v="3"/>
    <x v="0"/>
    <x v="0"/>
    <n v="50562.15"/>
    <n v="42166.21"/>
    <s v="Actual"/>
    <n v="4"/>
    <n v="8395.9400000000023"/>
    <n v="0.16605187872746713"/>
  </r>
  <r>
    <s v="ORD459"/>
    <d v="2023-01-15T00:00:00"/>
    <x v="4"/>
    <x v="2"/>
    <x v="3"/>
    <x v="0"/>
    <n v="305874.21000000002"/>
    <n v="244699.36800000002"/>
    <s v="Estimated"/>
    <n v="5"/>
    <n v="61174.842000000004"/>
    <n v="0.2"/>
  </r>
  <r>
    <s v="ORD661"/>
    <d v="2023-06-25T00:00:00"/>
    <x v="0"/>
    <x v="1"/>
    <x v="3"/>
    <x v="0"/>
    <n v="183602.79"/>
    <n v="118029.31"/>
    <s v="Actual"/>
    <n v="3"/>
    <n v="65573.48000000001"/>
    <n v="0.35714860324290282"/>
  </r>
  <r>
    <s v="ORD2059"/>
    <s v="Not Mentioned"/>
    <x v="3"/>
    <x v="2"/>
    <x v="2"/>
    <x v="0"/>
    <n v="84178.92"/>
    <n v="67362.679999999993"/>
    <s v="Actual"/>
    <n v="5"/>
    <n v="16816.240000000005"/>
    <n v="0.19976782785999161"/>
  </r>
  <r>
    <s v="ORD9620"/>
    <d v="2023-02-15T00:00:00"/>
    <x v="1"/>
    <x v="2"/>
    <x v="1"/>
    <x v="0"/>
    <n v="8464.07"/>
    <n v="7127.61"/>
    <s v="Actual"/>
    <n v="1"/>
    <n v="1336.46"/>
    <n v="0.15789803250682002"/>
  </r>
  <r>
    <s v="ORD743"/>
    <d v="2023-06-25T00:00:00"/>
    <x v="0"/>
    <x v="3"/>
    <x v="2"/>
    <x v="0"/>
    <n v="23922.13"/>
    <n v="14505.18"/>
    <s v="Actual"/>
    <n v="1"/>
    <n v="9416.9500000000007"/>
    <n v="0.39365014737400056"/>
  </r>
  <r>
    <s v="ORD6856"/>
    <s v="Not Mentioned"/>
    <x v="3"/>
    <x v="2"/>
    <x v="2"/>
    <x v="0"/>
    <n v="102233.62"/>
    <n v="66590.23"/>
    <s v="Actual"/>
    <n v="5"/>
    <n v="35643.39"/>
    <n v="0.34864646287591111"/>
  </r>
  <r>
    <s v="ORD3377"/>
    <d v="2023-03-20T00:00:00"/>
    <x v="5"/>
    <x v="1"/>
    <x v="3"/>
    <x v="0"/>
    <n v="251027.53"/>
    <n v="238188.05"/>
    <s v="Actual"/>
    <n v="5"/>
    <n v="12839.48000000001"/>
    <n v="5.1147696828312057E-2"/>
  </r>
  <r>
    <s v="ORD3407"/>
    <d v="2023-06-25T00:00:00"/>
    <x v="0"/>
    <x v="3"/>
    <x v="0"/>
    <x v="0"/>
    <n v="15229.17"/>
    <n v="10480.42"/>
    <s v="Actual"/>
    <n v="1"/>
    <n v="4748.75"/>
    <n v="0.31181935719412152"/>
  </r>
  <r>
    <s v="ORD298"/>
    <d v="2023-04-05T00:00:00"/>
    <x v="2"/>
    <x v="2"/>
    <x v="0"/>
    <x v="0"/>
    <n v="43804.91"/>
    <n v="31551.75"/>
    <s v="Actual"/>
    <n v="3"/>
    <n v="12253.160000000003"/>
    <n v="0.27972115454637397"/>
  </r>
  <r>
    <s v="ORD5642"/>
    <d v="2023-01-15T00:00:00"/>
    <x v="4"/>
    <x v="1"/>
    <x v="1"/>
    <x v="0"/>
    <n v="20759.330000000002"/>
    <n v="16607.464000000004"/>
    <s v="Estimated"/>
    <n v="2"/>
    <n v="4151.8659999999982"/>
    <n v="0.1999999999999999"/>
  </r>
  <r>
    <s v="ORD952"/>
    <s v="Not Mentioned"/>
    <x v="3"/>
    <x v="0"/>
    <x v="0"/>
    <x v="0"/>
    <n v="40607.65"/>
    <n v="25740.14"/>
    <s v="Actual"/>
    <n v="3"/>
    <n v="14867.510000000002"/>
    <n v="0.3661258408206336"/>
  </r>
  <r>
    <s v="ORD5784"/>
    <d v="2023-03-20T00:00:00"/>
    <x v="5"/>
    <x v="2"/>
    <x v="1"/>
    <x v="0"/>
    <n v="19845.93"/>
    <n v="11910.37"/>
    <s v="Actual"/>
    <n v="2"/>
    <n v="7935.5599999999995"/>
    <n v="0.39985830847937082"/>
  </r>
  <r>
    <s v="ORD566"/>
    <d v="2023-04-05T00:00:00"/>
    <x v="2"/>
    <x v="1"/>
    <x v="0"/>
    <x v="0"/>
    <n v="52305.78"/>
    <n v="32862.629999999997"/>
    <s v="Actual"/>
    <n v="3"/>
    <n v="19443.150000000001"/>
    <n v="0.37172086908941998"/>
  </r>
  <r>
    <s v="ORD8443"/>
    <d v="2023-03-20T00:00:00"/>
    <x v="5"/>
    <x v="1"/>
    <x v="0"/>
    <x v="0"/>
    <n v="81071.88"/>
    <n v="49463.32"/>
    <s v="Actual"/>
    <n v="5"/>
    <n v="31608.560000000005"/>
    <n v="0.38988315060659756"/>
  </r>
  <r>
    <s v="ORD519"/>
    <d v="2023-02-15T00:00:00"/>
    <x v="1"/>
    <x v="2"/>
    <x v="2"/>
    <x v="0"/>
    <n v="46605.42"/>
    <n v="24447.89"/>
    <s v="Actual"/>
    <n v="2"/>
    <n v="22157.53"/>
    <n v="0.47542817981256258"/>
  </r>
  <r>
    <s v="ORD5927"/>
    <d v="2023-02-15T00:00:00"/>
    <x v="1"/>
    <x v="1"/>
    <x v="2"/>
    <x v="0"/>
    <n v="65679.759999999995"/>
    <n v="40508.21"/>
    <s v="Actual"/>
    <n v="3"/>
    <n v="25171.549999999996"/>
    <n v="0.38324668056034306"/>
  </r>
  <r>
    <s v="ORD1782"/>
    <d v="2023-01-15T00:00:00"/>
    <x v="4"/>
    <x v="3"/>
    <x v="0"/>
    <x v="0"/>
    <n v="51137.440000000002"/>
    <n v="39713.64"/>
    <s v="Actual"/>
    <n v="4"/>
    <n v="11423.800000000003"/>
    <n v="0.22339405335894802"/>
  </r>
  <r>
    <s v="ORD3686"/>
    <d v="2023-03-20T00:00:00"/>
    <x v="5"/>
    <x v="2"/>
    <x v="0"/>
    <x v="0"/>
    <n v="67715.31"/>
    <n v="49551.06"/>
    <s v="Actual"/>
    <n v="5"/>
    <n v="18164.25"/>
    <n v="0.26824436010113517"/>
  </r>
  <r>
    <s v="ORD9056"/>
    <d v="2023-02-15T00:00:00"/>
    <x v="1"/>
    <x v="2"/>
    <x v="0"/>
    <x v="0"/>
    <n v="48166.05"/>
    <n v="38532.840000000004"/>
    <s v="Estimated"/>
    <n v="3"/>
    <n v="9633.2099999999991"/>
    <n v="0.19999999999999998"/>
  </r>
  <r>
    <s v="ORD7787"/>
    <d v="2023-04-05T00:00:00"/>
    <x v="2"/>
    <x v="3"/>
    <x v="0"/>
    <x v="0"/>
    <n v="52643.42"/>
    <n v="42114.736000000004"/>
    <s v="Estimated"/>
    <n v="4"/>
    <n v="10528.683999999994"/>
    <n v="0.1999999999999999"/>
  </r>
  <r>
    <s v="ORD720"/>
    <d v="2023-02-15T00:00:00"/>
    <x v="1"/>
    <x v="0"/>
    <x v="3"/>
    <x v="0"/>
    <n v="307975.99"/>
    <n v="199652.88"/>
    <s v="Actual"/>
    <s v="Unknown"/>
    <n v="108323.10999999999"/>
    <n v="0.35172582771793343"/>
  </r>
  <r>
    <s v="ORD7655"/>
    <d v="2023-01-15T00:00:00"/>
    <x v="4"/>
    <x v="2"/>
    <x v="1"/>
    <x v="0"/>
    <n v="58903.8"/>
    <n v="35074.42"/>
    <s v="Actual"/>
    <n v="5"/>
    <n v="23829.380000000005"/>
    <n v="0.40454741459803956"/>
  </r>
  <r>
    <s v="ORD2500"/>
    <d v="2023-06-25T00:00:00"/>
    <x v="0"/>
    <x v="2"/>
    <x v="0"/>
    <x v="0"/>
    <n v="13867"/>
    <n v="9725.9"/>
    <s v="Actual"/>
    <n v="1"/>
    <n v="4141.1000000000004"/>
    <n v="0.29862984062883108"/>
  </r>
  <r>
    <s v="ORD3398"/>
    <d v="2023-04-05T00:00:00"/>
    <x v="2"/>
    <x v="1"/>
    <x v="1"/>
    <x v="0"/>
    <n v="18770.91"/>
    <n v="13997.83"/>
    <s v="Actual"/>
    <n v="2"/>
    <n v="4773.08"/>
    <n v="0.25428069283801369"/>
  </r>
  <r>
    <s v="ORD4871"/>
    <d v="2023-04-05T00:00:00"/>
    <x v="2"/>
    <x v="3"/>
    <x v="3"/>
    <x v="0"/>
    <n v="318143.08"/>
    <n v="254514.46400000004"/>
    <s v="Estimated"/>
    <n v="5"/>
    <n v="63628.61599999998"/>
    <n v="0.19999999999999993"/>
  </r>
  <r>
    <s v="ORD6964"/>
    <d v="2023-04-05T00:00:00"/>
    <x v="2"/>
    <x v="3"/>
    <x v="2"/>
    <x v="0"/>
    <n v="39099.440000000002"/>
    <n v="31279.552000000003"/>
    <s v="Estimated"/>
    <n v="2"/>
    <n v="7819.887999999999"/>
    <n v="0.19999999999999996"/>
  </r>
  <r>
    <s v="ORD7247"/>
    <d v="2023-01-15T00:00:00"/>
    <x v="4"/>
    <x v="0"/>
    <x v="3"/>
    <x v="0"/>
    <n v="57141.24"/>
    <n v="43199.7"/>
    <s v="Actual"/>
    <n v="1"/>
    <n v="13941.54"/>
    <n v="0.24398385474308926"/>
  </r>
  <r>
    <s v="ORD6489"/>
    <d v="2023-03-20T00:00:00"/>
    <x v="5"/>
    <x v="2"/>
    <x v="0"/>
    <x v="0"/>
    <n v="17815.900000000001"/>
    <n v="9296.69"/>
    <s v="Actual"/>
    <s v="Unknown"/>
    <n v="8519.2100000000009"/>
    <n v="0.47818016490887355"/>
  </r>
  <r>
    <s v="ORD1991"/>
    <d v="2023-04-05T00:00:00"/>
    <x v="2"/>
    <x v="2"/>
    <x v="3"/>
    <x v="0"/>
    <n v="283495.34999999998"/>
    <n v="172054.14"/>
    <s v="Actual"/>
    <n v="4"/>
    <n v="111441.20999999996"/>
    <n v="0.39309713545566083"/>
  </r>
  <r>
    <s v="ORD2099"/>
    <s v="Not Mentioned"/>
    <x v="3"/>
    <x v="1"/>
    <x v="0"/>
    <x v="0"/>
    <n v="56905.55"/>
    <n v="45524.44"/>
    <s v="Estimated"/>
    <n v="4"/>
    <n v="11381.11"/>
    <n v="0.2"/>
  </r>
  <r>
    <s v="ORD5353"/>
    <d v="2023-02-15T00:00:00"/>
    <x v="1"/>
    <x v="2"/>
    <x v="2"/>
    <x v="0"/>
    <n v="36610.39"/>
    <n v="26067.83"/>
    <s v="Actual"/>
    <n v="2"/>
    <n v="10542.559999999998"/>
    <n v="0.28796633961014884"/>
  </r>
  <r>
    <s v="ORD598"/>
    <s v="Not Mentioned"/>
    <x v="3"/>
    <x v="1"/>
    <x v="0"/>
    <x v="0"/>
    <n v="25458.61"/>
    <n v="17582.009999999998"/>
    <s v="Actual"/>
    <n v="2"/>
    <n v="7876.6000000000022"/>
    <n v="0.30938845443643631"/>
  </r>
  <r>
    <s v="ORD400"/>
    <d v="2023-04-05T00:00:00"/>
    <x v="2"/>
    <x v="1"/>
    <x v="3"/>
    <x v="0"/>
    <n v="262994.34999999998"/>
    <n v="172509.53"/>
    <s v="Actual"/>
    <n v="4"/>
    <n v="90484.819999999978"/>
    <n v="0.34405613656719236"/>
  </r>
  <r>
    <s v="ORD9191"/>
    <d v="2023-01-15T00:00:00"/>
    <x v="4"/>
    <x v="0"/>
    <x v="1"/>
    <x v="0"/>
    <n v="32190.47"/>
    <n v="27289.599999999999"/>
    <s v="Actual"/>
    <n v="4"/>
    <n v="4900.8700000000026"/>
    <n v="0.15224599081653678"/>
  </r>
  <r>
    <s v="ORD2438"/>
    <d v="2023-06-25T00:00:00"/>
    <x v="0"/>
    <x v="1"/>
    <x v="2"/>
    <x v="0"/>
    <n v="41489.800000000003"/>
    <n v="26406.2"/>
    <s v="Actual"/>
    <n v="2"/>
    <n v="15083.600000000002"/>
    <n v="0.36354959532222381"/>
  </r>
  <r>
    <s v="ORD484"/>
    <d v="2023-04-05T00:00:00"/>
    <x v="2"/>
    <x v="1"/>
    <x v="2"/>
    <x v="0"/>
    <n v="50175.89"/>
    <n v="42706.07"/>
    <s v="Actual"/>
    <n v="3"/>
    <n v="7469.82"/>
    <n v="0.14887269563130817"/>
  </r>
  <r>
    <s v="ORD5381"/>
    <d v="2023-02-15T00:00:00"/>
    <x v="1"/>
    <x v="1"/>
    <x v="0"/>
    <x v="0"/>
    <n v="65748.25"/>
    <n v="41836.379999999997"/>
    <s v="Actual"/>
    <n v="4"/>
    <n v="23911.870000000003"/>
    <n v="0.36368831109573263"/>
  </r>
  <r>
    <s v="ORD2361"/>
    <d v="2023-06-25T00:00:00"/>
    <x v="0"/>
    <x v="2"/>
    <x v="3"/>
    <x v="0"/>
    <n v="162435.20000000001"/>
    <n v="118796.4"/>
    <s v="Actual"/>
    <n v="3"/>
    <n v="43638.800000000017"/>
    <n v="0.26865359232481639"/>
  </r>
  <r>
    <s v="ORD442"/>
    <s v="Not Mentioned"/>
    <x v="3"/>
    <x v="0"/>
    <x v="0"/>
    <x v="0"/>
    <n v="14593.36"/>
    <n v="10169.83"/>
    <s v="Actual"/>
    <n v="1"/>
    <n v="4423.5300000000007"/>
    <n v="0.30311936387507749"/>
  </r>
  <r>
    <s v="ORD9368"/>
    <d v="2023-06-25T00:00:00"/>
    <x v="0"/>
    <x v="3"/>
    <x v="1"/>
    <x v="0"/>
    <n v="21621.02"/>
    <n v="15199.7"/>
    <s v="Actual"/>
    <n v="2"/>
    <n v="6421.32"/>
    <n v="0.29699431386678332"/>
  </r>
  <r>
    <s v="ORD4333"/>
    <d v="2023-06-25T00:00:00"/>
    <x v="0"/>
    <x v="1"/>
    <x v="3"/>
    <x v="0"/>
    <n v="146238.81"/>
    <n v="130322.29"/>
    <s v="Actual"/>
    <n v="3"/>
    <n v="15916.520000000004"/>
    <n v="0.10883923357964964"/>
  </r>
  <r>
    <s v="ORD3093"/>
    <d v="2023-01-15T00:00:00"/>
    <x v="4"/>
    <x v="3"/>
    <x v="1"/>
    <x v="0"/>
    <n v="32020.38"/>
    <n v="19047.93"/>
    <s v="Actual"/>
    <n v="3"/>
    <n v="12972.45"/>
    <n v="0.40513104466592842"/>
  </r>
  <r>
    <s v="ORD3975"/>
    <d v="2023-06-25T00:00:00"/>
    <x v="0"/>
    <x v="1"/>
    <x v="0"/>
    <x v="0"/>
    <n v="17382.23"/>
    <n v="10754.35"/>
    <s v="Actual"/>
    <s v="Unknown"/>
    <n v="6627.8799999999992"/>
    <n v="0.38130205387916277"/>
  </r>
  <r>
    <s v="ORD4613"/>
    <d v="2023-06-25T00:00:00"/>
    <x v="0"/>
    <x v="2"/>
    <x v="0"/>
    <x v="0"/>
    <n v="15275.16"/>
    <n v="9345.36"/>
    <s v="Actual"/>
    <n v="1"/>
    <n v="5929.7999999999993"/>
    <n v="0.38819887974986839"/>
  </r>
  <r>
    <s v="ORD213"/>
    <d v="2023-03-20T00:00:00"/>
    <x v="5"/>
    <x v="1"/>
    <x v="1"/>
    <x v="0"/>
    <n v="42629.66"/>
    <n v="25520.87"/>
    <s v="Actual"/>
    <s v="Unknown"/>
    <n v="17108.790000000005"/>
    <n v="0.40133536134231435"/>
  </r>
  <r>
    <s v="ORD7997"/>
    <d v="2023-06-25T00:00:00"/>
    <x v="0"/>
    <x v="2"/>
    <x v="1"/>
    <x v="0"/>
    <n v="57594.41"/>
    <n v="31497.62"/>
    <s v="Actual"/>
    <n v="5"/>
    <n v="26096.790000000005"/>
    <n v="0.45311324484442156"/>
  </r>
  <r>
    <s v="ORD8681"/>
    <d v="2023-04-05T00:00:00"/>
    <x v="2"/>
    <x v="2"/>
    <x v="2"/>
    <x v="0"/>
    <n v="109228.28"/>
    <n v="87382.624000000011"/>
    <s v="Estimated"/>
    <n v="5"/>
    <n v="21845.655999999988"/>
    <n v="0.1999999999999999"/>
  </r>
  <r>
    <s v="ORD515"/>
    <d v="2023-06-25T00:00:00"/>
    <x v="0"/>
    <x v="2"/>
    <x v="1"/>
    <x v="0"/>
    <n v="21161.1"/>
    <n v="12888.28"/>
    <s v="Actual"/>
    <n v="2"/>
    <n v="8272.8199999999979"/>
    <n v="0.39094470514292728"/>
  </r>
  <r>
    <s v="ORD803"/>
    <d v="2023-06-25T00:00:00"/>
    <x v="0"/>
    <x v="1"/>
    <x v="0"/>
    <x v="0"/>
    <n v="16677.650000000001"/>
    <n v="10005.25"/>
    <s v="Actual"/>
    <n v="1"/>
    <n v="6672.4000000000015"/>
    <n v="0.40008034705129325"/>
  </r>
  <r>
    <s v="ORD512"/>
    <d v="2023-04-05T00:00:00"/>
    <x v="2"/>
    <x v="2"/>
    <x v="3"/>
    <x v="0"/>
    <n v="111059.29"/>
    <n v="86458.25"/>
    <s v="Actual"/>
    <s v="Unknown"/>
    <n v="24601.039999999994"/>
    <n v="0.22151267129476512"/>
  </r>
  <r>
    <s v="ORD4855"/>
    <d v="2023-04-05T00:00:00"/>
    <x v="2"/>
    <x v="1"/>
    <x v="3"/>
    <x v="0"/>
    <n v="60069.46"/>
    <n v="43460.08"/>
    <s v="Actual"/>
    <n v="1"/>
    <n v="16609.379999999997"/>
    <n v="0.27650290180734099"/>
  </r>
  <r>
    <s v="ORD7820"/>
    <d v="2023-01-15T00:00:00"/>
    <x v="4"/>
    <x v="0"/>
    <x v="1"/>
    <x v="0"/>
    <n v="44812.53"/>
    <n v="27254.42"/>
    <s v="Actual"/>
    <n v="4"/>
    <n v="17558.11"/>
    <n v="0.39181251315201354"/>
  </r>
  <r>
    <s v="ORD333"/>
    <d v="2023-02-15T00:00:00"/>
    <x v="1"/>
    <x v="0"/>
    <x v="1"/>
    <x v="0"/>
    <n v="31843.63"/>
    <n v="17949.080000000002"/>
    <s v="Actual"/>
    <n v="3"/>
    <n v="13894.55"/>
    <n v="0.43633687491030382"/>
  </r>
  <r>
    <s v="ORD747"/>
    <d v="2023-02-15T00:00:00"/>
    <x v="1"/>
    <x v="1"/>
    <x v="0"/>
    <x v="0"/>
    <n v="42692.45"/>
    <n v="27330.71"/>
    <s v="Actual"/>
    <n v="3"/>
    <n v="15361.739999999998"/>
    <n v="0.3598233411294034"/>
  </r>
  <r>
    <s v="ORD869"/>
    <d v="2023-03-20T00:00:00"/>
    <x v="5"/>
    <x v="1"/>
    <x v="2"/>
    <x v="0"/>
    <n v="38947.5"/>
    <n v="24746.59"/>
    <s v="Actual"/>
    <n v="2"/>
    <n v="14200.91"/>
    <n v="0.36461672764619041"/>
  </r>
  <r>
    <s v="ORD5861"/>
    <d v="2023-02-15T00:00:00"/>
    <x v="1"/>
    <x v="3"/>
    <x v="2"/>
    <x v="0"/>
    <n v="32296.77"/>
    <n v="28872.93"/>
    <s v="Actual"/>
    <n v="2"/>
    <n v="3423.84"/>
    <n v="0.10601183957405029"/>
  </r>
  <r>
    <s v="ORD5476"/>
    <d v="2023-01-15T00:00:00"/>
    <x v="4"/>
    <x v="2"/>
    <x v="3"/>
    <x v="0"/>
    <n v="221918.51"/>
    <n v="197576.77"/>
    <s v="Actual"/>
    <n v="4"/>
    <n v="24341.74000000002"/>
    <n v="0.10968774078376796"/>
  </r>
  <r>
    <s v="ORD8123"/>
    <d v="2023-02-15T00:00:00"/>
    <x v="1"/>
    <x v="0"/>
    <x v="3"/>
    <x v="0"/>
    <n v="204448.8"/>
    <n v="134671.04999999999"/>
    <s v="Actual"/>
    <n v="3"/>
    <n v="69777.75"/>
    <n v="0.34129694084778195"/>
  </r>
  <r>
    <s v="ORD4851"/>
    <d v="2023-06-25T00:00:00"/>
    <x v="0"/>
    <x v="2"/>
    <x v="2"/>
    <x v="0"/>
    <n v="21403.64"/>
    <n v="12207.53"/>
    <s v="Actual"/>
    <n v="1"/>
    <n v="9196.1099999999988"/>
    <n v="0.42965168541425658"/>
  </r>
  <r>
    <s v="ORD3371"/>
    <s v="Not Mentioned"/>
    <x v="3"/>
    <x v="0"/>
    <x v="3"/>
    <x v="0"/>
    <n v="182166.37"/>
    <n v="142807.19"/>
    <s v="Actual"/>
    <n v="3"/>
    <n v="39359.179999999993"/>
    <n v="0.21606172423592782"/>
  </r>
  <r>
    <s v="ORD1318"/>
    <d v="2023-04-05T00:00:00"/>
    <x v="2"/>
    <x v="1"/>
    <x v="1"/>
    <x v="0"/>
    <n v="44930.69"/>
    <n v="24714.28"/>
    <s v="Actual"/>
    <n v="4"/>
    <n v="20216.410000000003"/>
    <n v="0.44994657326651344"/>
  </r>
  <r>
    <s v="ORD8532"/>
    <d v="2023-03-20T00:00:00"/>
    <x v="5"/>
    <x v="2"/>
    <x v="3"/>
    <x v="0"/>
    <n v="152431.72"/>
    <n v="124852.95"/>
    <s v="Actual"/>
    <n v="3"/>
    <n v="27578.770000000004"/>
    <n v="0.18092540056623388"/>
  </r>
  <r>
    <s v="ORD8707"/>
    <d v="2023-02-15T00:00:00"/>
    <x v="1"/>
    <x v="2"/>
    <x v="2"/>
    <x v="0"/>
    <n v="90691.8"/>
    <n v="64357.07"/>
    <s v="Actual"/>
    <n v="5"/>
    <n v="26334.730000000003"/>
    <n v="0.29037608692296329"/>
  </r>
  <r>
    <s v="ORD1016"/>
    <d v="2023-06-25T00:00:00"/>
    <x v="0"/>
    <x v="2"/>
    <x v="0"/>
    <x v="0"/>
    <n v="13426.19"/>
    <n v="8702.9699999999993"/>
    <s v="Actual"/>
    <n v="1"/>
    <n v="4723.2200000000012"/>
    <n v="0.35179153579682704"/>
  </r>
  <r>
    <s v="ORD1371"/>
    <d v="2023-01-15T00:00:00"/>
    <x v="4"/>
    <x v="0"/>
    <x v="1"/>
    <x v="0"/>
    <n v="24703.09"/>
    <n v="18981.28"/>
    <s v="Actual"/>
    <n v="3"/>
    <n v="5721.8100000000013"/>
    <n v="0.23162325037070267"/>
  </r>
  <r>
    <s v="ORD2374"/>
    <d v="2023-02-15T00:00:00"/>
    <x v="1"/>
    <x v="0"/>
    <x v="2"/>
    <x v="0"/>
    <n v="113155.88"/>
    <n v="70059.81"/>
    <s v="Actual"/>
    <n v="5"/>
    <n v="43096.070000000007"/>
    <n v="0.38085577170183293"/>
  </r>
  <r>
    <s v="ORD332"/>
    <d v="2023-04-05T00:00:00"/>
    <x v="2"/>
    <x v="1"/>
    <x v="0"/>
    <x v="0"/>
    <n v="30883.02"/>
    <n v="21716.17"/>
    <s v="Actual"/>
    <n v="2"/>
    <n v="9166.8500000000022"/>
    <n v="0.29682492191502002"/>
  </r>
  <r>
    <s v="ORD4107"/>
    <s v="Not Mentioned"/>
    <x v="3"/>
    <x v="2"/>
    <x v="3"/>
    <x v="0"/>
    <n v="172699.18"/>
    <n v="123887.26"/>
    <s v="Actual"/>
    <n v="3"/>
    <n v="48811.92"/>
    <n v="0.28264129569115498"/>
  </r>
  <r>
    <s v="ORD5623"/>
    <d v="2023-02-15T00:00:00"/>
    <x v="1"/>
    <x v="2"/>
    <x v="1"/>
    <x v="0"/>
    <n v="28507.78"/>
    <n v="18590.560000000001"/>
    <s v="Actual"/>
    <n v="3"/>
    <n v="9917.2199999999975"/>
    <n v="0.34787766707895174"/>
  </r>
  <r>
    <s v="ORD681"/>
    <d v="2023-06-25T00:00:00"/>
    <x v="0"/>
    <x v="2"/>
    <x v="3"/>
    <x v="0"/>
    <n v="132310.93"/>
    <n v="78988.03"/>
    <s v="Actual"/>
    <n v="2"/>
    <n v="53322.899999999994"/>
    <n v="0.40301205652473304"/>
  </r>
  <r>
    <s v="ORD285"/>
    <d v="2023-04-05T00:00:00"/>
    <x v="2"/>
    <x v="1"/>
    <x v="3"/>
    <x v="0"/>
    <n v="205303.59"/>
    <n v="145336.07999999999"/>
    <s v="Actual"/>
    <n v="3"/>
    <n v="59967.510000000009"/>
    <n v="0.2920918723340396"/>
  </r>
  <r>
    <s v="ORD7387"/>
    <d v="2023-01-15T00:00:00"/>
    <x v="4"/>
    <x v="2"/>
    <x v="1"/>
    <x v="0"/>
    <n v="20902.400000000001"/>
    <n v="12050.51"/>
    <s v="Actual"/>
    <n v="2"/>
    <n v="8851.8900000000012"/>
    <n v="0.42348677663808942"/>
  </r>
  <r>
    <s v="ORD9490"/>
    <d v="2023-03-20T00:00:00"/>
    <x v="5"/>
    <x v="1"/>
    <x v="2"/>
    <x v="0"/>
    <n v="99614.02"/>
    <n v="65045.5"/>
    <s v="Actual"/>
    <n v="5"/>
    <n v="34568.520000000004"/>
    <n v="0.34702464572757935"/>
  </r>
  <r>
    <s v="ORD512"/>
    <d v="2023-02-15T00:00:00"/>
    <x v="1"/>
    <x v="1"/>
    <x v="1"/>
    <x v="0"/>
    <n v="56167.65"/>
    <n v="34304.61"/>
    <s v="Actual"/>
    <s v="Unknown"/>
    <n v="21863.040000000001"/>
    <n v="0.38924612299072509"/>
  </r>
  <r>
    <s v="ORD8662"/>
    <s v="Not Mentioned"/>
    <x v="3"/>
    <x v="2"/>
    <x v="1"/>
    <x v="0"/>
    <n v="25307.66"/>
    <n v="19166.34"/>
    <s v="Actual"/>
    <n v="3"/>
    <n v="6141.32"/>
    <n v="0.24266644960458611"/>
  </r>
  <r>
    <s v="ORD6235"/>
    <d v="2023-03-20T00:00:00"/>
    <x v="5"/>
    <x v="2"/>
    <x v="1"/>
    <x v="0"/>
    <n v="32144.560000000001"/>
    <n v="20332.22"/>
    <s v="Actual"/>
    <n v="3"/>
    <n v="11812.34"/>
    <n v="0.36747555418397387"/>
  </r>
  <r>
    <s v="ORD3426"/>
    <d v="2023-06-25T00:00:00"/>
    <x v="0"/>
    <x v="0"/>
    <x v="2"/>
    <x v="0"/>
    <n v="21605.64"/>
    <n v="12801.8"/>
    <s v="Actual"/>
    <n v="1"/>
    <n v="8803.84"/>
    <n v="0.40747878794611037"/>
  </r>
  <r>
    <s v="ORD1425"/>
    <d v="2023-01-15T00:00:00"/>
    <x v="4"/>
    <x v="3"/>
    <x v="0"/>
    <x v="0"/>
    <n v="14108.65"/>
    <n v="11286.92"/>
    <s v="Estimated"/>
    <n v="1"/>
    <n v="2821.7299999999996"/>
    <n v="0.19999999999999998"/>
  </r>
  <r>
    <s v="ORD9102"/>
    <d v="2023-02-15T00:00:00"/>
    <x v="1"/>
    <x v="2"/>
    <x v="2"/>
    <x v="0"/>
    <n v="43192.94"/>
    <n v="25853.49"/>
    <s v="Actual"/>
    <n v="2"/>
    <n v="17339.45"/>
    <n v="0.40144176339929627"/>
  </r>
  <r>
    <s v="ORD3890"/>
    <s v="Not Mentioned"/>
    <x v="3"/>
    <x v="2"/>
    <x v="1"/>
    <x v="0"/>
    <n v="9371.57"/>
    <n v="6682.15"/>
    <s v="Actual"/>
    <n v="1"/>
    <n v="2689.42"/>
    <n v="0.28697646178815289"/>
  </r>
  <r>
    <s v="ORD8351"/>
    <s v="Not Mentioned"/>
    <x v="3"/>
    <x v="2"/>
    <x v="3"/>
    <x v="0"/>
    <n v="258662.14"/>
    <n v="187563.89"/>
    <s v="Actual"/>
    <n v="4"/>
    <n v="71098.25"/>
    <n v="0.27486917876732947"/>
  </r>
  <r>
    <s v="ORD1078"/>
    <d v="2023-06-25T00:00:00"/>
    <x v="0"/>
    <x v="0"/>
    <x v="0"/>
    <x v="0"/>
    <n v="28835.67"/>
    <n v="17082.689999999999"/>
    <s v="Actual"/>
    <n v="2"/>
    <n v="11752.98"/>
    <n v="0.40758477260975728"/>
  </r>
  <r>
    <s v="ORD5923"/>
    <d v="2023-01-15T00:00:00"/>
    <x v="4"/>
    <x v="1"/>
    <x v="3"/>
    <x v="0"/>
    <n v="98609.58"/>
    <n v="80291.710000000006"/>
    <s v="Actual"/>
    <n v="2"/>
    <n v="18317.869999999995"/>
    <n v="0.18576156596549742"/>
  </r>
  <r>
    <s v="ORD7064"/>
    <d v="2023-03-20T00:00:00"/>
    <x v="5"/>
    <x v="1"/>
    <x v="3"/>
    <x v="0"/>
    <n v="226112.61"/>
    <n v="178842.17"/>
    <s v="Actual"/>
    <s v="Unknown"/>
    <n v="47270.439999999973"/>
    <n v="0.20905707116467312"/>
  </r>
  <r>
    <s v="ORD3087"/>
    <d v="2023-02-15T00:00:00"/>
    <x v="1"/>
    <x v="2"/>
    <x v="3"/>
    <x v="0"/>
    <n v="57523.03"/>
    <n v="42930.57"/>
    <s v="Actual"/>
    <n v="1"/>
    <n v="14592.46"/>
    <n v="0.25368030856510859"/>
  </r>
  <r>
    <s v="ORD5488"/>
    <d v="2023-04-05T00:00:00"/>
    <x v="2"/>
    <x v="2"/>
    <x v="2"/>
    <x v="0"/>
    <n v="21988.67"/>
    <n v="12887.8"/>
    <s v="Actual"/>
    <n v="1"/>
    <n v="9100.869999999999"/>
    <n v="0.41388906195781733"/>
  </r>
  <r>
    <s v="ORD382"/>
    <s v="Not Mentioned"/>
    <x v="3"/>
    <x v="2"/>
    <x v="3"/>
    <x v="0"/>
    <n v="308489.25"/>
    <n v="234683.58"/>
    <s v="Actual"/>
    <n v="5"/>
    <n v="73805.670000000013"/>
    <n v="0.23924875826305134"/>
  </r>
  <r>
    <s v="ORD9699"/>
    <d v="2023-01-15T00:00:00"/>
    <x v="4"/>
    <x v="2"/>
    <x v="1"/>
    <x v="0"/>
    <n v="29946.11"/>
    <n v="18409.75"/>
    <s v="Actual"/>
    <n v="3"/>
    <n v="11536.36"/>
    <n v="0.38523734802283172"/>
  </r>
  <r>
    <s v="ORD216"/>
    <d v="2023-06-25T00:00:00"/>
    <x v="0"/>
    <x v="2"/>
    <x v="2"/>
    <x v="0"/>
    <n v="64508.59"/>
    <n v="55116.62"/>
    <s v="Actual"/>
    <n v="4"/>
    <n v="9391.9699999999939"/>
    <n v="0.14559254821722184"/>
  </r>
  <r>
    <s v="ORD894"/>
    <d v="2023-03-20T00:00:00"/>
    <x v="5"/>
    <x v="2"/>
    <x v="1"/>
    <x v="0"/>
    <n v="33937.300000000003"/>
    <n v="29852.61"/>
    <s v="Actual"/>
    <n v="4"/>
    <n v="4084.6900000000023"/>
    <n v="0.12035989899019668"/>
  </r>
  <r>
    <s v="ORD2139"/>
    <d v="2023-06-25T00:00:00"/>
    <x v="0"/>
    <x v="1"/>
    <x v="3"/>
    <x v="0"/>
    <n v="195130.44"/>
    <n v="121798.25"/>
    <s v="Actual"/>
    <n v="3"/>
    <n v="73332.19"/>
    <n v="0.37581112408704659"/>
  </r>
  <r>
    <s v="ORD8765"/>
    <d v="2023-01-15T00:00:00"/>
    <x v="4"/>
    <x v="0"/>
    <x v="0"/>
    <x v="0"/>
    <n v="49834.35"/>
    <n v="29937.439999999999"/>
    <s v="Actual"/>
    <s v="Unknown"/>
    <n v="19896.91"/>
    <n v="0.39926095153242697"/>
  </r>
  <r>
    <s v="ORD9366"/>
    <d v="2023-01-15T00:00:00"/>
    <x v="4"/>
    <x v="0"/>
    <x v="1"/>
    <x v="0"/>
    <n v="48586.400000000001"/>
    <n v="36351.629999999997"/>
    <s v="Actual"/>
    <n v="5"/>
    <n v="12234.770000000004"/>
    <n v="0.25181470534964523"/>
  </r>
  <r>
    <s v="ORD948"/>
    <d v="2023-03-20T00:00:00"/>
    <x v="5"/>
    <x v="2"/>
    <x v="3"/>
    <x v="0"/>
    <n v="184700.81"/>
    <n v="123143.35"/>
    <s v="Actual"/>
    <n v="3"/>
    <n v="61557.459999999992"/>
    <n v="0.33328202513026334"/>
  </r>
  <r>
    <s v="ORD4956"/>
    <d v="2023-04-05T00:00:00"/>
    <x v="2"/>
    <x v="1"/>
    <x v="1"/>
    <x v="0"/>
    <n v="17915.91"/>
    <n v="12674.28"/>
    <s v="Actual"/>
    <n v="2"/>
    <n v="5241.6299999999992"/>
    <n v="0.29256844893728529"/>
  </r>
  <r>
    <s v="ORD4247"/>
    <d v="2023-04-05T00:00:00"/>
    <x v="2"/>
    <x v="1"/>
    <x v="3"/>
    <x v="0"/>
    <n v="71407.06"/>
    <n v="46174.559999999998"/>
    <s v="Actual"/>
    <n v="1"/>
    <n v="25232.5"/>
    <n v="0.35336141832474272"/>
  </r>
  <r>
    <s v="ORD6642"/>
    <d v="2023-02-15T00:00:00"/>
    <x v="1"/>
    <x v="2"/>
    <x v="3"/>
    <x v="0"/>
    <n v="48135.65"/>
    <n v="49409.97"/>
    <s v="Actual"/>
    <n v="1"/>
    <n v="-1274.3199999999997"/>
    <n v="-2.6473518068209315E-2"/>
  </r>
  <r>
    <s v="ORD9766"/>
    <d v="2023-03-20T00:00:00"/>
    <x v="5"/>
    <x v="2"/>
    <x v="1"/>
    <x v="0"/>
    <n v="8708.5400000000009"/>
    <n v="6586.35"/>
    <s v="Actual"/>
    <n v="1"/>
    <n v="2122.1900000000005"/>
    <n v="0.24369067604902778"/>
  </r>
  <r>
    <s v="ORD5787"/>
    <d v="2023-02-15T00:00:00"/>
    <x v="1"/>
    <x v="2"/>
    <x v="1"/>
    <x v="0"/>
    <n v="43236.78"/>
    <n v="30568.66"/>
    <s v="Actual"/>
    <n v="4"/>
    <n v="12668.119999999999"/>
    <n v="0.292994066625683"/>
  </r>
  <r>
    <s v="ORD9303"/>
    <d v="2023-06-25T00:00:00"/>
    <x v="0"/>
    <x v="2"/>
    <x v="1"/>
    <x v="0"/>
    <n v="8886.3700000000008"/>
    <n v="7274.09"/>
    <s v="Actual"/>
    <n v="1"/>
    <n v="1612.2800000000007"/>
    <n v="0.18143291355187782"/>
  </r>
  <r>
    <s v="ORD3665"/>
    <d v="2023-02-15T00:00:00"/>
    <x v="1"/>
    <x v="1"/>
    <x v="3"/>
    <x v="0"/>
    <n v="107627.31"/>
    <n v="81975.240000000005"/>
    <s v="Actual"/>
    <n v="2"/>
    <n v="25652.069999999992"/>
    <n v="0.23834164395635266"/>
  </r>
  <r>
    <s v="ORD7521"/>
    <d v="2023-02-15T00:00:00"/>
    <x v="1"/>
    <x v="2"/>
    <x v="1"/>
    <x v="0"/>
    <n v="35638.699999999997"/>
    <n v="22704.720000000001"/>
    <s v="Actual"/>
    <n v="3"/>
    <n v="12933.979999999996"/>
    <n v="0.36291952287821938"/>
  </r>
  <r>
    <s v="ORD4212"/>
    <d v="2023-03-20T00:00:00"/>
    <x v="5"/>
    <x v="0"/>
    <x v="1"/>
    <x v="0"/>
    <n v="44686.6"/>
    <n v="25711.08"/>
    <s v="Actual"/>
    <n v="4"/>
    <n v="18975.519999999997"/>
    <n v="0.42463557308007316"/>
  </r>
  <r>
    <s v="ORD378"/>
    <d v="2023-04-05T00:00:00"/>
    <x v="2"/>
    <x v="3"/>
    <x v="1"/>
    <x v="0"/>
    <n v="52574.9"/>
    <n v="35259.64"/>
    <s v="Actual"/>
    <n v="5"/>
    <n v="17315.260000000002"/>
    <n v="0.32934461121181402"/>
  </r>
  <r>
    <s v="ORD620"/>
    <d v="2023-01-15T00:00:00"/>
    <x v="4"/>
    <x v="1"/>
    <x v="3"/>
    <x v="0"/>
    <n v="58240.18"/>
    <n v="45392.79"/>
    <s v="Actual"/>
    <n v="1"/>
    <n v="12847.39"/>
    <n v="0.22059323992473923"/>
  </r>
  <r>
    <s v="ORD2176"/>
    <d v="2023-01-15T00:00:00"/>
    <x v="4"/>
    <x v="2"/>
    <x v="1"/>
    <x v="0"/>
    <n v="39071.43"/>
    <n v="28311.599999999999"/>
    <s v="Actual"/>
    <n v="4"/>
    <n v="10759.830000000002"/>
    <n v="0.27538869194191257"/>
  </r>
  <r>
    <s v="ORD3788"/>
    <d v="2023-04-05T00:00:00"/>
    <x v="2"/>
    <x v="2"/>
    <x v="1"/>
    <x v="0"/>
    <n v="41340.559999999998"/>
    <n v="37587.54"/>
    <s v="Actual"/>
    <n v="5"/>
    <n v="3753.0199999999968"/>
    <n v="9.0782998585408545E-2"/>
  </r>
  <r>
    <s v="ORD7347"/>
    <d v="2023-03-20T00:00:00"/>
    <x v="5"/>
    <x v="0"/>
    <x v="0"/>
    <x v="0"/>
    <n v="49613.97"/>
    <n v="31349.72"/>
    <s v="Actual"/>
    <s v="Unknown"/>
    <n v="18264.25"/>
    <n v="0.36812716257134837"/>
  </r>
  <r>
    <s v="ORD5349"/>
    <d v="2023-06-25T00:00:00"/>
    <x v="0"/>
    <x v="1"/>
    <x v="3"/>
    <x v="0"/>
    <n v="102255.76"/>
    <n v="81804.608000000007"/>
    <s v="Estimated"/>
    <n v="2"/>
    <n v="20451.151999999987"/>
    <n v="0.19999999999999987"/>
  </r>
  <r>
    <s v="ORD3358"/>
    <d v="2023-03-20T00:00:00"/>
    <x v="5"/>
    <x v="1"/>
    <x v="2"/>
    <x v="0"/>
    <n v="67276.81"/>
    <n v="57922.41"/>
    <s v="Actual"/>
    <n v="4"/>
    <n v="9354.3999999999942"/>
    <n v="0.1390434534574394"/>
  </r>
  <r>
    <s v="ORD387"/>
    <d v="2023-03-20T00:00:00"/>
    <x v="5"/>
    <x v="1"/>
    <x v="3"/>
    <x v="0"/>
    <n v="286565.90999999997"/>
    <n v="201690.23"/>
    <s v="Actual"/>
    <n v="5"/>
    <n v="84875.679999999964"/>
    <n v="0.29618205459260655"/>
  </r>
  <r>
    <s v="ORD6735"/>
    <d v="2023-02-15T00:00:00"/>
    <x v="1"/>
    <x v="2"/>
    <x v="3"/>
    <x v="0"/>
    <n v="330164.61"/>
    <n v="212065.76"/>
    <s v="Actual"/>
    <n v="5"/>
    <n v="118098.84999999998"/>
    <n v="0.35769687732431404"/>
  </r>
  <r>
    <s v="ORD6918"/>
    <d v="2023-03-20T00:00:00"/>
    <x v="5"/>
    <x v="2"/>
    <x v="0"/>
    <x v="0"/>
    <n v="51198.58"/>
    <n v="31836.86"/>
    <s v="Actual"/>
    <n v="3"/>
    <n v="19361.72"/>
    <n v="0.37816908203313454"/>
  </r>
  <r>
    <s v="ORD7359"/>
    <d v="2023-02-15T00:00:00"/>
    <x v="1"/>
    <x v="1"/>
    <x v="3"/>
    <x v="0"/>
    <n v="166302.62"/>
    <n v="121372.28"/>
    <s v="Actual"/>
    <n v="3"/>
    <n v="44930.34"/>
    <n v="0.27017217167113783"/>
  </r>
  <r>
    <s v="ORD183"/>
    <d v="2023-06-25T00:00:00"/>
    <x v="0"/>
    <x v="2"/>
    <x v="3"/>
    <x v="0"/>
    <n v="111396.69"/>
    <n v="85211"/>
    <s v="Actual"/>
    <n v="2"/>
    <n v="26185.690000000002"/>
    <n v="0.23506703834736922"/>
  </r>
  <r>
    <s v="ORD1923"/>
    <d v="2023-03-20T00:00:00"/>
    <x v="5"/>
    <x v="2"/>
    <x v="3"/>
    <x v="0"/>
    <n v="205615.57"/>
    <n v="153168.53"/>
    <s v="Actual"/>
    <n v="4"/>
    <n v="52447.040000000008"/>
    <n v="0.25507329041278348"/>
  </r>
  <r>
    <s v="ORD617"/>
    <d v="2023-02-15T00:00:00"/>
    <x v="1"/>
    <x v="1"/>
    <x v="3"/>
    <x v="0"/>
    <n v="282891.95"/>
    <n v="157519.82"/>
    <s v="Actual"/>
    <s v="Unknown"/>
    <n v="125372.13"/>
    <n v="0.44318026723630699"/>
  </r>
  <r>
    <s v="ORD7311"/>
    <d v="2023-02-15T00:00:00"/>
    <x v="1"/>
    <x v="2"/>
    <x v="2"/>
    <x v="0"/>
    <n v="20327.78"/>
    <n v="15023.18"/>
    <s v="Actual"/>
    <n v="1"/>
    <n v="5304.5999999999985"/>
    <n v="0.2609532373923763"/>
  </r>
  <r>
    <s v="ORD4839"/>
    <d v="2023-06-25T00:00:00"/>
    <x v="0"/>
    <x v="2"/>
    <x v="1"/>
    <x v="0"/>
    <n v="55831.5"/>
    <n v="30758.799999999999"/>
    <s v="Actual"/>
    <n v="5"/>
    <n v="25072.7"/>
    <n v="0.44907802942783198"/>
  </r>
  <r>
    <s v="ORD2089"/>
    <d v="2023-03-20T00:00:00"/>
    <x v="5"/>
    <x v="1"/>
    <x v="2"/>
    <x v="0"/>
    <n v="42811.92"/>
    <n v="29445.94"/>
    <s v="Actual"/>
    <n v="2"/>
    <n v="13365.98"/>
    <n v="0.31220230253630299"/>
  </r>
  <r>
    <s v="ORD6146"/>
    <d v="2023-03-20T00:00:00"/>
    <x v="5"/>
    <x v="1"/>
    <x v="0"/>
    <x v="0"/>
    <n v="30028.78"/>
    <n v="18693.400000000001"/>
    <s v="Actual"/>
    <n v="2"/>
    <n v="11335.379999999997"/>
    <n v="0.37748386714345367"/>
  </r>
  <r>
    <s v="ORD4999"/>
    <d v="2023-01-15T00:00:00"/>
    <x v="4"/>
    <x v="3"/>
    <x v="1"/>
    <x v="0"/>
    <n v="17574.32"/>
    <n v="14149.03"/>
    <s v="Actual"/>
    <s v="Unknown"/>
    <n v="3425.2899999999991"/>
    <n v="0.19490313138716031"/>
  </r>
  <r>
    <s v="ORD7966"/>
    <d v="2023-04-05T00:00:00"/>
    <x v="2"/>
    <x v="1"/>
    <x v="3"/>
    <x v="0"/>
    <n v="103677.16"/>
    <n v="82749.69"/>
    <s v="Actual"/>
    <n v="2"/>
    <n v="20927.47"/>
    <n v="0.20185226910150703"/>
  </r>
  <r>
    <s v="ORD6234"/>
    <d v="2023-02-15T00:00:00"/>
    <x v="1"/>
    <x v="3"/>
    <x v="1"/>
    <x v="0"/>
    <n v="16138.61"/>
    <n v="13912.19"/>
    <s v="Actual"/>
    <n v="2"/>
    <n v="2226.42"/>
    <n v="0.1379561188974763"/>
  </r>
  <r>
    <s v="ORD9818"/>
    <d v="2023-01-15T00:00:00"/>
    <x v="4"/>
    <x v="3"/>
    <x v="1"/>
    <x v="0"/>
    <n v="35726.9"/>
    <n v="22383.08"/>
    <s v="Actual"/>
    <n v="3"/>
    <n v="13343.82"/>
    <n v="0.37349504155132407"/>
  </r>
  <r>
    <s v="ORD635"/>
    <d v="2023-02-15T00:00:00"/>
    <x v="1"/>
    <x v="3"/>
    <x v="0"/>
    <x v="0"/>
    <n v="65375.62"/>
    <n v="40619.5"/>
    <s v="Actual"/>
    <s v="Unknown"/>
    <n v="24756.120000000003"/>
    <n v="0.37867510854963976"/>
  </r>
  <r>
    <s v="ORD3821"/>
    <d v="2023-02-15T00:00:00"/>
    <x v="1"/>
    <x v="3"/>
    <x v="3"/>
    <x v="0"/>
    <n v="252234.14"/>
    <n v="178478.37"/>
    <s v="Actual"/>
    <n v="4"/>
    <n v="73755.770000000019"/>
    <n v="0.29240994101750073"/>
  </r>
  <r>
    <s v="ORD5625"/>
    <d v="2023-01-15T00:00:00"/>
    <x v="4"/>
    <x v="1"/>
    <x v="2"/>
    <x v="0"/>
    <n v="87460.44"/>
    <n v="62601.16"/>
    <s v="Actual"/>
    <n v="5"/>
    <n v="24859.279999999999"/>
    <n v="0.28423456364957689"/>
  </r>
  <r>
    <s v="ORD786"/>
    <d v="2023-04-05T00:00:00"/>
    <x v="2"/>
    <x v="1"/>
    <x v="1"/>
    <x v="0"/>
    <n v="18414.23"/>
    <n v="14866.48"/>
    <s v="Actual"/>
    <n v="2"/>
    <n v="3547.75"/>
    <n v="0.19266349991283915"/>
  </r>
  <r>
    <s v="ORD5682"/>
    <s v="Not Mentioned"/>
    <x v="3"/>
    <x v="1"/>
    <x v="0"/>
    <x v="0"/>
    <n v="13418.84"/>
    <n v="9363.5499999999993"/>
    <s v="Actual"/>
    <n v="1"/>
    <n v="4055.2900000000009"/>
    <n v="0.30220868569861487"/>
  </r>
  <r>
    <s v="ORD7723"/>
    <d v="2023-02-15T00:00:00"/>
    <x v="1"/>
    <x v="1"/>
    <x v="0"/>
    <x v="0"/>
    <n v="35077.730000000003"/>
    <n v="18346.78"/>
    <s v="Actual"/>
    <n v="2"/>
    <n v="16730.950000000004"/>
    <n v="0.4769678653664306"/>
  </r>
  <r>
    <s v="ORD8017"/>
    <d v="2023-02-15T00:00:00"/>
    <x v="1"/>
    <x v="2"/>
    <x v="0"/>
    <x v="0"/>
    <n v="40135.69"/>
    <n v="25767.040000000001"/>
    <s v="Actual"/>
    <n v="3"/>
    <n v="14368.650000000001"/>
    <n v="0.35800181833176409"/>
  </r>
  <r>
    <s v="ORD6489"/>
    <d v="2023-03-20T00:00:00"/>
    <x v="5"/>
    <x v="1"/>
    <x v="0"/>
    <x v="0"/>
    <n v="13944.17"/>
    <n v="9798.57"/>
    <s v="Actual"/>
    <n v="1"/>
    <n v="4145.6000000000004"/>
    <n v="0.2972998751449531"/>
  </r>
  <r>
    <s v="ORD418"/>
    <s v="Not Mentioned"/>
    <x v="3"/>
    <x v="1"/>
    <x v="1"/>
    <x v="0"/>
    <n v="52240.99"/>
    <n v="41792.792000000001"/>
    <s v="Estimated"/>
    <n v="5"/>
    <n v="10448.197999999997"/>
    <n v="0.19999999999999996"/>
  </r>
  <r>
    <s v="ORD9276"/>
    <d v="2023-03-20T00:00:00"/>
    <x v="5"/>
    <x v="2"/>
    <x v="2"/>
    <x v="0"/>
    <n v="64347.3"/>
    <n v="36098.980000000003"/>
    <s v="Actual"/>
    <n v="3"/>
    <n v="28248.32"/>
    <n v="0.43899775126539886"/>
  </r>
  <r>
    <s v="ORD745"/>
    <d v="2023-01-15T00:00:00"/>
    <x v="4"/>
    <x v="1"/>
    <x v="2"/>
    <x v="0"/>
    <n v="82907.289999999994"/>
    <n v="71997.13"/>
    <s v="Actual"/>
    <n v="5"/>
    <n v="10910.159999999989"/>
    <n v="0.13159470053839645"/>
  </r>
  <r>
    <s v="ORD8914"/>
    <d v="2023-01-15T00:00:00"/>
    <x v="4"/>
    <x v="2"/>
    <x v="3"/>
    <x v="0"/>
    <n v="277343.09000000003"/>
    <n v="216544.49"/>
    <s v="Actual"/>
    <n v="5"/>
    <n v="60798.600000000035"/>
    <n v="0.21921800900105365"/>
  </r>
  <r>
    <s v="ORD6087"/>
    <d v="2023-01-15T00:00:00"/>
    <x v="4"/>
    <x v="1"/>
    <x v="3"/>
    <x v="0"/>
    <n v="331522.34000000003"/>
    <n v="265217.87200000003"/>
    <s v="Estimated"/>
    <n v="5"/>
    <n v="66304.467999999993"/>
    <n v="0.19999999999999996"/>
  </r>
  <r>
    <s v="ORD540"/>
    <s v="Not Mentioned"/>
    <x v="3"/>
    <x v="1"/>
    <x v="2"/>
    <x v="0"/>
    <n v="60515.73"/>
    <n v="44750.41"/>
    <s v="Actual"/>
    <s v="Unknown"/>
    <n v="15765.32"/>
    <n v="0.26051606747534894"/>
  </r>
  <r>
    <s v="ORD6616"/>
    <d v="2023-01-15T00:00:00"/>
    <x v="4"/>
    <x v="1"/>
    <x v="0"/>
    <x v="0"/>
    <n v="14800.29"/>
    <n v="8750.7199999999993"/>
    <s v="Actual"/>
    <n v="1"/>
    <n v="6049.5700000000015"/>
    <n v="0.40874672050344968"/>
  </r>
  <r>
    <s v="ORD7467"/>
    <s v="Not Mentioned"/>
    <x v="3"/>
    <x v="2"/>
    <x v="3"/>
    <x v="0"/>
    <n v="214040.38"/>
    <n v="160911.44"/>
    <s v="Actual"/>
    <s v="Unknown"/>
    <n v="53128.94"/>
    <n v="0.24821923788399181"/>
  </r>
  <r>
    <s v="ORD7659"/>
    <s v="Not Mentioned"/>
    <x v="3"/>
    <x v="1"/>
    <x v="3"/>
    <x v="0"/>
    <n v="143617.85"/>
    <n v="114894.28000000001"/>
    <s v="Estimated"/>
    <n v="2"/>
    <n v="28723.569999999992"/>
    <n v="0.19999999999999993"/>
  </r>
  <r>
    <s v="ORD8837"/>
    <s v="Not Mentioned"/>
    <x v="3"/>
    <x v="1"/>
    <x v="0"/>
    <x v="0"/>
    <n v="12054.66"/>
    <n v="10440.06"/>
    <s v="Actual"/>
    <n v="1"/>
    <n v="1614.6000000000004"/>
    <n v="0.13393990373847128"/>
  </r>
  <r>
    <s v="ORD5470"/>
    <d v="2023-06-25T00:00:00"/>
    <x v="0"/>
    <x v="0"/>
    <x v="2"/>
    <x v="0"/>
    <n v="81072.27"/>
    <n v="59128.34"/>
    <s v="Actual"/>
    <n v="4"/>
    <n v="21943.930000000008"/>
    <n v="0.27067121717450376"/>
  </r>
  <r>
    <s v="ORD2416"/>
    <d v="2023-04-05T00:00:00"/>
    <x v="2"/>
    <x v="3"/>
    <x v="3"/>
    <x v="0"/>
    <n v="52046.49"/>
    <n v="47152.1"/>
    <s v="Actual"/>
    <n v="1"/>
    <n v="4894.3899999999994"/>
    <n v="9.4038810302097209E-2"/>
  </r>
  <r>
    <s v="ORD4490"/>
    <s v="Not Mentioned"/>
    <x v="3"/>
    <x v="0"/>
    <x v="2"/>
    <x v="0"/>
    <n v="22524.42"/>
    <n v="14062.77"/>
    <s v="Actual"/>
    <n v="1"/>
    <n v="8461.6499999999978"/>
    <n v="0.37566561092361084"/>
  </r>
  <r>
    <s v="ORD5297"/>
    <d v="2023-06-25T00:00:00"/>
    <x v="0"/>
    <x v="2"/>
    <x v="0"/>
    <x v="0"/>
    <n v="66362.679999999993"/>
    <n v="41640.129999999997"/>
    <s v="Actual"/>
    <s v="Unknown"/>
    <n v="24722.549999999996"/>
    <n v="0.37253694395705533"/>
  </r>
  <r>
    <s v="ORD9644"/>
    <s v="Not Mentioned"/>
    <x v="3"/>
    <x v="3"/>
    <x v="2"/>
    <x v="0"/>
    <n v="71565.06"/>
    <n v="43070.51"/>
    <s v="Actual"/>
    <n v="3"/>
    <n v="28494.549999999996"/>
    <n v="0.39816287445298021"/>
  </r>
  <r>
    <s v="ORD9327"/>
    <s v="Not Mentioned"/>
    <x v="3"/>
    <x v="1"/>
    <x v="2"/>
    <x v="0"/>
    <n v="72767.7"/>
    <n v="54671.63"/>
    <s v="Actual"/>
    <n v="4"/>
    <n v="18096.07"/>
    <n v="0.24868272598969049"/>
  </r>
  <r>
    <s v="ORD9273"/>
    <d v="2023-06-25T00:00:00"/>
    <x v="0"/>
    <x v="2"/>
    <x v="2"/>
    <x v="0"/>
    <n v="98479.98"/>
    <n v="59716.800000000003"/>
    <s v="Actual"/>
    <n v="5"/>
    <n v="38763.179999999993"/>
    <n v="0.39361482404850201"/>
  </r>
  <r>
    <s v="ORD3144"/>
    <d v="2023-02-15T00:00:00"/>
    <x v="1"/>
    <x v="1"/>
    <x v="2"/>
    <x v="0"/>
    <n v="72723.02"/>
    <n v="55696.31"/>
    <s v="Actual"/>
    <s v="Unknown"/>
    <n v="17026.710000000006"/>
    <n v="0.23413095330749473"/>
  </r>
  <r>
    <s v="ORD2234"/>
    <d v="2023-03-20T00:00:00"/>
    <x v="5"/>
    <x v="2"/>
    <x v="1"/>
    <x v="0"/>
    <n v="9370.4"/>
    <n v="6134.76"/>
    <s v="Actual"/>
    <n v="1"/>
    <n v="3235.6399999999994"/>
    <n v="0.34530436267395198"/>
  </r>
  <r>
    <s v="ORD9338"/>
    <d v="2023-02-15T00:00:00"/>
    <x v="1"/>
    <x v="2"/>
    <x v="1"/>
    <x v="0"/>
    <n v="8623.67"/>
    <n v="6898.9360000000006"/>
    <s v="Estimated"/>
    <n v="1"/>
    <n v="1724.7339999999995"/>
    <n v="0.19999999999999993"/>
  </r>
  <r>
    <s v="ORD3555"/>
    <d v="2023-01-15T00:00:00"/>
    <x v="4"/>
    <x v="0"/>
    <x v="0"/>
    <x v="0"/>
    <n v="57445.87"/>
    <n v="38832.49"/>
    <s v="Actual"/>
    <n v="4"/>
    <n v="18613.380000000005"/>
    <n v="0.32401598234999318"/>
  </r>
  <r>
    <s v="ORD9098"/>
    <d v="2023-01-15T00:00:00"/>
    <x v="4"/>
    <x v="1"/>
    <x v="0"/>
    <x v="0"/>
    <n v="33967"/>
    <n v="18777.25"/>
    <s v="Actual"/>
    <n v="2"/>
    <n v="15189.75"/>
    <n v="0.44719139164483174"/>
  </r>
  <r>
    <s v="ORD498"/>
    <s v="Not Mentioned"/>
    <x v="3"/>
    <x v="2"/>
    <x v="0"/>
    <x v="0"/>
    <n v="24767.08"/>
    <n v="20573.439999999999"/>
    <s v="Actual"/>
    <n v="2"/>
    <n v="4193.6400000000031"/>
    <n v="0.16932314992320463"/>
  </r>
  <r>
    <s v="ORD173"/>
    <d v="2023-04-05T00:00:00"/>
    <x v="2"/>
    <x v="1"/>
    <x v="1"/>
    <x v="0"/>
    <n v="8063.1"/>
    <n v="7391.97"/>
    <s v="Actual"/>
    <n v="1"/>
    <n v="671.13000000000011"/>
    <n v="8.3234736019645053E-2"/>
  </r>
  <r>
    <s v="ORD6666"/>
    <d v="2023-03-20T00:00:00"/>
    <x v="5"/>
    <x v="2"/>
    <x v="0"/>
    <x v="0"/>
    <n v="77564.539999999994"/>
    <n v="62051.631999999998"/>
    <s v="Estimated"/>
    <n v="5"/>
    <n v="15512.907999999996"/>
    <n v="0.19999999999999996"/>
  </r>
  <r>
    <s v="ORD7155"/>
    <d v="2023-04-05T00:00:00"/>
    <x v="2"/>
    <x v="0"/>
    <x v="2"/>
    <x v="0"/>
    <n v="70073.179999999993"/>
    <n v="50216.21"/>
    <s v="Actual"/>
    <n v="4"/>
    <n v="19856.969999999994"/>
    <n v="0.28337475193790257"/>
  </r>
  <r>
    <s v="ORD1700"/>
    <d v="2023-06-25T00:00:00"/>
    <x v="0"/>
    <x v="2"/>
    <x v="2"/>
    <x v="0"/>
    <n v="68569.119999999995"/>
    <n v="49015.75"/>
    <s v="Actual"/>
    <n v="4"/>
    <n v="19553.369999999995"/>
    <n v="0.28516291298473712"/>
  </r>
  <r>
    <s v="ORD3314"/>
    <d v="2023-02-15T00:00:00"/>
    <x v="1"/>
    <x v="2"/>
    <x v="3"/>
    <x v="0"/>
    <n v="271810.96999999997"/>
    <n v="223344"/>
    <s v="Actual"/>
    <n v="5"/>
    <n v="48466.969999999972"/>
    <n v="0.17831130951042917"/>
  </r>
  <r>
    <s v="ORD9433"/>
    <d v="2023-06-25T00:00:00"/>
    <x v="0"/>
    <x v="2"/>
    <x v="1"/>
    <x v="0"/>
    <n v="51245.65"/>
    <n v="31955.86"/>
    <s v="Actual"/>
    <n v="5"/>
    <n v="19289.79"/>
    <n v="0.37641809597497544"/>
  </r>
  <r>
    <s v="ORD9558"/>
    <d v="2023-02-15T00:00:00"/>
    <x v="1"/>
    <x v="0"/>
    <x v="1"/>
    <x v="0"/>
    <n v="20088.07"/>
    <n v="12437.86"/>
    <s v="Actual"/>
    <n v="2"/>
    <n v="7650.2099999999991"/>
    <n v="0.38083349968414087"/>
  </r>
  <r>
    <s v="ORD161"/>
    <d v="2023-02-15T00:00:00"/>
    <x v="1"/>
    <x v="1"/>
    <x v="2"/>
    <x v="0"/>
    <n v="89015.11"/>
    <n v="47815.81"/>
    <s v="Actual"/>
    <n v="4"/>
    <n v="41199.300000000003"/>
    <n v="0.46283490522002391"/>
  </r>
  <r>
    <s v="ORD4269"/>
    <d v="2023-01-15T00:00:00"/>
    <x v="4"/>
    <x v="3"/>
    <x v="0"/>
    <x v="0"/>
    <n v="65166.55"/>
    <n v="52027.88"/>
    <s v="Actual"/>
    <n v="5"/>
    <n v="13138.670000000006"/>
    <n v="0.20161678038809797"/>
  </r>
  <r>
    <s v="ORD4194"/>
    <d v="2023-02-15T00:00:00"/>
    <x v="1"/>
    <x v="1"/>
    <x v="0"/>
    <x v="0"/>
    <n v="66160.600000000006"/>
    <n v="38539.33"/>
    <s v="Actual"/>
    <n v="4"/>
    <n v="27621.270000000004"/>
    <n v="0.41748820294858274"/>
  </r>
  <r>
    <s v="ORD4512"/>
    <d v="2023-02-15T00:00:00"/>
    <x v="1"/>
    <x v="3"/>
    <x v="2"/>
    <x v="0"/>
    <n v="33036.36"/>
    <n v="28971.79"/>
    <s v="Actual"/>
    <n v="2"/>
    <n v="4064.5699999999997"/>
    <n v="0.12303322763161557"/>
  </r>
  <r>
    <s v="ORD1152"/>
    <d v="2023-04-05T00:00:00"/>
    <x v="2"/>
    <x v="0"/>
    <x v="1"/>
    <x v="0"/>
    <n v="43195.3"/>
    <n v="24457.75"/>
    <s v="Actual"/>
    <n v="4"/>
    <n v="18737.550000000003"/>
    <n v="0.43378677772813251"/>
  </r>
  <r>
    <s v="ORD2373"/>
    <d v="2023-06-25T00:00:00"/>
    <x v="0"/>
    <x v="1"/>
    <x v="0"/>
    <x v="0"/>
    <n v="41598.19"/>
    <n v="27795.439999999999"/>
    <s v="Actual"/>
    <n v="3"/>
    <n v="13802.750000000004"/>
    <n v="0.33181131198256469"/>
  </r>
  <r>
    <s v="ORD184"/>
    <d v="2023-04-05T00:00:00"/>
    <x v="2"/>
    <x v="1"/>
    <x v="3"/>
    <x v="0"/>
    <n v="173032.6"/>
    <n v="127375.23"/>
    <s v="Actual"/>
    <n v="3"/>
    <n v="45657.37000000001"/>
    <n v="0.2638657108544864"/>
  </r>
  <r>
    <s v="ORD1684"/>
    <d v="2023-06-25T00:00:00"/>
    <x v="0"/>
    <x v="0"/>
    <x v="0"/>
    <x v="0"/>
    <n v="13151.33"/>
    <n v="10521.064"/>
    <s v="Estimated"/>
    <n v="1"/>
    <n v="2630.2659999999996"/>
    <n v="0.19999999999999998"/>
  </r>
  <r>
    <s v="ORD7436"/>
    <d v="2023-06-25T00:00:00"/>
    <x v="0"/>
    <x v="1"/>
    <x v="1"/>
    <x v="0"/>
    <n v="41573.67"/>
    <n v="33478.83"/>
    <s v="Actual"/>
    <n v="5"/>
    <n v="8094.8399999999965"/>
    <n v="0.19471073879212483"/>
  </r>
  <r>
    <s v="ORD3073"/>
    <d v="2023-03-20T00:00:00"/>
    <x v="5"/>
    <x v="2"/>
    <x v="3"/>
    <x v="0"/>
    <n v="262421.59999999998"/>
    <n v="171796.6"/>
    <s v="Actual"/>
    <n v="4"/>
    <n v="90624.999999999971"/>
    <n v="0.34534123715425857"/>
  </r>
  <r>
    <s v="ORD7811"/>
    <s v="Not Mentioned"/>
    <x v="3"/>
    <x v="2"/>
    <x v="3"/>
    <x v="0"/>
    <n v="345758.99"/>
    <n v="224213.42"/>
    <s v="Actual"/>
    <n v="5"/>
    <n v="121545.56999999998"/>
    <n v="0.35153263838490501"/>
  </r>
  <r>
    <s v="ORD9479"/>
    <d v="2023-01-15T00:00:00"/>
    <x v="4"/>
    <x v="3"/>
    <x v="2"/>
    <x v="0"/>
    <n v="116024.67"/>
    <n v="61790.11"/>
    <s v="Actual"/>
    <n v="5"/>
    <n v="54234.559999999998"/>
    <n v="0.46743989877325226"/>
  </r>
  <r>
    <s v="ORD6855"/>
    <d v="2023-03-20T00:00:00"/>
    <x v="5"/>
    <x v="3"/>
    <x v="3"/>
    <x v="0"/>
    <n v="304996.98"/>
    <n v="213066.29"/>
    <s v="Actual"/>
    <n v="5"/>
    <n v="91930.689999999973"/>
    <n v="0.30141508286409913"/>
  </r>
  <r>
    <s v="ORD3217"/>
    <d v="2023-02-15T00:00:00"/>
    <x v="1"/>
    <x v="2"/>
    <x v="1"/>
    <x v="0"/>
    <n v="44170.55"/>
    <n v="36444.31"/>
    <s v="Actual"/>
    <n v="5"/>
    <n v="7726.2400000000052"/>
    <n v="0.17491835623509339"/>
  </r>
  <r>
    <s v="ORD7647"/>
    <d v="2023-03-20T00:00:00"/>
    <x v="5"/>
    <x v="1"/>
    <x v="2"/>
    <x v="0"/>
    <n v="32503.32"/>
    <n v="28668.33"/>
    <s v="Actual"/>
    <n v="2"/>
    <n v="3834.989999999998"/>
    <n v="0.11798763941652723"/>
  </r>
  <r>
    <s v="ORD5885"/>
    <d v="2023-03-20T00:00:00"/>
    <x v="5"/>
    <x v="3"/>
    <x v="1"/>
    <x v="0"/>
    <n v="34024.9"/>
    <n v="26499.34"/>
    <s v="Actual"/>
    <n v="4"/>
    <n v="7525.5600000000013"/>
    <n v="0.22117801962680275"/>
  </r>
  <r>
    <s v="ORD5552"/>
    <s v="Not Mentioned"/>
    <x v="3"/>
    <x v="2"/>
    <x v="1"/>
    <x v="0"/>
    <n v="10824.49"/>
    <n v="7676.14"/>
    <s v="Actual"/>
    <n v="1"/>
    <n v="3148.3499999999995"/>
    <n v="0.29085434971994056"/>
  </r>
  <r>
    <s v="ORD8398"/>
    <d v="2023-01-15T00:00:00"/>
    <x v="4"/>
    <x v="2"/>
    <x v="1"/>
    <x v="0"/>
    <n v="45569.65"/>
    <n v="30586.93"/>
    <s v="Actual"/>
    <n v="5"/>
    <n v="14982.720000000001"/>
    <n v="0.32878725204165493"/>
  </r>
  <r>
    <s v="ORD9657"/>
    <d v="2023-02-15T00:00:00"/>
    <x v="1"/>
    <x v="0"/>
    <x v="2"/>
    <x v="0"/>
    <n v="36365.160000000003"/>
    <n v="29092.128000000004"/>
    <s v="Estimated"/>
    <n v="2"/>
    <n v="7273.0319999999992"/>
    <n v="0.19999999999999996"/>
  </r>
  <r>
    <s v="ORD1777"/>
    <d v="2023-02-15T00:00:00"/>
    <x v="1"/>
    <x v="3"/>
    <x v="3"/>
    <x v="0"/>
    <n v="294606.2"/>
    <n v="207599.08"/>
    <s v="Actual"/>
    <s v="Unknown"/>
    <n v="87007.120000000024"/>
    <n v="0.29533363520523337"/>
  </r>
  <r>
    <s v="ORD2897"/>
    <d v="2023-06-25T00:00:00"/>
    <x v="0"/>
    <x v="2"/>
    <x v="0"/>
    <x v="0"/>
    <n v="79650.740000000005"/>
    <n v="48073.120000000003"/>
    <s v="Actual"/>
    <n v="5"/>
    <n v="31577.620000000003"/>
    <n v="0.39645105619859905"/>
  </r>
  <r>
    <s v="ORD2785"/>
    <d v="2023-03-20T00:00:00"/>
    <x v="5"/>
    <x v="2"/>
    <x v="1"/>
    <x v="0"/>
    <n v="8206.65"/>
    <n v="6539.62"/>
    <s v="Actual"/>
    <n v="1"/>
    <n v="1667.0299999999997"/>
    <n v="0.20313160668482266"/>
  </r>
  <r>
    <s v="ORD8899"/>
    <d v="2023-04-05T00:00:00"/>
    <x v="2"/>
    <x v="1"/>
    <x v="2"/>
    <x v="0"/>
    <n v="23371.18"/>
    <n v="14138.66"/>
    <s v="Actual"/>
    <n v="1"/>
    <n v="9232.52"/>
    <n v="0.39503867583921737"/>
  </r>
  <r>
    <s v="ORD3834"/>
    <d v="2023-03-20T00:00:00"/>
    <x v="5"/>
    <x v="2"/>
    <x v="3"/>
    <x v="0"/>
    <n v="101683.28"/>
    <n v="82139.759999999995"/>
    <s v="Actual"/>
    <n v="2"/>
    <n v="19543.520000000004"/>
    <n v="0.19219993690211415"/>
  </r>
  <r>
    <s v="ORD241"/>
    <d v="2023-02-15T00:00:00"/>
    <x v="1"/>
    <x v="2"/>
    <x v="1"/>
    <x v="0"/>
    <n v="10886.52"/>
    <n v="6196.55"/>
    <s v="Actual"/>
    <n v="1"/>
    <n v="4689.97"/>
    <n v="0.43080525273457448"/>
  </r>
  <r>
    <s v="ORD591"/>
    <d v="2023-01-15T00:00:00"/>
    <x v="4"/>
    <x v="1"/>
    <x v="2"/>
    <x v="0"/>
    <n v="22227.94"/>
    <n v="12097.32"/>
    <s v="Actual"/>
    <n v="1"/>
    <n v="10130.619999999999"/>
    <n v="0.45576063278918333"/>
  </r>
  <r>
    <s v="ORD9727"/>
    <d v="2023-02-15T00:00:00"/>
    <x v="1"/>
    <x v="1"/>
    <x v="0"/>
    <x v="0"/>
    <n v="49218.720000000001"/>
    <n v="26406.3"/>
    <s v="Actual"/>
    <n v="3"/>
    <n v="22812.420000000002"/>
    <n v="0.46349072060386781"/>
  </r>
  <r>
    <s v="ORD756"/>
    <s v="Not Mentioned"/>
    <x v="3"/>
    <x v="2"/>
    <x v="0"/>
    <x v="0"/>
    <n v="29616.73"/>
    <n v="18165.25"/>
    <s v="Actual"/>
    <n v="2"/>
    <n v="11451.48"/>
    <n v="0.386655785429384"/>
  </r>
  <r>
    <s v="ORD4299"/>
    <d v="2023-04-05T00:00:00"/>
    <x v="2"/>
    <x v="1"/>
    <x v="2"/>
    <x v="0"/>
    <n v="75900.67"/>
    <n v="47995.99"/>
    <s v="Actual"/>
    <n v="4"/>
    <n v="27904.68"/>
    <n v="0.36764734751353317"/>
  </r>
  <r>
    <s v="ORD9315"/>
    <d v="2023-03-20T00:00:00"/>
    <x v="5"/>
    <x v="0"/>
    <x v="2"/>
    <x v="0"/>
    <n v="88533.86"/>
    <n v="65194.33"/>
    <s v="Actual"/>
    <n v="5"/>
    <n v="23339.53"/>
    <n v="0.26362264110025246"/>
  </r>
  <r>
    <s v="ORD5117"/>
    <d v="2023-03-20T00:00:00"/>
    <x v="5"/>
    <x v="2"/>
    <x v="1"/>
    <x v="0"/>
    <n v="9237.17"/>
    <n v="6232.78"/>
    <s v="Actual"/>
    <n v="1"/>
    <n v="3004.3900000000003"/>
    <n v="0.32525004952815639"/>
  </r>
  <r>
    <s v="ORD5398"/>
    <d v="2023-04-05T00:00:00"/>
    <x v="2"/>
    <x v="2"/>
    <x v="2"/>
    <x v="0"/>
    <n v="34852.400000000001"/>
    <n v="30271.01"/>
    <s v="Actual"/>
    <n v="2"/>
    <n v="4581.3900000000031"/>
    <n v="0.13145120565585161"/>
  </r>
  <r>
    <s v="ORD6748"/>
    <d v="2023-01-15T00:00:00"/>
    <x v="4"/>
    <x v="2"/>
    <x v="3"/>
    <x v="0"/>
    <n v="67176.25"/>
    <n v="38657.870000000003"/>
    <s v="Actual"/>
    <n v="1"/>
    <n v="28518.379999999997"/>
    <n v="0.42453069351147166"/>
  </r>
  <r>
    <s v="ORD5780"/>
    <d v="2023-02-15T00:00:00"/>
    <x v="1"/>
    <x v="1"/>
    <x v="0"/>
    <x v="0"/>
    <n v="13653.05"/>
    <n v="9454.27"/>
    <s v="Actual"/>
    <n v="1"/>
    <n v="4198.7799999999988"/>
    <n v="0.3075342139668425"/>
  </r>
  <r>
    <s v="ORD2566"/>
    <d v="2023-06-25T00:00:00"/>
    <x v="0"/>
    <x v="2"/>
    <x v="0"/>
    <x v="0"/>
    <n v="40267.39"/>
    <n v="27927.47"/>
    <s v="Actual"/>
    <n v="3"/>
    <n v="12339.919999999998"/>
    <n v="0.30644946195916839"/>
  </r>
  <r>
    <s v="ORD3271"/>
    <d v="2023-01-15T00:00:00"/>
    <x v="4"/>
    <x v="1"/>
    <x v="0"/>
    <x v="0"/>
    <n v="52286.59"/>
    <n v="43824.24"/>
    <s v="Actual"/>
    <n v="4"/>
    <n v="8462.3499999999985"/>
    <n v="0.16184551335246761"/>
  </r>
  <r>
    <s v="ORD6691"/>
    <d v="2023-01-15T00:00:00"/>
    <x v="4"/>
    <x v="3"/>
    <x v="2"/>
    <x v="0"/>
    <n v="96700.91"/>
    <n v="64760.34"/>
    <s v="Actual"/>
    <n v="5"/>
    <n v="31940.570000000007"/>
    <n v="0.33030268277723557"/>
  </r>
  <r>
    <s v="ORD9977"/>
    <s v="Not Mentioned"/>
    <x v="3"/>
    <x v="1"/>
    <x v="3"/>
    <x v="0"/>
    <n v="206365.13"/>
    <n v="173237.73"/>
    <s v="Actual"/>
    <n v="4"/>
    <n v="33127.399999999994"/>
    <n v="0.16052808921739828"/>
  </r>
  <r>
    <s v="ORD2501"/>
    <d v="2023-02-15T00:00:00"/>
    <x v="1"/>
    <x v="1"/>
    <x v="0"/>
    <x v="0"/>
    <n v="51039.8"/>
    <n v="37464.51"/>
    <s v="Actual"/>
    <n v="4"/>
    <n v="13575.29"/>
    <n v="0.26597459237692939"/>
  </r>
  <r>
    <s v="ORD9066"/>
    <d v="2023-03-20T00:00:00"/>
    <x v="5"/>
    <x v="1"/>
    <x v="3"/>
    <x v="0"/>
    <n v="302410.78999999998"/>
    <n v="213789.33"/>
    <s v="Actual"/>
    <n v="5"/>
    <n v="88621.459999999992"/>
    <n v="0.29304992721985879"/>
  </r>
  <r>
    <s v="ORD5307"/>
    <d v="2023-02-15T00:00:00"/>
    <x v="1"/>
    <x v="2"/>
    <x v="0"/>
    <x v="0"/>
    <n v="15340.94"/>
    <n v="8928.23"/>
    <s v="Actual"/>
    <n v="1"/>
    <n v="6412.7100000000009"/>
    <n v="0.41801284667041266"/>
  </r>
  <r>
    <s v="ORD2150"/>
    <d v="2023-02-15T00:00:00"/>
    <x v="1"/>
    <x v="1"/>
    <x v="1"/>
    <x v="0"/>
    <n v="40025.26"/>
    <n v="29866.26"/>
    <s v="Actual"/>
    <n v="4"/>
    <n v="10159.000000000004"/>
    <n v="0.25381471600684175"/>
  </r>
  <r>
    <s v="ORD7387"/>
    <d v="2023-04-05T00:00:00"/>
    <x v="2"/>
    <x v="3"/>
    <x v="0"/>
    <x v="0"/>
    <n v="15959.55"/>
    <n v="9794.1200000000008"/>
    <s v="Actual"/>
    <n v="1"/>
    <n v="6165.4299999999985"/>
    <n v="0.38631603021388439"/>
  </r>
  <r>
    <s v="ORD8689"/>
    <d v="2023-02-15T00:00:00"/>
    <x v="1"/>
    <x v="3"/>
    <x v="3"/>
    <x v="0"/>
    <n v="133742.85999999999"/>
    <n v="96527.37"/>
    <s v="Actual"/>
    <n v="2"/>
    <n v="37215.489999999991"/>
    <n v="0.27826150868913668"/>
  </r>
  <r>
    <s v="ORD7196"/>
    <d v="2023-04-05T00:00:00"/>
    <x v="2"/>
    <x v="0"/>
    <x v="0"/>
    <x v="0"/>
    <n v="57021.19"/>
    <n v="39321.699999999997"/>
    <s v="Actual"/>
    <n v="4"/>
    <n v="17699.490000000005"/>
    <n v="0.3104019751253877"/>
  </r>
  <r>
    <s v="ORD2691"/>
    <d v="2023-04-05T00:00:00"/>
    <x v="2"/>
    <x v="1"/>
    <x v="2"/>
    <x v="0"/>
    <n v="48284.53"/>
    <n v="37015.660000000003"/>
    <s v="Actual"/>
    <n v="3"/>
    <n v="11268.869999999995"/>
    <n v="0.23338468863629813"/>
  </r>
  <r>
    <s v="ORD3968"/>
    <d v="2023-04-05T00:00:00"/>
    <x v="2"/>
    <x v="1"/>
    <x v="1"/>
    <x v="0"/>
    <n v="31460.61"/>
    <n v="18190.849999999999"/>
    <s v="Actual"/>
    <n v="3"/>
    <n v="13269.760000000002"/>
    <n v="0.42178966014962843"/>
  </r>
  <r>
    <s v="ORD3155"/>
    <d v="2023-03-20T00:00:00"/>
    <x v="5"/>
    <x v="2"/>
    <x v="0"/>
    <x v="0"/>
    <n v="80865.13"/>
    <n v="49688.27"/>
    <s v="Actual"/>
    <s v="Unknown"/>
    <n v="31176.860000000008"/>
    <n v="0.38554145649676203"/>
  </r>
  <r>
    <s v="ORD6615"/>
    <d v="2023-06-25T00:00:00"/>
    <x v="0"/>
    <x v="1"/>
    <x v="0"/>
    <x v="0"/>
    <n v="53478.09"/>
    <n v="32125.4"/>
    <s v="Actual"/>
    <n v="3"/>
    <n v="21352.689999999995"/>
    <n v="0.3992792188352276"/>
  </r>
  <r>
    <s v="ORD587"/>
    <s v="Not Mentioned"/>
    <x v="3"/>
    <x v="1"/>
    <x v="2"/>
    <x v="0"/>
    <n v="21061.279999999999"/>
    <n v="12083.61"/>
    <s v="Actual"/>
    <n v="1"/>
    <n v="8977.6699999999983"/>
    <n v="0.42626421566020672"/>
  </r>
  <r>
    <s v="ORD198"/>
    <d v="2023-01-15T00:00:00"/>
    <x v="4"/>
    <x v="0"/>
    <x v="0"/>
    <x v="0"/>
    <n v="69594.600000000006"/>
    <n v="35181.56"/>
    <s v="Actual"/>
    <n v="4"/>
    <n v="34413.040000000008"/>
    <n v="0.49447859460360438"/>
  </r>
  <r>
    <s v="ORD4187"/>
    <d v="2023-02-15T00:00:00"/>
    <x v="1"/>
    <x v="1"/>
    <x v="3"/>
    <x v="0"/>
    <n v="103455.02"/>
    <n v="77262.2"/>
    <s v="Actual"/>
    <n v="2"/>
    <n v="26192.820000000007"/>
    <n v="0.25318075430269121"/>
  </r>
  <r>
    <s v="ORD652"/>
    <d v="2023-01-15T00:00:00"/>
    <x v="4"/>
    <x v="1"/>
    <x v="2"/>
    <x v="0"/>
    <n v="71175.02"/>
    <n v="37389.839999999997"/>
    <s v="Actual"/>
    <n v="3"/>
    <n v="33785.180000000008"/>
    <n v="0.47467749218756811"/>
  </r>
  <r>
    <s v="ORD6717"/>
    <d v="2023-02-15T00:00:00"/>
    <x v="1"/>
    <x v="2"/>
    <x v="0"/>
    <x v="0"/>
    <n v="71452.39"/>
    <n v="39821.21"/>
    <s v="Actual"/>
    <n v="4"/>
    <n v="31631.18"/>
    <n v="0.4426889009590862"/>
  </r>
  <r>
    <s v="ORD8622"/>
    <d v="2023-06-25T00:00:00"/>
    <x v="0"/>
    <x v="0"/>
    <x v="2"/>
    <x v="0"/>
    <n v="21437.919999999998"/>
    <n v="12810.99"/>
    <s v="Actual"/>
    <n v="1"/>
    <n v="8626.9299999999985"/>
    <n v="0.40241450663124029"/>
  </r>
  <r>
    <s v="ORD565"/>
    <s v="Not Mentioned"/>
    <x v="3"/>
    <x v="2"/>
    <x v="2"/>
    <x v="0"/>
    <n v="20377.97"/>
    <n v="13801.51"/>
    <s v="Actual"/>
    <n v="1"/>
    <n v="6576.4600000000009"/>
    <n v="0.32272400047698574"/>
  </r>
  <r>
    <s v="ORD5075"/>
    <d v="2023-04-05T00:00:00"/>
    <x v="2"/>
    <x v="3"/>
    <x v="1"/>
    <x v="0"/>
    <n v="58552.77"/>
    <n v="33314.18"/>
    <s v="Actual"/>
    <s v="Unknown"/>
    <n v="25238.589999999997"/>
    <n v="0.43104006864235456"/>
  </r>
  <r>
    <s v="ORD3521"/>
    <s v="Not Mentioned"/>
    <x v="3"/>
    <x v="3"/>
    <x v="1"/>
    <x v="0"/>
    <n v="45514.59"/>
    <n v="36719.800000000003"/>
    <s v="Actual"/>
    <n v="5"/>
    <n v="8794.7899999999936"/>
    <n v="0.19323012686701108"/>
  </r>
  <r>
    <s v="ORD7577"/>
    <d v="2023-02-15T00:00:00"/>
    <x v="1"/>
    <x v="2"/>
    <x v="0"/>
    <x v="0"/>
    <n v="60160.52"/>
    <n v="36687.47"/>
    <s v="Actual"/>
    <n v="4"/>
    <n v="23473.049999999996"/>
    <n v="0.39017365541388266"/>
  </r>
  <r>
    <s v="ORD1398"/>
    <d v="2023-06-25T00:00:00"/>
    <x v="0"/>
    <x v="3"/>
    <x v="2"/>
    <x v="0"/>
    <n v="68144.899999999994"/>
    <n v="45617.120000000003"/>
    <s v="Actual"/>
    <n v="3"/>
    <n v="22527.779999999992"/>
    <n v="0.330586441538545"/>
  </r>
  <r>
    <s v="ORD7348"/>
    <d v="2023-03-20T00:00:00"/>
    <x v="5"/>
    <x v="2"/>
    <x v="2"/>
    <x v="0"/>
    <n v="50376.47"/>
    <n v="43659.8"/>
    <s v="Actual"/>
    <n v="3"/>
    <n v="6716.6699999999983"/>
    <n v="0.13332950879646785"/>
  </r>
  <r>
    <s v="ORD1949"/>
    <d v="2023-01-15T00:00:00"/>
    <x v="4"/>
    <x v="2"/>
    <x v="3"/>
    <x v="0"/>
    <n v="103877.49"/>
    <n v="77726.759999999995"/>
    <s v="Actual"/>
    <n v="2"/>
    <n v="26150.73000000001"/>
    <n v="0.25174587872695048"/>
  </r>
  <r>
    <s v="ORD1348"/>
    <s v="Not Mentioned"/>
    <x v="3"/>
    <x v="1"/>
    <x v="2"/>
    <x v="0"/>
    <n v="19097.740000000002"/>
    <n v="15081.64"/>
    <s v="Actual"/>
    <n v="1"/>
    <n v="4016.1000000000022"/>
    <n v="0.21029189841311074"/>
  </r>
  <r>
    <s v="ORD454"/>
    <d v="2023-02-15T00:00:00"/>
    <x v="1"/>
    <x v="1"/>
    <x v="1"/>
    <x v="0"/>
    <n v="20176.59"/>
    <n v="13058.18"/>
    <s v="Actual"/>
    <n v="2"/>
    <n v="7118.41"/>
    <n v="0.35280540467938337"/>
  </r>
  <r>
    <s v="ORD4325"/>
    <s v="Not Mentioned"/>
    <x v="3"/>
    <x v="2"/>
    <x v="0"/>
    <x v="0"/>
    <n v="14170.8"/>
    <n v="8926.8700000000008"/>
    <s v="Actual"/>
    <n v="1"/>
    <n v="5243.9299999999985"/>
    <n v="0.37005179665227078"/>
  </r>
  <r>
    <s v="ORD9791"/>
    <d v="2023-04-05T00:00:00"/>
    <x v="2"/>
    <x v="0"/>
    <x v="2"/>
    <x v="0"/>
    <n v="50694.55"/>
    <n v="43330.78"/>
    <s v="Actual"/>
    <n v="3"/>
    <n v="7363.7700000000041"/>
    <n v="0.14525762631288774"/>
  </r>
  <r>
    <s v="ORD4395"/>
    <s v="Not Mentioned"/>
    <x v="3"/>
    <x v="3"/>
    <x v="3"/>
    <x v="0"/>
    <n v="56415.58"/>
    <n v="45132.464000000007"/>
    <s v="Estimated"/>
    <n v="1"/>
    <n v="11283.115999999995"/>
    <n v="0.1999999999999999"/>
  </r>
  <r>
    <s v="ORD1477"/>
    <d v="2023-06-25T00:00:00"/>
    <x v="0"/>
    <x v="3"/>
    <x v="2"/>
    <x v="0"/>
    <n v="18550.39"/>
    <n v="12079.45"/>
    <s v="Actual"/>
    <n v="1"/>
    <n v="6470.9399999999987"/>
    <n v="0.34883040194842257"/>
  </r>
  <r>
    <s v="ORD633"/>
    <d v="2023-01-15T00:00:00"/>
    <x v="4"/>
    <x v="1"/>
    <x v="3"/>
    <x v="0"/>
    <n v="53264.83"/>
    <n v="46509.96"/>
    <s v="Actual"/>
    <n v="1"/>
    <n v="6754.8700000000026"/>
    <n v="0.12681670062591024"/>
  </r>
  <r>
    <s v="ORD2454"/>
    <d v="2023-03-20T00:00:00"/>
    <x v="5"/>
    <x v="1"/>
    <x v="1"/>
    <x v="0"/>
    <n v="23434.79"/>
    <n v="18747.832000000002"/>
    <s v="Estimated"/>
    <n v="2"/>
    <n v="4686.9579999999987"/>
    <n v="0.19999999999999993"/>
  </r>
  <r>
    <s v="ORD480"/>
    <d v="2023-01-15T00:00:00"/>
    <x v="4"/>
    <x v="0"/>
    <x v="2"/>
    <x v="0"/>
    <n v="90289.29"/>
    <n v="48734.21"/>
    <s v="Actual"/>
    <n v="4"/>
    <n v="41555.079999999994"/>
    <n v="0.46024373433438226"/>
  </r>
  <r>
    <s v="ORD2037"/>
    <d v="2023-02-15T00:00:00"/>
    <x v="1"/>
    <x v="3"/>
    <x v="2"/>
    <x v="0"/>
    <n v="20006.919999999998"/>
    <n v="12710.95"/>
    <s v="Actual"/>
    <n v="1"/>
    <n v="7295.9699999999975"/>
    <n v="0.36467232337611177"/>
  </r>
  <r>
    <s v="ORD1978"/>
    <d v="2023-01-15T00:00:00"/>
    <x v="4"/>
    <x v="0"/>
    <x v="3"/>
    <x v="0"/>
    <n v="52554.33"/>
    <n v="42043.464000000007"/>
    <s v="Estimated"/>
    <n v="1"/>
    <n v="10510.865999999995"/>
    <n v="0.1999999999999999"/>
  </r>
  <r>
    <s v="ORD4266"/>
    <d v="2023-02-15T00:00:00"/>
    <x v="1"/>
    <x v="0"/>
    <x v="3"/>
    <x v="0"/>
    <n v="133627.99"/>
    <n v="96687.09"/>
    <s v="Actual"/>
    <n v="2"/>
    <n v="36940.899999999994"/>
    <n v="0.27644582545917212"/>
  </r>
  <r>
    <s v="ORD4568"/>
    <d v="2023-04-05T00:00:00"/>
    <x v="2"/>
    <x v="2"/>
    <x v="2"/>
    <x v="0"/>
    <n v="97293.91"/>
    <n v="77835.128000000012"/>
    <s v="Estimated"/>
    <n v="5"/>
    <n v="19458.781999999992"/>
    <n v="0.1999999999999999"/>
  </r>
  <r>
    <s v="ORD2146"/>
    <d v="2023-06-25T00:00:00"/>
    <x v="0"/>
    <x v="1"/>
    <x v="1"/>
    <x v="0"/>
    <n v="8939.7199999999993"/>
    <n v="6125.58"/>
    <s v="Actual"/>
    <n v="1"/>
    <n v="2814.1399999999994"/>
    <n v="0.31479061984044238"/>
  </r>
  <r>
    <s v="ORD841"/>
    <d v="2023-02-15T00:00:00"/>
    <x v="1"/>
    <x v="0"/>
    <x v="2"/>
    <x v="0"/>
    <n v="60183.55"/>
    <n v="39013.519999999997"/>
    <s v="Actual"/>
    <n v="3"/>
    <n v="21170.030000000006"/>
    <n v="0.35175774775665453"/>
  </r>
  <r>
    <s v="ORD6916"/>
    <s v="Not Mentioned"/>
    <x v="3"/>
    <x v="1"/>
    <x v="3"/>
    <x v="0"/>
    <n v="158013.65"/>
    <n v="120966.63"/>
    <s v="Actual"/>
    <n v="3"/>
    <n v="37047.01999999999"/>
    <n v="0.23445455503369481"/>
  </r>
  <r>
    <s v="ORD6578"/>
    <d v="2023-04-05T00:00:00"/>
    <x v="2"/>
    <x v="0"/>
    <x v="2"/>
    <x v="0"/>
    <n v="84539.94"/>
    <n v="61171.199999999997"/>
    <s v="Actual"/>
    <n v="4"/>
    <n v="23368.740000000005"/>
    <n v="0.27642248149217996"/>
  </r>
  <r>
    <s v="ORD6484"/>
    <d v="2023-06-25T00:00:00"/>
    <x v="0"/>
    <x v="3"/>
    <x v="3"/>
    <x v="0"/>
    <n v="260933.59"/>
    <n v="211099.38"/>
    <s v="Actual"/>
    <n v="5"/>
    <n v="49834.209999999992"/>
    <n v="0.19098426538338736"/>
  </r>
  <r>
    <s v="ORD2987"/>
    <d v="2023-02-15T00:00:00"/>
    <x v="1"/>
    <x v="2"/>
    <x v="2"/>
    <x v="0"/>
    <n v="21187.4"/>
    <n v="14272.98"/>
    <s v="Actual"/>
    <n v="1"/>
    <n v="6914.4200000000019"/>
    <n v="0.32634584706004521"/>
  </r>
  <r>
    <s v="ORD997"/>
    <d v="2023-01-15T00:00:00"/>
    <x v="4"/>
    <x v="1"/>
    <x v="0"/>
    <x v="0"/>
    <n v="51383.5"/>
    <n v="40788.46"/>
    <s v="Actual"/>
    <n v="4"/>
    <n v="10595.04"/>
    <n v="0.20619537400138177"/>
  </r>
  <r>
    <s v="ORD2314"/>
    <d v="2023-03-20T00:00:00"/>
    <x v="5"/>
    <x v="1"/>
    <x v="3"/>
    <x v="0"/>
    <n v="123186.75"/>
    <n v="91834.54"/>
    <s v="Actual"/>
    <n v="2"/>
    <n v="31352.210000000006"/>
    <n v="0.25450959620251373"/>
  </r>
  <r>
    <s v="ORD8872"/>
    <d v="2023-02-15T00:00:00"/>
    <x v="1"/>
    <x v="2"/>
    <x v="0"/>
    <x v="0"/>
    <n v="33987.14"/>
    <n v="19296.59"/>
    <s v="Actual"/>
    <s v="Unknown"/>
    <n v="14690.55"/>
    <n v="0.43223848785158148"/>
  </r>
  <r>
    <s v="ORD6479"/>
    <d v="2023-03-20T00:00:00"/>
    <x v="5"/>
    <x v="2"/>
    <x v="1"/>
    <x v="0"/>
    <n v="58424.959999999999"/>
    <n v="32428.799999999999"/>
    <s v="Actual"/>
    <n v="5"/>
    <n v="25996.16"/>
    <n v="0.44494955580628553"/>
  </r>
  <r>
    <s v="ORD882"/>
    <d v="2023-01-15T00:00:00"/>
    <x v="4"/>
    <x v="1"/>
    <x v="1"/>
    <x v="0"/>
    <n v="9722.8700000000008"/>
    <n v="6827.98"/>
    <s v="Actual"/>
    <n v="1"/>
    <n v="2894.8900000000012"/>
    <n v="0.29774027627644933"/>
  </r>
  <r>
    <s v="ORD1539"/>
    <d v="2023-04-05T00:00:00"/>
    <x v="2"/>
    <x v="0"/>
    <x v="1"/>
    <x v="0"/>
    <n v="59947.62"/>
    <n v="37385.57"/>
    <s v="Actual"/>
    <n v="5"/>
    <n v="22562.050000000003"/>
    <n v="0.37636273133111875"/>
  </r>
  <r>
    <s v="ORD4513"/>
    <d v="2023-01-15T00:00:00"/>
    <x v="4"/>
    <x v="2"/>
    <x v="1"/>
    <x v="0"/>
    <n v="53041.65"/>
    <n v="42433.320000000007"/>
    <s v="Estimated"/>
    <n v="5"/>
    <n v="10608.329999999994"/>
    <n v="0.1999999999999999"/>
  </r>
  <r>
    <s v="ORD973"/>
    <d v="2023-02-15T00:00:00"/>
    <x v="1"/>
    <x v="1"/>
    <x v="3"/>
    <x v="0"/>
    <n v="123223.9"/>
    <n v="96735.14"/>
    <s v="Actual"/>
    <n v="2"/>
    <n v="26488.759999999995"/>
    <n v="0.21496446712042061"/>
  </r>
  <r>
    <s v="ORD698"/>
    <s v="Not Mentioned"/>
    <x v="3"/>
    <x v="1"/>
    <x v="0"/>
    <x v="0"/>
    <n v="56654.04"/>
    <n v="42724.56"/>
    <s v="Actual"/>
    <n v="4"/>
    <n v="13929.480000000003"/>
    <n v="0.24586913837036165"/>
  </r>
  <r>
    <s v="ORD6131"/>
    <d v="2023-04-05T00:00:00"/>
    <x v="2"/>
    <x v="0"/>
    <x v="1"/>
    <x v="0"/>
    <n v="54480"/>
    <n v="34571.160000000003"/>
    <s v="Actual"/>
    <n v="5"/>
    <n v="19908.839999999997"/>
    <n v="0.36543392070484576"/>
  </r>
  <r>
    <s v="ORD849"/>
    <d v="2023-04-05T00:00:00"/>
    <x v="2"/>
    <x v="2"/>
    <x v="1"/>
    <x v="0"/>
    <n v="9066.2000000000007"/>
    <n v="6553.53"/>
    <s v="Actual"/>
    <n v="1"/>
    <n v="2512.670000000001"/>
    <n v="0.27714698550660705"/>
  </r>
  <r>
    <s v="ORD8848"/>
    <d v="2023-06-25T00:00:00"/>
    <x v="0"/>
    <x v="0"/>
    <x v="3"/>
    <x v="0"/>
    <n v="52933.72"/>
    <n v="39053.68"/>
    <s v="Actual"/>
    <n v="1"/>
    <n v="13880.04"/>
    <n v="0.2622154649248154"/>
  </r>
  <r>
    <s v="ORD5313"/>
    <d v="2023-01-15T00:00:00"/>
    <x v="4"/>
    <x v="2"/>
    <x v="3"/>
    <x v="0"/>
    <n v="109285.44"/>
    <n v="92580.23"/>
    <s v="Actual"/>
    <n v="2"/>
    <n v="16705.210000000006"/>
    <n v="0.15285851436385309"/>
  </r>
  <r>
    <s v="ORD5007"/>
    <s v="Not Mentioned"/>
    <x v="3"/>
    <x v="1"/>
    <x v="2"/>
    <x v="0"/>
    <n v="23222.62"/>
    <n v="12865.8"/>
    <s v="Actual"/>
    <n v="1"/>
    <n v="10356.82"/>
    <n v="0.44597982484319171"/>
  </r>
  <r>
    <s v="ORD9951"/>
    <d v="2023-02-15T00:00:00"/>
    <x v="1"/>
    <x v="1"/>
    <x v="3"/>
    <x v="0"/>
    <n v="285380.62"/>
    <n v="233310.7"/>
    <s v="Actual"/>
    <n v="5"/>
    <n v="52069.919999999984"/>
    <n v="0.18245779969221451"/>
  </r>
  <r>
    <s v="ORD3892"/>
    <s v="Not Mentioned"/>
    <x v="3"/>
    <x v="3"/>
    <x v="0"/>
    <x v="0"/>
    <n v="33596.89"/>
    <n v="26877.512000000002"/>
    <s v="Estimated"/>
    <n v="2"/>
    <n v="6719.377999999997"/>
    <n v="0.1999999999999999"/>
  </r>
  <r>
    <s v="ORD6527"/>
    <d v="2023-02-15T00:00:00"/>
    <x v="1"/>
    <x v="0"/>
    <x v="1"/>
    <x v="0"/>
    <n v="36672.730000000003"/>
    <n v="29338.184000000005"/>
    <s v="Estimated"/>
    <n v="4"/>
    <n v="7334.5459999999985"/>
    <n v="0.19999999999999993"/>
  </r>
  <r>
    <s v="ORD8881"/>
    <d v="2023-06-25T00:00:00"/>
    <x v="0"/>
    <x v="2"/>
    <x v="1"/>
    <x v="0"/>
    <n v="35759.18"/>
    <n v="26897.3"/>
    <s v="Actual"/>
    <n v="4"/>
    <n v="8861.880000000001"/>
    <n v="0.24782111894064687"/>
  </r>
  <r>
    <s v="ORD8153"/>
    <d v="2023-03-20T00:00:00"/>
    <x v="5"/>
    <x v="1"/>
    <x v="3"/>
    <x v="0"/>
    <n v="257849.21"/>
    <n v="172303.65"/>
    <s v="Actual"/>
    <s v="Unknown"/>
    <n v="85545.56"/>
    <n v="0.33176584097348988"/>
  </r>
  <r>
    <s v="ORD1771"/>
    <d v="2023-04-05T00:00:00"/>
    <x v="2"/>
    <x v="1"/>
    <x v="1"/>
    <x v="0"/>
    <n v="26847.77"/>
    <n v="20147.39"/>
    <s v="Actual"/>
    <n v="3"/>
    <n v="6700.380000000001"/>
    <n v="0.2495693310841087"/>
  </r>
  <r>
    <s v="ORD165"/>
    <d v="2023-02-15T00:00:00"/>
    <x v="1"/>
    <x v="1"/>
    <x v="2"/>
    <x v="0"/>
    <n v="117093.3"/>
    <n v="71798.899999999994"/>
    <s v="Actual"/>
    <s v="Unknown"/>
    <n v="45294.400000000009"/>
    <n v="0.38682315726006533"/>
  </r>
  <r>
    <s v="ORD7036"/>
    <d v="2023-01-15T00:00:00"/>
    <x v="4"/>
    <x v="3"/>
    <x v="0"/>
    <x v="0"/>
    <n v="55983.71"/>
    <n v="39926.589999999997"/>
    <s v="Actual"/>
    <n v="4"/>
    <n v="16057.120000000003"/>
    <n v="0.28681771894002744"/>
  </r>
  <r>
    <s v="ORD3223"/>
    <d v="2023-01-15T00:00:00"/>
    <x v="4"/>
    <x v="0"/>
    <x v="2"/>
    <x v="0"/>
    <n v="71190.09"/>
    <n v="56952.072"/>
    <s v="Estimated"/>
    <n v="3"/>
    <n v="14238.017999999996"/>
    <n v="0.19999999999999996"/>
  </r>
  <r>
    <s v="ORD9233"/>
    <s v="Not Mentioned"/>
    <x v="3"/>
    <x v="2"/>
    <x v="0"/>
    <x v="0"/>
    <n v="34491.56"/>
    <n v="17298.2"/>
    <s v="Actual"/>
    <n v="2"/>
    <n v="17193.359999999997"/>
    <n v="0.49848020791173253"/>
  </r>
  <r>
    <s v="ORD9273"/>
    <s v="Not Mentioned"/>
    <x v="3"/>
    <x v="1"/>
    <x v="2"/>
    <x v="0"/>
    <n v="65214.98"/>
    <n v="37078.51"/>
    <s v="Actual"/>
    <n v="3"/>
    <n v="28136.47"/>
    <n v="0.43144182517574947"/>
  </r>
  <r>
    <s v="ORD1461"/>
    <d v="2023-02-15T00:00:00"/>
    <x v="1"/>
    <x v="0"/>
    <x v="0"/>
    <x v="0"/>
    <n v="65667.42"/>
    <n v="52533.936000000002"/>
    <s v="Estimated"/>
    <n v="5"/>
    <n v="13133.483999999997"/>
    <n v="0.19999999999999996"/>
  </r>
  <r>
    <s v="ORD2586"/>
    <d v="2023-04-05T00:00:00"/>
    <x v="2"/>
    <x v="3"/>
    <x v="0"/>
    <x v="0"/>
    <n v="13360.62"/>
    <n v="9639.7099999999991"/>
    <s v="Actual"/>
    <n v="1"/>
    <n v="3720.9100000000017"/>
    <n v="0.27849830322245533"/>
  </r>
  <r>
    <s v="ORD9813"/>
    <d v="2023-02-15T00:00:00"/>
    <x v="1"/>
    <x v="1"/>
    <x v="1"/>
    <x v="0"/>
    <n v="25195.93"/>
    <n v="23074.65"/>
    <s v="Actual"/>
    <n v="3"/>
    <n v="2121.2799999999988"/>
    <n v="8.419137535308277E-2"/>
  </r>
  <r>
    <s v="ORD1293"/>
    <d v="2023-01-15T00:00:00"/>
    <x v="4"/>
    <x v="1"/>
    <x v="0"/>
    <x v="0"/>
    <n v="14741.37"/>
    <n v="9527.25"/>
    <s v="Actual"/>
    <n v="1"/>
    <n v="5214.1200000000008"/>
    <n v="0.35370660935856035"/>
  </r>
  <r>
    <s v="ORD7586"/>
    <d v="2023-06-25T00:00:00"/>
    <x v="0"/>
    <x v="3"/>
    <x v="3"/>
    <x v="0"/>
    <n v="145327.26"/>
    <n v="119743.47"/>
    <s v="Actual"/>
    <n v="3"/>
    <n v="25583.790000000008"/>
    <n v="0.1760426089365478"/>
  </r>
  <r>
    <s v="ORD5411"/>
    <d v="2023-01-15T00:00:00"/>
    <x v="4"/>
    <x v="1"/>
    <x v="0"/>
    <x v="0"/>
    <n v="25602.7"/>
    <n v="19446.36"/>
    <s v="Actual"/>
    <n v="2"/>
    <n v="6156.34"/>
    <n v="0.24045667058552417"/>
  </r>
  <r>
    <s v="ORD7895"/>
    <s v="Not Mentioned"/>
    <x v="3"/>
    <x v="1"/>
    <x v="0"/>
    <x v="0"/>
    <n v="34141.29"/>
    <n v="20010.77"/>
    <s v="Actual"/>
    <n v="2"/>
    <n v="14130.52"/>
    <n v="0.4138835995945086"/>
  </r>
  <r>
    <s v="ORD3922"/>
    <d v="2023-06-25T00:00:00"/>
    <x v="0"/>
    <x v="3"/>
    <x v="0"/>
    <x v="0"/>
    <n v="88082.21"/>
    <n v="53784.26"/>
    <s v="Actual"/>
    <n v="5"/>
    <n v="34297.950000000004"/>
    <n v="0.38938566595910801"/>
  </r>
  <r>
    <s v="ORD2025"/>
    <d v="2023-03-20T00:00:00"/>
    <x v="5"/>
    <x v="2"/>
    <x v="3"/>
    <x v="0"/>
    <n v="297078.12"/>
    <n v="227536.73"/>
    <s v="Actual"/>
    <n v="5"/>
    <n v="69541.389999999985"/>
    <n v="0.23408452295308718"/>
  </r>
  <r>
    <s v="ORD7172"/>
    <d v="2023-02-15T00:00:00"/>
    <x v="1"/>
    <x v="3"/>
    <x v="3"/>
    <x v="0"/>
    <n v="205839.67"/>
    <n v="192285.77"/>
    <s v="Actual"/>
    <n v="4"/>
    <n v="13553.900000000023"/>
    <n v="6.5846879758406252E-2"/>
  </r>
  <r>
    <s v="ORD3529"/>
    <d v="2023-01-15T00:00:00"/>
    <x v="4"/>
    <x v="2"/>
    <x v="0"/>
    <x v="0"/>
    <n v="39961.71"/>
    <n v="31969.368000000002"/>
    <s v="Estimated"/>
    <n v="3"/>
    <n v="7992.3419999999969"/>
    <n v="0.19999999999999993"/>
  </r>
  <r>
    <s v="ORD6305"/>
    <s v="Not Mentioned"/>
    <x v="3"/>
    <x v="1"/>
    <x v="3"/>
    <x v="0"/>
    <n v="259684.79"/>
    <n v="207747.83200000002"/>
    <s v="Estimated"/>
    <n v="5"/>
    <n v="51936.957999999984"/>
    <n v="0.19999999999999993"/>
  </r>
  <r>
    <s v="ORD7678"/>
    <d v="2023-06-25T00:00:00"/>
    <x v="0"/>
    <x v="2"/>
    <x v="0"/>
    <x v="0"/>
    <n v="29781.86"/>
    <n v="23825.488000000001"/>
    <s v="Estimated"/>
    <n v="2"/>
    <n v="5956.3719999999994"/>
    <n v="0.19999999999999998"/>
  </r>
  <r>
    <s v="ORD1381"/>
    <d v="2023-06-25T00:00:00"/>
    <x v="0"/>
    <x v="0"/>
    <x v="0"/>
    <x v="0"/>
    <n v="14691.15"/>
    <n v="9408.89"/>
    <s v="Actual"/>
    <n v="1"/>
    <n v="5282.26"/>
    <n v="0.35955388107806402"/>
  </r>
  <r>
    <s v="ORD9654"/>
    <d v="2023-01-15T00:00:00"/>
    <x v="4"/>
    <x v="1"/>
    <x v="0"/>
    <x v="0"/>
    <n v="85955.07"/>
    <n v="47877.53"/>
    <s v="Actual"/>
    <n v="5"/>
    <n v="38077.540000000008"/>
    <n v="0.44299353138796821"/>
  </r>
  <r>
    <s v="ORD9839"/>
    <d v="2023-04-05T00:00:00"/>
    <x v="2"/>
    <x v="2"/>
    <x v="1"/>
    <x v="0"/>
    <n v="25816.1"/>
    <n v="21972.99"/>
    <s v="Actual"/>
    <n v="3"/>
    <n v="3843.1099999999969"/>
    <n v="0.14886485565209295"/>
  </r>
  <r>
    <s v="ORD1479"/>
    <s v="Not Mentioned"/>
    <x v="3"/>
    <x v="1"/>
    <x v="0"/>
    <x v="0"/>
    <n v="25226.54"/>
    <n v="17714.29"/>
    <s v="Actual"/>
    <n v="2"/>
    <n v="7512.25"/>
    <n v="0.29779153225135113"/>
  </r>
  <r>
    <s v="ORD3348"/>
    <d v="2023-03-20T00:00:00"/>
    <x v="5"/>
    <x v="1"/>
    <x v="2"/>
    <x v="0"/>
    <n v="18721.8"/>
    <n v="13013.46"/>
    <s v="Actual"/>
    <n v="1"/>
    <n v="5708.34"/>
    <n v="0.30490337467551198"/>
  </r>
  <r>
    <s v="ORD5358"/>
    <d v="2023-04-05T00:00:00"/>
    <x v="2"/>
    <x v="0"/>
    <x v="1"/>
    <x v="0"/>
    <n v="21254.46"/>
    <n v="14648.35"/>
    <s v="Actual"/>
    <n v="2"/>
    <n v="6606.1099999999988"/>
    <n v="0.31081053106030448"/>
  </r>
  <r>
    <s v="ORD6376"/>
    <d v="2023-02-15T00:00:00"/>
    <x v="1"/>
    <x v="2"/>
    <x v="1"/>
    <x v="0"/>
    <n v="54601.5"/>
    <n v="43681.200000000004"/>
    <s v="Estimated"/>
    <n v="5"/>
    <n v="10920.299999999996"/>
    <n v="0.19999999999999993"/>
  </r>
  <r>
    <s v="ORD1177"/>
    <d v="2023-04-05T00:00:00"/>
    <x v="2"/>
    <x v="1"/>
    <x v="0"/>
    <x v="0"/>
    <n v="74650.64"/>
    <n v="42835.6"/>
    <s v="Actual"/>
    <n v="5"/>
    <n v="31815.040000000001"/>
    <n v="0.42618576344422499"/>
  </r>
  <r>
    <s v="ORD9425"/>
    <d v="2023-02-15T00:00:00"/>
    <x v="1"/>
    <x v="2"/>
    <x v="0"/>
    <x v="0"/>
    <n v="52878.28"/>
    <n v="28541.41"/>
    <s v="Actual"/>
    <n v="3"/>
    <n v="24336.87"/>
    <n v="0.46024322273719948"/>
  </r>
  <r>
    <s v="ORD5318"/>
    <d v="2023-04-05T00:00:00"/>
    <x v="2"/>
    <x v="1"/>
    <x v="2"/>
    <x v="0"/>
    <n v="22554.68"/>
    <n v="14646.99"/>
    <s v="Actual"/>
    <n v="1"/>
    <n v="7907.6900000000005"/>
    <n v="0.35060085090987769"/>
  </r>
  <r>
    <s v="ORD2486"/>
    <d v="2023-01-15T00:00:00"/>
    <x v="4"/>
    <x v="2"/>
    <x v="2"/>
    <x v="0"/>
    <n v="70382.679999999993"/>
    <n v="51275.13"/>
    <s v="Actual"/>
    <n v="4"/>
    <n v="19107.549999999996"/>
    <n v="0.27148085295984747"/>
  </r>
  <r>
    <s v="ORD8055"/>
    <d v="2023-01-15T00:00:00"/>
    <x v="4"/>
    <x v="1"/>
    <x v="0"/>
    <x v="0"/>
    <n v="68143.820000000007"/>
    <n v="46145.73"/>
    <s v="Actual"/>
    <s v="Unknown"/>
    <n v="21998.090000000004"/>
    <n v="0.32281856227021027"/>
  </r>
  <r>
    <s v="ORD9611"/>
    <d v="2023-04-05T00:00:00"/>
    <x v="2"/>
    <x v="2"/>
    <x v="2"/>
    <x v="0"/>
    <n v="67912.73"/>
    <n v="50159.040000000001"/>
    <s v="Actual"/>
    <n v="4"/>
    <n v="17753.689999999995"/>
    <n v="0.26141917722936475"/>
  </r>
  <r>
    <s v="ORD6792"/>
    <d v="2023-01-15T00:00:00"/>
    <x v="4"/>
    <x v="1"/>
    <x v="1"/>
    <x v="0"/>
    <n v="19923.68"/>
    <n v="15938.944000000001"/>
    <s v="Estimated"/>
    <n v="2"/>
    <n v="3984.735999999999"/>
    <n v="0.19999999999999996"/>
  </r>
  <r>
    <s v="ORD822"/>
    <d v="2023-06-25T00:00:00"/>
    <x v="0"/>
    <x v="2"/>
    <x v="2"/>
    <x v="0"/>
    <n v="19451.560000000001"/>
    <n v="12304.64"/>
    <s v="Actual"/>
    <n v="1"/>
    <n v="7146.9200000000019"/>
    <n v="0.36742143046624548"/>
  </r>
  <r>
    <s v="ORD9404"/>
    <d v="2023-01-15T00:00:00"/>
    <x v="4"/>
    <x v="1"/>
    <x v="1"/>
    <x v="0"/>
    <n v="42709.17"/>
    <n v="36944.46"/>
    <s v="Actual"/>
    <n v="5"/>
    <n v="5764.7099999999991"/>
    <n v="0.13497593139833902"/>
  </r>
  <r>
    <s v="ORD6340"/>
    <d v="2023-03-20T00:00:00"/>
    <x v="5"/>
    <x v="2"/>
    <x v="1"/>
    <x v="0"/>
    <n v="9131.5400000000009"/>
    <n v="6841.65"/>
    <s v="Actual"/>
    <n v="1"/>
    <n v="2289.8900000000012"/>
    <n v="0.25076712142749208"/>
  </r>
  <r>
    <s v="ORD1204"/>
    <s v="Not Mentioned"/>
    <x v="3"/>
    <x v="3"/>
    <x v="3"/>
    <x v="0"/>
    <n v="241712.54"/>
    <n v="193370.03200000001"/>
    <s v="Estimated"/>
    <n v="5"/>
    <n v="48342.508000000002"/>
    <n v="0.2"/>
  </r>
  <r>
    <s v="ORD9709"/>
    <d v="2023-06-25T00:00:00"/>
    <x v="0"/>
    <x v="2"/>
    <x v="3"/>
    <x v="0"/>
    <n v="264129.38"/>
    <n v="242282.65"/>
    <s v="Actual"/>
    <n v="5"/>
    <n v="21846.73000000001"/>
    <n v="8.2712229892789702E-2"/>
  </r>
  <r>
    <s v="ORD7490"/>
    <d v="2023-04-05T00:00:00"/>
    <x v="2"/>
    <x v="2"/>
    <x v="2"/>
    <x v="0"/>
    <n v="78594.149999999994"/>
    <n v="62875.32"/>
    <s v="Estimated"/>
    <n v="4"/>
    <n v="15718.829999999994"/>
    <n v="0.19999999999999996"/>
  </r>
  <r>
    <s v="ORD9924"/>
    <d v="2023-06-25T00:00:00"/>
    <x v="0"/>
    <x v="2"/>
    <x v="1"/>
    <x v="0"/>
    <n v="8192.98"/>
    <n v="6600.34"/>
    <s v="Actual"/>
    <n v="1"/>
    <n v="1592.6399999999994"/>
    <n v="0.19439080774028492"/>
  </r>
  <r>
    <s v="ORD1064"/>
    <s v="Not Mentioned"/>
    <x v="3"/>
    <x v="2"/>
    <x v="3"/>
    <x v="0"/>
    <n v="235290.65"/>
    <n v="176502.55"/>
    <s v="Actual"/>
    <s v="Unknown"/>
    <n v="58788.100000000006"/>
    <n v="0.24985310721016754"/>
  </r>
  <r>
    <s v="ORD238"/>
    <d v="2023-02-15T00:00:00"/>
    <x v="1"/>
    <x v="1"/>
    <x v="0"/>
    <x v="0"/>
    <n v="50604.67"/>
    <n v="39246.910000000003"/>
    <s v="Actual"/>
    <n v="4"/>
    <n v="11357.759999999995"/>
    <n v="0.2244409458652728"/>
  </r>
  <r>
    <s v="ORD826"/>
    <d v="2023-01-15T00:00:00"/>
    <x v="4"/>
    <x v="2"/>
    <x v="0"/>
    <x v="0"/>
    <n v="31512.93"/>
    <n v="19078.98"/>
    <s v="Actual"/>
    <n v="2"/>
    <n v="12433.95"/>
    <n v="0.39456661122910502"/>
  </r>
  <r>
    <s v="ORD702"/>
    <d v="2023-02-15T00:00:00"/>
    <x v="1"/>
    <x v="3"/>
    <x v="2"/>
    <x v="0"/>
    <n v="20930.330000000002"/>
    <n v="12542.12"/>
    <s v="Actual"/>
    <n v="1"/>
    <n v="8388.2100000000009"/>
    <n v="0.40076816753486449"/>
  </r>
  <r>
    <s v="ORD7515"/>
    <d v="2023-03-20T00:00:00"/>
    <x v="5"/>
    <x v="3"/>
    <x v="3"/>
    <x v="0"/>
    <n v="318223.78999999998"/>
    <n v="254579.03200000001"/>
    <s v="Estimated"/>
    <n v="5"/>
    <n v="63644.757999999973"/>
    <n v="0.19999999999999993"/>
  </r>
  <r>
    <s v="ORD5392"/>
    <d v="2023-02-15T00:00:00"/>
    <x v="1"/>
    <x v="3"/>
    <x v="0"/>
    <x v="0"/>
    <n v="50809.07"/>
    <n v="40647.256000000001"/>
    <s v="Estimated"/>
    <n v="4"/>
    <n v="10161.813999999998"/>
    <n v="0.19999999999999998"/>
  </r>
  <r>
    <s v="ORD6938"/>
    <d v="2023-06-25T00:00:00"/>
    <x v="0"/>
    <x v="2"/>
    <x v="3"/>
    <x v="0"/>
    <n v="281616.18"/>
    <n v="154574.18"/>
    <s v="Actual"/>
    <n v="4"/>
    <n v="127042"/>
    <n v="0.45111754587396224"/>
  </r>
  <r>
    <s v="ORD3773"/>
    <d v="2023-06-25T00:00:00"/>
    <x v="0"/>
    <x v="3"/>
    <x v="2"/>
    <x v="0"/>
    <n v="92771.91"/>
    <n v="52333.49"/>
    <s v="Actual"/>
    <n v="4"/>
    <n v="40438.420000000006"/>
    <n v="0.43589077771493551"/>
  </r>
  <r>
    <s v="ORD1390"/>
    <s v="Not Mentioned"/>
    <x v="3"/>
    <x v="1"/>
    <x v="2"/>
    <x v="0"/>
    <n v="38348.01"/>
    <n v="24525.33"/>
    <s v="Actual"/>
    <n v="2"/>
    <n v="13822.68"/>
    <n v="0.36045364544340108"/>
  </r>
  <r>
    <s v="ORD8769"/>
    <d v="2023-04-05T00:00:00"/>
    <x v="2"/>
    <x v="1"/>
    <x v="3"/>
    <x v="0"/>
    <n v="249298.47"/>
    <n v="224620.85"/>
    <s v="Actual"/>
    <n v="5"/>
    <n v="24677.619999999995"/>
    <n v="9.8988252916273389E-2"/>
  </r>
  <r>
    <s v="ORD6086"/>
    <d v="2023-04-05T00:00:00"/>
    <x v="2"/>
    <x v="3"/>
    <x v="2"/>
    <x v="0"/>
    <n v="54456.33"/>
    <n v="41983.85"/>
    <s v="Actual"/>
    <s v="Unknown"/>
    <n v="12472.480000000003"/>
    <n v="0.22903636730569252"/>
  </r>
  <r>
    <s v="ORD827"/>
    <d v="2023-02-15T00:00:00"/>
    <x v="1"/>
    <x v="1"/>
    <x v="2"/>
    <x v="0"/>
    <n v="117265.15"/>
    <n v="72395.98"/>
    <s v="Actual"/>
    <n v="5"/>
    <n v="44869.17"/>
    <n v="0.38263004822830993"/>
  </r>
  <r>
    <s v="ORD934"/>
    <d v="2023-04-05T00:00:00"/>
    <x v="2"/>
    <x v="1"/>
    <x v="2"/>
    <x v="0"/>
    <n v="87070.41"/>
    <n v="69861.13"/>
    <s v="Actual"/>
    <n v="5"/>
    <n v="17209.28"/>
    <n v="0.19764785763613607"/>
  </r>
  <r>
    <s v="ORD3248"/>
    <d v="2023-03-20T00:00:00"/>
    <x v="5"/>
    <x v="1"/>
    <x v="2"/>
    <x v="0"/>
    <n v="59728.47"/>
    <n v="36513.94"/>
    <s v="Actual"/>
    <n v="3"/>
    <n v="23214.53"/>
    <n v="0.38866774923248493"/>
  </r>
  <r>
    <s v="ORD7030"/>
    <s v="Not Mentioned"/>
    <x v="3"/>
    <x v="0"/>
    <x v="2"/>
    <x v="0"/>
    <n v="34158"/>
    <n v="23981.88"/>
    <s v="Actual"/>
    <n v="2"/>
    <n v="10176.119999999999"/>
    <n v="0.29791322676971715"/>
  </r>
  <r>
    <s v="ORD5373"/>
    <d v="2023-06-25T00:00:00"/>
    <x v="0"/>
    <x v="1"/>
    <x v="3"/>
    <x v="0"/>
    <n v="242315.9"/>
    <n v="228005.55"/>
    <s v="Actual"/>
    <n v="5"/>
    <n v="14310.350000000006"/>
    <n v="5.9056586876882637E-2"/>
  </r>
  <r>
    <s v="ORD3438"/>
    <d v="2023-03-20T00:00:00"/>
    <x v="5"/>
    <x v="2"/>
    <x v="3"/>
    <x v="0"/>
    <n v="51520.81"/>
    <n v="47710.41"/>
    <s v="Actual"/>
    <n v="1"/>
    <n v="3810.3999999999942"/>
    <n v="7.3958464550537825E-2"/>
  </r>
  <r>
    <s v="ORD3177"/>
    <d v="2023-02-15T00:00:00"/>
    <x v="1"/>
    <x v="1"/>
    <x v="1"/>
    <x v="0"/>
    <n v="27894.62"/>
    <n v="22043.200000000001"/>
    <s v="Actual"/>
    <n v="3"/>
    <n v="5851.4199999999983"/>
    <n v="0.20976876544652692"/>
  </r>
  <r>
    <s v="ORD5779"/>
    <d v="2023-06-25T00:00:00"/>
    <x v="0"/>
    <x v="2"/>
    <x v="0"/>
    <x v="0"/>
    <n v="62230.9"/>
    <n v="35207.379999999997"/>
    <s v="Actual"/>
    <n v="4"/>
    <n v="27023.520000000004"/>
    <n v="0.43424600961901572"/>
  </r>
  <r>
    <s v="ORD4563"/>
    <d v="2023-03-20T00:00:00"/>
    <x v="5"/>
    <x v="0"/>
    <x v="1"/>
    <x v="0"/>
    <n v="40397.599999999999"/>
    <n v="34485.68"/>
    <s v="Actual"/>
    <n v="5"/>
    <n v="5911.9199999999983"/>
    <n v="0.1463433471295324"/>
  </r>
  <r>
    <s v="ORD9009"/>
    <s v="Not Mentioned"/>
    <x v="3"/>
    <x v="2"/>
    <x v="3"/>
    <x v="0"/>
    <n v="58438.69"/>
    <n v="42817.88"/>
    <s v="Actual"/>
    <n v="1"/>
    <n v="15620.810000000005"/>
    <n v="0.26730253535799664"/>
  </r>
  <r>
    <s v="ORD7423"/>
    <d v="2023-01-15T00:00:00"/>
    <x v="4"/>
    <x v="1"/>
    <x v="2"/>
    <x v="0"/>
    <n v="63394.73"/>
    <n v="37652.5"/>
    <s v="Actual"/>
    <n v="3"/>
    <n v="25742.230000000003"/>
    <n v="0.40606261750779604"/>
  </r>
  <r>
    <s v="ORD3253"/>
    <d v="2023-02-15T00:00:00"/>
    <x v="1"/>
    <x v="2"/>
    <x v="1"/>
    <x v="0"/>
    <n v="19670.73"/>
    <n v="12656.94"/>
    <s v="Actual"/>
    <n v="2"/>
    <n v="7013.7899999999991"/>
    <n v="0.35655972096612576"/>
  </r>
  <r>
    <s v="ORD5901"/>
    <d v="2023-03-20T00:00:00"/>
    <x v="5"/>
    <x v="3"/>
    <x v="3"/>
    <x v="0"/>
    <n v="277130.15999999997"/>
    <n v="185935.69"/>
    <s v="Actual"/>
    <n v="4"/>
    <n v="91194.469999999972"/>
    <n v="0.32906728737139251"/>
  </r>
  <r>
    <s v="ORD5310"/>
    <d v="2023-01-15T00:00:00"/>
    <x v="4"/>
    <x v="3"/>
    <x v="3"/>
    <x v="0"/>
    <n v="118341.07"/>
    <n v="94672.856000000014"/>
    <s v="Estimated"/>
    <n v="2"/>
    <n v="23668.213999999993"/>
    <n v="0.19999999999999993"/>
  </r>
  <r>
    <s v="ORD180"/>
    <d v="2023-02-15T00:00:00"/>
    <x v="1"/>
    <x v="3"/>
    <x v="0"/>
    <x v="0"/>
    <n v="48020.31"/>
    <n v="30493.360000000001"/>
    <s v="Actual"/>
    <n v="3"/>
    <n v="17526.949999999997"/>
    <n v="0.36499035512265537"/>
  </r>
  <r>
    <s v="ORD7891"/>
    <d v="2023-06-25T00:00:00"/>
    <x v="0"/>
    <x v="1"/>
    <x v="3"/>
    <x v="0"/>
    <n v="144977.87"/>
    <n v="126531.54"/>
    <s v="Actual"/>
    <n v="3"/>
    <n v="18446.330000000002"/>
    <n v="0.12723548773340373"/>
  </r>
  <r>
    <s v="ORD4209"/>
    <d v="2023-04-05T00:00:00"/>
    <x v="2"/>
    <x v="3"/>
    <x v="2"/>
    <x v="0"/>
    <n v="83091.740000000005"/>
    <n v="66473.392000000007"/>
    <s v="Estimated"/>
    <n v="5"/>
    <n v="16618.347999999998"/>
    <n v="0.19999999999999996"/>
  </r>
  <r>
    <s v="ORD2194"/>
    <d v="2023-03-20T00:00:00"/>
    <x v="5"/>
    <x v="3"/>
    <x v="1"/>
    <x v="0"/>
    <n v="36738.47"/>
    <n v="28191.27"/>
    <s v="Actual"/>
    <n v="4"/>
    <n v="8547.2000000000007"/>
    <n v="0.23264986266439514"/>
  </r>
  <r>
    <s v="ORD4837"/>
    <d v="2023-02-15T00:00:00"/>
    <x v="1"/>
    <x v="1"/>
    <x v="1"/>
    <x v="0"/>
    <n v="10465.48"/>
    <n v="6358.83"/>
    <s v="Actual"/>
    <n v="1"/>
    <n v="4106.6499999999996"/>
    <n v="0.39239958415667509"/>
  </r>
  <r>
    <s v="ORD6616"/>
    <s v="Not Mentioned"/>
    <x v="3"/>
    <x v="3"/>
    <x v="2"/>
    <x v="0"/>
    <n v="51756.19"/>
    <n v="38323.879999999997"/>
    <s v="Actual"/>
    <n v="3"/>
    <n v="13432.310000000005"/>
    <n v="0.25953050253505916"/>
  </r>
  <r>
    <s v="ORD3964"/>
    <d v="2023-03-20T00:00:00"/>
    <x v="5"/>
    <x v="2"/>
    <x v="0"/>
    <x v="0"/>
    <n v="15592.41"/>
    <n v="10224.469999999999"/>
    <s v="Actual"/>
    <n v="1"/>
    <n v="5367.9400000000005"/>
    <n v="0.34426621670415292"/>
  </r>
  <r>
    <s v="ORD1390"/>
    <d v="2023-04-05T00:00:00"/>
    <x v="2"/>
    <x v="1"/>
    <x v="2"/>
    <x v="0"/>
    <n v="23807.15"/>
    <n v="15186.78"/>
    <s v="Actual"/>
    <n v="1"/>
    <n v="8620.3700000000008"/>
    <n v="0.36209164053656151"/>
  </r>
  <r>
    <s v="ORD5376"/>
    <d v="2023-03-20T00:00:00"/>
    <x v="5"/>
    <x v="2"/>
    <x v="1"/>
    <x v="0"/>
    <n v="11034.7"/>
    <n v="8827.76"/>
    <s v="Estimated"/>
    <n v="1"/>
    <n v="2206.9400000000005"/>
    <n v="0.20000000000000004"/>
  </r>
  <r>
    <s v="ORD2432"/>
    <d v="2023-03-20T00:00:00"/>
    <x v="5"/>
    <x v="2"/>
    <x v="3"/>
    <x v="0"/>
    <n v="339258.02"/>
    <n v="237213.41"/>
    <s v="Actual"/>
    <n v="5"/>
    <n v="102044.61000000002"/>
    <n v="0.30078761292069089"/>
  </r>
  <r>
    <s v="ORD223"/>
    <s v="Not Mentioned"/>
    <x v="3"/>
    <x v="2"/>
    <x v="1"/>
    <x v="0"/>
    <n v="10918.75"/>
    <n v="6316.5"/>
    <s v="Actual"/>
    <n v="1"/>
    <n v="4602.25"/>
    <n v="0.42149971379507728"/>
  </r>
  <r>
    <s v="ORD2320"/>
    <d v="2023-04-05T00:00:00"/>
    <x v="2"/>
    <x v="3"/>
    <x v="3"/>
    <x v="0"/>
    <n v="226382.1"/>
    <n v="161682.04999999999"/>
    <s v="Actual"/>
    <n v="4"/>
    <n v="64700.050000000017"/>
    <n v="0.28580020240116166"/>
  </r>
  <r>
    <s v="ORD2982"/>
    <s v="Not Mentioned"/>
    <x v="3"/>
    <x v="2"/>
    <x v="0"/>
    <x v="0"/>
    <n v="12836.79"/>
    <n v="9925.83"/>
    <s v="Actual"/>
    <n v="1"/>
    <n v="2910.9600000000009"/>
    <n v="0.22676697211686106"/>
  </r>
  <r>
    <s v="ORD1114"/>
    <s v="Not Mentioned"/>
    <x v="3"/>
    <x v="2"/>
    <x v="3"/>
    <x v="0"/>
    <n v="160206.6"/>
    <n v="132760.20000000001"/>
    <s v="Actual"/>
    <s v="Unknown"/>
    <n v="27446.399999999994"/>
    <n v="0.1713187846193602"/>
  </r>
  <r>
    <s v="ORD8838"/>
    <d v="2023-06-25T00:00:00"/>
    <x v="0"/>
    <x v="1"/>
    <x v="1"/>
    <x v="0"/>
    <n v="19806.37"/>
    <n v="14187.48"/>
    <s v="Actual"/>
    <n v="2"/>
    <n v="5618.8899999999994"/>
    <n v="0.28369105494848373"/>
  </r>
  <r>
    <s v="ORD368"/>
    <d v="2023-06-25T00:00:00"/>
    <x v="0"/>
    <x v="0"/>
    <x v="1"/>
    <x v="0"/>
    <n v="19504.25"/>
    <n v="14615.91"/>
    <s v="Actual"/>
    <s v="Unknown"/>
    <n v="4888.34"/>
    <n v="0.25062947819065079"/>
  </r>
  <r>
    <s v="ORD3711"/>
    <d v="2023-02-15T00:00:00"/>
    <x v="1"/>
    <x v="3"/>
    <x v="2"/>
    <x v="0"/>
    <n v="105133.45"/>
    <n v="69691.48"/>
    <s v="Actual"/>
    <n v="5"/>
    <n v="35441.97"/>
    <n v="0.3371141154408992"/>
  </r>
  <r>
    <s v="ORD107"/>
    <d v="2023-02-15T00:00:00"/>
    <x v="1"/>
    <x v="1"/>
    <x v="2"/>
    <x v="0"/>
    <n v="109618.59"/>
    <n v="67215.42"/>
    <s v="Actual"/>
    <n v="5"/>
    <n v="42403.17"/>
    <n v="0.38682462527569456"/>
  </r>
  <r>
    <s v="ORD7577"/>
    <d v="2023-06-25T00:00:00"/>
    <x v="0"/>
    <x v="0"/>
    <x v="1"/>
    <x v="0"/>
    <n v="47721.48"/>
    <n v="29453.83"/>
    <s v="Actual"/>
    <n v="4"/>
    <n v="18267.650000000001"/>
    <n v="0.38279722255051601"/>
  </r>
  <r>
    <s v="ORD2348"/>
    <d v="2023-04-05T00:00:00"/>
    <x v="2"/>
    <x v="2"/>
    <x v="1"/>
    <x v="0"/>
    <n v="19652.09"/>
    <n v="12850.93"/>
    <s v="Actual"/>
    <n v="2"/>
    <n v="6801.16"/>
    <n v="0.34607820338701889"/>
  </r>
  <r>
    <s v="ORD2070"/>
    <d v="2023-03-20T00:00:00"/>
    <x v="5"/>
    <x v="0"/>
    <x v="0"/>
    <x v="0"/>
    <n v="24483.38"/>
    <n v="21135.63"/>
    <s v="Actual"/>
    <n v="2"/>
    <n v="3347.75"/>
    <n v="0.13673561411863885"/>
  </r>
  <r>
    <s v="ORD7209"/>
    <d v="2023-03-20T00:00:00"/>
    <x v="5"/>
    <x v="0"/>
    <x v="3"/>
    <x v="0"/>
    <n v="324783.56"/>
    <n v="234028.24"/>
    <s v="Actual"/>
    <n v="5"/>
    <n v="90755.32"/>
    <n v="0.27943323239636886"/>
  </r>
  <r>
    <s v="ORD6295"/>
    <d v="2023-03-20T00:00:00"/>
    <x v="5"/>
    <x v="1"/>
    <x v="3"/>
    <x v="0"/>
    <n v="52472.87"/>
    <n v="45685.07"/>
    <s v="Actual"/>
    <n v="1"/>
    <n v="6787.8000000000029"/>
    <n v="0.12935827600053137"/>
  </r>
  <r>
    <s v="ORD207"/>
    <d v="2023-06-25T00:00:00"/>
    <x v="0"/>
    <x v="0"/>
    <x v="3"/>
    <x v="0"/>
    <n v="65654.899999999994"/>
    <n v="46974.59"/>
    <s v="Actual"/>
    <s v="Unknown"/>
    <n v="18680.309999999998"/>
    <n v="0.28452270889149173"/>
  </r>
  <r>
    <s v="ORD309"/>
    <d v="2023-01-15T00:00:00"/>
    <x v="4"/>
    <x v="0"/>
    <x v="1"/>
    <x v="0"/>
    <n v="42332.97"/>
    <n v="25925.58"/>
    <s v="Actual"/>
    <n v="4"/>
    <n v="16407.39"/>
    <n v="0.38757946820173494"/>
  </r>
  <r>
    <s v="ORD8257"/>
    <d v="2023-03-20T00:00:00"/>
    <x v="5"/>
    <x v="2"/>
    <x v="2"/>
    <x v="0"/>
    <n v="67521.86"/>
    <n v="56138.12"/>
    <s v="Actual"/>
    <n v="4"/>
    <n v="11383.739999999998"/>
    <n v="0.16859340071496842"/>
  </r>
  <r>
    <s v="ORD4947"/>
    <d v="2023-03-20T00:00:00"/>
    <x v="5"/>
    <x v="1"/>
    <x v="0"/>
    <x v="0"/>
    <n v="12800.81"/>
    <n v="9218.64"/>
    <s v="Actual"/>
    <n v="1"/>
    <n v="3582.17"/>
    <n v="0.27983932266786243"/>
  </r>
  <r>
    <s v="ORD4176"/>
    <d v="2023-03-20T00:00:00"/>
    <x v="5"/>
    <x v="3"/>
    <x v="1"/>
    <x v="0"/>
    <n v="49843.31"/>
    <n v="32711.75"/>
    <s v="Actual"/>
    <n v="5"/>
    <n v="17131.559999999998"/>
    <n v="0.34370831311162919"/>
  </r>
  <r>
    <s v="ORD2020"/>
    <d v="2023-03-20T00:00:00"/>
    <x v="5"/>
    <x v="2"/>
    <x v="2"/>
    <x v="0"/>
    <n v="56167.62"/>
    <n v="39086.870000000003"/>
    <s v="Actual"/>
    <n v="3"/>
    <n v="17080.75"/>
    <n v="0.30410314697329172"/>
  </r>
  <r>
    <s v="ORD3315"/>
    <d v="2023-02-15T00:00:00"/>
    <x v="1"/>
    <x v="2"/>
    <x v="1"/>
    <x v="0"/>
    <n v="35477.980000000003"/>
    <n v="22505.31"/>
    <s v="Actual"/>
    <n v="3"/>
    <n v="12972.670000000002"/>
    <n v="0.36565413250698042"/>
  </r>
  <r>
    <s v="ORD6244"/>
    <d v="2023-06-25T00:00:00"/>
    <x v="0"/>
    <x v="2"/>
    <x v="3"/>
    <x v="0"/>
    <n v="263069.26"/>
    <n v="187651.37"/>
    <s v="Actual"/>
    <n v="4"/>
    <n v="75417.890000000014"/>
    <n v="0.28668454079355382"/>
  </r>
  <r>
    <s v="ORD5329"/>
    <d v="2023-04-05T00:00:00"/>
    <x v="2"/>
    <x v="2"/>
    <x v="0"/>
    <x v="0"/>
    <n v="87178.66"/>
    <n v="49813.75"/>
    <s v="Actual"/>
    <n v="5"/>
    <n v="37364.910000000003"/>
    <n v="0.42860156373130764"/>
  </r>
  <r>
    <s v="ORD791"/>
    <d v="2023-03-20T00:00:00"/>
    <x v="5"/>
    <x v="2"/>
    <x v="0"/>
    <x v="0"/>
    <n v="24930.38"/>
    <n v="21026.39"/>
    <s v="Actual"/>
    <n v="2"/>
    <n v="3903.9900000000016"/>
    <n v="0.15659568767102633"/>
  </r>
  <r>
    <s v="ORD3799"/>
    <d v="2023-02-15T00:00:00"/>
    <x v="1"/>
    <x v="3"/>
    <x v="0"/>
    <x v="0"/>
    <n v="12239.59"/>
    <n v="10588.04"/>
    <s v="Actual"/>
    <n v="1"/>
    <n v="1651.5499999999993"/>
    <n v="0.13493507543961841"/>
  </r>
  <r>
    <s v="ORD5863"/>
    <d v="2023-06-25T00:00:00"/>
    <x v="0"/>
    <x v="1"/>
    <x v="0"/>
    <x v="0"/>
    <n v="13912.22"/>
    <n v="10192.91"/>
    <s v="Actual"/>
    <n v="1"/>
    <n v="3719.3099999999995"/>
    <n v="0.26734122950902156"/>
  </r>
  <r>
    <s v="ORD8679"/>
    <s v="Not Mentioned"/>
    <x v="3"/>
    <x v="1"/>
    <x v="2"/>
    <x v="0"/>
    <n v="38053.69"/>
    <n v="29812.48"/>
    <s v="Actual"/>
    <n v="2"/>
    <n v="8241.2100000000028"/>
    <n v="0.21656795963807984"/>
  </r>
  <r>
    <s v="ORD6644"/>
    <d v="2023-03-20T00:00:00"/>
    <x v="5"/>
    <x v="3"/>
    <x v="3"/>
    <x v="0"/>
    <n v="276190.93"/>
    <n v="162390.04"/>
    <s v="Actual"/>
    <n v="4"/>
    <n v="113800.88999999998"/>
    <n v="0.41203702815295196"/>
  </r>
  <r>
    <s v="ORD1448"/>
    <d v="2023-06-25T00:00:00"/>
    <x v="0"/>
    <x v="2"/>
    <x v="3"/>
    <x v="0"/>
    <n v="234274.48"/>
    <n v="159410.84"/>
    <s v="Actual"/>
    <n v="4"/>
    <n v="74863.640000000014"/>
    <n v="0.31955524989320222"/>
  </r>
  <r>
    <s v="ORD1719"/>
    <d v="2023-04-05T00:00:00"/>
    <x v="2"/>
    <x v="1"/>
    <x v="2"/>
    <x v="0"/>
    <n v="23356.47"/>
    <n v="14188.02"/>
    <s v="Actual"/>
    <n v="1"/>
    <n v="9168.4500000000007"/>
    <n v="0.39254433568086272"/>
  </r>
  <r>
    <s v="ORD5139"/>
    <s v="Not Mentioned"/>
    <x v="3"/>
    <x v="1"/>
    <x v="0"/>
    <x v="0"/>
    <n v="41539.49"/>
    <n v="26448.2"/>
    <s v="Actual"/>
    <n v="3"/>
    <n v="15091.289999999997"/>
    <n v="0.36329983829844803"/>
  </r>
  <r>
    <s v="ORD9401"/>
    <d v="2023-01-15T00:00:00"/>
    <x v="4"/>
    <x v="1"/>
    <x v="1"/>
    <x v="0"/>
    <n v="56972.56"/>
    <n v="36388.18"/>
    <s v="Actual"/>
    <n v="5"/>
    <n v="20584.379999999997"/>
    <n v="0.36130340641178837"/>
  </r>
  <r>
    <s v="ORD7270"/>
    <d v="2023-01-15T00:00:00"/>
    <x v="4"/>
    <x v="2"/>
    <x v="2"/>
    <x v="0"/>
    <n v="17470.77"/>
    <n v="15194.94"/>
    <s v="Actual"/>
    <n v="1"/>
    <n v="2275.83"/>
    <n v="0.13026500835395349"/>
  </r>
  <r>
    <s v="ORD9675"/>
    <s v="Not Mentioned"/>
    <x v="3"/>
    <x v="2"/>
    <x v="0"/>
    <x v="0"/>
    <n v="26154.97"/>
    <n v="18013.439999999999"/>
    <s v="Actual"/>
    <n v="2"/>
    <n v="8141.5300000000025"/>
    <n v="0.31128041821497032"/>
  </r>
  <r>
    <s v="ORD8946"/>
    <d v="2023-04-05T00:00:00"/>
    <x v="2"/>
    <x v="2"/>
    <x v="3"/>
    <x v="0"/>
    <n v="256160.98"/>
    <n v="238930.04"/>
    <s v="Actual"/>
    <n v="5"/>
    <n v="17230.940000000002"/>
    <n v="6.7266060584246681E-2"/>
  </r>
  <r>
    <s v="ORD5680"/>
    <d v="2023-03-20T00:00:00"/>
    <x v="5"/>
    <x v="1"/>
    <x v="0"/>
    <x v="0"/>
    <n v="72461.8"/>
    <n v="44832.25"/>
    <s v="Actual"/>
    <n v="5"/>
    <n v="27629.550000000003"/>
    <n v="0.38129814605764695"/>
  </r>
  <r>
    <s v="ORD3458"/>
    <d v="2023-06-25T00:00:00"/>
    <x v="0"/>
    <x v="1"/>
    <x v="2"/>
    <x v="0"/>
    <n v="45460.93"/>
    <n v="28540.33"/>
    <s v="Actual"/>
    <n v="2"/>
    <n v="16920.599999999999"/>
    <n v="0.37220092065868426"/>
  </r>
  <r>
    <s v="ORD1189"/>
    <d v="2023-03-20T00:00:00"/>
    <x v="5"/>
    <x v="2"/>
    <x v="3"/>
    <x v="0"/>
    <n v="310506.77"/>
    <n v="229461.5"/>
    <s v="Actual"/>
    <n v="5"/>
    <n v="81045.270000000019"/>
    <n v="0.26100967138333253"/>
  </r>
  <r>
    <s v="ORD6873"/>
    <d v="2023-04-05T00:00:00"/>
    <x v="2"/>
    <x v="1"/>
    <x v="3"/>
    <x v="0"/>
    <n v="69102.539999999994"/>
    <n v="47016.04"/>
    <s v="Actual"/>
    <n v="1"/>
    <n v="22086.499999999993"/>
    <n v="0.31961922094325323"/>
  </r>
  <r>
    <s v="ORD5516"/>
    <d v="2023-06-25T00:00:00"/>
    <x v="0"/>
    <x v="1"/>
    <x v="3"/>
    <x v="0"/>
    <n v="332209.27"/>
    <n v="233884"/>
    <s v="Actual"/>
    <n v="5"/>
    <n v="98325.270000000019"/>
    <n v="0.29597389019276921"/>
  </r>
  <r>
    <s v="ORD8210"/>
    <d v="2023-04-05T00:00:00"/>
    <x v="2"/>
    <x v="0"/>
    <x v="0"/>
    <x v="0"/>
    <n v="66553.149999999994"/>
    <n v="49280.13"/>
    <s v="Actual"/>
    <n v="5"/>
    <n v="17273.019999999997"/>
    <n v="0.25953722701329685"/>
  </r>
  <r>
    <s v="ORD6024"/>
    <s v="Not Mentioned"/>
    <x v="3"/>
    <x v="3"/>
    <x v="2"/>
    <x v="0"/>
    <n v="22312.04"/>
    <n v="13055.75"/>
    <s v="Actual"/>
    <n v="1"/>
    <n v="9256.2900000000009"/>
    <n v="0.41485628387184681"/>
  </r>
  <r>
    <s v="ORD805"/>
    <d v="2023-04-05T00:00:00"/>
    <x v="2"/>
    <x v="0"/>
    <x v="0"/>
    <x v="0"/>
    <n v="29982.54"/>
    <n v="21378.27"/>
    <s v="Actual"/>
    <n v="2"/>
    <n v="8604.27"/>
    <n v="0.2869760200436654"/>
  </r>
  <r>
    <s v="ORD7549"/>
    <d v="2023-03-20T00:00:00"/>
    <x v="5"/>
    <x v="2"/>
    <x v="3"/>
    <x v="0"/>
    <n v="98013.61"/>
    <n v="91861.93"/>
    <s v="Actual"/>
    <n v="2"/>
    <n v="6151.6800000000076"/>
    <n v="6.2763528452834325E-2"/>
  </r>
  <r>
    <s v="ORD170"/>
    <d v="2023-02-15T00:00:00"/>
    <x v="1"/>
    <x v="1"/>
    <x v="0"/>
    <x v="0"/>
    <n v="38840.42"/>
    <n v="28441.05"/>
    <s v="Actual"/>
    <n v="3"/>
    <n v="10399.369999999999"/>
    <n v="0.26774607483647189"/>
  </r>
  <r>
    <s v="ORD2085"/>
    <d v="2023-03-20T00:00:00"/>
    <x v="5"/>
    <x v="2"/>
    <x v="1"/>
    <x v="0"/>
    <n v="20583.09"/>
    <n v="13945.23"/>
    <s v="Actual"/>
    <n v="2"/>
    <n v="6637.8600000000006"/>
    <n v="0.32249093794954986"/>
  </r>
  <r>
    <s v="ORD3349"/>
    <d v="2023-01-15T00:00:00"/>
    <x v="4"/>
    <x v="3"/>
    <x v="1"/>
    <x v="0"/>
    <n v="35597.74"/>
    <n v="21188.74"/>
    <s v="Actual"/>
    <n v="3"/>
    <n v="14408.999999999996"/>
    <n v="0.40477288726756239"/>
  </r>
  <r>
    <s v="ORD9988"/>
    <d v="2023-01-15T00:00:00"/>
    <x v="4"/>
    <x v="2"/>
    <x v="2"/>
    <x v="0"/>
    <n v="104539.71"/>
    <n v="61174.51"/>
    <s v="Actual"/>
    <n v="5"/>
    <n v="43365.200000000004"/>
    <n v="0.41482035869431816"/>
  </r>
  <r>
    <s v="ORD7279"/>
    <s v="Not Mentioned"/>
    <x v="3"/>
    <x v="2"/>
    <x v="0"/>
    <x v="0"/>
    <n v="30418.54"/>
    <n v="19777.47"/>
    <s v="Actual"/>
    <n v="2"/>
    <n v="10641.07"/>
    <n v="0.34982185206785071"/>
  </r>
  <r>
    <s v="ORD7516"/>
    <d v="2023-03-20T00:00:00"/>
    <x v="5"/>
    <x v="3"/>
    <x v="2"/>
    <x v="0"/>
    <n v="46256.81"/>
    <n v="27955.73"/>
    <s v="Actual"/>
    <n v="2"/>
    <n v="18301.079999999998"/>
    <n v="0.39564077159665784"/>
  </r>
  <r>
    <s v="ORD3966"/>
    <d v="2023-01-15T00:00:00"/>
    <x v="4"/>
    <x v="1"/>
    <x v="3"/>
    <x v="0"/>
    <n v="68942.69"/>
    <n v="41640.730000000003"/>
    <s v="Actual"/>
    <n v="1"/>
    <n v="27301.96"/>
    <n v="0.39600949716351364"/>
  </r>
  <r>
    <s v="ORD5205"/>
    <d v="2023-06-25T00:00:00"/>
    <x v="0"/>
    <x v="1"/>
    <x v="2"/>
    <x v="0"/>
    <n v="57724.37"/>
    <n v="45425.39"/>
    <s v="Actual"/>
    <n v="3"/>
    <n v="12298.980000000003"/>
    <n v="0.21306391044198494"/>
  </r>
  <r>
    <s v="ORD2040"/>
    <d v="2023-04-05T00:00:00"/>
    <x v="2"/>
    <x v="2"/>
    <x v="3"/>
    <x v="0"/>
    <n v="115675.73"/>
    <n v="91791.92"/>
    <s v="Actual"/>
    <n v="2"/>
    <n v="23883.809999999998"/>
    <n v="0.20647209228763888"/>
  </r>
  <r>
    <s v="ORD2161"/>
    <d v="2023-03-20T00:00:00"/>
    <x v="5"/>
    <x v="2"/>
    <x v="2"/>
    <x v="0"/>
    <n v="70949.429999999993"/>
    <n v="44935.41"/>
    <s v="Actual"/>
    <n v="3"/>
    <n v="26014.01999999999"/>
    <n v="0.36665579977175283"/>
  </r>
  <r>
    <s v="ORD5394"/>
    <d v="2023-02-15T00:00:00"/>
    <x v="1"/>
    <x v="1"/>
    <x v="3"/>
    <x v="0"/>
    <n v="176724.57"/>
    <n v="138862.64000000001"/>
    <s v="Actual"/>
    <n v="3"/>
    <n v="37861.929999999993"/>
    <n v="0.2142425923005499"/>
  </r>
  <r>
    <s v="ORD494"/>
    <d v="2023-03-20T00:00:00"/>
    <x v="5"/>
    <x v="2"/>
    <x v="3"/>
    <x v="0"/>
    <n v="211705.08"/>
    <n v="169364.06400000001"/>
    <s v="Estimated"/>
    <n v="3"/>
    <n v="42341.015999999974"/>
    <n v="0.1999999999999999"/>
  </r>
  <r>
    <s v="ORD9772"/>
    <d v="2023-02-15T00:00:00"/>
    <x v="1"/>
    <x v="2"/>
    <x v="2"/>
    <x v="0"/>
    <n v="19147.59"/>
    <n v="12361.48"/>
    <s v="Actual"/>
    <n v="1"/>
    <n v="6786.1100000000006"/>
    <n v="0.35441065951380829"/>
  </r>
  <r>
    <s v="ORD5591"/>
    <d v="2023-01-15T00:00:00"/>
    <x v="4"/>
    <x v="0"/>
    <x v="3"/>
    <x v="0"/>
    <n v="259353.54"/>
    <n v="172557.11"/>
    <s v="Actual"/>
    <n v="4"/>
    <n v="86796.430000000022"/>
    <n v="0.33466452781018535"/>
  </r>
  <r>
    <s v="ORD220"/>
    <d v="2023-03-20T00:00:00"/>
    <x v="5"/>
    <x v="2"/>
    <x v="0"/>
    <x v="0"/>
    <n v="83945.12"/>
    <n v="52332.66"/>
    <s v="Actual"/>
    <n v="5"/>
    <n v="31612.459999999992"/>
    <n v="0.37658484495584726"/>
  </r>
  <r>
    <s v="ORD7421"/>
    <d v="2023-06-25T00:00:00"/>
    <x v="0"/>
    <x v="2"/>
    <x v="3"/>
    <x v="0"/>
    <n v="69424.259999999995"/>
    <n v="43899.54"/>
    <s v="Actual"/>
    <n v="1"/>
    <n v="25524.719999999994"/>
    <n v="0.36766283140792566"/>
  </r>
  <r>
    <s v="ORD5816"/>
    <d v="2023-01-15T00:00:00"/>
    <x v="4"/>
    <x v="0"/>
    <x v="2"/>
    <x v="0"/>
    <n v="35724.36"/>
    <n v="30265.16"/>
    <s v="Actual"/>
    <n v="2"/>
    <n v="5459.2000000000007"/>
    <n v="0.1528144940875078"/>
  </r>
  <r>
    <s v="ORD4763"/>
    <d v="2023-01-15T00:00:00"/>
    <x v="4"/>
    <x v="1"/>
    <x v="1"/>
    <x v="0"/>
    <n v="39466.15"/>
    <n v="26738.87"/>
    <s v="Actual"/>
    <n v="4"/>
    <n v="12727.280000000002"/>
    <n v="0.32248597849042793"/>
  </r>
  <r>
    <s v="ORD457"/>
    <d v="2023-04-05T00:00:00"/>
    <x v="2"/>
    <x v="0"/>
    <x v="3"/>
    <x v="0"/>
    <n v="238248.66"/>
    <n v="193308.46"/>
    <s v="Actual"/>
    <n v="4"/>
    <n v="44940.200000000012"/>
    <n v="0.18862729385340515"/>
  </r>
  <r>
    <s v="ORD9800"/>
    <d v="2023-04-05T00:00:00"/>
    <x v="2"/>
    <x v="2"/>
    <x v="2"/>
    <x v="0"/>
    <n v="94169.78"/>
    <n v="51672.7"/>
    <s v="Actual"/>
    <n v="4"/>
    <n v="42497.08"/>
    <n v="0.45128150453362004"/>
  </r>
  <r>
    <s v="ORD4907"/>
    <s v="Not Mentioned"/>
    <x v="3"/>
    <x v="2"/>
    <x v="3"/>
    <x v="0"/>
    <n v="320857.7"/>
    <n v="224374.64"/>
    <s v="Actual"/>
    <n v="5"/>
    <n v="96483.06"/>
    <n v="0.30070358292788357"/>
  </r>
  <r>
    <s v="ORD8313"/>
    <d v="2023-06-25T00:00:00"/>
    <x v="0"/>
    <x v="2"/>
    <x v="2"/>
    <x v="0"/>
    <n v="77846.559999999998"/>
    <n v="49378.75"/>
    <s v="Actual"/>
    <n v="4"/>
    <n v="28467.809999999998"/>
    <n v="0.36569130350782358"/>
  </r>
  <r>
    <s v="ORD4647"/>
    <d v="2023-06-25T00:00:00"/>
    <x v="0"/>
    <x v="1"/>
    <x v="0"/>
    <x v="0"/>
    <n v="53786.65"/>
    <n v="36223.910000000003"/>
    <s v="Actual"/>
    <n v="4"/>
    <n v="17562.739999999998"/>
    <n v="0.32652600598847481"/>
  </r>
  <r>
    <s v="ORD2535"/>
    <d v="2023-06-25T00:00:00"/>
    <x v="0"/>
    <x v="3"/>
    <x v="3"/>
    <x v="0"/>
    <n v="116100.22"/>
    <n v="92880.176000000007"/>
    <s v="Estimated"/>
    <n v="2"/>
    <n v="23220.043999999994"/>
    <n v="0.19999999999999996"/>
  </r>
  <r>
    <s v="ORD6060"/>
    <d v="2023-03-20T00:00:00"/>
    <x v="5"/>
    <x v="2"/>
    <x v="2"/>
    <x v="0"/>
    <n v="76428.58"/>
    <n v="54644.87"/>
    <s v="Actual"/>
    <n v="4"/>
    <n v="21783.71"/>
    <n v="0.28502047270798436"/>
  </r>
  <r>
    <s v="ORD4867"/>
    <d v="2023-06-25T00:00:00"/>
    <x v="0"/>
    <x v="0"/>
    <x v="3"/>
    <x v="0"/>
    <n v="204656.55"/>
    <n v="123200.98"/>
    <s v="Actual"/>
    <n v="3"/>
    <n v="81455.569999999992"/>
    <n v="0.39801105803845516"/>
  </r>
  <r>
    <s v="ORD4018"/>
    <d v="2023-04-05T00:00:00"/>
    <x v="2"/>
    <x v="1"/>
    <x v="3"/>
    <x v="0"/>
    <n v="323439.53000000003"/>
    <n v="232937.27"/>
    <s v="Actual"/>
    <n v="5"/>
    <n v="90502.260000000038"/>
    <n v="0.27981199453264116"/>
  </r>
  <r>
    <s v="ORD100"/>
    <s v="Not Mentioned"/>
    <x v="3"/>
    <x v="2"/>
    <x v="1"/>
    <x v="0"/>
    <n v="33228.28"/>
    <n v="21355.72"/>
    <s v="Actual"/>
    <n v="3"/>
    <n v="11872.559999999998"/>
    <n v="0.35730287574319219"/>
  </r>
  <r>
    <s v="ORD9207"/>
    <d v="2023-04-05T00:00:00"/>
    <x v="2"/>
    <x v="1"/>
    <x v="0"/>
    <x v="0"/>
    <n v="36799.24"/>
    <n v="31473.27"/>
    <s v="Actual"/>
    <n v="3"/>
    <n v="5325.9699999999975"/>
    <n v="0.14473043465028076"/>
  </r>
  <r>
    <s v="ORD4491"/>
    <d v="2023-04-05T00:00:00"/>
    <x v="2"/>
    <x v="0"/>
    <x v="0"/>
    <x v="0"/>
    <n v="40619.279999999999"/>
    <n v="30533.18"/>
    <s v="Actual"/>
    <n v="3"/>
    <n v="10086.099999999999"/>
    <n v="0.24830819256274358"/>
  </r>
  <r>
    <s v="ORD9759"/>
    <d v="2023-01-15T00:00:00"/>
    <x v="4"/>
    <x v="2"/>
    <x v="1"/>
    <x v="0"/>
    <n v="10842.75"/>
    <n v="7402.91"/>
    <s v="Actual"/>
    <n v="1"/>
    <n v="3439.84"/>
    <n v="0.31724793064490098"/>
  </r>
  <r>
    <s v="ORD3794"/>
    <d v="2023-06-25T00:00:00"/>
    <x v="0"/>
    <x v="2"/>
    <x v="2"/>
    <x v="0"/>
    <n v="33598.99"/>
    <n v="29968.32"/>
    <s v="Actual"/>
    <n v="2"/>
    <n v="3630.6699999999983"/>
    <n v="0.10805890296107111"/>
  </r>
  <r>
    <s v="ORD1160"/>
    <d v="2023-03-20T00:00:00"/>
    <x v="5"/>
    <x v="2"/>
    <x v="0"/>
    <x v="0"/>
    <n v="49099.6"/>
    <n v="30622.06"/>
    <s v="Actual"/>
    <n v="3"/>
    <n v="18477.539999999997"/>
    <n v="0.37632770939070781"/>
  </r>
  <r>
    <s v="ORD2601"/>
    <d v="2023-04-05T00:00:00"/>
    <x v="2"/>
    <x v="3"/>
    <x v="0"/>
    <x v="0"/>
    <n v="48483.25"/>
    <n v="25566.85"/>
    <s v="Actual"/>
    <n v="3"/>
    <n v="22916.400000000001"/>
    <n v="0.47266633321817331"/>
  </r>
  <r>
    <s v="ORD8274"/>
    <d v="2023-02-15T00:00:00"/>
    <x v="1"/>
    <x v="1"/>
    <x v="0"/>
    <x v="0"/>
    <n v="66620.67"/>
    <n v="34839.9"/>
    <s v="Actual"/>
    <n v="4"/>
    <n v="31780.769999999997"/>
    <n v="0.47704068422007762"/>
  </r>
  <r>
    <s v="ORD557"/>
    <d v="2023-01-15T00:00:00"/>
    <x v="4"/>
    <x v="1"/>
    <x v="2"/>
    <x v="0"/>
    <n v="16879.830000000002"/>
    <n v="13172.81"/>
    <s v="Actual"/>
    <n v="1"/>
    <n v="3707.0200000000023"/>
    <n v="0.21961240130972895"/>
  </r>
  <r>
    <s v="ORD3697"/>
    <d v="2023-04-05T00:00:00"/>
    <x v="2"/>
    <x v="2"/>
    <x v="3"/>
    <x v="0"/>
    <n v="57014.080000000002"/>
    <n v="45611.264000000003"/>
    <s v="Estimated"/>
    <n v="1"/>
    <n v="11402.815999999999"/>
    <n v="0.19999999999999998"/>
  </r>
  <r>
    <s v="ORD5975"/>
    <s v="Not Mentioned"/>
    <x v="3"/>
    <x v="2"/>
    <x v="1"/>
    <x v="0"/>
    <n v="16614.8"/>
    <n v="13275.31"/>
    <s v="Actual"/>
    <n v="2"/>
    <n v="3339.49"/>
    <n v="0.20099489611671523"/>
  </r>
  <r>
    <s v="ORD7773"/>
    <d v="2023-06-25T00:00:00"/>
    <x v="0"/>
    <x v="2"/>
    <x v="1"/>
    <x v="0"/>
    <n v="34163.839999999997"/>
    <n v="27967.61"/>
    <s v="Actual"/>
    <n v="4"/>
    <n v="6196.2299999999959"/>
    <n v="0.18136807806148245"/>
  </r>
  <r>
    <s v="ORD5746"/>
    <d v="2023-02-15T00:00:00"/>
    <x v="1"/>
    <x v="1"/>
    <x v="0"/>
    <x v="0"/>
    <n v="66771.92"/>
    <n v="49077.19"/>
    <s v="Actual"/>
    <n v="5"/>
    <n v="17694.729999999996"/>
    <n v="0.26500256395203248"/>
  </r>
  <r>
    <s v="ORD5980"/>
    <d v="2023-06-25T00:00:00"/>
    <x v="0"/>
    <x v="2"/>
    <x v="0"/>
    <x v="0"/>
    <n v="48203.66"/>
    <n v="36166.839999999997"/>
    <s v="Actual"/>
    <n v="4"/>
    <n v="12036.820000000007"/>
    <n v="0.24970759481748908"/>
  </r>
  <r>
    <s v="ORD5642"/>
    <d v="2023-01-15T00:00:00"/>
    <x v="4"/>
    <x v="1"/>
    <x v="2"/>
    <x v="0"/>
    <n v="60324.53"/>
    <n v="42099.96"/>
    <s v="Actual"/>
    <n v="3"/>
    <n v="18224.57"/>
    <n v="0.30210877730833541"/>
  </r>
  <r>
    <s v="ORD381"/>
    <d v="2023-06-25T00:00:00"/>
    <x v="0"/>
    <x v="1"/>
    <x v="3"/>
    <x v="0"/>
    <n v="203508.87"/>
    <n v="162807.09600000002"/>
    <s v="Estimated"/>
    <n v="4"/>
    <n v="40701.773999999976"/>
    <n v="0.19999999999999987"/>
  </r>
  <r>
    <s v="ORD6856"/>
    <d v="2023-06-25T00:00:00"/>
    <x v="0"/>
    <x v="1"/>
    <x v="3"/>
    <x v="0"/>
    <n v="141810.17000000001"/>
    <n v="81246.81"/>
    <s v="Actual"/>
    <n v="2"/>
    <n v="60563.360000000015"/>
    <n v="0.42707346024618692"/>
  </r>
  <r>
    <s v="ORD1561"/>
    <d v="2023-03-20T00:00:00"/>
    <x v="5"/>
    <x v="1"/>
    <x v="3"/>
    <x v="0"/>
    <n v="279632.09000000003"/>
    <n v="198321.46"/>
    <s v="Actual"/>
    <n v="5"/>
    <n v="81310.630000000034"/>
    <n v="0.29077717796981034"/>
  </r>
  <r>
    <s v="ORD7382"/>
    <d v="2023-01-15T00:00:00"/>
    <x v="4"/>
    <x v="2"/>
    <x v="0"/>
    <x v="0"/>
    <n v="59579.33"/>
    <n v="42052.21"/>
    <s v="Actual"/>
    <n v="4"/>
    <n v="17527.120000000003"/>
    <n v="0.29418122023191606"/>
  </r>
  <r>
    <s v="ORD2169"/>
    <d v="2023-03-20T00:00:00"/>
    <x v="5"/>
    <x v="2"/>
    <x v="1"/>
    <x v="0"/>
    <n v="30256.01"/>
    <n v="19305.2"/>
    <s v="Actual"/>
    <n v="3"/>
    <n v="10950.809999999998"/>
    <n v="0.36193833886226234"/>
  </r>
  <r>
    <s v="ORD8039"/>
    <s v="Not Mentioned"/>
    <x v="3"/>
    <x v="1"/>
    <x v="2"/>
    <x v="0"/>
    <n v="73085.36"/>
    <n v="51001.97"/>
    <s v="Actual"/>
    <n v="4"/>
    <n v="22083.39"/>
    <n v="0.30215887285771048"/>
  </r>
  <r>
    <s v="ORD700"/>
    <d v="2023-01-15T00:00:00"/>
    <x v="4"/>
    <x v="0"/>
    <x v="1"/>
    <x v="0"/>
    <n v="19472.61"/>
    <n v="12571.91"/>
    <s v="Actual"/>
    <n v="2"/>
    <n v="6900.7000000000007"/>
    <n v="0.3543798186272924"/>
  </r>
  <r>
    <s v="ORD5318"/>
    <d v="2023-02-15T00:00:00"/>
    <x v="1"/>
    <x v="0"/>
    <x v="3"/>
    <x v="0"/>
    <n v="182556.6"/>
    <n v="146045.28"/>
    <s v="Estimated"/>
    <n v="3"/>
    <n v="36511.320000000007"/>
    <n v="0.20000000000000004"/>
  </r>
  <r>
    <s v="ORD7185"/>
    <s v="Not Mentioned"/>
    <x v="3"/>
    <x v="2"/>
    <x v="0"/>
    <x v="0"/>
    <n v="45451.58"/>
    <n v="29650.84"/>
    <s v="Actual"/>
    <n v="3"/>
    <n v="15800.740000000002"/>
    <n v="0.34763895996574817"/>
  </r>
  <r>
    <s v="ORD9452"/>
    <d v="2023-02-15T00:00:00"/>
    <x v="1"/>
    <x v="1"/>
    <x v="3"/>
    <x v="0"/>
    <n v="289911.92"/>
    <n v="235393.71"/>
    <s v="Actual"/>
    <n v="5"/>
    <n v="54518.209999999992"/>
    <n v="0.18805094319681645"/>
  </r>
  <r>
    <s v="ORD1353"/>
    <d v="2023-03-20T00:00:00"/>
    <x v="5"/>
    <x v="2"/>
    <x v="0"/>
    <x v="0"/>
    <n v="48796.5"/>
    <n v="39170.15"/>
    <s v="Actual"/>
    <n v="4"/>
    <n v="9626.3499999999985"/>
    <n v="0.19727541934360043"/>
  </r>
  <r>
    <s v="ORD4754"/>
    <d v="2023-03-20T00:00:00"/>
    <x v="5"/>
    <x v="1"/>
    <x v="3"/>
    <x v="0"/>
    <n v="126803.38"/>
    <n v="91551.41"/>
    <s v="Actual"/>
    <n v="2"/>
    <n v="35251.97"/>
    <n v="0.27800497116086337"/>
  </r>
  <r>
    <s v="ORD5574"/>
    <d v="2023-01-15T00:00:00"/>
    <x v="4"/>
    <x v="2"/>
    <x v="2"/>
    <x v="0"/>
    <n v="83466.22"/>
    <n v="52670.080000000002"/>
    <s v="Actual"/>
    <n v="4"/>
    <n v="30796.14"/>
    <n v="0.36896531315303366"/>
  </r>
  <r>
    <s v="ORD5541"/>
    <s v="Not Mentioned"/>
    <x v="3"/>
    <x v="1"/>
    <x v="3"/>
    <x v="0"/>
    <n v="125534.46"/>
    <n v="84943.47"/>
    <s v="Actual"/>
    <n v="2"/>
    <n v="40590.990000000005"/>
    <n v="0.32334539854634342"/>
  </r>
  <r>
    <s v="ORD424"/>
    <d v="2023-06-25T00:00:00"/>
    <x v="0"/>
    <x v="3"/>
    <x v="3"/>
    <x v="0"/>
    <n v="63557.25"/>
    <n v="42665.67"/>
    <s v="Actual"/>
    <n v="1"/>
    <n v="20891.580000000002"/>
    <n v="0.32870490777999367"/>
  </r>
  <r>
    <s v="ORD6305"/>
    <d v="2023-02-15T00:00:00"/>
    <x v="1"/>
    <x v="2"/>
    <x v="3"/>
    <x v="0"/>
    <n v="213918.74"/>
    <n v="170183.59"/>
    <s v="Actual"/>
    <n v="4"/>
    <n v="43735.149999999994"/>
    <n v="0.20444749253852185"/>
  </r>
  <r>
    <s v="ORD3720"/>
    <d v="2023-03-20T00:00:00"/>
    <x v="5"/>
    <x v="1"/>
    <x v="3"/>
    <x v="0"/>
    <n v="155684.22"/>
    <n v="115169.04"/>
    <s v="Actual"/>
    <s v="Unknown"/>
    <n v="40515.180000000008"/>
    <n v="0.26023947706453493"/>
  </r>
  <r>
    <s v="ORD5486"/>
    <d v="2023-04-05T00:00:00"/>
    <x v="2"/>
    <x v="1"/>
    <x v="1"/>
    <x v="0"/>
    <n v="10984.6"/>
    <n v="6038.55"/>
    <s v="Actual"/>
    <n v="1"/>
    <n v="4946.05"/>
    <n v="0.45027128889536261"/>
  </r>
  <r>
    <s v="ORD572"/>
    <d v="2023-06-25T00:00:00"/>
    <x v="0"/>
    <x v="0"/>
    <x v="2"/>
    <x v="0"/>
    <n v="42222.04"/>
    <n v="25135.01"/>
    <s v="Actual"/>
    <n v="2"/>
    <n v="17087.030000000002"/>
    <n v="0.40469456236600604"/>
  </r>
  <r>
    <s v="ORD141"/>
    <d v="2023-03-20T00:00:00"/>
    <x v="5"/>
    <x v="3"/>
    <x v="0"/>
    <x v="0"/>
    <n v="28723.96"/>
    <n v="22979.168000000001"/>
    <s v="Estimated"/>
    <n v="2"/>
    <n v="5744.7919999999976"/>
    <n v="0.19999999999999993"/>
  </r>
  <r>
    <s v="ORD8205"/>
    <d v="2023-02-15T00:00:00"/>
    <x v="1"/>
    <x v="1"/>
    <x v="2"/>
    <x v="0"/>
    <n v="16630.09"/>
    <n v="14243.81"/>
    <s v="Actual"/>
    <n v="1"/>
    <n v="2386.2800000000007"/>
    <n v="0.14349170689996268"/>
  </r>
  <r>
    <s v="ORD2488"/>
    <s v="Not Mentioned"/>
    <x v="3"/>
    <x v="2"/>
    <x v="2"/>
    <x v="0"/>
    <n v="79299.42"/>
    <n v="57032.37"/>
    <s v="Actual"/>
    <n v="4"/>
    <n v="22267.049999999996"/>
    <n v="0.28079713571675552"/>
  </r>
  <r>
    <s v="ORD4983"/>
    <d v="2023-02-15T00:00:00"/>
    <x v="1"/>
    <x v="3"/>
    <x v="2"/>
    <x v="0"/>
    <n v="57639.48"/>
    <n v="37661.410000000003"/>
    <s v="Actual"/>
    <n v="3"/>
    <n v="19978.07"/>
    <n v="0.34660392494866366"/>
  </r>
  <r>
    <s v="ORD1975"/>
    <s v="Not Mentioned"/>
    <x v="3"/>
    <x v="3"/>
    <x v="3"/>
    <x v="0"/>
    <n v="135837.98000000001"/>
    <n v="81011.460000000006"/>
    <s v="Actual"/>
    <s v="Unknown"/>
    <n v="54826.520000000004"/>
    <n v="0.40361701491733021"/>
  </r>
  <r>
    <s v="ORD7300"/>
    <d v="2023-02-15T00:00:00"/>
    <x v="1"/>
    <x v="2"/>
    <x v="3"/>
    <x v="0"/>
    <n v="195607.9"/>
    <n v="115849.52"/>
    <s v="Actual"/>
    <n v="3"/>
    <n v="79758.37999999999"/>
    <n v="0.40774621065918093"/>
  </r>
  <r>
    <s v="ORD686"/>
    <s v="Not Mentioned"/>
    <x v="3"/>
    <x v="2"/>
    <x v="0"/>
    <x v="0"/>
    <n v="58259.85"/>
    <n v="37650.51"/>
    <s v="Actual"/>
    <n v="4"/>
    <n v="20609.339999999997"/>
    <n v="0.35374859358546235"/>
  </r>
  <r>
    <s v="ORD301"/>
    <d v="2023-06-25T00:00:00"/>
    <x v="0"/>
    <x v="1"/>
    <x v="0"/>
    <x v="0"/>
    <n v="54013.71"/>
    <n v="41338.81"/>
    <s v="Actual"/>
    <n v="4"/>
    <n v="12674.900000000001"/>
    <n v="0.23466079260247077"/>
  </r>
  <r>
    <s v="ORD2329"/>
    <d v="2023-04-05T00:00:00"/>
    <x v="2"/>
    <x v="0"/>
    <x v="2"/>
    <x v="0"/>
    <n v="56341.54"/>
    <n v="36156.959999999999"/>
    <s v="Actual"/>
    <n v="3"/>
    <n v="20184.580000000002"/>
    <n v="0.3582539632392015"/>
  </r>
  <r>
    <s v="ORD7210"/>
    <d v="2023-06-25T00:00:00"/>
    <x v="0"/>
    <x v="1"/>
    <x v="2"/>
    <x v="0"/>
    <n v="62674.42"/>
    <n v="36423.79"/>
    <s v="Actual"/>
    <n v="3"/>
    <n v="26250.629999999997"/>
    <n v="0.41884121145437003"/>
  </r>
  <r>
    <s v="ORD4437"/>
    <s v="Not Mentioned"/>
    <x v="3"/>
    <x v="1"/>
    <x v="3"/>
    <x v="0"/>
    <n v="57403.66"/>
    <n v="42360.69"/>
    <s v="Actual"/>
    <n v="1"/>
    <n v="15042.970000000001"/>
    <n v="0.26205593859346249"/>
  </r>
  <r>
    <s v="ORD9019"/>
    <d v="2023-02-15T00:00:00"/>
    <x v="1"/>
    <x v="1"/>
    <x v="1"/>
    <x v="0"/>
    <n v="45269.24"/>
    <n v="24041.46"/>
    <s v="Actual"/>
    <n v="4"/>
    <n v="21227.78"/>
    <n v="0.46892282706756289"/>
  </r>
  <r>
    <s v="ORD5470"/>
    <d v="2023-06-25T00:00:00"/>
    <x v="0"/>
    <x v="2"/>
    <x v="0"/>
    <x v="0"/>
    <n v="16968.75"/>
    <n v="10096.31"/>
    <s v="Actual"/>
    <n v="1"/>
    <n v="6872.4400000000005"/>
    <n v="0.40500567219152855"/>
  </r>
  <r>
    <s v="ORD661"/>
    <d v="2023-01-15T00:00:00"/>
    <x v="4"/>
    <x v="2"/>
    <x v="2"/>
    <x v="0"/>
    <n v="66224.25"/>
    <n v="52979.4"/>
    <s v="Estimated"/>
    <n v="4"/>
    <n v="13244.849999999999"/>
    <n v="0.19999999999999998"/>
  </r>
  <r>
    <s v="ORD1071"/>
    <d v="2023-01-15T00:00:00"/>
    <x v="4"/>
    <x v="2"/>
    <x v="3"/>
    <x v="0"/>
    <n v="52578.01"/>
    <n v="38330.71"/>
    <s v="Actual"/>
    <n v="1"/>
    <n v="14247.300000000003"/>
    <n v="0.27097450055641137"/>
  </r>
  <r>
    <s v="ORD930"/>
    <d v="2023-01-15T00:00:00"/>
    <x v="4"/>
    <x v="1"/>
    <x v="3"/>
    <x v="0"/>
    <n v="66039.14"/>
    <n v="45230.27"/>
    <s v="Actual"/>
    <n v="1"/>
    <n v="20808.870000000003"/>
    <n v="0.3150990458082889"/>
  </r>
  <r>
    <s v="ORD2046"/>
    <d v="2023-01-15T00:00:00"/>
    <x v="4"/>
    <x v="1"/>
    <x v="2"/>
    <x v="0"/>
    <n v="62144.37"/>
    <n v="45003.53"/>
    <s v="Actual"/>
    <n v="3"/>
    <n v="17140.840000000004"/>
    <n v="0.27582289433459545"/>
  </r>
  <r>
    <s v="ORD4288"/>
    <d v="2023-06-25T00:00:00"/>
    <x v="0"/>
    <x v="2"/>
    <x v="1"/>
    <x v="0"/>
    <n v="9425.5"/>
    <n v="7540.4000000000005"/>
    <s v="Estimated"/>
    <n v="1"/>
    <n v="1885.0999999999995"/>
    <n v="0.19999999999999996"/>
  </r>
  <r>
    <s v="ORD1411"/>
    <d v="2023-03-20T00:00:00"/>
    <x v="5"/>
    <x v="0"/>
    <x v="0"/>
    <x v="0"/>
    <n v="16898.22"/>
    <n v="13518.576000000001"/>
    <s v="Estimated"/>
    <n v="1"/>
    <n v="3379.6440000000002"/>
    <n v="0.2"/>
  </r>
  <r>
    <s v="ORD7719"/>
    <s v="Not Mentioned"/>
    <x v="3"/>
    <x v="2"/>
    <x v="2"/>
    <x v="0"/>
    <n v="89240.78"/>
    <n v="53988.88"/>
    <s v="Actual"/>
    <n v="4"/>
    <n v="35251.9"/>
    <n v="0.39502007938523176"/>
  </r>
  <r>
    <s v="ORD4093"/>
    <d v="2023-02-15T00:00:00"/>
    <x v="1"/>
    <x v="2"/>
    <x v="2"/>
    <x v="0"/>
    <n v="103883.92"/>
    <n v="68056.38"/>
    <s v="Actual"/>
    <n v="5"/>
    <n v="35827.539999999994"/>
    <n v="0.34488051663818609"/>
  </r>
  <r>
    <s v="ORD6136"/>
    <d v="2023-04-05T00:00:00"/>
    <x v="2"/>
    <x v="2"/>
    <x v="2"/>
    <x v="0"/>
    <n v="110666.9"/>
    <n v="75928.929999999993"/>
    <s v="Actual"/>
    <n v="5"/>
    <n v="34737.97"/>
    <n v="0.31389665744680662"/>
  </r>
  <r>
    <s v="ORD570"/>
    <d v="2023-03-20T00:00:00"/>
    <x v="5"/>
    <x v="1"/>
    <x v="3"/>
    <x v="0"/>
    <n v="213063.9"/>
    <n v="188912.1"/>
    <s v="Actual"/>
    <n v="4"/>
    <n v="24151.799999999988"/>
    <n v="0.11335472597657317"/>
  </r>
  <r>
    <s v="ORD5753"/>
    <s v="Not Mentioned"/>
    <x v="3"/>
    <x v="1"/>
    <x v="3"/>
    <x v="0"/>
    <n v="293248.24"/>
    <n v="228359.1"/>
    <s v="Actual"/>
    <n v="5"/>
    <n v="64889.139999999985"/>
    <n v="0.22127716776748596"/>
  </r>
  <r>
    <s v="ORD862"/>
    <d v="2023-02-15T00:00:00"/>
    <x v="1"/>
    <x v="3"/>
    <x v="3"/>
    <x v="0"/>
    <n v="122443.81"/>
    <n v="78991.72"/>
    <s v="Actual"/>
    <n v="2"/>
    <n v="43452.09"/>
    <n v="0.35487371717688299"/>
  </r>
  <r>
    <s v="ORD3177"/>
    <d v="2023-02-15T00:00:00"/>
    <x v="1"/>
    <x v="2"/>
    <x v="2"/>
    <x v="0"/>
    <n v="16028.85"/>
    <n v="14053.3"/>
    <s v="Actual"/>
    <n v="1"/>
    <n v="1975.5500000000011"/>
    <n v="0.12324964049198794"/>
  </r>
  <r>
    <s v="ORD272"/>
    <d v="2023-01-15T00:00:00"/>
    <x v="4"/>
    <x v="3"/>
    <x v="2"/>
    <x v="0"/>
    <n v="71198.759999999995"/>
    <n v="41938.67"/>
    <s v="Actual"/>
    <n v="3"/>
    <n v="29260.089999999997"/>
    <n v="0.41096347745382078"/>
  </r>
  <r>
    <s v="ORD3608"/>
    <d v="2023-03-20T00:00:00"/>
    <x v="5"/>
    <x v="2"/>
    <x v="0"/>
    <x v="0"/>
    <n v="61525.88"/>
    <n v="41356.980000000003"/>
    <s v="Actual"/>
    <n v="4"/>
    <n v="20168.899999999994"/>
    <n v="0.32781164609104324"/>
  </r>
  <r>
    <s v="ORD5834"/>
    <d v="2023-04-05T00:00:00"/>
    <x v="2"/>
    <x v="2"/>
    <x v="0"/>
    <x v="0"/>
    <n v="29140.11"/>
    <n v="19656.990000000002"/>
    <s v="Actual"/>
    <n v="2"/>
    <n v="9483.119999999999"/>
    <n v="0.32543185320851564"/>
  </r>
  <r>
    <s v="ORD1036"/>
    <d v="2023-06-25T00:00:00"/>
    <x v="0"/>
    <x v="1"/>
    <x v="0"/>
    <x v="0"/>
    <n v="34514.68"/>
    <n v="21418.89"/>
    <s v="Actual"/>
    <n v="2"/>
    <n v="13095.79"/>
    <n v="0.3794266671456899"/>
  </r>
  <r>
    <s v="ORD1495"/>
    <d v="2023-04-05T00:00:00"/>
    <x v="2"/>
    <x v="2"/>
    <x v="0"/>
    <x v="0"/>
    <n v="54083.26"/>
    <n v="40334.300000000003"/>
    <s v="Actual"/>
    <n v="4"/>
    <n v="13748.96"/>
    <n v="0.25421840325453754"/>
  </r>
  <r>
    <s v="ORD232"/>
    <d v="2023-01-15T00:00:00"/>
    <x v="4"/>
    <x v="3"/>
    <x v="0"/>
    <x v="0"/>
    <n v="76218.509999999995"/>
    <n v="49716.33"/>
    <s v="Actual"/>
    <n v="5"/>
    <n v="26502.179999999993"/>
    <n v="0.34771317361097709"/>
  </r>
  <r>
    <s v="ORD667"/>
    <d v="2023-02-15T00:00:00"/>
    <x v="1"/>
    <x v="1"/>
    <x v="2"/>
    <x v="0"/>
    <n v="49008.87"/>
    <n v="45889.03"/>
    <s v="Actual"/>
    <n v="3"/>
    <n v="3119.8400000000038"/>
    <n v="6.3658680561294381E-2"/>
  </r>
  <r>
    <s v="ORD2842"/>
    <d v="2023-01-15T00:00:00"/>
    <x v="4"/>
    <x v="1"/>
    <x v="1"/>
    <x v="0"/>
    <n v="45081.51"/>
    <n v="36065.208000000006"/>
    <s v="Estimated"/>
    <n v="4"/>
    <n v="9016.301999999996"/>
    <n v="0.1999999999999999"/>
  </r>
  <r>
    <s v="ORD9457"/>
    <d v="2023-03-20T00:00:00"/>
    <x v="5"/>
    <x v="3"/>
    <x v="2"/>
    <x v="0"/>
    <n v="20215.89"/>
    <n v="13210.57"/>
    <s v="Actual"/>
    <n v="1"/>
    <n v="7005.32"/>
    <n v="0.34652543123256013"/>
  </r>
  <r>
    <s v="ORD8720"/>
    <s v="Not Mentioned"/>
    <x v="3"/>
    <x v="1"/>
    <x v="0"/>
    <x v="0"/>
    <n v="49674.81"/>
    <n v="31210.86"/>
    <s v="Actual"/>
    <n v="3"/>
    <n v="18463.949999999997"/>
    <n v="0.37169643930193186"/>
  </r>
  <r>
    <s v="ORD7417"/>
    <d v="2023-01-15T00:00:00"/>
    <x v="4"/>
    <x v="2"/>
    <x v="3"/>
    <x v="0"/>
    <n v="163384.79"/>
    <n v="136807.04999999999"/>
    <s v="Actual"/>
    <n v="3"/>
    <n v="26577.74000000002"/>
    <n v="0.16266960957626483"/>
  </r>
  <r>
    <s v="ORD470"/>
    <d v="2023-03-20T00:00:00"/>
    <x v="5"/>
    <x v="3"/>
    <x v="0"/>
    <x v="0"/>
    <n v="38146.410000000003"/>
    <n v="30517.128000000004"/>
    <s v="Estimated"/>
    <n v="3"/>
    <n v="7629.2819999999992"/>
    <n v="0.19999999999999996"/>
  </r>
  <r>
    <s v="ORD7716"/>
    <d v="2023-04-05T00:00:00"/>
    <x v="2"/>
    <x v="2"/>
    <x v="1"/>
    <x v="0"/>
    <n v="44654.16"/>
    <n v="30054.37"/>
    <s v="Actual"/>
    <n v="5"/>
    <n v="14599.790000000005"/>
    <n v="0.32695251685397292"/>
  </r>
  <r>
    <s v="ORD9808"/>
    <d v="2023-04-05T00:00:00"/>
    <x v="2"/>
    <x v="1"/>
    <x v="2"/>
    <x v="0"/>
    <n v="57641.88"/>
    <n v="36444.53"/>
    <s v="Actual"/>
    <n v="3"/>
    <n v="21197.35"/>
    <n v="0.36774216940877014"/>
  </r>
  <r>
    <s v="ORD6988"/>
    <d v="2023-02-15T00:00:00"/>
    <x v="1"/>
    <x v="2"/>
    <x v="0"/>
    <x v="0"/>
    <n v="66218.179999999993"/>
    <n v="41842.949999999997"/>
    <s v="Actual"/>
    <n v="4"/>
    <n v="24375.229999999996"/>
    <n v="0.36810480143066449"/>
  </r>
  <r>
    <s v="ORD315"/>
    <d v="2023-01-15T00:00:00"/>
    <x v="4"/>
    <x v="1"/>
    <x v="3"/>
    <x v="0"/>
    <n v="121920.08"/>
    <n v="92360.54"/>
    <s v="Actual"/>
    <n v="2"/>
    <n v="29559.540000000008"/>
    <n v="0.24245013618757474"/>
  </r>
  <r>
    <s v="ORD6819"/>
    <d v="2023-03-20T00:00:00"/>
    <x v="5"/>
    <x v="1"/>
    <x v="1"/>
    <x v="0"/>
    <n v="41887.57"/>
    <n v="28457.64"/>
    <s v="Actual"/>
    <n v="4"/>
    <n v="13429.93"/>
    <n v="0.32061850329345915"/>
  </r>
  <r>
    <s v="ORD6130"/>
    <d v="2023-06-25T00:00:00"/>
    <x v="0"/>
    <x v="2"/>
    <x v="1"/>
    <x v="0"/>
    <n v="9170.39"/>
    <n v="7336.3119999999999"/>
    <s v="Estimated"/>
    <n v="1"/>
    <n v="1834.0779999999995"/>
    <n v="0.19999999999999996"/>
  </r>
  <r>
    <s v="ORD455"/>
    <s v="Not Mentioned"/>
    <x v="3"/>
    <x v="1"/>
    <x v="1"/>
    <x v="0"/>
    <n v="33335.230000000003"/>
    <n v="26668.184000000005"/>
    <s v="Estimated"/>
    <n v="4"/>
    <n v="6667.0459999999985"/>
    <n v="0.19999999999999993"/>
  </r>
  <r>
    <s v="ORD9859"/>
    <d v="2023-03-20T00:00:00"/>
    <x v="5"/>
    <x v="2"/>
    <x v="1"/>
    <x v="0"/>
    <n v="41979.05"/>
    <n v="35723.120000000003"/>
    <s v="Actual"/>
    <n v="5"/>
    <n v="6255.93"/>
    <n v="0.14902504939964101"/>
  </r>
  <r>
    <s v="ORD5700"/>
    <d v="2023-03-20T00:00:00"/>
    <x v="5"/>
    <x v="2"/>
    <x v="0"/>
    <x v="0"/>
    <n v="17275.09"/>
    <n v="9871.18"/>
    <s v="Actual"/>
    <n v="1"/>
    <n v="7403.91"/>
    <n v="0.42858879461698896"/>
  </r>
  <r>
    <s v="ORD1490"/>
    <s v="Not Mentioned"/>
    <x v="3"/>
    <x v="0"/>
    <x v="0"/>
    <x v="0"/>
    <n v="40405.660000000003"/>
    <n v="30366.36"/>
    <s v="Actual"/>
    <n v="3"/>
    <n v="10039.300000000003"/>
    <n v="0.24846271537205436"/>
  </r>
  <r>
    <s v="ORD9843"/>
    <s v="Not Mentioned"/>
    <x v="3"/>
    <x v="2"/>
    <x v="1"/>
    <x v="0"/>
    <n v="9245.2000000000007"/>
    <n v="6970.03"/>
    <s v="Actual"/>
    <n v="1"/>
    <n v="2275.170000000001"/>
    <n v="0.24609202613247966"/>
  </r>
  <r>
    <s v="ORD6867"/>
    <s v="Not Mentioned"/>
    <x v="3"/>
    <x v="0"/>
    <x v="2"/>
    <x v="0"/>
    <n v="16518.990000000002"/>
    <n v="13215.192000000003"/>
    <s v="Estimated"/>
    <n v="1"/>
    <n v="3303.7979999999989"/>
    <n v="0.1999999999999999"/>
  </r>
  <r>
    <s v="ORD5314"/>
    <d v="2023-06-25T00:00:00"/>
    <x v="0"/>
    <x v="3"/>
    <x v="3"/>
    <x v="0"/>
    <n v="260350.32"/>
    <n v="239782.5"/>
    <s v="Actual"/>
    <n v="5"/>
    <n v="20567.820000000007"/>
    <n v="7.9000555866418784E-2"/>
  </r>
  <r>
    <s v="ORD148"/>
    <d v="2023-04-05T00:00:00"/>
    <x v="2"/>
    <x v="2"/>
    <x v="0"/>
    <x v="0"/>
    <n v="53211.95"/>
    <n v="38625.83"/>
    <s v="Actual"/>
    <n v="4"/>
    <n v="14586.119999999995"/>
    <n v="0.27411361545667834"/>
  </r>
  <r>
    <s v="ORD6320"/>
    <d v="2023-04-05T00:00:00"/>
    <x v="2"/>
    <x v="1"/>
    <x v="3"/>
    <x v="0"/>
    <n v="63891.06"/>
    <n v="40026.9"/>
    <s v="Actual"/>
    <n v="1"/>
    <n v="23864.159999999996"/>
    <n v="0.37351328965273073"/>
  </r>
  <r>
    <s v="ORD5069"/>
    <d v="2023-02-15T00:00:00"/>
    <x v="1"/>
    <x v="2"/>
    <x v="0"/>
    <x v="0"/>
    <n v="12507.26"/>
    <n v="10963.36"/>
    <s v="Actual"/>
    <n v="1"/>
    <n v="1543.8999999999996"/>
    <n v="0.12344030587035047"/>
  </r>
  <r>
    <s v="ORD1135"/>
    <d v="2023-04-05T00:00:00"/>
    <x v="2"/>
    <x v="2"/>
    <x v="2"/>
    <x v="0"/>
    <n v="55818.43"/>
    <n v="36068.42"/>
    <s v="Actual"/>
    <n v="3"/>
    <n v="19750.010000000002"/>
    <n v="0.35382596751646367"/>
  </r>
  <r>
    <s v="ORD1668"/>
    <d v="2023-06-25T00:00:00"/>
    <x v="0"/>
    <x v="2"/>
    <x v="1"/>
    <x v="0"/>
    <n v="10514.68"/>
    <n v="7499.24"/>
    <s v="Actual"/>
    <n v="1"/>
    <n v="3015.4400000000005"/>
    <n v="0.28678381082448545"/>
  </r>
  <r>
    <s v="ORD5334"/>
    <d v="2023-06-25T00:00:00"/>
    <x v="0"/>
    <x v="2"/>
    <x v="2"/>
    <x v="0"/>
    <n v="51192.1"/>
    <n v="37416.29"/>
    <s v="Actual"/>
    <n v="3"/>
    <n v="13775.809999999998"/>
    <n v="0.26910031039945614"/>
  </r>
  <r>
    <s v="ORD3577"/>
    <d v="2023-02-15T00:00:00"/>
    <x v="1"/>
    <x v="0"/>
    <x v="1"/>
    <x v="0"/>
    <n v="21442.13"/>
    <n v="17153.704000000002"/>
    <s v="Estimated"/>
    <n v="2"/>
    <n v="4288.4259999999995"/>
    <n v="0.19999999999999996"/>
  </r>
  <r>
    <s v="ORD5099"/>
    <d v="2023-06-25T00:00:00"/>
    <x v="0"/>
    <x v="0"/>
    <x v="2"/>
    <x v="0"/>
    <n v="85224.960000000006"/>
    <n v="75844.2"/>
    <s v="Actual"/>
    <n v="5"/>
    <n v="9380.7600000000093"/>
    <n v="0.11007057087501136"/>
  </r>
  <r>
    <s v="ORD2379"/>
    <d v="2023-06-25T00:00:00"/>
    <x v="0"/>
    <x v="2"/>
    <x v="1"/>
    <x v="0"/>
    <n v="10337.969999999999"/>
    <n v="8270.3760000000002"/>
    <s v="Estimated"/>
    <n v="1"/>
    <n v="2067.5939999999991"/>
    <n v="0.19999999999999993"/>
  </r>
  <r>
    <s v="ORD2314"/>
    <d v="2023-03-20T00:00:00"/>
    <x v="5"/>
    <x v="2"/>
    <x v="0"/>
    <x v="0"/>
    <n v="57928.47"/>
    <n v="39502.639999999999"/>
    <s v="Actual"/>
    <n v="4"/>
    <n v="18425.830000000002"/>
    <n v="0.31807900329492567"/>
  </r>
  <r>
    <s v="ORD6736"/>
    <d v="2023-01-15T00:00:00"/>
    <x v="4"/>
    <x v="1"/>
    <x v="1"/>
    <x v="0"/>
    <n v="27922.55"/>
    <n v="22338.04"/>
    <s v="Estimated"/>
    <s v="Unknown"/>
    <n v="5584.5099999999984"/>
    <n v="0.19999999999999996"/>
  </r>
  <r>
    <s v="ORD5549"/>
    <s v="Not Mentioned"/>
    <x v="3"/>
    <x v="1"/>
    <x v="2"/>
    <x v="0"/>
    <n v="65813.320000000007"/>
    <n v="42924.43"/>
    <s v="Actual"/>
    <n v="3"/>
    <n v="22888.890000000007"/>
    <n v="0.34778506843295559"/>
  </r>
  <r>
    <s v="ORD907"/>
    <d v="2023-02-15T00:00:00"/>
    <x v="1"/>
    <x v="0"/>
    <x v="1"/>
    <x v="0"/>
    <n v="55439.78"/>
    <n v="38047.14"/>
    <s v="Actual"/>
    <n v="5"/>
    <n v="17392.64"/>
    <n v="0.31372130264586184"/>
  </r>
  <r>
    <s v="ORD5587"/>
    <d v="2023-01-15T00:00:00"/>
    <x v="4"/>
    <x v="0"/>
    <x v="2"/>
    <x v="0"/>
    <n v="65905.41"/>
    <n v="55377.1"/>
    <s v="Actual"/>
    <n v="4"/>
    <n v="10528.310000000005"/>
    <n v="0.15974879755698362"/>
  </r>
  <r>
    <s v="ORD1553"/>
    <s v="Not Mentioned"/>
    <x v="3"/>
    <x v="2"/>
    <x v="2"/>
    <x v="0"/>
    <n v="62398.66"/>
    <n v="38196.160000000003"/>
    <s v="Actual"/>
    <s v="Unknown"/>
    <n v="24202.5"/>
    <n v="0.38786890615920278"/>
  </r>
  <r>
    <s v="ORD3645"/>
    <s v="Not Mentioned"/>
    <x v="3"/>
    <x v="2"/>
    <x v="1"/>
    <x v="0"/>
    <n v="10629.89"/>
    <n v="7472.75"/>
    <s v="Actual"/>
    <n v="1"/>
    <n v="3157.1399999999994"/>
    <n v="0.29700589563955976"/>
  </r>
  <r>
    <s v="ORD890"/>
    <d v="2023-03-20T00:00:00"/>
    <x v="5"/>
    <x v="1"/>
    <x v="2"/>
    <x v="0"/>
    <n v="101279.27"/>
    <n v="70148.97"/>
    <s v="Actual"/>
    <n v="5"/>
    <n v="31130.300000000003"/>
    <n v="0.30737089633446213"/>
  </r>
  <r>
    <s v="ORD1557"/>
    <d v="2023-01-15T00:00:00"/>
    <x v="4"/>
    <x v="2"/>
    <x v="0"/>
    <x v="0"/>
    <n v="45396.87"/>
    <n v="36317.496000000006"/>
    <s v="Estimated"/>
    <n v="3"/>
    <n v="9079.3739999999962"/>
    <n v="0.1999999999999999"/>
  </r>
  <r>
    <s v="ORD166"/>
    <d v="2023-02-15T00:00:00"/>
    <x v="1"/>
    <x v="2"/>
    <x v="3"/>
    <x v="0"/>
    <n v="62930.03"/>
    <n v="38671.11"/>
    <s v="Actual"/>
    <n v="1"/>
    <n v="24258.92"/>
    <n v="0.38549036127902686"/>
  </r>
  <r>
    <s v="ORD5385"/>
    <d v="2023-02-15T00:00:00"/>
    <x v="1"/>
    <x v="1"/>
    <x v="2"/>
    <x v="0"/>
    <n v="54083.26"/>
    <n v="44894.84"/>
    <s v="Actual"/>
    <n v="3"/>
    <n v="9188.4200000000055"/>
    <n v="0.16989397458659122"/>
  </r>
  <r>
    <s v="ORD5966"/>
    <d v="2023-03-20T00:00:00"/>
    <x v="5"/>
    <x v="3"/>
    <x v="2"/>
    <x v="0"/>
    <n v="64981.1"/>
    <n v="49700.27"/>
    <s v="Actual"/>
    <n v="4"/>
    <n v="15280.830000000002"/>
    <n v="0.23515806903853587"/>
  </r>
  <r>
    <s v="ORD100"/>
    <d v="2023-03-20T00:00:00"/>
    <x v="5"/>
    <x v="2"/>
    <x v="0"/>
    <x v="0"/>
    <n v="46205.11"/>
    <n v="31233.25"/>
    <s v="Actual"/>
    <n v="3"/>
    <n v="14971.86"/>
    <n v="0.32403039404083228"/>
  </r>
  <r>
    <s v="ORD8401"/>
    <d v="2023-02-15T00:00:00"/>
    <x v="1"/>
    <x v="2"/>
    <x v="3"/>
    <x v="0"/>
    <n v="287685.73"/>
    <n v="230148.584"/>
    <s v="Estimated"/>
    <n v="4"/>
    <n v="57537.145999999979"/>
    <n v="0.19999999999999993"/>
  </r>
  <r>
    <s v="ORD6835"/>
    <d v="2023-02-15T00:00:00"/>
    <x v="1"/>
    <x v="3"/>
    <x v="3"/>
    <x v="0"/>
    <n v="63087.35"/>
    <n v="48766.89"/>
    <s v="Actual"/>
    <n v="1"/>
    <n v="14320.46"/>
    <n v="0.22699415968494474"/>
  </r>
  <r>
    <s v="ORD286"/>
    <s v="Not Mentioned"/>
    <x v="3"/>
    <x v="2"/>
    <x v="1"/>
    <x v="0"/>
    <n v="43521.34"/>
    <n v="34817.072"/>
    <s v="Estimated"/>
    <n v="5"/>
    <n v="8704.2679999999964"/>
    <n v="0.19999999999999993"/>
  </r>
  <r>
    <s v="ORD5987"/>
    <s v="Not Mentioned"/>
    <x v="3"/>
    <x v="1"/>
    <x v="3"/>
    <x v="0"/>
    <n v="330813.58"/>
    <n v="238327.84"/>
    <s v="Actual"/>
    <n v="5"/>
    <n v="92485.74000000002"/>
    <n v="0.27957056660128649"/>
  </r>
  <r>
    <s v="ORD1102"/>
    <s v="Not Mentioned"/>
    <x v="3"/>
    <x v="1"/>
    <x v="0"/>
    <x v="0"/>
    <n v="34556.5"/>
    <n v="21899.02"/>
    <s v="Actual"/>
    <n v="2"/>
    <n v="12657.48"/>
    <n v="0.36628362247334073"/>
  </r>
  <r>
    <s v="ORD1434"/>
    <d v="2023-03-20T00:00:00"/>
    <x v="5"/>
    <x v="0"/>
    <x v="3"/>
    <x v="0"/>
    <n v="319645.7"/>
    <n v="215402.85"/>
    <s v="Actual"/>
    <n v="5"/>
    <n v="104242.85"/>
    <n v="0.3261199822178118"/>
  </r>
  <r>
    <s v="ORD2263"/>
    <d v="2023-01-15T00:00:00"/>
    <x v="4"/>
    <x v="1"/>
    <x v="1"/>
    <x v="0"/>
    <n v="45206.63"/>
    <n v="29987.31"/>
    <s v="Actual"/>
    <n v="4"/>
    <n v="15219.319999999996"/>
    <n v="0.33666123752201826"/>
  </r>
  <r>
    <s v="ORD3028"/>
    <d v="2023-02-15T00:00:00"/>
    <x v="1"/>
    <x v="3"/>
    <x v="0"/>
    <x v="0"/>
    <n v="42785.89"/>
    <n v="29300.34"/>
    <s v="Actual"/>
    <n v="3"/>
    <n v="13485.55"/>
    <n v="0.31518685248805156"/>
  </r>
  <r>
    <s v="ORD4597"/>
    <d v="2023-02-15T00:00:00"/>
    <x v="1"/>
    <x v="1"/>
    <x v="3"/>
    <x v="0"/>
    <n v="246834.34"/>
    <n v="202820.87"/>
    <s v="Actual"/>
    <n v="5"/>
    <n v="44013.47"/>
    <n v="0.1783117778506832"/>
  </r>
  <r>
    <s v="ORD9917"/>
    <d v="2023-02-15T00:00:00"/>
    <x v="1"/>
    <x v="3"/>
    <x v="3"/>
    <x v="0"/>
    <n v="213449.77"/>
    <n v="130906.18"/>
    <s v="Actual"/>
    <n v="3"/>
    <n v="82543.59"/>
    <n v="0.38671201191737054"/>
  </r>
  <r>
    <s v="ORD5044"/>
    <d v="2023-01-15T00:00:00"/>
    <x v="4"/>
    <x v="1"/>
    <x v="2"/>
    <x v="0"/>
    <n v="46829.06"/>
    <n v="28739.81"/>
    <s v="Actual"/>
    <n v="2"/>
    <n v="18089.249999999996"/>
    <n v="0.38628257752771455"/>
  </r>
  <r>
    <s v="ORD4052"/>
    <d v="2023-02-15T00:00:00"/>
    <x v="1"/>
    <x v="2"/>
    <x v="1"/>
    <x v="0"/>
    <n v="37229.120000000003"/>
    <n v="29783.296000000002"/>
    <s v="Estimated"/>
    <n v="4"/>
    <n v="7445.8240000000005"/>
    <n v="0.2"/>
  </r>
  <r>
    <s v="ORD5846"/>
    <d v="2023-04-05T00:00:00"/>
    <x v="2"/>
    <x v="0"/>
    <x v="1"/>
    <x v="0"/>
    <n v="46003.199999999997"/>
    <n v="32087.86"/>
    <s v="Actual"/>
    <n v="5"/>
    <n v="13915.339999999997"/>
    <n v="0.30248634877573727"/>
  </r>
  <r>
    <s v="ORD4123"/>
    <d v="2023-03-20T00:00:00"/>
    <x v="5"/>
    <x v="2"/>
    <x v="2"/>
    <x v="0"/>
    <n v="17259.62"/>
    <n v="14896.52"/>
    <s v="Actual"/>
    <n v="1"/>
    <n v="2363.0999999999985"/>
    <n v="0.13691494946006916"/>
  </r>
  <r>
    <s v="ORD9819"/>
    <d v="2023-02-15T00:00:00"/>
    <x v="1"/>
    <x v="2"/>
    <x v="3"/>
    <x v="0"/>
    <n v="304764.65999999997"/>
    <n v="199613.75"/>
    <s v="Actual"/>
    <n v="5"/>
    <n v="105150.90999999997"/>
    <n v="0.34502330421119032"/>
  </r>
  <r>
    <s v="ORD930"/>
    <d v="2023-04-05T00:00:00"/>
    <x v="2"/>
    <x v="0"/>
    <x v="2"/>
    <x v="0"/>
    <n v="53543.11"/>
    <n v="39891.4"/>
    <s v="Actual"/>
    <n v="3"/>
    <n v="13651.71"/>
    <n v="0.25496669879653983"/>
  </r>
  <r>
    <s v="ORD8884"/>
    <d v="2023-02-15T00:00:00"/>
    <x v="1"/>
    <x v="2"/>
    <x v="2"/>
    <x v="0"/>
    <n v="22436.47"/>
    <n v="14910.06"/>
    <s v="Actual"/>
    <n v="1"/>
    <n v="7526.4100000000017"/>
    <n v="0.3354542849209346"/>
  </r>
  <r>
    <s v="ORD4424"/>
    <s v="Not Mentioned"/>
    <x v="3"/>
    <x v="1"/>
    <x v="0"/>
    <x v="0"/>
    <n v="31667.47"/>
    <n v="21394.74"/>
    <s v="Actual"/>
    <n v="2"/>
    <n v="10272.73"/>
    <n v="0.32439377064223945"/>
  </r>
  <r>
    <s v="ORD693"/>
    <d v="2023-01-15T00:00:00"/>
    <x v="4"/>
    <x v="0"/>
    <x v="2"/>
    <x v="0"/>
    <n v="69436.210000000006"/>
    <n v="59541.06"/>
    <s v="Actual"/>
    <n v="4"/>
    <n v="9895.1500000000087"/>
    <n v="0.14250705791689966"/>
  </r>
  <r>
    <s v="ORD9863"/>
    <d v="2023-01-15T00:00:00"/>
    <x v="4"/>
    <x v="2"/>
    <x v="2"/>
    <x v="0"/>
    <n v="18597.18"/>
    <n v="13016.65"/>
    <s v="Actual"/>
    <n v="1"/>
    <n v="5580.5300000000007"/>
    <n v="0.30007398971241878"/>
  </r>
  <r>
    <s v="ORD5407"/>
    <d v="2023-03-20T00:00:00"/>
    <x v="5"/>
    <x v="2"/>
    <x v="2"/>
    <x v="0"/>
    <n v="70939.48"/>
    <n v="41792.43"/>
    <s v="Actual"/>
    <n v="3"/>
    <n v="29147.049999999996"/>
    <n v="0.41087205601168769"/>
  </r>
  <r>
    <s v="ORD4182"/>
    <d v="2023-06-25T00:00:00"/>
    <x v="0"/>
    <x v="2"/>
    <x v="0"/>
    <x v="0"/>
    <n v="24992.78"/>
    <n v="19616.86"/>
    <s v="Actual"/>
    <n v="2"/>
    <n v="5375.9199999999983"/>
    <n v="0.21509892056826005"/>
  </r>
  <r>
    <s v="ORD5549"/>
    <d v="2023-02-15T00:00:00"/>
    <x v="1"/>
    <x v="2"/>
    <x v="2"/>
    <x v="0"/>
    <n v="42127.82"/>
    <n v="29425.94"/>
    <s v="Actual"/>
    <n v="2"/>
    <n v="12701.880000000001"/>
    <n v="0.30150812455997011"/>
  </r>
  <r>
    <s v="ORD4336"/>
    <d v="2023-03-20T00:00:00"/>
    <x v="5"/>
    <x v="1"/>
    <x v="1"/>
    <x v="0"/>
    <n v="35697.54"/>
    <n v="28558.032000000003"/>
    <s v="Estimated"/>
    <n v="4"/>
    <n v="7139.507999999998"/>
    <n v="0.19999999999999993"/>
  </r>
  <r>
    <s v="ORD3774"/>
    <d v="2023-01-15T00:00:00"/>
    <x v="4"/>
    <x v="0"/>
    <x v="2"/>
    <x v="0"/>
    <n v="95434.22"/>
    <n v="65444.37"/>
    <s v="Actual"/>
    <n v="5"/>
    <n v="29989.85"/>
    <n v="0.31424629446334867"/>
  </r>
  <r>
    <s v="ORD5094"/>
    <d v="2023-04-05T00:00:00"/>
    <x v="2"/>
    <x v="2"/>
    <x v="1"/>
    <x v="0"/>
    <n v="26923.93"/>
    <n v="18867.009999999998"/>
    <s v="Actual"/>
    <n v="3"/>
    <n v="8056.9200000000019"/>
    <n v="0.2992475466991632"/>
  </r>
  <r>
    <s v="ORD1109"/>
    <d v="2023-01-15T00:00:00"/>
    <x v="4"/>
    <x v="2"/>
    <x v="3"/>
    <x v="0"/>
    <n v="213032.49"/>
    <n v="140847.56"/>
    <s v="Actual"/>
    <n v="3"/>
    <n v="72184.929999999993"/>
    <n v="0.33884469922874205"/>
  </r>
  <r>
    <s v="ORD8732"/>
    <s v="Not Mentioned"/>
    <x v="3"/>
    <x v="3"/>
    <x v="0"/>
    <x v="0"/>
    <n v="15347.95"/>
    <n v="10815.44"/>
    <s v="Actual"/>
    <n v="1"/>
    <n v="4532.51"/>
    <n v="0.295316964154822"/>
  </r>
  <r>
    <s v="ORD741"/>
    <d v="2023-01-15T00:00:00"/>
    <x v="4"/>
    <x v="1"/>
    <x v="3"/>
    <x v="0"/>
    <n v="222216.62"/>
    <n v="197347.6"/>
    <s v="Actual"/>
    <n v="4"/>
    <n v="24869.01999999999"/>
    <n v="0.11191341133709977"/>
  </r>
  <r>
    <s v="ORD5350"/>
    <d v="2023-04-05T00:00:00"/>
    <x v="2"/>
    <x v="1"/>
    <x v="1"/>
    <x v="0"/>
    <n v="57809.33"/>
    <n v="33547.32"/>
    <s v="Actual"/>
    <n v="5"/>
    <n v="24262.010000000002"/>
    <n v="0.41969021263522688"/>
  </r>
  <r>
    <s v="ORD8247"/>
    <d v="2023-04-05T00:00:00"/>
    <x v="2"/>
    <x v="1"/>
    <x v="2"/>
    <x v="0"/>
    <n v="75476.66"/>
    <n v="58098.27"/>
    <s v="Actual"/>
    <n v="4"/>
    <n v="17378.390000000007"/>
    <n v="0.23024852981040769"/>
  </r>
  <r>
    <s v="ORD4296"/>
    <d v="2023-01-15T00:00:00"/>
    <x v="4"/>
    <x v="2"/>
    <x v="3"/>
    <x v="0"/>
    <n v="264604.31"/>
    <n v="171599.07"/>
    <s v="Actual"/>
    <n v="4"/>
    <n v="93005.239999999991"/>
    <n v="0.35148800108358019"/>
  </r>
  <r>
    <s v="ORD167"/>
    <d v="2023-03-20T00:00:00"/>
    <x v="5"/>
    <x v="1"/>
    <x v="2"/>
    <x v="0"/>
    <n v="97159.8"/>
    <n v="61636.97"/>
    <s v="Actual"/>
    <n v="5"/>
    <n v="35522.83"/>
    <n v="0.36561242406839045"/>
  </r>
  <r>
    <s v="ORD4963"/>
    <d v="2023-04-05T00:00:00"/>
    <x v="2"/>
    <x v="1"/>
    <x v="2"/>
    <x v="0"/>
    <n v="62154.13"/>
    <n v="37136.14"/>
    <s v="Actual"/>
    <n v="3"/>
    <n v="25017.989999999998"/>
    <n v="0.40251532762183301"/>
  </r>
  <r>
    <s v="ORD7752"/>
    <s v="Not Mentioned"/>
    <x v="3"/>
    <x v="1"/>
    <x v="2"/>
    <x v="0"/>
    <n v="23202.22"/>
    <n v="13028.24"/>
    <s v="Actual"/>
    <n v="1"/>
    <n v="10173.980000000001"/>
    <n v="0.43849166157376324"/>
  </r>
  <r>
    <s v="ORD6043"/>
    <d v="2023-04-05T00:00:00"/>
    <x v="2"/>
    <x v="1"/>
    <x v="0"/>
    <x v="0"/>
    <n v="49767.07"/>
    <n v="28539.43"/>
    <s v="Actual"/>
    <n v="3"/>
    <n v="21227.64"/>
    <n v="0.4265398786788131"/>
  </r>
  <r>
    <s v="ORD4185"/>
    <d v="2023-04-05T00:00:00"/>
    <x v="2"/>
    <x v="2"/>
    <x v="2"/>
    <x v="0"/>
    <n v="49534.99"/>
    <n v="41340.639999999999"/>
    <s v="Actual"/>
    <n v="3"/>
    <n v="8194.3499999999985"/>
    <n v="0.16542549014343191"/>
  </r>
  <r>
    <s v="ORD301"/>
    <d v="2023-02-15T00:00:00"/>
    <x v="1"/>
    <x v="1"/>
    <x v="1"/>
    <x v="0"/>
    <n v="53223.09"/>
    <n v="35836.370000000003"/>
    <s v="Actual"/>
    <n v="5"/>
    <n v="17386.719999999994"/>
    <n v="0.32667626024719715"/>
  </r>
  <r>
    <s v="ORD9421"/>
    <d v="2023-04-05T00:00:00"/>
    <x v="2"/>
    <x v="2"/>
    <x v="3"/>
    <x v="0"/>
    <n v="282028.06"/>
    <n v="190200.88"/>
    <s v="Actual"/>
    <n v="4"/>
    <n v="91827.18"/>
    <n v="0.32559589992570243"/>
  </r>
  <r>
    <s v="ORD7372"/>
    <d v="2023-06-25T00:00:00"/>
    <x v="0"/>
    <x v="0"/>
    <x v="0"/>
    <x v="0"/>
    <n v="53793.440000000002"/>
    <n v="30560.97"/>
    <s v="Actual"/>
    <n v="3"/>
    <n v="23232.47"/>
    <n v="0.43188295821944089"/>
  </r>
  <r>
    <s v="ORD8550"/>
    <s v="Not Mentioned"/>
    <x v="3"/>
    <x v="2"/>
    <x v="2"/>
    <x v="0"/>
    <n v="71183.38"/>
    <n v="48558.34"/>
    <s v="Actual"/>
    <n v="4"/>
    <n v="22625.040000000008"/>
    <n v="0.31784160853277837"/>
  </r>
  <r>
    <s v="ORD8557"/>
    <d v="2023-03-20T00:00:00"/>
    <x v="5"/>
    <x v="1"/>
    <x v="1"/>
    <x v="0"/>
    <n v="16131.02"/>
    <n v="14851.56"/>
    <s v="Actual"/>
    <n v="2"/>
    <n v="1279.4600000000009"/>
    <n v="7.9316745004345726E-2"/>
  </r>
  <r>
    <s v="ORD778"/>
    <d v="2023-02-15T00:00:00"/>
    <x v="1"/>
    <x v="1"/>
    <x v="0"/>
    <x v="0"/>
    <n v="58362.42"/>
    <n v="37822.559999999998"/>
    <s v="Actual"/>
    <n v="4"/>
    <n v="20539.86"/>
    <n v="0.35193640016983535"/>
  </r>
  <r>
    <s v="ORD9847"/>
    <d v="2023-03-20T00:00:00"/>
    <x v="5"/>
    <x v="1"/>
    <x v="1"/>
    <x v="0"/>
    <n v="8388.2199999999993"/>
    <n v="6707.16"/>
    <s v="Actual"/>
    <n v="1"/>
    <n v="1681.0599999999995"/>
    <n v="0.20040723776915717"/>
  </r>
  <r>
    <s v="ORD1166"/>
    <s v="Not Mentioned"/>
    <x v="3"/>
    <x v="0"/>
    <x v="1"/>
    <x v="0"/>
    <n v="48543.62"/>
    <n v="31841.47"/>
    <s v="Actual"/>
    <n v="5"/>
    <n v="16702.150000000001"/>
    <n v="0.34406478132450774"/>
  </r>
  <r>
    <s v="ORD720"/>
    <d v="2023-03-20T00:00:00"/>
    <x v="5"/>
    <x v="0"/>
    <x v="2"/>
    <x v="0"/>
    <n v="62949.03"/>
    <n v="38425.949999999997"/>
    <s v="Actual"/>
    <n v="3"/>
    <n v="24523.08"/>
    <n v="0.38957041911527474"/>
  </r>
  <r>
    <s v="ORD9676"/>
    <d v="2023-03-20T00:00:00"/>
    <x v="5"/>
    <x v="1"/>
    <x v="0"/>
    <x v="0"/>
    <n v="61306.93"/>
    <n v="40319.33"/>
    <s v="Actual"/>
    <n v="4"/>
    <n v="20987.599999999999"/>
    <n v="0.3423365025780935"/>
  </r>
  <r>
    <s v="ORD778"/>
    <d v="2023-02-15T00:00:00"/>
    <x v="1"/>
    <x v="1"/>
    <x v="2"/>
    <x v="0"/>
    <n v="20623.259999999998"/>
    <n v="11961.23"/>
    <s v="Actual"/>
    <n v="1"/>
    <n v="8662.0299999999988"/>
    <n v="0.42001264591534021"/>
  </r>
  <r>
    <s v="ORD5904"/>
    <d v="2023-01-15T00:00:00"/>
    <x v="4"/>
    <x v="3"/>
    <x v="1"/>
    <x v="0"/>
    <n v="42423.62"/>
    <n v="27416.73"/>
    <s v="Actual"/>
    <n v="4"/>
    <n v="15006.890000000003"/>
    <n v="0.35373902557113235"/>
  </r>
  <r>
    <s v="ORD4837"/>
    <d v="2023-02-15T00:00:00"/>
    <x v="1"/>
    <x v="3"/>
    <x v="3"/>
    <x v="0"/>
    <n v="142256.98000000001"/>
    <n v="97802.77"/>
    <s v="Actual"/>
    <n v="2"/>
    <n v="44454.210000000006"/>
    <n v="0.3124922938754921"/>
  </r>
  <r>
    <s v="ORD7058"/>
    <d v="2023-03-20T00:00:00"/>
    <x v="5"/>
    <x v="1"/>
    <x v="3"/>
    <x v="0"/>
    <n v="151512.12"/>
    <n v="114798.38"/>
    <s v="Actual"/>
    <n v="3"/>
    <n v="36713.739999999991"/>
    <n v="0.24231553224916919"/>
  </r>
  <r>
    <s v="ORD7881"/>
    <d v="2023-06-25T00:00:00"/>
    <x v="0"/>
    <x v="1"/>
    <x v="2"/>
    <x v="0"/>
    <n v="92984.69"/>
    <n v="62698.54"/>
    <s v="Actual"/>
    <n v="5"/>
    <n v="30286.15"/>
    <n v="0.32571114664145251"/>
  </r>
  <r>
    <s v="ORD5692"/>
    <d v="2023-04-05T00:00:00"/>
    <x v="2"/>
    <x v="3"/>
    <x v="1"/>
    <x v="0"/>
    <n v="27250.63"/>
    <n v="18077.560000000001"/>
    <s v="Actual"/>
    <n v="3"/>
    <n v="9173.07"/>
    <n v="0.33661863964245964"/>
  </r>
  <r>
    <s v="ORD6599"/>
    <d v="2023-03-20T00:00:00"/>
    <x v="5"/>
    <x v="2"/>
    <x v="1"/>
    <x v="0"/>
    <n v="35849.480000000003"/>
    <n v="21551.360000000001"/>
    <s v="Actual"/>
    <s v="Unknown"/>
    <n v="14298.120000000003"/>
    <n v="0.39883758425505755"/>
  </r>
  <r>
    <s v="ORD2976"/>
    <d v="2023-03-20T00:00:00"/>
    <x v="5"/>
    <x v="1"/>
    <x v="0"/>
    <x v="0"/>
    <n v="15610.59"/>
    <n v="10996.62"/>
    <s v="Actual"/>
    <n v="1"/>
    <n v="4613.9699999999993"/>
    <n v="0.29556666339965365"/>
  </r>
  <r>
    <s v="ORD2620"/>
    <d v="2023-03-20T00:00:00"/>
    <x v="5"/>
    <x v="3"/>
    <x v="2"/>
    <x v="0"/>
    <n v="70842.73"/>
    <n v="55605.34"/>
    <s v="Actual"/>
    <n v="4"/>
    <n v="15237.39"/>
    <n v="0.21508756085486824"/>
  </r>
  <r>
    <s v="ORD1466"/>
    <d v="2023-02-15T00:00:00"/>
    <x v="1"/>
    <x v="1"/>
    <x v="1"/>
    <x v="0"/>
    <n v="29799.82"/>
    <n v="20863.21"/>
    <s v="Actual"/>
    <n v="3"/>
    <n v="8936.61"/>
    <n v="0.29988805301508537"/>
  </r>
  <r>
    <s v="ORD8477"/>
    <d v="2023-01-15T00:00:00"/>
    <x v="4"/>
    <x v="0"/>
    <x v="2"/>
    <x v="0"/>
    <n v="33535.61"/>
    <n v="26569.32"/>
    <s v="Actual"/>
    <n v="2"/>
    <n v="6966.2900000000009"/>
    <n v="0.2077281433079643"/>
  </r>
  <r>
    <s v="ORD962"/>
    <d v="2023-06-25T00:00:00"/>
    <x v="0"/>
    <x v="3"/>
    <x v="3"/>
    <x v="0"/>
    <n v="125765.26"/>
    <n v="89914.34"/>
    <s v="Actual"/>
    <n v="2"/>
    <n v="35850.92"/>
    <n v="0.28506218648933734"/>
  </r>
  <r>
    <s v="ORD6182"/>
    <d v="2023-02-15T00:00:00"/>
    <x v="1"/>
    <x v="2"/>
    <x v="3"/>
    <x v="0"/>
    <n v="125582.77"/>
    <n v="80331.86"/>
    <s v="Actual"/>
    <n v="2"/>
    <n v="45250.91"/>
    <n v="0.3603273761201477"/>
  </r>
  <r>
    <s v="ORD7798"/>
    <d v="2023-03-20T00:00:00"/>
    <x v="5"/>
    <x v="1"/>
    <x v="2"/>
    <x v="0"/>
    <n v="63439.78"/>
    <n v="38108.9"/>
    <s v="Actual"/>
    <n v="3"/>
    <n v="25330.879999999997"/>
    <n v="0.39929016147281721"/>
  </r>
  <r>
    <s v="ORD2405"/>
    <d v="2023-04-05T00:00:00"/>
    <x v="2"/>
    <x v="3"/>
    <x v="2"/>
    <x v="0"/>
    <n v="21990.71"/>
    <n v="14050.34"/>
    <s v="Actual"/>
    <n v="1"/>
    <n v="7940.369999999999"/>
    <n v="0.36107838264430747"/>
  </r>
  <r>
    <s v="ORD9621"/>
    <d v="2023-02-15T00:00:00"/>
    <x v="1"/>
    <x v="2"/>
    <x v="1"/>
    <x v="0"/>
    <n v="43501.1"/>
    <n v="24390.74"/>
    <s v="Actual"/>
    <n v="4"/>
    <n v="19110.359999999997"/>
    <n v="0.43930751176407029"/>
  </r>
  <r>
    <s v="ORD6441"/>
    <d v="2023-01-15T00:00:00"/>
    <x v="4"/>
    <x v="2"/>
    <x v="1"/>
    <x v="0"/>
    <n v="44513.03"/>
    <n v="25027.25"/>
    <s v="Actual"/>
    <n v="4"/>
    <n v="19485.78"/>
    <n v="0.4377545181714208"/>
  </r>
  <r>
    <s v="ORD7603"/>
    <s v="Not Mentioned"/>
    <x v="3"/>
    <x v="2"/>
    <x v="2"/>
    <x v="0"/>
    <n v="16444.38"/>
    <n v="12420.6"/>
    <s v="Actual"/>
    <n v="1"/>
    <n v="4023.7800000000007"/>
    <n v="0.24469028324570463"/>
  </r>
  <r>
    <s v="ORD6957"/>
    <d v="2023-03-20T00:00:00"/>
    <x v="5"/>
    <x v="1"/>
    <x v="0"/>
    <x v="0"/>
    <n v="44878.76"/>
    <n v="32371.13"/>
    <s v="Actual"/>
    <n v="3"/>
    <n v="12507.630000000001"/>
    <n v="0.27869820823926511"/>
  </r>
  <r>
    <s v="ORD3072"/>
    <d v="2023-04-05T00:00:00"/>
    <x v="2"/>
    <x v="1"/>
    <x v="1"/>
    <x v="0"/>
    <n v="17861"/>
    <n v="14092.73"/>
    <s v="Actual"/>
    <n v="2"/>
    <n v="3768.2700000000004"/>
    <n v="0.21097754884944855"/>
  </r>
  <r>
    <s v="ORD4836"/>
    <d v="2023-02-15T00:00:00"/>
    <x v="1"/>
    <x v="2"/>
    <x v="3"/>
    <x v="0"/>
    <n v="258887.14"/>
    <n v="193528.23"/>
    <s v="Actual"/>
    <n v="4"/>
    <n v="65358.91"/>
    <n v="0.25246101447912783"/>
  </r>
  <r>
    <s v="ORD748"/>
    <d v="2023-03-20T00:00:00"/>
    <x v="5"/>
    <x v="2"/>
    <x v="2"/>
    <x v="0"/>
    <n v="52736.19"/>
    <n v="42188.952000000005"/>
    <s v="Estimated"/>
    <n v="3"/>
    <n v="10547.237999999998"/>
    <n v="0.19999999999999996"/>
  </r>
  <r>
    <s v="ORD9353"/>
    <d v="2023-06-25T00:00:00"/>
    <x v="0"/>
    <x v="3"/>
    <x v="3"/>
    <x v="0"/>
    <n v="170838.2"/>
    <n v="139891.26"/>
    <s v="Actual"/>
    <n v="3"/>
    <n v="30946.940000000002"/>
    <n v="0.18114765901303104"/>
  </r>
  <r>
    <s v="ORD8936"/>
    <d v="2023-03-20T00:00:00"/>
    <x v="5"/>
    <x v="2"/>
    <x v="3"/>
    <x v="0"/>
    <n v="303401.36"/>
    <n v="236450.68"/>
    <s v="Actual"/>
    <n v="5"/>
    <n v="66950.679999999993"/>
    <n v="0.22066703985769873"/>
  </r>
  <r>
    <s v="ORD1338"/>
    <d v="2023-04-05T00:00:00"/>
    <x v="2"/>
    <x v="1"/>
    <x v="0"/>
    <x v="0"/>
    <n v="65050.080000000002"/>
    <n v="34913.49"/>
    <s v="Actual"/>
    <n v="4"/>
    <n v="30136.590000000004"/>
    <n v="0.46328290449450643"/>
  </r>
  <r>
    <s v="ORD1301"/>
    <d v="2023-06-25T00:00:00"/>
    <x v="0"/>
    <x v="1"/>
    <x v="1"/>
    <x v="0"/>
    <n v="9553.75"/>
    <n v="7643"/>
    <s v="Estimated"/>
    <n v="1"/>
    <n v="1910.75"/>
    <n v="0.2"/>
  </r>
  <r>
    <s v="ORD365"/>
    <d v="2023-04-05T00:00:00"/>
    <x v="2"/>
    <x v="2"/>
    <x v="2"/>
    <x v="0"/>
    <n v="68581.119999999995"/>
    <n v="41098.79"/>
    <s v="Actual"/>
    <n v="3"/>
    <n v="27482.329999999994"/>
    <n v="0.4007273430355176"/>
  </r>
  <r>
    <s v="ORD8426"/>
    <d v="2023-02-15T00:00:00"/>
    <x v="1"/>
    <x v="1"/>
    <x v="3"/>
    <x v="0"/>
    <n v="124063.67999999999"/>
    <n v="77999.97"/>
    <s v="Actual"/>
    <n v="2"/>
    <n v="46063.709999999992"/>
    <n v="0.37129085643759718"/>
  </r>
  <r>
    <s v="ORD9720"/>
    <d v="2023-04-05T00:00:00"/>
    <x v="2"/>
    <x v="3"/>
    <x v="0"/>
    <x v="0"/>
    <n v="64481.2"/>
    <n v="43058.61"/>
    <s v="Actual"/>
    <s v="Unknown"/>
    <n v="21422.589999999997"/>
    <n v="0.33223001432975807"/>
  </r>
  <r>
    <s v="ORD127"/>
    <d v="2023-02-15T00:00:00"/>
    <x v="1"/>
    <x v="0"/>
    <x v="2"/>
    <x v="0"/>
    <n v="17651.54"/>
    <n v="13746.04"/>
    <s v="Actual"/>
    <n v="1"/>
    <n v="3905.5"/>
    <n v="0.22125548252447094"/>
  </r>
  <r>
    <s v="ORD922"/>
    <d v="2023-04-05T00:00:00"/>
    <x v="2"/>
    <x v="2"/>
    <x v="0"/>
    <x v="0"/>
    <n v="69787.83"/>
    <n v="36816.5"/>
    <s v="Actual"/>
    <n v="4"/>
    <n v="32971.33"/>
    <n v="0.47245099897790205"/>
  </r>
  <r>
    <s v="ORD115"/>
    <s v="Not Mentioned"/>
    <x v="3"/>
    <x v="1"/>
    <x v="0"/>
    <x v="0"/>
    <n v="55437.65"/>
    <n v="44350.12"/>
    <s v="Estimated"/>
    <n v="4"/>
    <n v="11087.529999999999"/>
    <n v="0.19999999999999998"/>
  </r>
  <r>
    <s v="ORD2037"/>
    <d v="2023-03-20T00:00:00"/>
    <x v="5"/>
    <x v="1"/>
    <x v="3"/>
    <x v="0"/>
    <n v="69529.38"/>
    <n v="38442.620000000003"/>
    <s v="Actual"/>
    <n v="1"/>
    <n v="31086.760000000002"/>
    <n v="0.44710250544446101"/>
  </r>
  <r>
    <s v="ORD3065"/>
    <d v="2023-01-15T00:00:00"/>
    <x v="4"/>
    <x v="3"/>
    <x v="3"/>
    <x v="0"/>
    <n v="169070.33"/>
    <n v="118170.07"/>
    <s v="Actual"/>
    <n v="3"/>
    <n v="50900.25999999998"/>
    <n v="0.30105968326908678"/>
  </r>
  <r>
    <s v="ORD3254"/>
    <d v="2023-03-20T00:00:00"/>
    <x v="5"/>
    <x v="3"/>
    <x v="2"/>
    <x v="0"/>
    <n v="49088.91"/>
    <n v="39271.128000000004"/>
    <s v="Estimated"/>
    <n v="3"/>
    <n v="9817.7819999999992"/>
    <n v="0.19999999999999998"/>
  </r>
  <r>
    <s v="ORD8398"/>
    <d v="2023-06-25T00:00:00"/>
    <x v="0"/>
    <x v="3"/>
    <x v="1"/>
    <x v="0"/>
    <n v="33461.94"/>
    <n v="26828.3"/>
    <s v="Actual"/>
    <n v="4"/>
    <n v="6633.6400000000031"/>
    <n v="0.19824433371167369"/>
  </r>
  <r>
    <s v="ORD9644"/>
    <d v="2023-02-15T00:00:00"/>
    <x v="1"/>
    <x v="1"/>
    <x v="3"/>
    <x v="0"/>
    <n v="163673.01999999999"/>
    <n v="124321.60000000001"/>
    <s v="Actual"/>
    <n v="3"/>
    <n v="39351.419999999984"/>
    <n v="0.24042704167125398"/>
  </r>
  <r>
    <s v="ORD7044"/>
    <d v="2023-03-20T00:00:00"/>
    <x v="5"/>
    <x v="2"/>
    <x v="3"/>
    <x v="0"/>
    <n v="251432.5"/>
    <n v="179300.2"/>
    <s v="Actual"/>
    <n v="4"/>
    <n v="72132.299999999988"/>
    <n v="0.28688534696190821"/>
  </r>
  <r>
    <s v="ORD5806"/>
    <d v="2023-04-05T00:00:00"/>
    <x v="2"/>
    <x v="3"/>
    <x v="2"/>
    <x v="0"/>
    <n v="42915.62"/>
    <n v="30565.040000000001"/>
    <s v="Actual"/>
    <n v="2"/>
    <n v="12350.580000000002"/>
    <n v="0.28778752351707843"/>
  </r>
  <r>
    <s v="ORD7389"/>
    <d v="2023-03-20T00:00:00"/>
    <x v="5"/>
    <x v="2"/>
    <x v="1"/>
    <x v="0"/>
    <n v="30182.61"/>
    <n v="24146.088000000003"/>
    <s v="Estimated"/>
    <n v="3"/>
    <n v="6036.5219999999972"/>
    <n v="0.1999999999999999"/>
  </r>
  <r>
    <s v="ORD3981"/>
    <d v="2023-01-15T00:00:00"/>
    <x v="4"/>
    <x v="1"/>
    <x v="0"/>
    <x v="0"/>
    <n v="32724.15"/>
    <n v="19125.34"/>
    <s v="Actual"/>
    <n v="2"/>
    <n v="13598.810000000001"/>
    <n v="0.41555884568430351"/>
  </r>
  <r>
    <s v="ORD1454"/>
    <s v="Not Mentioned"/>
    <x v="3"/>
    <x v="2"/>
    <x v="1"/>
    <x v="0"/>
    <n v="19000.330000000002"/>
    <n v="13190.53"/>
    <s v="Actual"/>
    <n v="2"/>
    <n v="5809.8000000000011"/>
    <n v="0.30577363656315448"/>
  </r>
  <r>
    <s v="ORD3644"/>
    <d v="2023-02-15T00:00:00"/>
    <x v="1"/>
    <x v="0"/>
    <x v="0"/>
    <x v="0"/>
    <n v="51231.81"/>
    <n v="41672.160000000003"/>
    <s v="Actual"/>
    <n v="4"/>
    <n v="9559.6499999999942"/>
    <n v="0.18659598401852276"/>
  </r>
  <r>
    <s v="ORD4770"/>
    <d v="2023-04-05T00:00:00"/>
    <x v="2"/>
    <x v="3"/>
    <x v="3"/>
    <x v="0"/>
    <n v="142666.63"/>
    <n v="98510.03"/>
    <s v="Actual"/>
    <n v="2"/>
    <n v="44156.600000000006"/>
    <n v="0.30950895805136774"/>
  </r>
  <r>
    <s v="ORD2970"/>
    <s v="Not Mentioned"/>
    <x v="3"/>
    <x v="2"/>
    <x v="3"/>
    <x v="0"/>
    <n v="135709.29"/>
    <n v="91921.65"/>
    <s v="Actual"/>
    <n v="2"/>
    <n v="43787.640000000014"/>
    <n v="0.32265764561880778"/>
  </r>
  <r>
    <s v="ORD735"/>
    <d v="2023-02-15T00:00:00"/>
    <x v="1"/>
    <x v="2"/>
    <x v="1"/>
    <x v="0"/>
    <n v="43308.83"/>
    <n v="35430.410000000003"/>
    <s v="Actual"/>
    <n v="5"/>
    <n v="7878.4199999999983"/>
    <n v="0.18191255686196089"/>
  </r>
  <r>
    <s v="ORD7854"/>
    <d v="2023-04-05T00:00:00"/>
    <x v="2"/>
    <x v="2"/>
    <x v="3"/>
    <x v="0"/>
    <n v="240904.93"/>
    <n v="207936.97"/>
    <s v="Actual"/>
    <n v="5"/>
    <n v="32967.959999999992"/>
    <n v="0.1368504994895704"/>
  </r>
  <r>
    <s v="ORD922"/>
    <d v="2023-03-20T00:00:00"/>
    <x v="5"/>
    <x v="2"/>
    <x v="0"/>
    <x v="0"/>
    <n v="62651.35"/>
    <n v="53070.54"/>
    <s v="Actual"/>
    <n v="5"/>
    <n v="9580.8099999999977"/>
    <n v="0.1529226425288521"/>
  </r>
  <r>
    <s v="ORD2192"/>
    <d v="2023-03-20T00:00:00"/>
    <x v="5"/>
    <x v="1"/>
    <x v="2"/>
    <x v="0"/>
    <n v="19594.689999999999"/>
    <n v="15028.61"/>
    <s v="Actual"/>
    <n v="1"/>
    <n v="4566.0799999999981"/>
    <n v="0.23302639643699383"/>
  </r>
  <r>
    <s v="ORD987"/>
    <d v="2023-04-05T00:00:00"/>
    <x v="2"/>
    <x v="3"/>
    <x v="2"/>
    <x v="0"/>
    <n v="50320.76"/>
    <n v="45968.07"/>
    <s v="Actual"/>
    <n v="3"/>
    <n v="4352.6900000000023"/>
    <n v="8.6498892306078087E-2"/>
  </r>
  <r>
    <s v="ORD1180"/>
    <d v="2023-06-25T00:00:00"/>
    <x v="0"/>
    <x v="2"/>
    <x v="2"/>
    <x v="0"/>
    <n v="22056.99"/>
    <n v="12565.44"/>
    <s v="Actual"/>
    <n v="1"/>
    <n v="9491.5500000000011"/>
    <n v="0.43031936814588029"/>
  </r>
  <r>
    <s v="ORD7417"/>
    <s v="Not Mentioned"/>
    <x v="3"/>
    <x v="3"/>
    <x v="1"/>
    <x v="0"/>
    <n v="22679.47"/>
    <n v="12959.54"/>
    <s v="Actual"/>
    <s v="Unknown"/>
    <n v="9719.93"/>
    <n v="0.42857835743075123"/>
  </r>
  <r>
    <s v="ORD612"/>
    <s v="Not Mentioned"/>
    <x v="3"/>
    <x v="1"/>
    <x v="3"/>
    <x v="0"/>
    <n v="126770.03"/>
    <n v="85057.74"/>
    <s v="Actual"/>
    <n v="2"/>
    <n v="41712.289999999994"/>
    <n v="0.32903904810939932"/>
  </r>
  <r>
    <s v="ORD3364"/>
    <d v="2023-01-15T00:00:00"/>
    <x v="4"/>
    <x v="2"/>
    <x v="3"/>
    <x v="0"/>
    <n v="254132.08"/>
    <n v="160239.75"/>
    <s v="Actual"/>
    <n v="4"/>
    <n v="93892.329999999987"/>
    <n v="0.3694627219042948"/>
  </r>
  <r>
    <s v="ORD2116"/>
    <d v="2023-06-25T00:00:00"/>
    <x v="0"/>
    <x v="0"/>
    <x v="1"/>
    <x v="0"/>
    <n v="32006.77"/>
    <n v="25605.416000000001"/>
    <s v="Estimated"/>
    <n v="4"/>
    <n v="6401.3539999999994"/>
    <n v="0.19999999999999998"/>
  </r>
  <r>
    <s v="ORD4005"/>
    <d v="2023-01-15T00:00:00"/>
    <x v="4"/>
    <x v="0"/>
    <x v="3"/>
    <x v="0"/>
    <n v="197228.85"/>
    <n v="145671.32"/>
    <s v="Actual"/>
    <n v="3"/>
    <n v="51557.53"/>
    <n v="0.26140967713394869"/>
  </r>
  <r>
    <s v="ORD8952"/>
    <d v="2023-01-15T00:00:00"/>
    <x v="4"/>
    <x v="2"/>
    <x v="2"/>
    <x v="0"/>
    <n v="20233.400000000001"/>
    <n v="16186.720000000001"/>
    <s v="Estimated"/>
    <n v="1"/>
    <n v="4046.6800000000003"/>
    <n v="0.2"/>
  </r>
  <r>
    <s v="ORD1764"/>
    <d v="2023-04-05T00:00:00"/>
    <x v="2"/>
    <x v="1"/>
    <x v="1"/>
    <x v="0"/>
    <n v="41669.39"/>
    <n v="32293.67"/>
    <s v="Actual"/>
    <n v="5"/>
    <n v="9375.7200000000012"/>
    <n v="0.22500257383177438"/>
  </r>
  <r>
    <s v="ORD970"/>
    <d v="2023-01-15T00:00:00"/>
    <x v="4"/>
    <x v="2"/>
    <x v="1"/>
    <x v="0"/>
    <n v="21640.36"/>
    <n v="13027.46"/>
    <s v="Actual"/>
    <n v="2"/>
    <n v="8612.9000000000015"/>
    <n v="0.39800169682944281"/>
  </r>
  <r>
    <s v="ORD415"/>
    <s v="Not Mentioned"/>
    <x v="3"/>
    <x v="0"/>
    <x v="3"/>
    <x v="0"/>
    <n v="246073.41"/>
    <n v="184450.62"/>
    <s v="Actual"/>
    <n v="4"/>
    <n v="61622.790000000008"/>
    <n v="0.25042441603097226"/>
  </r>
  <r>
    <s v="ORD4358"/>
    <d v="2023-03-20T00:00:00"/>
    <x v="5"/>
    <x v="2"/>
    <x v="1"/>
    <x v="0"/>
    <n v="32795.19"/>
    <n v="19079.39"/>
    <s v="Actual"/>
    <n v="3"/>
    <n v="13715.800000000003"/>
    <n v="0.41822596545408036"/>
  </r>
  <r>
    <s v="ORD5313"/>
    <d v="2023-02-15T00:00:00"/>
    <x v="1"/>
    <x v="3"/>
    <x v="1"/>
    <x v="0"/>
    <n v="28008.18"/>
    <n v="22215.61"/>
    <s v="Actual"/>
    <n v="3"/>
    <n v="5792.57"/>
    <n v="0.2068170798673816"/>
  </r>
  <r>
    <s v="ORD3400"/>
    <s v="Not Mentioned"/>
    <x v="3"/>
    <x v="1"/>
    <x v="2"/>
    <x v="0"/>
    <n v="17221.57"/>
    <n v="12503.59"/>
    <s v="Actual"/>
    <n v="1"/>
    <n v="4717.9799999999996"/>
    <n v="0.27395760084591586"/>
  </r>
  <r>
    <s v="ORD1153"/>
    <s v="Not Mentioned"/>
    <x v="3"/>
    <x v="1"/>
    <x v="3"/>
    <x v="0"/>
    <n v="337137.43"/>
    <n v="226474.59"/>
    <s v="Actual"/>
    <n v="5"/>
    <n v="110662.84"/>
    <n v="0.32824252115821134"/>
  </r>
  <r>
    <s v="ORD3047"/>
    <d v="2023-03-20T00:00:00"/>
    <x v="5"/>
    <x v="0"/>
    <x v="1"/>
    <x v="0"/>
    <n v="27672.18"/>
    <n v="18882.32"/>
    <s v="Actual"/>
    <n v="3"/>
    <n v="8789.86"/>
    <n v="0.31764248425675173"/>
  </r>
  <r>
    <s v="ORD1478"/>
    <d v="2023-06-25T00:00:00"/>
    <x v="0"/>
    <x v="0"/>
    <x v="0"/>
    <x v="0"/>
    <n v="64458.720000000001"/>
    <n v="47562.46"/>
    <s v="Actual"/>
    <n v="5"/>
    <n v="16896.260000000002"/>
    <n v="0.26212527955876258"/>
  </r>
  <r>
    <s v="ORD8299"/>
    <d v="2023-01-15T00:00:00"/>
    <x v="4"/>
    <x v="2"/>
    <x v="2"/>
    <x v="0"/>
    <n v="20378.34"/>
    <n v="14107.64"/>
    <s v="Actual"/>
    <n v="1"/>
    <n v="6270.7000000000007"/>
    <n v="0.30771397473984635"/>
  </r>
  <r>
    <s v="ORD8523"/>
    <d v="2023-03-20T00:00:00"/>
    <x v="5"/>
    <x v="0"/>
    <x v="2"/>
    <x v="0"/>
    <n v="20976.48"/>
    <n v="12181.13"/>
    <s v="Actual"/>
    <n v="1"/>
    <n v="8795.35"/>
    <n v="0.41929580177417758"/>
  </r>
  <r>
    <s v="ORD1617"/>
    <d v="2023-03-20T00:00:00"/>
    <x v="5"/>
    <x v="2"/>
    <x v="0"/>
    <x v="0"/>
    <n v="53772.91"/>
    <n v="35945.56"/>
    <s v="Actual"/>
    <n v="4"/>
    <n v="17827.350000000006"/>
    <n v="0.33153031889105505"/>
  </r>
  <r>
    <s v="ORD6845"/>
    <d v="2023-03-20T00:00:00"/>
    <x v="5"/>
    <x v="2"/>
    <x v="3"/>
    <x v="0"/>
    <n v="185967.79"/>
    <n v="135396.15"/>
    <s v="Actual"/>
    <n v="3"/>
    <n v="50571.640000000014"/>
    <n v="0.27193762962930307"/>
  </r>
  <r>
    <s v="ORD648"/>
    <d v="2023-04-05T00:00:00"/>
    <x v="2"/>
    <x v="3"/>
    <x v="2"/>
    <x v="0"/>
    <n v="33263.15"/>
    <n v="27548.76"/>
    <s v="Actual"/>
    <n v="2"/>
    <n v="5714.3900000000031"/>
    <n v="0.17179341102691725"/>
  </r>
  <r>
    <s v="ORD8391"/>
    <d v="2023-03-20T00:00:00"/>
    <x v="5"/>
    <x v="1"/>
    <x v="3"/>
    <x v="0"/>
    <n v="107179.9"/>
    <n v="85743.92"/>
    <s v="Estimated"/>
    <n v="2"/>
    <n v="21435.979999999996"/>
    <n v="0.19999999999999998"/>
  </r>
  <r>
    <s v="ORD9010"/>
    <d v="2023-06-25T00:00:00"/>
    <x v="0"/>
    <x v="3"/>
    <x v="1"/>
    <x v="0"/>
    <n v="22479.05"/>
    <n v="14529.04"/>
    <s v="Actual"/>
    <n v="2"/>
    <n v="7950.0099999999984"/>
    <n v="0.35366307739873343"/>
  </r>
  <r>
    <s v="ORD7785"/>
    <s v="Not Mentioned"/>
    <x v="3"/>
    <x v="3"/>
    <x v="0"/>
    <x v="0"/>
    <n v="14053.04"/>
    <n v="10973.29"/>
    <s v="Actual"/>
    <n v="1"/>
    <n v="3079.75"/>
    <n v="0.21915187034264472"/>
  </r>
  <r>
    <s v="ORD3173"/>
    <s v="Not Mentioned"/>
    <x v="3"/>
    <x v="3"/>
    <x v="1"/>
    <x v="0"/>
    <n v="54300.639999999999"/>
    <n v="36307.1"/>
    <s v="Actual"/>
    <n v="5"/>
    <n v="17993.54"/>
    <n v="0.3313688383783322"/>
  </r>
  <r>
    <s v="ORD1529"/>
    <d v="2023-06-25T00:00:00"/>
    <x v="0"/>
    <x v="0"/>
    <x v="1"/>
    <x v="0"/>
    <n v="29951.73"/>
    <n v="23031.87"/>
    <s v="Actual"/>
    <n v="3"/>
    <n v="6919.8600000000006"/>
    <n v="0.23103373327684246"/>
  </r>
  <r>
    <s v="ORD527"/>
    <d v="2023-04-05T00:00:00"/>
    <x v="2"/>
    <x v="2"/>
    <x v="0"/>
    <x v="0"/>
    <n v="86251.77"/>
    <n v="52719.78"/>
    <s v="Actual"/>
    <n v="5"/>
    <n v="33531.990000000005"/>
    <n v="0.38876871744197256"/>
  </r>
  <r>
    <s v="ORD5085"/>
    <d v="2023-02-15T00:00:00"/>
    <x v="1"/>
    <x v="0"/>
    <x v="3"/>
    <x v="0"/>
    <n v="156196.74"/>
    <n v="124957.39199999999"/>
    <s v="Estimated"/>
    <n v="3"/>
    <n v="31239.347999999998"/>
    <n v="0.2"/>
  </r>
  <r>
    <s v="ORD6818"/>
    <d v="2023-02-15T00:00:00"/>
    <x v="1"/>
    <x v="1"/>
    <x v="3"/>
    <x v="0"/>
    <n v="62035.68"/>
    <n v="39901.72"/>
    <s v="Actual"/>
    <s v="Unknown"/>
    <n v="22133.96"/>
    <n v="0.35679402563170098"/>
  </r>
  <r>
    <s v="ORD9335"/>
    <d v="2023-04-05T00:00:00"/>
    <x v="2"/>
    <x v="1"/>
    <x v="1"/>
    <x v="0"/>
    <n v="9078.5400000000009"/>
    <n v="7325.79"/>
    <s v="Actual"/>
    <n v="1"/>
    <n v="1752.7500000000009"/>
    <n v="0.19306518449001719"/>
  </r>
  <r>
    <s v="ORD1836"/>
    <d v="2023-02-15T00:00:00"/>
    <x v="1"/>
    <x v="0"/>
    <x v="2"/>
    <x v="0"/>
    <n v="90539.34"/>
    <n v="72431.471999999994"/>
    <s v="Estimated"/>
    <n v="5"/>
    <n v="18107.868000000002"/>
    <n v="0.20000000000000004"/>
  </r>
  <r>
    <s v="ORD1804"/>
    <d v="2023-03-20T00:00:00"/>
    <x v="5"/>
    <x v="1"/>
    <x v="3"/>
    <x v="0"/>
    <n v="58554.44"/>
    <n v="46094.91"/>
    <s v="Actual"/>
    <n v="1"/>
    <n v="12459.529999999999"/>
    <n v="0.21278540107291605"/>
  </r>
  <r>
    <s v="ORD1955"/>
    <d v="2023-03-20T00:00:00"/>
    <x v="5"/>
    <x v="2"/>
    <x v="0"/>
    <x v="0"/>
    <n v="53400.11"/>
    <n v="30953.200000000001"/>
    <s v="Actual"/>
    <n v="3"/>
    <n v="22446.91"/>
    <n v="0.42035325395397127"/>
  </r>
  <r>
    <s v="ORD8131"/>
    <s v="Not Mentioned"/>
    <x v="3"/>
    <x v="1"/>
    <x v="1"/>
    <x v="0"/>
    <n v="22521.47"/>
    <n v="13157.1"/>
    <s v="Actual"/>
    <n v="2"/>
    <n v="9364.3700000000008"/>
    <n v="0.41579745904685617"/>
  </r>
  <r>
    <s v="ORD9651"/>
    <s v="Not Mentioned"/>
    <x v="3"/>
    <x v="2"/>
    <x v="2"/>
    <x v="0"/>
    <n v="37603.230000000003"/>
    <n v="29203.34"/>
    <s v="Actual"/>
    <n v="2"/>
    <n v="8399.8900000000031"/>
    <n v="0.2233821403108191"/>
  </r>
  <r>
    <s v="ORD7091"/>
    <d v="2023-02-15T00:00:00"/>
    <x v="1"/>
    <x v="3"/>
    <x v="3"/>
    <x v="0"/>
    <n v="267232.65999999997"/>
    <n v="171360.64000000001"/>
    <s v="Actual"/>
    <n v="4"/>
    <n v="95872.01999999996"/>
    <n v="0.35875861880056115"/>
  </r>
  <r>
    <s v="ORD3823"/>
    <d v="2023-02-15T00:00:00"/>
    <x v="1"/>
    <x v="3"/>
    <x v="2"/>
    <x v="0"/>
    <n v="66593.36"/>
    <n v="42753.61"/>
    <s v="Actual"/>
    <n v="3"/>
    <n v="23839.75"/>
    <n v="0.35798989568929995"/>
  </r>
  <r>
    <s v="ORD9027"/>
    <d v="2023-02-15T00:00:00"/>
    <x v="1"/>
    <x v="2"/>
    <x v="0"/>
    <x v="0"/>
    <n v="12846.85"/>
    <n v="9468.15"/>
    <s v="Actual"/>
    <n v="1"/>
    <n v="3378.7000000000007"/>
    <n v="0.26299832254599381"/>
  </r>
  <r>
    <s v="ORD6217"/>
    <d v="2023-02-15T00:00:00"/>
    <x v="1"/>
    <x v="1"/>
    <x v="1"/>
    <x v="0"/>
    <n v="32768.82"/>
    <n v="19516.87"/>
    <s v="Actual"/>
    <n v="3"/>
    <n v="13251.95"/>
    <n v="0.40440729937788422"/>
  </r>
  <r>
    <s v="ORD6245"/>
    <d v="2023-01-15T00:00:00"/>
    <x v="4"/>
    <x v="2"/>
    <x v="0"/>
    <x v="0"/>
    <n v="24398.36"/>
    <n v="17407.96"/>
    <s v="Actual"/>
    <n v="2"/>
    <n v="6990.4000000000015"/>
    <n v="0.28651106057948161"/>
  </r>
  <r>
    <s v="ORD922"/>
    <d v="2023-06-25T00:00:00"/>
    <x v="0"/>
    <x v="0"/>
    <x v="1"/>
    <x v="0"/>
    <n v="9925.7199999999993"/>
    <n v="6507.65"/>
    <s v="Actual"/>
    <n v="1"/>
    <n v="3418.0699999999997"/>
    <n v="0.34436494279508184"/>
  </r>
  <r>
    <s v="ORD4181"/>
    <d v="2023-03-20T00:00:00"/>
    <x v="5"/>
    <x v="1"/>
    <x v="3"/>
    <x v="0"/>
    <n v="111287.82"/>
    <n v="88369.33"/>
    <s v="Actual"/>
    <n v="2"/>
    <n v="22918.490000000005"/>
    <n v="0.20593888890985557"/>
  </r>
  <r>
    <s v="ORD4214"/>
    <d v="2023-02-15T00:00:00"/>
    <x v="1"/>
    <x v="1"/>
    <x v="3"/>
    <x v="0"/>
    <n v="49618.17"/>
    <n v="43478.14"/>
    <s v="Actual"/>
    <s v="Unknown"/>
    <n v="6140.0299999999988"/>
    <n v="0.12374559561547713"/>
  </r>
  <r>
    <s v="ORD914"/>
    <d v="2023-03-20T00:00:00"/>
    <x v="5"/>
    <x v="1"/>
    <x v="1"/>
    <x v="0"/>
    <n v="50437.04"/>
    <n v="30936.94"/>
    <s v="Actual"/>
    <n v="5"/>
    <n v="19500.100000000002"/>
    <n v="0.3866226090983928"/>
  </r>
  <r>
    <s v="ORD919"/>
    <d v="2023-02-15T00:00:00"/>
    <x v="1"/>
    <x v="0"/>
    <x v="0"/>
    <x v="0"/>
    <n v="60023.08"/>
    <n v="37311.760000000002"/>
    <s v="Actual"/>
    <n v="4"/>
    <n v="22711.32"/>
    <n v="0.37837645119177488"/>
  </r>
  <r>
    <s v="ORD8167"/>
    <d v="2023-02-15T00:00:00"/>
    <x v="1"/>
    <x v="2"/>
    <x v="2"/>
    <x v="0"/>
    <n v="72504.759999999995"/>
    <n v="54809.83"/>
    <s v="Actual"/>
    <n v="4"/>
    <n v="17694.929999999993"/>
    <n v="0.24405197672539009"/>
  </r>
  <r>
    <s v="ORD315"/>
    <d v="2023-06-25T00:00:00"/>
    <x v="0"/>
    <x v="2"/>
    <x v="1"/>
    <x v="0"/>
    <n v="10438.24"/>
    <n v="7143.04"/>
    <s v="Actual"/>
    <n v="1"/>
    <n v="3295.2"/>
    <n v="0.31568540290317143"/>
  </r>
  <r>
    <s v="ORD6681"/>
    <s v="Not Mentioned"/>
    <x v="3"/>
    <x v="2"/>
    <x v="3"/>
    <x v="0"/>
    <n v="256295.6"/>
    <n v="195354.97"/>
    <s v="Actual"/>
    <n v="4"/>
    <n v="60940.630000000005"/>
    <n v="0.23777478037079061"/>
  </r>
  <r>
    <s v="ORD6982"/>
    <d v="2023-04-05T00:00:00"/>
    <x v="2"/>
    <x v="1"/>
    <x v="2"/>
    <x v="0"/>
    <n v="90831.45"/>
    <n v="50192.46"/>
    <s v="Actual"/>
    <n v="4"/>
    <n v="40638.99"/>
    <n v="0.44741100136571638"/>
  </r>
  <r>
    <s v="ORD7944"/>
    <d v="2023-01-15T00:00:00"/>
    <x v="4"/>
    <x v="2"/>
    <x v="0"/>
    <x v="0"/>
    <n v="59236.27"/>
    <n v="43062.66"/>
    <s v="Actual"/>
    <n v="4"/>
    <n v="16173.609999999993"/>
    <n v="0.27303559120113391"/>
  </r>
  <r>
    <s v="ORD532"/>
    <d v="2023-01-15T00:00:00"/>
    <x v="4"/>
    <x v="3"/>
    <x v="1"/>
    <x v="0"/>
    <n v="44465.52"/>
    <n v="27734.55"/>
    <s v="Actual"/>
    <n v="4"/>
    <n v="16730.969999999998"/>
    <n v="0.37626839852541921"/>
  </r>
  <r>
    <s v="ORD5019"/>
    <d v="2023-06-25T00:00:00"/>
    <x v="0"/>
    <x v="2"/>
    <x v="3"/>
    <x v="0"/>
    <n v="289398.09999999998"/>
    <n v="197315.08"/>
    <s v="Actual"/>
    <n v="5"/>
    <n v="92083.01999999999"/>
    <n v="0.31818805997689686"/>
  </r>
  <r>
    <s v="ORD3483"/>
    <d v="2023-04-05T00:00:00"/>
    <x v="2"/>
    <x v="1"/>
    <x v="1"/>
    <x v="0"/>
    <n v="30333.83"/>
    <n v="21549.040000000001"/>
    <s v="Actual"/>
    <n v="3"/>
    <n v="8784.7900000000009"/>
    <n v="0.28960371967535919"/>
  </r>
  <r>
    <s v="ORD757"/>
    <s v="Not Mentioned"/>
    <x v="3"/>
    <x v="2"/>
    <x v="0"/>
    <x v="0"/>
    <n v="16685.490000000002"/>
    <n v="10817.96"/>
    <s v="Actual"/>
    <n v="1"/>
    <n v="5867.5300000000025"/>
    <n v="0.35165464124817442"/>
  </r>
  <r>
    <s v="ORD7356"/>
    <d v="2023-06-25T00:00:00"/>
    <x v="0"/>
    <x v="2"/>
    <x v="2"/>
    <x v="0"/>
    <n v="33074.519999999997"/>
    <n v="28917.25"/>
    <s v="Actual"/>
    <n v="2"/>
    <n v="4157.2699999999968"/>
    <n v="0.12569403879481841"/>
  </r>
  <r>
    <s v="ORD6163"/>
    <d v="2023-01-15T00:00:00"/>
    <x v="4"/>
    <x v="2"/>
    <x v="2"/>
    <x v="0"/>
    <n v="69225.33"/>
    <n v="60642.400000000001"/>
    <s v="Actual"/>
    <n v="4"/>
    <n v="8582.93"/>
    <n v="0.12398539667488764"/>
  </r>
  <r>
    <s v="ORD9216"/>
    <d v="2023-06-25T00:00:00"/>
    <x v="0"/>
    <x v="2"/>
    <x v="0"/>
    <x v="0"/>
    <n v="16247.35"/>
    <n v="8956.6"/>
    <s v="Actual"/>
    <n v="1"/>
    <n v="7290.75"/>
    <n v="0.44873471673842197"/>
  </r>
  <r>
    <s v="ORD6402"/>
    <d v="2023-03-20T00:00:00"/>
    <x v="5"/>
    <x v="1"/>
    <x v="2"/>
    <x v="0"/>
    <n v="35922.019999999997"/>
    <n v="28964.720000000001"/>
    <s v="Actual"/>
    <n v="2"/>
    <n v="6957.2999999999956"/>
    <n v="0.19367786110023869"/>
  </r>
  <r>
    <s v="ORD2839"/>
    <d v="2023-06-25T00:00:00"/>
    <x v="0"/>
    <x v="2"/>
    <x v="3"/>
    <x v="0"/>
    <n v="242168"/>
    <n v="225482.71"/>
    <s v="Actual"/>
    <n v="5"/>
    <n v="16685.290000000008"/>
    <n v="6.8899648178124315E-2"/>
  </r>
  <r>
    <s v="ORD8990"/>
    <d v="2023-06-25T00:00:00"/>
    <x v="0"/>
    <x v="2"/>
    <x v="2"/>
    <x v="0"/>
    <n v="46838.2"/>
    <n v="25203.759999999998"/>
    <s v="Actual"/>
    <n v="2"/>
    <n v="21634.44"/>
    <n v="0.46189734020521711"/>
  </r>
  <r>
    <s v="ORD6257"/>
    <d v="2023-02-15T00:00:00"/>
    <x v="1"/>
    <x v="3"/>
    <x v="2"/>
    <x v="0"/>
    <n v="98474.58"/>
    <n v="70693.03"/>
    <s v="Actual"/>
    <s v="Unknown"/>
    <n v="27781.550000000003"/>
    <n v="0.28211899964437526"/>
  </r>
  <r>
    <s v="ORD6202"/>
    <d v="2023-03-20T00:00:00"/>
    <x v="5"/>
    <x v="1"/>
    <x v="2"/>
    <x v="0"/>
    <n v="100905.74"/>
    <n v="65536.84"/>
    <s v="Actual"/>
    <n v="5"/>
    <n v="35368.900000000009"/>
    <n v="0.35051425221201499"/>
  </r>
  <r>
    <s v="ORD871"/>
    <d v="2023-04-05T00:00:00"/>
    <x v="2"/>
    <x v="1"/>
    <x v="0"/>
    <x v="0"/>
    <n v="41443.17"/>
    <n v="27290.54"/>
    <s v="Actual"/>
    <n v="3"/>
    <n v="14152.629999999997"/>
    <n v="0.34149487116936272"/>
  </r>
  <r>
    <s v="ORD4764"/>
    <d v="2023-01-15T00:00:00"/>
    <x v="4"/>
    <x v="3"/>
    <x v="2"/>
    <x v="0"/>
    <n v="39852.92"/>
    <n v="26936.639999999999"/>
    <s v="Actual"/>
    <n v="2"/>
    <n v="12916.279999999999"/>
    <n v="0.32409871096020065"/>
  </r>
  <r>
    <s v="ORD3543"/>
    <s v="Not Mentioned"/>
    <x v="3"/>
    <x v="3"/>
    <x v="3"/>
    <x v="0"/>
    <n v="61667.8"/>
    <n v="38460.65"/>
    <s v="Actual"/>
    <n v="1"/>
    <n v="23207.15"/>
    <n v="0.37632524591439942"/>
  </r>
  <r>
    <s v="ORD9046"/>
    <d v="2023-04-05T00:00:00"/>
    <x v="2"/>
    <x v="0"/>
    <x v="0"/>
    <x v="0"/>
    <n v="31518.04"/>
    <n v="18403.759999999998"/>
    <s v="Actual"/>
    <n v="2"/>
    <n v="13114.280000000002"/>
    <n v="0.41608805623699957"/>
  </r>
  <r>
    <s v="ORD1493"/>
    <d v="2023-04-05T00:00:00"/>
    <x v="2"/>
    <x v="1"/>
    <x v="1"/>
    <x v="0"/>
    <n v="45646.51"/>
    <n v="28717.84"/>
    <s v="Actual"/>
    <n v="4"/>
    <n v="16928.670000000002"/>
    <n v="0.37086449763629248"/>
  </r>
  <r>
    <s v="ORD6254"/>
    <d v="2023-03-20T00:00:00"/>
    <x v="5"/>
    <x v="3"/>
    <x v="2"/>
    <x v="0"/>
    <n v="63722.62"/>
    <n v="40578.03"/>
    <s v="Actual"/>
    <n v="3"/>
    <n v="23144.590000000004"/>
    <n v="0.36320838659804011"/>
  </r>
  <r>
    <s v="ORD5291"/>
    <d v="2023-06-25T00:00:00"/>
    <x v="0"/>
    <x v="1"/>
    <x v="1"/>
    <x v="0"/>
    <n v="57599.71"/>
    <n v="30632.04"/>
    <s v="Actual"/>
    <n v="5"/>
    <n v="26967.67"/>
    <n v="0.46819107248977465"/>
  </r>
  <r>
    <s v="ORD1830"/>
    <d v="2023-06-25T00:00:00"/>
    <x v="0"/>
    <x v="0"/>
    <x v="0"/>
    <x v="0"/>
    <n v="40700.29"/>
    <n v="26213.23"/>
    <s v="Actual"/>
    <n v="3"/>
    <n v="14487.060000000001"/>
    <n v="0.35594488393080248"/>
  </r>
  <r>
    <s v="ORD1269"/>
    <d v="2023-04-05T00:00:00"/>
    <x v="2"/>
    <x v="1"/>
    <x v="2"/>
    <x v="0"/>
    <n v="20331.439999999999"/>
    <n v="14050.52"/>
    <s v="Actual"/>
    <n v="1"/>
    <n v="6280.9199999999983"/>
    <n v="0.30892647053037064"/>
  </r>
  <r>
    <s v="ORD7634"/>
    <d v="2023-04-05T00:00:00"/>
    <x v="2"/>
    <x v="1"/>
    <x v="1"/>
    <x v="0"/>
    <n v="44838.44"/>
    <n v="28205.54"/>
    <s v="Actual"/>
    <n v="4"/>
    <n v="16632.900000000001"/>
    <n v="0.3709517993935561"/>
  </r>
  <r>
    <s v="ORD3509"/>
    <d v="2023-06-25T00:00:00"/>
    <x v="0"/>
    <x v="1"/>
    <x v="0"/>
    <x v="0"/>
    <n v="65380.94"/>
    <n v="36701.47"/>
    <s v="Actual"/>
    <n v="4"/>
    <n v="28679.47"/>
    <n v="0.43865184562962845"/>
  </r>
  <r>
    <s v="ORD5003"/>
    <d v="2023-04-05T00:00:00"/>
    <x v="2"/>
    <x v="3"/>
    <x v="0"/>
    <x v="0"/>
    <n v="14226.92"/>
    <n v="11381.536"/>
    <s v="Estimated"/>
    <n v="1"/>
    <n v="2845.384"/>
    <n v="0.2"/>
  </r>
  <r>
    <s v="ORD3350"/>
    <d v="2023-01-15T00:00:00"/>
    <x v="4"/>
    <x v="1"/>
    <x v="1"/>
    <x v="0"/>
    <n v="44292.42"/>
    <n v="26607.07"/>
    <s v="Actual"/>
    <n v="4"/>
    <n v="17685.349999999999"/>
    <n v="0.39928615325150441"/>
  </r>
  <r>
    <s v="ORD2017"/>
    <d v="2023-04-05T00:00:00"/>
    <x v="2"/>
    <x v="1"/>
    <x v="3"/>
    <x v="0"/>
    <n v="169521.24"/>
    <n v="135616.992"/>
    <s v="Estimated"/>
    <n v="3"/>
    <n v="33904.247999999992"/>
    <n v="0.19999999999999996"/>
  </r>
  <r>
    <s v="ORD246"/>
    <d v="2023-01-15T00:00:00"/>
    <x v="4"/>
    <x v="3"/>
    <x v="1"/>
    <x v="0"/>
    <n v="26908.77"/>
    <n v="19307.5"/>
    <s v="Actual"/>
    <n v="3"/>
    <n v="7601.27"/>
    <n v="0.28248299717898662"/>
  </r>
  <r>
    <s v="ORD5734"/>
    <d v="2023-02-15T00:00:00"/>
    <x v="1"/>
    <x v="1"/>
    <x v="1"/>
    <x v="0"/>
    <n v="52215.63"/>
    <n v="32537.43"/>
    <s v="Actual"/>
    <n v="5"/>
    <n v="19678.199999999997"/>
    <n v="0.37686416883220597"/>
  </r>
  <r>
    <s v="ORD872"/>
    <d v="2023-03-20T00:00:00"/>
    <x v="5"/>
    <x v="2"/>
    <x v="1"/>
    <x v="0"/>
    <n v="17666.38"/>
    <n v="14374.49"/>
    <s v="Actual"/>
    <n v="2"/>
    <n v="3291.8900000000012"/>
    <n v="0.18633641979850998"/>
  </r>
  <r>
    <s v="ORD5364"/>
    <d v="2023-04-05T00:00:00"/>
    <x v="2"/>
    <x v="2"/>
    <x v="0"/>
    <x v="0"/>
    <n v="74147.839999999997"/>
    <n v="50341.71"/>
    <s v="Actual"/>
    <n v="5"/>
    <n v="23806.129999999997"/>
    <n v="0.32106302759460015"/>
  </r>
  <r>
    <s v="ORD637"/>
    <s v="Not Mentioned"/>
    <x v="3"/>
    <x v="3"/>
    <x v="0"/>
    <x v="0"/>
    <n v="50333.08"/>
    <n v="26800.21"/>
    <s v="Actual"/>
    <n v="3"/>
    <n v="23532.870000000003"/>
    <n v="0.46754281677179305"/>
  </r>
  <r>
    <s v="ORD1385"/>
    <d v="2023-03-20T00:00:00"/>
    <x v="5"/>
    <x v="2"/>
    <x v="2"/>
    <x v="0"/>
    <n v="19434.05"/>
    <n v="14658.72"/>
    <s v="Actual"/>
    <s v="Unknown"/>
    <n v="4775.33"/>
    <n v="0.24571975476033045"/>
  </r>
  <r>
    <s v="ORD9947"/>
    <d v="2023-02-15T00:00:00"/>
    <x v="1"/>
    <x v="2"/>
    <x v="1"/>
    <x v="0"/>
    <n v="29658.44"/>
    <n v="19708.12"/>
    <s v="Actual"/>
    <n v="3"/>
    <n v="9950.32"/>
    <n v="0.33549707941483098"/>
  </r>
  <r>
    <s v="ORD630"/>
    <d v="2023-04-05T00:00:00"/>
    <x v="2"/>
    <x v="2"/>
    <x v="1"/>
    <x v="0"/>
    <n v="9626.9699999999993"/>
    <n v="6908.5"/>
    <s v="Actual"/>
    <n v="1"/>
    <n v="2718.4699999999993"/>
    <n v="0.2823806452082015"/>
  </r>
  <r>
    <s v="ORD1949"/>
    <d v="2023-01-15T00:00:00"/>
    <x v="4"/>
    <x v="3"/>
    <x v="0"/>
    <x v="0"/>
    <n v="29479.25"/>
    <n v="17104.97"/>
    <s v="Actual"/>
    <n v="2"/>
    <n v="12374.279999999999"/>
    <n v="0.41976237523003462"/>
  </r>
  <r>
    <s v="ORD9407"/>
    <d v="2023-02-15T00:00:00"/>
    <x v="1"/>
    <x v="1"/>
    <x v="2"/>
    <x v="0"/>
    <n v="74175.23"/>
    <n v="54969.79"/>
    <s v="Actual"/>
    <n v="4"/>
    <n v="19205.439999999995"/>
    <n v="0.25891985774766046"/>
  </r>
  <r>
    <s v="ORD3811"/>
    <d v="2023-03-20T00:00:00"/>
    <x v="5"/>
    <x v="1"/>
    <x v="0"/>
    <x v="0"/>
    <n v="35086.01"/>
    <n v="18965.189999999999"/>
    <s v="Actual"/>
    <n v="2"/>
    <n v="16120.820000000003"/>
    <n v="0.45946575287415131"/>
  </r>
  <r>
    <s v="ORD592"/>
    <d v="2023-04-05T00:00:00"/>
    <x v="2"/>
    <x v="2"/>
    <x v="2"/>
    <x v="0"/>
    <n v="117246.32"/>
    <n v="66409.72"/>
    <s v="Actual"/>
    <n v="5"/>
    <n v="50836.600000000006"/>
    <n v="0.43358802220828768"/>
  </r>
  <r>
    <s v="ORD6326"/>
    <d v="2023-01-15T00:00:00"/>
    <x v="4"/>
    <x v="1"/>
    <x v="2"/>
    <x v="0"/>
    <n v="70750.490000000005"/>
    <n v="52783.21"/>
    <s v="Actual"/>
    <n v="4"/>
    <n v="17967.280000000006"/>
    <n v="0.25395272880795605"/>
  </r>
  <r>
    <s v="ORD4447"/>
    <d v="2023-03-20T00:00:00"/>
    <x v="5"/>
    <x v="1"/>
    <x v="2"/>
    <x v="0"/>
    <n v="34078.29"/>
    <n v="29684.77"/>
    <s v="Actual"/>
    <n v="2"/>
    <n v="4393.5200000000004"/>
    <n v="0.12892430928899309"/>
  </r>
  <r>
    <s v="ORD8056"/>
    <d v="2023-01-15T00:00:00"/>
    <x v="4"/>
    <x v="2"/>
    <x v="3"/>
    <x v="0"/>
    <n v="125665.07"/>
    <n v="89447.42"/>
    <s v="Actual"/>
    <n v="2"/>
    <n v="36217.650000000009"/>
    <n v="0.28820777324995728"/>
  </r>
  <r>
    <s v="ORD4350"/>
    <d v="2023-06-25T00:00:00"/>
    <x v="0"/>
    <x v="2"/>
    <x v="2"/>
    <x v="0"/>
    <n v="83238.33"/>
    <n v="58985.54"/>
    <s v="Actual"/>
    <n v="4"/>
    <n v="24252.79"/>
    <n v="0.291365648493909"/>
  </r>
  <r>
    <s v="ORD844"/>
    <d v="2023-02-15T00:00:00"/>
    <x v="1"/>
    <x v="0"/>
    <x v="0"/>
    <x v="0"/>
    <n v="26948.46"/>
    <n v="17045.47"/>
    <s v="Actual"/>
    <n v="2"/>
    <n v="9902.989999999998"/>
    <n v="0.36747888376552867"/>
  </r>
  <r>
    <s v="ORD5036"/>
    <d v="2023-01-15T00:00:00"/>
    <x v="4"/>
    <x v="1"/>
    <x v="0"/>
    <x v="0"/>
    <n v="51556.27"/>
    <n v="34475.480000000003"/>
    <s v="Actual"/>
    <n v="4"/>
    <n v="17080.789999999994"/>
    <n v="0.33130383559555404"/>
  </r>
  <r>
    <s v="ORD764"/>
    <d v="2023-03-20T00:00:00"/>
    <x v="5"/>
    <x v="3"/>
    <x v="0"/>
    <x v="0"/>
    <n v="13086.67"/>
    <n v="10469.336000000001"/>
    <s v="Estimated"/>
    <n v="1"/>
    <n v="2617.3339999999989"/>
    <n v="0.19999999999999993"/>
  </r>
  <r>
    <s v="ORD3145"/>
    <d v="2023-01-15T00:00:00"/>
    <x v="4"/>
    <x v="2"/>
    <x v="3"/>
    <x v="0"/>
    <n v="200620.54"/>
    <n v="170728.26"/>
    <s v="Actual"/>
    <n v="4"/>
    <n v="29892.28"/>
    <n v="0.14899910049090684"/>
  </r>
  <r>
    <s v="ORD2656"/>
    <d v="2023-01-15T00:00:00"/>
    <x v="4"/>
    <x v="2"/>
    <x v="1"/>
    <x v="0"/>
    <n v="53840.61"/>
    <n v="36938.47"/>
    <s v="Actual"/>
    <n v="5"/>
    <n v="16902.14"/>
    <n v="0.31392920696849458"/>
  </r>
  <r>
    <s v="ORD7722"/>
    <d v="2023-04-05T00:00:00"/>
    <x v="2"/>
    <x v="1"/>
    <x v="3"/>
    <x v="0"/>
    <n v="351688.73"/>
    <n v="223791.29"/>
    <s v="Actual"/>
    <n v="5"/>
    <n v="127897.43999999997"/>
    <n v="0.36366658664325119"/>
  </r>
  <r>
    <s v="ORD6057"/>
    <d v="2023-02-15T00:00:00"/>
    <x v="1"/>
    <x v="2"/>
    <x v="3"/>
    <x v="0"/>
    <n v="303094.65999999997"/>
    <n v="241272.56"/>
    <s v="Actual"/>
    <n v="5"/>
    <n v="61822.099999999977"/>
    <n v="0.20396961134188238"/>
  </r>
  <r>
    <s v="ORD6261"/>
    <d v="2023-04-05T00:00:00"/>
    <x v="2"/>
    <x v="1"/>
    <x v="3"/>
    <x v="0"/>
    <n v="192548.99"/>
    <n v="146194.23000000001"/>
    <s v="Actual"/>
    <n v="3"/>
    <n v="46354.75999999998"/>
    <n v="0.24074268060299867"/>
  </r>
  <r>
    <s v="ORD5205"/>
    <d v="2023-01-15T00:00:00"/>
    <x v="4"/>
    <x v="2"/>
    <x v="2"/>
    <x v="0"/>
    <n v="20740.93"/>
    <n v="12025.75"/>
    <s v="Actual"/>
    <n v="1"/>
    <n v="8715.18"/>
    <n v="0.42019234431628671"/>
  </r>
  <r>
    <s v="ORD985"/>
    <d v="2023-06-25T00:00:00"/>
    <x v="0"/>
    <x v="2"/>
    <x v="2"/>
    <x v="0"/>
    <n v="94610.8"/>
    <n v="61512.01"/>
    <s v="Actual"/>
    <n v="4"/>
    <n v="33098.79"/>
    <n v="0.34984156142850498"/>
  </r>
  <r>
    <s v="ORD2354"/>
    <d v="2023-02-15T00:00:00"/>
    <x v="1"/>
    <x v="3"/>
    <x v="2"/>
    <x v="0"/>
    <n v="85356.76"/>
    <n v="60047.21"/>
    <s v="Actual"/>
    <n v="4"/>
    <n v="25309.549999999996"/>
    <n v="0.29651488646007645"/>
  </r>
  <r>
    <s v="ORD6372"/>
    <d v="2023-04-05T00:00:00"/>
    <x v="2"/>
    <x v="0"/>
    <x v="2"/>
    <x v="0"/>
    <n v="88038.13"/>
    <n v="50437.41"/>
    <s v="Actual"/>
    <n v="4"/>
    <n v="37600.720000000001"/>
    <n v="0.42709585040027542"/>
  </r>
  <r>
    <s v="ORD2872"/>
    <d v="2023-06-25T00:00:00"/>
    <x v="0"/>
    <x v="0"/>
    <x v="0"/>
    <x v="0"/>
    <n v="12382.34"/>
    <n v="10614.9"/>
    <s v="Actual"/>
    <n v="1"/>
    <n v="1767.4400000000005"/>
    <n v="0.14273877150845482"/>
  </r>
  <r>
    <s v="ORD8180"/>
    <d v="2023-06-25T00:00:00"/>
    <x v="0"/>
    <x v="2"/>
    <x v="0"/>
    <x v="0"/>
    <n v="17470.650000000001"/>
    <n v="10563.59"/>
    <s v="Actual"/>
    <n v="1"/>
    <n v="6907.0600000000013"/>
    <n v="0.39535220498378715"/>
  </r>
  <r>
    <s v="ORD1167"/>
    <d v="2023-02-15T00:00:00"/>
    <x v="1"/>
    <x v="1"/>
    <x v="1"/>
    <x v="0"/>
    <n v="32533.48"/>
    <n v="20665.62"/>
    <s v="Actual"/>
    <n v="3"/>
    <n v="11867.86"/>
    <n v="0.36478913414734609"/>
  </r>
  <r>
    <s v="ORD3309"/>
    <d v="2023-03-20T00:00:00"/>
    <x v="5"/>
    <x v="1"/>
    <x v="3"/>
    <x v="0"/>
    <n v="150135.41"/>
    <n v="116320"/>
    <s v="Actual"/>
    <n v="3"/>
    <n v="33815.410000000003"/>
    <n v="0.22523274156309961"/>
  </r>
  <r>
    <s v="ORD908"/>
    <d v="2023-02-15T00:00:00"/>
    <x v="1"/>
    <x v="0"/>
    <x v="1"/>
    <x v="0"/>
    <n v="54473.59"/>
    <n v="34082.06"/>
    <s v="Actual"/>
    <n v="5"/>
    <n v="20391.53"/>
    <n v="0.37433791310614922"/>
  </r>
  <r>
    <s v="ORD7440"/>
    <d v="2023-04-05T00:00:00"/>
    <x v="2"/>
    <x v="2"/>
    <x v="1"/>
    <x v="0"/>
    <n v="28098.61"/>
    <n v="19473.87"/>
    <s v="Actual"/>
    <n v="3"/>
    <n v="8624.7400000000016"/>
    <n v="0.3069454325320719"/>
  </r>
  <r>
    <s v="ORD404"/>
    <d v="2023-01-15T00:00:00"/>
    <x v="4"/>
    <x v="3"/>
    <x v="2"/>
    <x v="0"/>
    <n v="48422.879999999997"/>
    <n v="40379.78"/>
    <s v="Actual"/>
    <n v="3"/>
    <n v="8043.0999999999985"/>
    <n v="0.16610123148395964"/>
  </r>
  <r>
    <s v="ORD4665"/>
    <d v="2023-04-05T00:00:00"/>
    <x v="2"/>
    <x v="2"/>
    <x v="2"/>
    <x v="0"/>
    <n v="111193.7"/>
    <n v="71240.009999999995"/>
    <s v="Actual"/>
    <n v="5"/>
    <n v="39953.69"/>
    <n v="0.35931613032033294"/>
  </r>
  <r>
    <s v="ORD3813"/>
    <s v="Not Mentioned"/>
    <x v="3"/>
    <x v="2"/>
    <x v="1"/>
    <x v="0"/>
    <n v="44055.38"/>
    <n v="32312.11"/>
    <s v="Actual"/>
    <n v="5"/>
    <n v="11743.269999999997"/>
    <n v="0.26655700166472285"/>
  </r>
  <r>
    <s v="ORD7656"/>
    <d v="2023-03-20T00:00:00"/>
    <x v="5"/>
    <x v="2"/>
    <x v="1"/>
    <x v="0"/>
    <n v="9509.14"/>
    <n v="7105.33"/>
    <s v="Actual"/>
    <n v="1"/>
    <n v="2403.8099999999995"/>
    <n v="0.25278942154600725"/>
  </r>
  <r>
    <s v="ORD2376"/>
    <d v="2023-03-20T00:00:00"/>
    <x v="5"/>
    <x v="1"/>
    <x v="3"/>
    <x v="0"/>
    <n v="330672.93"/>
    <n v="200490.56"/>
    <s v="Actual"/>
    <n v="5"/>
    <n v="130182.37"/>
    <n v="0.39368922639056059"/>
  </r>
  <r>
    <s v="ORD8042"/>
    <d v="2023-06-25T00:00:00"/>
    <x v="0"/>
    <x v="3"/>
    <x v="3"/>
    <x v="0"/>
    <n v="58343.41"/>
    <n v="39807.61"/>
    <s v="Actual"/>
    <n v="1"/>
    <n v="18535.800000000003"/>
    <n v="0.31770169073079552"/>
  </r>
  <r>
    <s v="ORD8928"/>
    <d v="2023-04-05T00:00:00"/>
    <x v="2"/>
    <x v="2"/>
    <x v="3"/>
    <x v="0"/>
    <n v="55694.25"/>
    <n v="44683.6"/>
    <s v="Actual"/>
    <n v="1"/>
    <n v="11010.650000000001"/>
    <n v="0.19769814657707038"/>
  </r>
  <r>
    <s v="ORD761"/>
    <d v="2023-04-05T00:00:00"/>
    <x v="2"/>
    <x v="1"/>
    <x v="3"/>
    <x v="0"/>
    <n v="260660.12"/>
    <n v="218603.56"/>
    <s v="Actual"/>
    <n v="5"/>
    <n v="42056.56"/>
    <n v="0.16134635401840527"/>
  </r>
  <r>
    <s v="ORD9540"/>
    <d v="2023-06-25T00:00:00"/>
    <x v="0"/>
    <x v="1"/>
    <x v="1"/>
    <x v="0"/>
    <n v="8418.82"/>
    <n v="7204.31"/>
    <s v="Actual"/>
    <n v="1"/>
    <n v="1214.5099999999993"/>
    <n v="0.14426130977975529"/>
  </r>
  <r>
    <s v="ORD4080"/>
    <d v="2023-01-15T00:00:00"/>
    <x v="4"/>
    <x v="3"/>
    <x v="2"/>
    <x v="0"/>
    <n v="22524.97"/>
    <n v="14508.2"/>
    <s v="Actual"/>
    <n v="1"/>
    <n v="8016.77"/>
    <n v="0.35590591241630953"/>
  </r>
  <r>
    <s v="ORD9025"/>
    <d v="2023-01-15T00:00:00"/>
    <x v="4"/>
    <x v="1"/>
    <x v="0"/>
    <x v="0"/>
    <n v="33972.639999999999"/>
    <n v="17494.45"/>
    <s v="Actual"/>
    <n v="2"/>
    <n v="16478.189999999999"/>
    <n v="0.48504296398513624"/>
  </r>
  <r>
    <s v="ORD7697"/>
    <d v="2023-06-25T00:00:00"/>
    <x v="0"/>
    <x v="2"/>
    <x v="0"/>
    <x v="0"/>
    <n v="74158.05"/>
    <n v="45440.06"/>
    <s v="Actual"/>
    <n v="5"/>
    <n v="28717.990000000005"/>
    <n v="0.38725384499727278"/>
  </r>
  <r>
    <s v="ORD4181"/>
    <d v="2023-02-15T00:00:00"/>
    <x v="1"/>
    <x v="2"/>
    <x v="2"/>
    <x v="0"/>
    <n v="110915.26"/>
    <n v="88732.207999999999"/>
    <s v="Estimated"/>
    <n v="5"/>
    <n v="22183.051999999996"/>
    <n v="0.19999999999999998"/>
  </r>
  <r>
    <s v="ORD3082"/>
    <s v="Not Mentioned"/>
    <x v="3"/>
    <x v="3"/>
    <x v="1"/>
    <x v="0"/>
    <n v="10044.120000000001"/>
    <n v="6049.47"/>
    <s v="Actual"/>
    <n v="1"/>
    <n v="3994.6500000000005"/>
    <n v="0.39771030214692776"/>
  </r>
  <r>
    <s v="ORD991"/>
    <d v="2023-03-20T00:00:00"/>
    <x v="5"/>
    <x v="3"/>
    <x v="1"/>
    <x v="0"/>
    <n v="10213.59"/>
    <n v="6182.39"/>
    <s v="Actual"/>
    <n v="1"/>
    <n v="4031.2"/>
    <n v="0.39468982013180476"/>
  </r>
  <r>
    <s v="ORD4081"/>
    <d v="2023-06-25T00:00:00"/>
    <x v="0"/>
    <x v="1"/>
    <x v="3"/>
    <x v="0"/>
    <n v="105001.35"/>
    <n v="80341.47"/>
    <s v="Actual"/>
    <n v="2"/>
    <n v="24659.880000000005"/>
    <n v="0.23485298046167982"/>
  </r>
  <r>
    <s v="ORD1503"/>
    <s v="Not Mentioned"/>
    <x v="3"/>
    <x v="1"/>
    <x v="1"/>
    <x v="0"/>
    <n v="18907.07"/>
    <n v="14906.77"/>
    <s v="Actual"/>
    <n v="2"/>
    <n v="4000.2999999999993"/>
    <n v="0.2115769392084548"/>
  </r>
  <r>
    <s v="ORD4726"/>
    <d v="2023-04-05T00:00:00"/>
    <x v="2"/>
    <x v="2"/>
    <x v="3"/>
    <x v="0"/>
    <n v="222982.68"/>
    <n v="188888.16"/>
    <s v="Actual"/>
    <n v="4"/>
    <n v="34094.51999999999"/>
    <n v="0.15290209984022074"/>
  </r>
  <r>
    <s v="ORD1016"/>
    <d v="2023-02-15T00:00:00"/>
    <x v="1"/>
    <x v="3"/>
    <x v="1"/>
    <x v="0"/>
    <n v="42861.83"/>
    <n v="29253.69"/>
    <s v="Actual"/>
    <n v="4"/>
    <n v="13608.140000000003"/>
    <n v="0.31748854400290427"/>
  </r>
  <r>
    <s v="ORD400"/>
    <d v="2023-01-15T00:00:00"/>
    <x v="4"/>
    <x v="3"/>
    <x v="2"/>
    <x v="0"/>
    <n v="104519.43"/>
    <n v="67693.22"/>
    <s v="Actual"/>
    <n v="5"/>
    <n v="36826.209999999992"/>
    <n v="0.35233841210194117"/>
  </r>
  <r>
    <s v="ORD3882"/>
    <d v="2023-03-20T00:00:00"/>
    <x v="5"/>
    <x v="2"/>
    <x v="1"/>
    <x v="0"/>
    <n v="29234.51"/>
    <n v="23387.608"/>
    <s v="Estimated"/>
    <n v="3"/>
    <n v="5846.9019999999982"/>
    <n v="0.19999999999999996"/>
  </r>
  <r>
    <s v="ORD8816"/>
    <d v="2023-01-15T00:00:00"/>
    <x v="4"/>
    <x v="2"/>
    <x v="0"/>
    <x v="0"/>
    <n v="64672.41"/>
    <n v="51737.928000000007"/>
    <s v="Estimated"/>
    <n v="5"/>
    <n v="12934.481999999996"/>
    <n v="0.19999999999999993"/>
  </r>
  <r>
    <s v="ORD527"/>
    <d v="2023-01-15T00:00:00"/>
    <x v="4"/>
    <x v="3"/>
    <x v="3"/>
    <x v="0"/>
    <n v="167040.35"/>
    <n v="126020.93"/>
    <s v="Actual"/>
    <n v="3"/>
    <n v="41019.420000000013"/>
    <n v="0.24556593661351889"/>
  </r>
  <r>
    <s v="ORD1421"/>
    <d v="2023-02-15T00:00:00"/>
    <x v="1"/>
    <x v="2"/>
    <x v="0"/>
    <x v="0"/>
    <n v="67942.95"/>
    <n v="39889.730000000003"/>
    <s v="Actual"/>
    <n v="4"/>
    <n v="28053.219999999994"/>
    <n v="0.41289375866075867"/>
  </r>
  <r>
    <s v="ORD8316"/>
    <d v="2023-04-05T00:00:00"/>
    <x v="2"/>
    <x v="1"/>
    <x v="3"/>
    <x v="0"/>
    <n v="132577.85"/>
    <n v="106062.28000000001"/>
    <s v="Estimated"/>
    <n v="2"/>
    <n v="26515.569999999992"/>
    <n v="0.19999999999999993"/>
  </r>
  <r>
    <s v="ORD8248"/>
    <d v="2023-03-20T00:00:00"/>
    <x v="5"/>
    <x v="0"/>
    <x v="0"/>
    <x v="0"/>
    <n v="13854.81"/>
    <n v="10219.200000000001"/>
    <s v="Actual"/>
    <n v="1"/>
    <n v="3635.6099999999988"/>
    <n v="0.26240778473324416"/>
  </r>
  <r>
    <s v="ORD9026"/>
    <d v="2023-04-05T00:00:00"/>
    <x v="2"/>
    <x v="0"/>
    <x v="1"/>
    <x v="0"/>
    <n v="27686.91"/>
    <n v="22149.528000000002"/>
    <s v="Estimated"/>
    <n v="3"/>
    <n v="5537.3819999999978"/>
    <n v="0.19999999999999993"/>
  </r>
  <r>
    <s v="ORD2013"/>
    <d v="2023-04-05T00:00:00"/>
    <x v="2"/>
    <x v="3"/>
    <x v="1"/>
    <x v="0"/>
    <n v="11638.21"/>
    <n v="6330.24"/>
    <s v="Actual"/>
    <n v="1"/>
    <n v="5307.9699999999993"/>
    <n v="0.45608130459924678"/>
  </r>
  <r>
    <s v="ORD8860"/>
    <d v="2023-01-15T00:00:00"/>
    <x v="4"/>
    <x v="2"/>
    <x v="3"/>
    <x v="0"/>
    <n v="284892.69"/>
    <n v="212340.81"/>
    <s v="Actual"/>
    <n v="5"/>
    <n v="72551.88"/>
    <n v="0.2546638876553835"/>
  </r>
  <r>
    <s v="ORD9334"/>
    <d v="2023-06-25T00:00:00"/>
    <x v="0"/>
    <x v="2"/>
    <x v="3"/>
    <x v="0"/>
    <n v="272918.84000000003"/>
    <n v="165159.21"/>
    <s v="Actual"/>
    <n v="4"/>
    <n v="107759.63000000003"/>
    <n v="0.39484130153858205"/>
  </r>
  <r>
    <s v="ORD486"/>
    <d v="2023-03-20T00:00:00"/>
    <x v="5"/>
    <x v="2"/>
    <x v="3"/>
    <x v="0"/>
    <n v="235196.12"/>
    <n v="160072.32999999999"/>
    <s v="Actual"/>
    <n v="4"/>
    <n v="75123.790000000008"/>
    <n v="0.31940913821197392"/>
  </r>
  <r>
    <s v="ORD4567"/>
    <d v="2023-02-15T00:00:00"/>
    <x v="1"/>
    <x v="1"/>
    <x v="0"/>
    <x v="0"/>
    <n v="29992.75"/>
    <n v="17640.77"/>
    <s v="Actual"/>
    <n v="2"/>
    <n v="12351.98"/>
    <n v="0.41183219277992178"/>
  </r>
  <r>
    <s v="ORD1207"/>
    <d v="2023-01-15T00:00:00"/>
    <x v="4"/>
    <x v="1"/>
    <x v="1"/>
    <x v="0"/>
    <n v="9491.11"/>
    <n v="6374.72"/>
    <s v="Actual"/>
    <n v="1"/>
    <n v="3116.3900000000003"/>
    <n v="0.32834831753082622"/>
  </r>
  <r>
    <s v="ORD9980"/>
    <s v="Not Mentioned"/>
    <x v="3"/>
    <x v="2"/>
    <x v="0"/>
    <x v="0"/>
    <n v="46939.01"/>
    <n v="29819.33"/>
    <s v="Actual"/>
    <n v="3"/>
    <n v="17119.68"/>
    <n v="0.36472179536807442"/>
  </r>
  <r>
    <s v="ORD1785"/>
    <s v="Not Mentioned"/>
    <x v="3"/>
    <x v="1"/>
    <x v="3"/>
    <x v="0"/>
    <n v="110398.84"/>
    <n v="79350.789999999994"/>
    <s v="Actual"/>
    <n v="2"/>
    <n v="31048.050000000003"/>
    <n v="0.28123529196502428"/>
  </r>
  <r>
    <s v="ORD1611"/>
    <d v="2023-04-05T00:00:00"/>
    <x v="2"/>
    <x v="1"/>
    <x v="2"/>
    <x v="0"/>
    <n v="119582.53"/>
    <n v="61527.11"/>
    <s v="Actual"/>
    <n v="5"/>
    <n v="58055.42"/>
    <n v="0.48548412548220882"/>
  </r>
  <r>
    <s v="ORD9208"/>
    <d v="2023-02-15T00:00:00"/>
    <x v="1"/>
    <x v="3"/>
    <x v="0"/>
    <x v="0"/>
    <n v="14428.99"/>
    <n v="10953.89"/>
    <s v="Actual"/>
    <n v="1"/>
    <n v="3475.1000000000004"/>
    <n v="0.24084152806260178"/>
  </r>
  <r>
    <s v="ORD850"/>
    <s v="Not Mentioned"/>
    <x v="3"/>
    <x v="0"/>
    <x v="1"/>
    <x v="0"/>
    <n v="38821.360000000001"/>
    <n v="30795.47"/>
    <s v="Actual"/>
    <n v="4"/>
    <n v="8025.8899999999994"/>
    <n v="0.20673902202292757"/>
  </r>
  <r>
    <s v="ORD9002"/>
    <d v="2023-01-15T00:00:00"/>
    <x v="4"/>
    <x v="2"/>
    <x v="0"/>
    <x v="0"/>
    <n v="68277.36"/>
    <n v="42135.46"/>
    <s v="Actual"/>
    <n v="4"/>
    <n v="26141.9"/>
    <n v="0.38287801402983362"/>
  </r>
  <r>
    <s v="ORD7586"/>
    <s v="Not Mentioned"/>
    <x v="3"/>
    <x v="2"/>
    <x v="2"/>
    <x v="0"/>
    <n v="19645.47"/>
    <n v="13058.52"/>
    <s v="Actual"/>
    <n v="1"/>
    <n v="6586.9500000000007"/>
    <n v="0.33529103655957332"/>
  </r>
  <r>
    <s v="ORD5693"/>
    <d v="2023-02-15T00:00:00"/>
    <x v="1"/>
    <x v="3"/>
    <x v="1"/>
    <x v="0"/>
    <n v="9994.0300000000007"/>
    <n v="7027.71"/>
    <s v="Actual"/>
    <n v="1"/>
    <n v="2966.3200000000006"/>
    <n v="0.29680919508946846"/>
  </r>
  <r>
    <s v="ORD7241"/>
    <d v="2023-03-20T00:00:00"/>
    <x v="5"/>
    <x v="0"/>
    <x v="3"/>
    <x v="0"/>
    <n v="120305.58"/>
    <n v="87529.56"/>
    <s v="Actual"/>
    <n v="2"/>
    <n v="32776.020000000004"/>
    <n v="0.27243973222189699"/>
  </r>
  <r>
    <s v="ORD3151"/>
    <d v="2023-03-20T00:00:00"/>
    <x v="5"/>
    <x v="1"/>
    <x v="3"/>
    <x v="0"/>
    <n v="152410.49"/>
    <n v="127363.51"/>
    <s v="Actual"/>
    <n v="3"/>
    <n v="25046.979999999996"/>
    <n v="0.16433895068508733"/>
  </r>
  <r>
    <s v="ORD7238"/>
    <d v="2023-02-15T00:00:00"/>
    <x v="1"/>
    <x v="2"/>
    <x v="1"/>
    <x v="0"/>
    <n v="52535.39"/>
    <n v="42028.312000000005"/>
    <s v="Estimated"/>
    <n v="5"/>
    <n v="10507.077999999994"/>
    <n v="0.1999999999999999"/>
  </r>
  <r>
    <s v="ORD5583"/>
    <d v="2023-04-05T00:00:00"/>
    <x v="2"/>
    <x v="3"/>
    <x v="0"/>
    <x v="0"/>
    <n v="27545.64"/>
    <n v="22036.512000000002"/>
    <s v="Estimated"/>
    <n v="2"/>
    <n v="5509.127999999997"/>
    <n v="0.1999999999999999"/>
  </r>
  <r>
    <s v="ORD7360"/>
    <d v="2023-02-15T00:00:00"/>
    <x v="1"/>
    <x v="3"/>
    <x v="1"/>
    <x v="0"/>
    <n v="43151.81"/>
    <n v="31819.23"/>
    <s v="Actual"/>
    <n v="5"/>
    <n v="11332.579999999998"/>
    <n v="0.26262119711780335"/>
  </r>
  <r>
    <s v="ORD5719"/>
    <d v="2023-01-15T00:00:00"/>
    <x v="4"/>
    <x v="1"/>
    <x v="1"/>
    <x v="0"/>
    <n v="42886.05"/>
    <n v="32648.86"/>
    <s v="Actual"/>
    <n v="5"/>
    <n v="10237.190000000002"/>
    <n v="0.2387067589577497"/>
  </r>
  <r>
    <s v="ORD7452"/>
    <d v="2023-04-05T00:00:00"/>
    <x v="2"/>
    <x v="3"/>
    <x v="1"/>
    <x v="0"/>
    <n v="35075.129999999997"/>
    <n v="18940.580000000002"/>
    <s v="Actual"/>
    <n v="3"/>
    <n v="16134.549999999996"/>
    <n v="0.45999972059975247"/>
  </r>
  <r>
    <s v="ORD4180"/>
    <d v="2023-04-05T00:00:00"/>
    <x v="2"/>
    <x v="2"/>
    <x v="3"/>
    <x v="0"/>
    <n v="139922.17000000001"/>
    <n v="83336.88"/>
    <s v="Actual"/>
    <n v="2"/>
    <n v="56585.290000000008"/>
    <n v="0.4044054634086936"/>
  </r>
  <r>
    <s v="ORD102"/>
    <d v="2023-02-15T00:00:00"/>
    <x v="1"/>
    <x v="1"/>
    <x v="3"/>
    <x v="0"/>
    <n v="136828.82999999999"/>
    <n v="94577.03"/>
    <s v="Actual"/>
    <n v="2"/>
    <n v="42251.799999999988"/>
    <n v="0.30879311034085427"/>
  </r>
  <r>
    <s v="ORD6260"/>
    <d v="2023-03-20T00:00:00"/>
    <x v="5"/>
    <x v="1"/>
    <x v="0"/>
    <x v="0"/>
    <n v="88695.26"/>
    <n v="52211.01"/>
    <s v="Actual"/>
    <n v="5"/>
    <n v="36484.249999999993"/>
    <n v="0.41134385309880139"/>
  </r>
  <r>
    <s v="ORD8965"/>
    <d v="2023-03-20T00:00:00"/>
    <x v="5"/>
    <x v="1"/>
    <x v="2"/>
    <x v="0"/>
    <n v="65151.48"/>
    <n v="48015.199999999997"/>
    <s v="Actual"/>
    <n v="4"/>
    <n v="17136.280000000006"/>
    <n v="0.26302211400262904"/>
  </r>
  <r>
    <s v="ORD5492"/>
    <d v="2023-03-20T00:00:00"/>
    <x v="5"/>
    <x v="2"/>
    <x v="3"/>
    <x v="0"/>
    <n v="71790.399999999994"/>
    <n v="43374.13"/>
    <s v="Actual"/>
    <n v="1"/>
    <n v="28416.269999999997"/>
    <n v="0.39582270052820434"/>
  </r>
  <r>
    <s v="ORD8668"/>
    <d v="2023-06-25T00:00:00"/>
    <x v="0"/>
    <x v="1"/>
    <x v="3"/>
    <x v="0"/>
    <n v="285182.36"/>
    <n v="242074.08"/>
    <s v="Actual"/>
    <n v="5"/>
    <n v="43108.28"/>
    <n v="0.15116040136563846"/>
  </r>
  <r>
    <s v="ORD618"/>
    <d v="2023-03-20T00:00:00"/>
    <x v="5"/>
    <x v="2"/>
    <x v="0"/>
    <x v="0"/>
    <n v="48716.58"/>
    <n v="30635.42"/>
    <s v="Actual"/>
    <n v="3"/>
    <n v="18081.160000000003"/>
    <n v="0.37115002736234776"/>
  </r>
  <r>
    <s v="ORD4658"/>
    <d v="2023-01-15T00:00:00"/>
    <x v="4"/>
    <x v="2"/>
    <x v="3"/>
    <x v="0"/>
    <n v="58712.39"/>
    <n v="45884.27"/>
    <s v="Actual"/>
    <n v="1"/>
    <n v="12828.120000000003"/>
    <n v="0.21849085005737295"/>
  </r>
  <r>
    <s v="ORD9594"/>
    <d v="2023-06-25T00:00:00"/>
    <x v="0"/>
    <x v="1"/>
    <x v="3"/>
    <x v="0"/>
    <n v="203388.21"/>
    <n v="138364.70000000001"/>
    <s v="Actual"/>
    <n v="3"/>
    <n v="65023.50999999998"/>
    <n v="0.31970147138813987"/>
  </r>
  <r>
    <s v="ORD4201"/>
    <d v="2023-06-25T00:00:00"/>
    <x v="0"/>
    <x v="1"/>
    <x v="2"/>
    <x v="0"/>
    <n v="116870.21"/>
    <n v="75706.070000000007"/>
    <s v="Actual"/>
    <n v="5"/>
    <n v="41164.14"/>
    <n v="0.35222098086415687"/>
  </r>
  <r>
    <s v="ORD8728"/>
    <d v="2023-04-05T00:00:00"/>
    <x v="2"/>
    <x v="1"/>
    <x v="0"/>
    <x v="0"/>
    <n v="66565.22"/>
    <n v="48794.48"/>
    <s v="Actual"/>
    <n v="5"/>
    <n v="17770.739999999998"/>
    <n v="0.26696734420768081"/>
  </r>
  <r>
    <s v="ORD4668"/>
    <d v="2023-03-20T00:00:00"/>
    <x v="5"/>
    <x v="1"/>
    <x v="0"/>
    <x v="0"/>
    <n v="71638.05"/>
    <n v="48792.55"/>
    <s v="Actual"/>
    <n v="5"/>
    <n v="22845.5"/>
    <n v="0.31890175681778049"/>
  </r>
  <r>
    <s v="ORD8459"/>
    <s v="Not Mentioned"/>
    <x v="3"/>
    <x v="0"/>
    <x v="3"/>
    <x v="0"/>
    <n v="104093.13"/>
    <n v="83274.504000000015"/>
    <s v="Estimated"/>
    <n v="2"/>
    <n v="20818.625999999989"/>
    <n v="0.1999999999999999"/>
  </r>
  <r>
    <s v="ORD4426"/>
    <d v="2023-06-25T00:00:00"/>
    <x v="0"/>
    <x v="2"/>
    <x v="2"/>
    <x v="0"/>
    <n v="103470.67"/>
    <n v="82776.536000000007"/>
    <s v="Estimated"/>
    <n v="5"/>
    <n v="20694.133999999991"/>
    <n v="0.19999999999999993"/>
  </r>
  <r>
    <s v="ORD9259"/>
    <d v="2023-06-25T00:00:00"/>
    <x v="0"/>
    <x v="2"/>
    <x v="3"/>
    <x v="0"/>
    <n v="245130.42"/>
    <n v="202369.73"/>
    <s v="Actual"/>
    <n v="5"/>
    <n v="42760.69"/>
    <n v="0.17444056922841319"/>
  </r>
  <r>
    <s v="ORD8114"/>
    <d v="2023-02-15T00:00:00"/>
    <x v="1"/>
    <x v="1"/>
    <x v="0"/>
    <x v="0"/>
    <n v="50030.79"/>
    <n v="31534.1"/>
    <s v="Actual"/>
    <n v="3"/>
    <n v="18496.690000000002"/>
    <n v="0.36970613496209037"/>
  </r>
  <r>
    <s v="ORD9759"/>
    <d v="2023-06-25T00:00:00"/>
    <x v="0"/>
    <x v="1"/>
    <x v="1"/>
    <x v="0"/>
    <n v="25729.919999999998"/>
    <n v="22758.21"/>
    <s v="Actual"/>
    <n v="3"/>
    <n v="2971.7099999999991"/>
    <n v="0.11549627826281618"/>
  </r>
  <r>
    <s v="ORD5807"/>
    <d v="2023-03-20T00:00:00"/>
    <x v="5"/>
    <x v="1"/>
    <x v="2"/>
    <x v="0"/>
    <n v="82583.199999999997"/>
    <n v="57287.040000000001"/>
    <s v="Actual"/>
    <n v="4"/>
    <n v="25296.159999999996"/>
    <n v="0.30631121099690972"/>
  </r>
  <r>
    <s v="ORD5628"/>
    <d v="2023-04-05T00:00:00"/>
    <x v="2"/>
    <x v="1"/>
    <x v="2"/>
    <x v="0"/>
    <n v="42057.68"/>
    <n v="28912.59"/>
    <s v="Actual"/>
    <s v="Unknown"/>
    <n v="13145.09"/>
    <n v="0.31254909923704777"/>
  </r>
  <r>
    <s v="ORD9903"/>
    <d v="2023-04-05T00:00:00"/>
    <x v="2"/>
    <x v="3"/>
    <x v="0"/>
    <x v="0"/>
    <n v="14541.47"/>
    <n v="8902.81"/>
    <s v="Actual"/>
    <n v="1"/>
    <n v="5638.66"/>
    <n v="0.38776409812763085"/>
  </r>
  <r>
    <s v="ORD1699"/>
    <d v="2023-03-20T00:00:00"/>
    <x v="5"/>
    <x v="2"/>
    <x v="1"/>
    <x v="0"/>
    <n v="49196.91"/>
    <n v="32993.300000000003"/>
    <s v="Actual"/>
    <n v="5"/>
    <n v="16203.61"/>
    <n v="0.32936235222903226"/>
  </r>
  <r>
    <s v="ORD5494"/>
    <d v="2023-03-20T00:00:00"/>
    <x v="5"/>
    <x v="1"/>
    <x v="3"/>
    <x v="0"/>
    <n v="304976.74"/>
    <n v="243981.39199999999"/>
    <s v="Estimated"/>
    <n v="5"/>
    <n v="60995.347999999998"/>
    <n v="0.2"/>
  </r>
  <r>
    <s v="ORD1275"/>
    <d v="2023-03-20T00:00:00"/>
    <x v="5"/>
    <x v="1"/>
    <x v="3"/>
    <x v="0"/>
    <n v="283034.89"/>
    <n v="191766.09"/>
    <s v="Actual"/>
    <n v="5"/>
    <n v="91268.800000000017"/>
    <n v="0.32246483816889154"/>
  </r>
  <r>
    <s v="ORD4308"/>
    <d v="2023-04-05T00:00:00"/>
    <x v="2"/>
    <x v="1"/>
    <x v="2"/>
    <x v="0"/>
    <n v="76316.14"/>
    <n v="58558.29"/>
    <s v="Actual"/>
    <n v="4"/>
    <n v="17757.849999999999"/>
    <n v="0.2326880002054611"/>
  </r>
  <r>
    <s v="ORD331"/>
    <s v="Not Mentioned"/>
    <x v="3"/>
    <x v="2"/>
    <x v="1"/>
    <x v="0"/>
    <n v="17197.419999999998"/>
    <n v="14510.29"/>
    <s v="Actual"/>
    <n v="2"/>
    <n v="2687.1299999999974"/>
    <n v="0.15625192616101705"/>
  </r>
  <r>
    <s v="ORD7609"/>
    <d v="2023-02-15T00:00:00"/>
    <x v="1"/>
    <x v="3"/>
    <x v="0"/>
    <x v="0"/>
    <n v="16636.009999999998"/>
    <n v="9722.49"/>
    <s v="Actual"/>
    <n v="1"/>
    <n v="6913.5199999999986"/>
    <n v="0.41557560977662306"/>
  </r>
  <r>
    <s v="ORD4576"/>
    <s v="Not Mentioned"/>
    <x v="3"/>
    <x v="2"/>
    <x v="1"/>
    <x v="0"/>
    <n v="46643.58"/>
    <n v="37071.279999999999"/>
    <s v="Actual"/>
    <n v="5"/>
    <n v="9572.3000000000029"/>
    <n v="0.2052222406599151"/>
  </r>
  <r>
    <s v="ORD5438"/>
    <d v="2023-03-20T00:00:00"/>
    <x v="5"/>
    <x v="2"/>
    <x v="2"/>
    <x v="0"/>
    <n v="20109.400000000001"/>
    <n v="13958.36"/>
    <s v="Actual"/>
    <n v="1"/>
    <n v="6151.0400000000009"/>
    <n v="0.30587884273026544"/>
  </r>
  <r>
    <s v="ORD3089"/>
    <d v="2023-02-15T00:00:00"/>
    <x v="1"/>
    <x v="1"/>
    <x v="2"/>
    <x v="0"/>
    <n v="99221.25"/>
    <n v="59744.66"/>
    <s v="Actual"/>
    <n v="5"/>
    <n v="39476.589999999997"/>
    <n v="0.39786426798694835"/>
  </r>
  <r>
    <s v="ORD8430"/>
    <d v="2023-03-20T00:00:00"/>
    <x v="5"/>
    <x v="3"/>
    <x v="2"/>
    <x v="0"/>
    <n v="23998.97"/>
    <n v="14154.62"/>
    <s v="Actual"/>
    <n v="1"/>
    <n v="9844.35"/>
    <n v="0.41019885436749992"/>
  </r>
  <r>
    <s v="ORD4017"/>
    <d v="2023-02-15T00:00:00"/>
    <x v="1"/>
    <x v="3"/>
    <x v="0"/>
    <x v="0"/>
    <n v="24816"/>
    <n v="19852.800000000003"/>
    <s v="Estimated"/>
    <n v="2"/>
    <n v="4963.1999999999971"/>
    <n v="0.19999999999999987"/>
  </r>
  <r>
    <s v="ORD9142"/>
    <d v="2023-02-15T00:00:00"/>
    <x v="1"/>
    <x v="3"/>
    <x v="3"/>
    <x v="0"/>
    <n v="289372.34999999998"/>
    <n v="243103.19"/>
    <s v="Actual"/>
    <n v="5"/>
    <n v="46269.159999999974"/>
    <n v="0.15989488975017821"/>
  </r>
  <r>
    <s v="ORD1031"/>
    <d v="2023-04-05T00:00:00"/>
    <x v="2"/>
    <x v="0"/>
    <x v="1"/>
    <x v="0"/>
    <n v="29370.01"/>
    <n v="23496.008000000002"/>
    <s v="Estimated"/>
    <n v="3"/>
    <n v="5874.0019999999968"/>
    <n v="0.1999999999999999"/>
  </r>
  <r>
    <s v="ORD490"/>
    <d v="2023-02-15T00:00:00"/>
    <x v="1"/>
    <x v="2"/>
    <x v="0"/>
    <x v="0"/>
    <n v="35650.17"/>
    <n v="17648.25"/>
    <s v="Actual"/>
    <n v="2"/>
    <n v="18001.919999999998"/>
    <n v="0.50496028490186717"/>
  </r>
  <r>
    <s v="ORD727"/>
    <d v="2023-06-25T00:00:00"/>
    <x v="0"/>
    <x v="0"/>
    <x v="2"/>
    <x v="0"/>
    <n v="105465.16"/>
    <n v="61968.32"/>
    <s v="Actual"/>
    <n v="5"/>
    <n v="43496.840000000004"/>
    <n v="0.41242852141882685"/>
  </r>
  <r>
    <s v="ORD8422"/>
    <d v="2023-03-20T00:00:00"/>
    <x v="5"/>
    <x v="0"/>
    <x v="1"/>
    <x v="0"/>
    <n v="10005.99"/>
    <n v="6383.45"/>
    <s v="Actual"/>
    <n v="1"/>
    <n v="3622.54"/>
    <n v="0.36203713975328777"/>
  </r>
  <r>
    <s v="ORD112"/>
    <d v="2023-01-15T00:00:00"/>
    <x v="4"/>
    <x v="2"/>
    <x v="2"/>
    <x v="0"/>
    <n v="36495.17"/>
    <n v="27460.68"/>
    <s v="Actual"/>
    <n v="2"/>
    <n v="9034.489999999998"/>
    <n v="0.24755303236017254"/>
  </r>
  <r>
    <s v="ORD1333"/>
    <d v="2023-02-15T00:00:00"/>
    <x v="1"/>
    <x v="2"/>
    <x v="0"/>
    <x v="0"/>
    <n v="75811.320000000007"/>
    <n v="60649.056000000011"/>
    <s v="Estimated"/>
    <n v="5"/>
    <n v="15162.263999999996"/>
    <n v="0.19999999999999993"/>
  </r>
  <r>
    <s v="ORD446"/>
    <d v="2023-06-25T00:00:00"/>
    <x v="0"/>
    <x v="0"/>
    <x v="0"/>
    <x v="0"/>
    <n v="62384.75"/>
    <n v="52000.59"/>
    <s v="Actual"/>
    <n v="5"/>
    <n v="10384.160000000003"/>
    <n v="0.16645350025446931"/>
  </r>
  <r>
    <s v="ORD3583"/>
    <d v="2023-02-15T00:00:00"/>
    <x v="1"/>
    <x v="3"/>
    <x v="1"/>
    <x v="0"/>
    <n v="9512.1200000000008"/>
    <n v="7609.6960000000008"/>
    <s v="Estimated"/>
    <s v="Unknown"/>
    <n v="1902.424"/>
    <n v="0.19999999999999998"/>
  </r>
  <r>
    <s v="ORD4331"/>
    <d v="2023-03-20T00:00:00"/>
    <x v="5"/>
    <x v="1"/>
    <x v="1"/>
    <x v="0"/>
    <n v="58326.3"/>
    <n v="30691.03"/>
    <s v="Actual"/>
    <s v="Unknown"/>
    <n v="27635.270000000004"/>
    <n v="0.47380461301334054"/>
  </r>
  <r>
    <s v="ORD7659"/>
    <d v="2023-06-25T00:00:00"/>
    <x v="0"/>
    <x v="0"/>
    <x v="1"/>
    <x v="0"/>
    <n v="23559.53"/>
    <n v="13475.75"/>
    <s v="Actual"/>
    <n v="2"/>
    <n v="10083.779999999999"/>
    <n v="0.42801278293752038"/>
  </r>
  <r>
    <s v="ORD529"/>
    <d v="2023-04-05T00:00:00"/>
    <x v="2"/>
    <x v="2"/>
    <x v="3"/>
    <x v="0"/>
    <n v="353792.24"/>
    <n v="234759.53"/>
    <s v="Actual"/>
    <n v="5"/>
    <n v="119032.70999999999"/>
    <n v="0.33644805211103557"/>
  </r>
  <r>
    <s v="ORD420"/>
    <d v="2023-06-25T00:00:00"/>
    <x v="0"/>
    <x v="1"/>
    <x v="3"/>
    <x v="0"/>
    <n v="278106.98"/>
    <n v="222485.584"/>
    <s v="Estimated"/>
    <n v="5"/>
    <n v="55621.395999999979"/>
    <n v="0.19999999999999993"/>
  </r>
  <r>
    <s v="ORD103"/>
    <s v="Not Mentioned"/>
    <x v="3"/>
    <x v="3"/>
    <x v="0"/>
    <x v="0"/>
    <n v="26701.46"/>
    <n v="21361.168000000001"/>
    <s v="Estimated"/>
    <n v="2"/>
    <n v="5340.2919999999976"/>
    <n v="0.19999999999999993"/>
  </r>
  <r>
    <s v="ORD4774"/>
    <d v="2023-01-15T00:00:00"/>
    <x v="4"/>
    <x v="3"/>
    <x v="3"/>
    <x v="0"/>
    <n v="109090.76"/>
    <n v="91307.22"/>
    <s v="Actual"/>
    <n v="2"/>
    <n v="17783.539999999994"/>
    <n v="0.16301600612187497"/>
  </r>
  <r>
    <s v="ORD2485"/>
    <d v="2023-02-15T00:00:00"/>
    <x v="1"/>
    <x v="2"/>
    <x v="2"/>
    <x v="0"/>
    <n v="33725.83"/>
    <n v="24494.82"/>
    <s v="Actual"/>
    <n v="2"/>
    <n v="9231.010000000002"/>
    <n v="0.27370742247114455"/>
  </r>
  <r>
    <s v="ORD4778"/>
    <d v="2023-01-15T00:00:00"/>
    <x v="4"/>
    <x v="2"/>
    <x v="3"/>
    <x v="0"/>
    <n v="202164.39"/>
    <n v="193288.27"/>
    <s v="Actual"/>
    <s v="Unknown"/>
    <n v="8876.1200000000244"/>
    <n v="4.3905457335982979E-2"/>
  </r>
  <r>
    <s v="ORD5171"/>
    <s v="Not Mentioned"/>
    <x v="3"/>
    <x v="0"/>
    <x v="1"/>
    <x v="0"/>
    <n v="45716.14"/>
    <n v="32415.14"/>
    <s v="Actual"/>
    <n v="5"/>
    <n v="13301"/>
    <n v="0.29094757343905236"/>
  </r>
  <r>
    <s v="ORD4302"/>
    <d v="2023-03-20T00:00:00"/>
    <x v="5"/>
    <x v="2"/>
    <x v="1"/>
    <x v="0"/>
    <n v="9367.4599999999991"/>
    <n v="6754.32"/>
    <s v="Actual"/>
    <s v="Unknown"/>
    <n v="2613.1399999999994"/>
    <n v="0.27895929099243549"/>
  </r>
  <r>
    <s v="ORD2805"/>
    <d v="2023-06-25T00:00:00"/>
    <x v="0"/>
    <x v="1"/>
    <x v="0"/>
    <x v="0"/>
    <n v="42841.91"/>
    <n v="28199.31"/>
    <s v="Actual"/>
    <n v="3"/>
    <n v="14642.600000000002"/>
    <n v="0.34178214743460322"/>
  </r>
  <r>
    <s v="ORD8554"/>
    <d v="2023-06-25T00:00:00"/>
    <x v="0"/>
    <x v="2"/>
    <x v="2"/>
    <x v="0"/>
    <n v="43511.8"/>
    <n v="30078.54"/>
    <s v="Actual"/>
    <n v="2"/>
    <n v="13433.260000000002"/>
    <n v="0.30872682812478458"/>
  </r>
  <r>
    <s v="ORD3640"/>
    <d v="2023-01-15T00:00:00"/>
    <x v="4"/>
    <x v="1"/>
    <x v="3"/>
    <x v="0"/>
    <n v="221279.57"/>
    <n v="180806.32"/>
    <s v="Actual"/>
    <n v="4"/>
    <n v="40473.25"/>
    <n v="0.18290549823465402"/>
  </r>
  <r>
    <s v="ORD9628"/>
    <s v="Not Mentioned"/>
    <x v="3"/>
    <x v="2"/>
    <x v="1"/>
    <x v="0"/>
    <n v="23853.33"/>
    <n v="13625.45"/>
    <s v="Actual"/>
    <n v="2"/>
    <n v="10227.880000000001"/>
    <n v="0.42878206103718014"/>
  </r>
  <r>
    <s v="ORD2489"/>
    <d v="2023-01-15T00:00:00"/>
    <x v="4"/>
    <x v="1"/>
    <x v="0"/>
    <x v="0"/>
    <n v="16034.88"/>
    <n v="10589.58"/>
    <s v="Actual"/>
    <n v="1"/>
    <n v="5445.2999999999993"/>
    <n v="0.3395909417469915"/>
  </r>
  <r>
    <s v="ORD565"/>
    <d v="2023-01-15T00:00:00"/>
    <x v="4"/>
    <x v="1"/>
    <x v="0"/>
    <x v="0"/>
    <n v="13320.08"/>
    <n v="9260.2099999999991"/>
    <s v="Actual"/>
    <n v="1"/>
    <n v="4059.8700000000008"/>
    <n v="0.30479321445516849"/>
  </r>
  <r>
    <s v="ORD6691"/>
    <s v="Not Mentioned"/>
    <x v="3"/>
    <x v="3"/>
    <x v="1"/>
    <x v="0"/>
    <n v="21592.62"/>
    <n v="12813.12"/>
    <s v="Actual"/>
    <n v="2"/>
    <n v="8779.4999999999982"/>
    <n v="0.40659725406180436"/>
  </r>
  <r>
    <s v="ORD2940"/>
    <s v="Not Mentioned"/>
    <x v="3"/>
    <x v="1"/>
    <x v="0"/>
    <x v="0"/>
    <n v="28615.01"/>
    <n v="19018.439999999999"/>
    <s v="Actual"/>
    <n v="2"/>
    <n v="9596.57"/>
    <n v="0.33536839581743988"/>
  </r>
  <r>
    <s v="ORD9102"/>
    <d v="2023-03-20T00:00:00"/>
    <x v="5"/>
    <x v="3"/>
    <x v="1"/>
    <x v="0"/>
    <n v="32553.040000000001"/>
    <n v="23023.27"/>
    <s v="Actual"/>
    <n v="3"/>
    <n v="9529.77"/>
    <n v="0.29274593094838453"/>
  </r>
  <r>
    <s v="ORD3934"/>
    <d v="2023-03-20T00:00:00"/>
    <x v="5"/>
    <x v="2"/>
    <x v="3"/>
    <x v="0"/>
    <n v="104170.3"/>
    <n v="76999.960000000006"/>
    <s v="Actual"/>
    <s v="Unknown"/>
    <n v="27170.339999999997"/>
    <n v="0.26082616638331652"/>
  </r>
  <r>
    <s v="ORD9218"/>
    <d v="2023-06-25T00:00:00"/>
    <x v="0"/>
    <x v="1"/>
    <x v="1"/>
    <x v="0"/>
    <n v="29063.63"/>
    <n v="23250.904000000002"/>
    <s v="Estimated"/>
    <n v="3"/>
    <n v="5812.7259999999987"/>
    <n v="0.19999999999999996"/>
  </r>
  <r>
    <s v="ORD182"/>
    <d v="2023-01-15T00:00:00"/>
    <x v="4"/>
    <x v="0"/>
    <x v="1"/>
    <x v="0"/>
    <n v="8635.11"/>
    <n v="6310.79"/>
    <s v="Actual"/>
    <n v="1"/>
    <n v="2324.3200000000006"/>
    <n v="0.26917086174930027"/>
  </r>
  <r>
    <s v="ORD6782"/>
    <d v="2023-04-05T00:00:00"/>
    <x v="2"/>
    <x v="0"/>
    <x v="1"/>
    <x v="0"/>
    <n v="20784.939999999999"/>
    <n v="14540.24"/>
    <s v="Actual"/>
    <n v="2"/>
    <n v="6244.6999999999989"/>
    <n v="0.30044349418376959"/>
  </r>
  <r>
    <s v="ORD498"/>
    <d v="2023-01-15T00:00:00"/>
    <x v="4"/>
    <x v="2"/>
    <x v="3"/>
    <x v="0"/>
    <n v="279163.34999999998"/>
    <n v="226484.31"/>
    <s v="Actual"/>
    <n v="5"/>
    <n v="52679.039999999979"/>
    <n v="0.18870328071360365"/>
  </r>
  <r>
    <s v="ORD7623"/>
    <d v="2023-01-15T00:00:00"/>
    <x v="4"/>
    <x v="0"/>
    <x v="0"/>
    <x v="0"/>
    <n v="12905.27"/>
    <n v="8812.7900000000009"/>
    <s v="Actual"/>
    <n v="1"/>
    <n v="4092.4799999999996"/>
    <n v="0.31711696074549384"/>
  </r>
  <r>
    <s v="ORD4822"/>
    <s v="Not Mentioned"/>
    <x v="3"/>
    <x v="1"/>
    <x v="3"/>
    <x v="0"/>
    <n v="264163.77"/>
    <n v="182495.96"/>
    <s v="Actual"/>
    <n v="4"/>
    <n v="81667.810000000027"/>
    <n v="0.3091559830479404"/>
  </r>
  <r>
    <s v="ORD7704"/>
    <d v="2023-04-05T00:00:00"/>
    <x v="2"/>
    <x v="1"/>
    <x v="3"/>
    <x v="0"/>
    <n v="289984.14"/>
    <n v="209619.31"/>
    <s v="Actual"/>
    <n v="5"/>
    <n v="80364.830000000016"/>
    <n v="0.27713525988007487"/>
  </r>
  <r>
    <s v="ORD9861"/>
    <d v="2023-03-20T00:00:00"/>
    <x v="5"/>
    <x v="3"/>
    <x v="3"/>
    <x v="0"/>
    <n v="269428.46999999997"/>
    <n v="193663.4"/>
    <s v="Actual"/>
    <n v="4"/>
    <n v="75765.069999999978"/>
    <n v="0.28120662229941767"/>
  </r>
  <r>
    <s v="ORD3823"/>
    <d v="2023-02-15T00:00:00"/>
    <x v="1"/>
    <x v="1"/>
    <x v="3"/>
    <x v="0"/>
    <n v="299727.28999999998"/>
    <n v="223906.9"/>
    <s v="Actual"/>
    <n v="5"/>
    <n v="75820.389999999985"/>
    <n v="0.25296458657468257"/>
  </r>
  <r>
    <s v="ORD9048"/>
    <d v="2023-03-20T00:00:00"/>
    <x v="5"/>
    <x v="1"/>
    <x v="2"/>
    <x v="0"/>
    <n v="90588.9"/>
    <n v="61080.68"/>
    <s v="Actual"/>
    <s v="Unknown"/>
    <n v="29508.219999999994"/>
    <n v="0.32573770075583208"/>
  </r>
  <r>
    <s v="ORD5357"/>
    <d v="2023-04-05T00:00:00"/>
    <x v="2"/>
    <x v="3"/>
    <x v="2"/>
    <x v="0"/>
    <n v="71350.44"/>
    <n v="35759.15"/>
    <s v="Actual"/>
    <n v="3"/>
    <n v="35591.29"/>
    <n v="0.49882369330868875"/>
  </r>
  <r>
    <s v="ORD300"/>
    <d v="2023-01-15T00:00:00"/>
    <x v="4"/>
    <x v="0"/>
    <x v="0"/>
    <x v="0"/>
    <n v="66730.42"/>
    <n v="53384.336000000003"/>
    <s v="Estimated"/>
    <n v="5"/>
    <n v="13346.083999999995"/>
    <n v="0.19999999999999993"/>
  </r>
  <r>
    <s v="ORD171"/>
    <s v="Not Mentioned"/>
    <x v="3"/>
    <x v="2"/>
    <x v="2"/>
    <x v="0"/>
    <n v="23768.23"/>
    <n v="13684.57"/>
    <s v="Actual"/>
    <n v="1"/>
    <n v="10083.66"/>
    <n v="0.42424951290020335"/>
  </r>
  <r>
    <s v="ORD440"/>
    <d v="2023-01-15T00:00:00"/>
    <x v="4"/>
    <x v="2"/>
    <x v="0"/>
    <x v="0"/>
    <n v="30410.63"/>
    <n v="18428.759999999998"/>
    <s v="Actual"/>
    <n v="2"/>
    <n v="11981.870000000003"/>
    <n v="0.3940026891912467"/>
  </r>
  <r>
    <s v="ORD9052"/>
    <d v="2023-04-05T00:00:00"/>
    <x v="2"/>
    <x v="2"/>
    <x v="1"/>
    <x v="0"/>
    <n v="11587.51"/>
    <n v="9270.0079999999998"/>
    <s v="Estimated"/>
    <n v="1"/>
    <n v="2317.5020000000004"/>
    <n v="0.20000000000000004"/>
  </r>
  <r>
    <s v="ORD660"/>
    <d v="2023-03-20T00:00:00"/>
    <x v="5"/>
    <x v="3"/>
    <x v="1"/>
    <x v="0"/>
    <n v="36348"/>
    <n v="23904.5"/>
    <s v="Actual"/>
    <n v="4"/>
    <n v="12443.5"/>
    <n v="0.34234345768680535"/>
  </r>
  <r>
    <s v="ORD7221"/>
    <s v="Not Mentioned"/>
    <x v="3"/>
    <x v="0"/>
    <x v="1"/>
    <x v="0"/>
    <n v="38157.629999999997"/>
    <n v="25276.23"/>
    <s v="Actual"/>
    <n v="4"/>
    <n v="12881.399999999998"/>
    <n v="0.33758385937491397"/>
  </r>
  <r>
    <s v="ORD1931"/>
    <d v="2023-01-15T00:00:00"/>
    <x v="4"/>
    <x v="1"/>
    <x v="2"/>
    <x v="0"/>
    <n v="16412.12"/>
    <n v="15225.35"/>
    <s v="Actual"/>
    <n v="1"/>
    <n v="1186.7699999999986"/>
    <n v="7.2310585104179023E-2"/>
  </r>
  <r>
    <s v="ORD1651"/>
    <d v="2023-06-25T00:00:00"/>
    <x v="0"/>
    <x v="2"/>
    <x v="0"/>
    <x v="0"/>
    <n v="33828.379999999997"/>
    <n v="27062.703999999998"/>
    <s v="Estimated"/>
    <n v="2"/>
    <n v="6765.6759999999995"/>
    <n v="0.2"/>
  </r>
  <r>
    <s v="ORD3057"/>
    <d v="2023-04-05T00:00:00"/>
    <x v="2"/>
    <x v="2"/>
    <x v="2"/>
    <x v="0"/>
    <n v="89713.18"/>
    <n v="67564.22"/>
    <s v="Actual"/>
    <n v="5"/>
    <n v="22148.959999999992"/>
    <n v="0.24688635493692224"/>
  </r>
  <r>
    <s v="ORD482"/>
    <d v="2023-01-15T00:00:00"/>
    <x v="4"/>
    <x v="0"/>
    <x v="3"/>
    <x v="0"/>
    <n v="150758.26"/>
    <n v="120606.60800000001"/>
    <s v="Estimated"/>
    <n v="3"/>
    <n v="30151.652000000002"/>
    <n v="0.2"/>
  </r>
  <r>
    <s v="ORD1912"/>
    <d v="2023-02-15T00:00:00"/>
    <x v="1"/>
    <x v="0"/>
    <x v="1"/>
    <x v="0"/>
    <n v="17046.64"/>
    <n v="12379.68"/>
    <s v="Actual"/>
    <n v="2"/>
    <n v="4666.9599999999991"/>
    <n v="0.27377594646217668"/>
  </r>
  <r>
    <s v="ORD9390"/>
    <d v="2023-06-25T00:00:00"/>
    <x v="0"/>
    <x v="2"/>
    <x v="2"/>
    <x v="0"/>
    <n v="70519.91"/>
    <n v="36600.81"/>
    <s v="Actual"/>
    <n v="3"/>
    <n v="33919.100000000006"/>
    <n v="0.48098614986888105"/>
  </r>
  <r>
    <s v="ORD7967"/>
    <d v="2023-04-05T00:00:00"/>
    <x v="2"/>
    <x v="3"/>
    <x v="3"/>
    <x v="0"/>
    <n v="281926.15999999997"/>
    <n v="243388.7"/>
    <s v="Actual"/>
    <n v="5"/>
    <n v="38537.459999999963"/>
    <n v="0.1366934519308175"/>
  </r>
  <r>
    <s v="ORD4492"/>
    <d v="2023-01-15T00:00:00"/>
    <x v="4"/>
    <x v="1"/>
    <x v="0"/>
    <x v="0"/>
    <n v="54386.11"/>
    <n v="37840.15"/>
    <s v="Actual"/>
    <n v="4"/>
    <n v="16545.96"/>
    <n v="0.30423135613118862"/>
  </r>
  <r>
    <s v="ORD1182"/>
    <d v="2023-02-15T00:00:00"/>
    <x v="1"/>
    <x v="1"/>
    <x v="3"/>
    <x v="0"/>
    <n v="270151.09999999998"/>
    <n v="196402.05"/>
    <s v="Actual"/>
    <n v="5"/>
    <n v="73749.049999999988"/>
    <n v="0.27299185529875686"/>
  </r>
  <r>
    <s v="ORD455"/>
    <d v="2023-01-15T00:00:00"/>
    <x v="4"/>
    <x v="2"/>
    <x v="3"/>
    <x v="0"/>
    <n v="69349.320000000007"/>
    <n v="41418.04"/>
    <s v="Actual"/>
    <n v="1"/>
    <n v="27931.280000000006"/>
    <n v="0.40276213234679165"/>
  </r>
  <r>
    <s v="ORD2154"/>
    <d v="2023-04-05T00:00:00"/>
    <x v="2"/>
    <x v="0"/>
    <x v="3"/>
    <x v="0"/>
    <n v="51654.239999999998"/>
    <n v="38754.660000000003"/>
    <s v="Actual"/>
    <n v="1"/>
    <n v="12899.579999999994"/>
    <n v="0.24972935426017293"/>
  </r>
  <r>
    <s v="ORD2105"/>
    <d v="2023-01-15T00:00:00"/>
    <x v="4"/>
    <x v="0"/>
    <x v="0"/>
    <x v="0"/>
    <n v="25866.16"/>
    <n v="19945.3"/>
    <s v="Actual"/>
    <n v="2"/>
    <n v="5920.8600000000006"/>
    <n v="0.22890371048505076"/>
  </r>
  <r>
    <s v="ORD3058"/>
    <d v="2023-02-15T00:00:00"/>
    <x v="1"/>
    <x v="0"/>
    <x v="3"/>
    <x v="0"/>
    <n v="107630.67"/>
    <n v="96542.05"/>
    <s v="Actual"/>
    <n v="2"/>
    <n v="11088.619999999995"/>
    <n v="0.10302472334326261"/>
  </r>
  <r>
    <s v="ORD9885"/>
    <d v="2023-04-05T00:00:00"/>
    <x v="2"/>
    <x v="1"/>
    <x v="0"/>
    <x v="0"/>
    <n v="34458.17"/>
    <n v="19361.79"/>
    <s v="Actual"/>
    <n v="2"/>
    <n v="15096.379999999997"/>
    <n v="0.43810742125887703"/>
  </r>
  <r>
    <s v="ORD5378"/>
    <d v="2023-04-05T00:00:00"/>
    <x v="2"/>
    <x v="1"/>
    <x v="1"/>
    <x v="0"/>
    <n v="41078.25"/>
    <n v="35154.93"/>
    <s v="Actual"/>
    <n v="5"/>
    <n v="5923.32"/>
    <n v="0.14419601613992805"/>
  </r>
  <r>
    <s v="ORD495"/>
    <s v="Not Mentioned"/>
    <x v="3"/>
    <x v="3"/>
    <x v="2"/>
    <x v="0"/>
    <n v="105793.92"/>
    <n v="84635.135999999999"/>
    <s v="Estimated"/>
    <n v="5"/>
    <n v="21158.784"/>
    <n v="0.2"/>
  </r>
  <r>
    <s v="ORD8078"/>
    <d v="2023-02-15T00:00:00"/>
    <x v="1"/>
    <x v="3"/>
    <x v="0"/>
    <x v="0"/>
    <n v="38056.42"/>
    <n v="30445.135999999999"/>
    <s v="Estimated"/>
    <n v="3"/>
    <n v="7611.2839999999997"/>
    <n v="0.2"/>
  </r>
  <r>
    <s v="ORD6682"/>
    <d v="2023-02-15T00:00:00"/>
    <x v="1"/>
    <x v="1"/>
    <x v="2"/>
    <x v="0"/>
    <n v="114202.43"/>
    <n v="91361.944000000003"/>
    <s v="Estimated"/>
    <n v="5"/>
    <n v="22840.48599999999"/>
    <n v="0.19999999999999993"/>
  </r>
  <r>
    <s v="ORD6109"/>
    <d v="2023-06-25T00:00:00"/>
    <x v="0"/>
    <x v="2"/>
    <x v="2"/>
    <x v="0"/>
    <n v="45296.74"/>
    <n v="27155.95"/>
    <s v="Actual"/>
    <n v="2"/>
    <n v="18140.789999999997"/>
    <n v="0.40048776137090658"/>
  </r>
  <r>
    <s v="ORD813"/>
    <d v="2023-06-25T00:00:00"/>
    <x v="0"/>
    <x v="3"/>
    <x v="3"/>
    <x v="0"/>
    <n v="273235.95"/>
    <n v="173467.34"/>
    <s v="Actual"/>
    <n v="4"/>
    <n v="99768.610000000015"/>
    <n v="0.36513720101619135"/>
  </r>
  <r>
    <s v="ORD2038"/>
    <d v="2023-04-05T00:00:00"/>
    <x v="2"/>
    <x v="2"/>
    <x v="2"/>
    <x v="0"/>
    <n v="23101.27"/>
    <n v="13065.29"/>
    <s v="Actual"/>
    <n v="1"/>
    <n v="10035.98"/>
    <n v="0.43443412418451449"/>
  </r>
  <r>
    <s v="ORD618"/>
    <d v="2023-03-20T00:00:00"/>
    <x v="5"/>
    <x v="3"/>
    <x v="1"/>
    <x v="0"/>
    <n v="25970.65"/>
    <n v="18222.150000000001"/>
    <s v="Actual"/>
    <n v="3"/>
    <n v="7748.5"/>
    <n v="0.29835602882484652"/>
  </r>
  <r>
    <s v="ORD5956"/>
    <d v="2023-03-20T00:00:00"/>
    <x v="5"/>
    <x v="3"/>
    <x v="0"/>
    <x v="0"/>
    <n v="61104.160000000003"/>
    <n v="41003.06"/>
    <s v="Actual"/>
    <n v="4"/>
    <n v="20101.100000000006"/>
    <n v="0.32896450912671094"/>
  </r>
  <r>
    <s v="ORD6945"/>
    <d v="2023-02-15T00:00:00"/>
    <x v="1"/>
    <x v="0"/>
    <x v="1"/>
    <x v="0"/>
    <n v="24940.66"/>
    <n v="17959.009999999998"/>
    <s v="Actual"/>
    <n v="3"/>
    <n v="6981.6500000000015"/>
    <n v="0.27993044289926577"/>
  </r>
  <r>
    <s v="ORD479"/>
    <d v="2023-02-15T00:00:00"/>
    <x v="1"/>
    <x v="2"/>
    <x v="3"/>
    <x v="0"/>
    <n v="266439.78999999998"/>
    <n v="176617.51"/>
    <s v="Actual"/>
    <n v="4"/>
    <n v="89822.27999999997"/>
    <n v="0.33712036779491522"/>
  </r>
  <r>
    <s v="ORD132"/>
    <d v="2023-03-20T00:00:00"/>
    <x v="5"/>
    <x v="2"/>
    <x v="0"/>
    <x v="0"/>
    <n v="57974.44"/>
    <n v="35001.71"/>
    <s v="Actual"/>
    <n v="4"/>
    <n v="22972.730000000003"/>
    <n v="0.39625617772245841"/>
  </r>
  <r>
    <s v="ORD3227"/>
    <d v="2023-02-15T00:00:00"/>
    <x v="1"/>
    <x v="1"/>
    <x v="2"/>
    <x v="0"/>
    <n v="84141.36"/>
    <n v="74848.039999999994"/>
    <s v="Actual"/>
    <n v="5"/>
    <n v="9293.320000000007"/>
    <n v="0.11044889219760659"/>
  </r>
  <r>
    <s v="ORD3057"/>
    <d v="2023-04-05T00:00:00"/>
    <x v="2"/>
    <x v="2"/>
    <x v="0"/>
    <x v="0"/>
    <n v="53832.77"/>
    <n v="30092.62"/>
    <s v="Actual"/>
    <s v="Unknown"/>
    <n v="23740.149999999998"/>
    <n v="0.44099811323103011"/>
  </r>
  <r>
    <s v="ORD7731"/>
    <s v="Not Mentioned"/>
    <x v="3"/>
    <x v="1"/>
    <x v="2"/>
    <x v="0"/>
    <n v="80134.5"/>
    <n v="66161.69"/>
    <s v="Actual"/>
    <n v="5"/>
    <n v="13972.809999999998"/>
    <n v="0.17436697053079508"/>
  </r>
  <r>
    <s v="ORD5916"/>
    <s v="Not Mentioned"/>
    <x v="3"/>
    <x v="2"/>
    <x v="2"/>
    <x v="0"/>
    <n v="52990.86"/>
    <n v="42568.97"/>
    <s v="Actual"/>
    <n v="3"/>
    <n v="10421.89"/>
    <n v="0.19667335083823889"/>
  </r>
  <r>
    <s v="ORD2125"/>
    <s v="Not Mentioned"/>
    <x v="3"/>
    <x v="0"/>
    <x v="1"/>
    <x v="0"/>
    <n v="47256.91"/>
    <n v="29713.71"/>
    <s v="Actual"/>
    <n v="4"/>
    <n v="17543.200000000004"/>
    <n v="0.37123036609884147"/>
  </r>
  <r>
    <s v="ORD1280"/>
    <s v="Not Mentioned"/>
    <x v="3"/>
    <x v="1"/>
    <x v="0"/>
    <x v="0"/>
    <n v="51040.59"/>
    <n v="40832.472000000002"/>
    <s v="Estimated"/>
    <s v="Unknown"/>
    <n v="10208.117999999995"/>
    <n v="0.19999999999999993"/>
  </r>
  <r>
    <s v="ORD4865"/>
    <s v="Not Mentioned"/>
    <x v="3"/>
    <x v="2"/>
    <x v="1"/>
    <x v="0"/>
    <n v="32245.06"/>
    <n v="19189.810000000001"/>
    <s v="Actual"/>
    <n v="3"/>
    <n v="13055.25"/>
    <n v="0.40487597169923079"/>
  </r>
  <r>
    <s v="ORD629"/>
    <d v="2023-04-05T00:00:00"/>
    <x v="2"/>
    <x v="2"/>
    <x v="1"/>
    <x v="0"/>
    <n v="17454.580000000002"/>
    <n v="14004.38"/>
    <s v="Actual"/>
    <n v="2"/>
    <n v="3450.2000000000025"/>
    <n v="0.19766731711676833"/>
  </r>
  <r>
    <s v="ORD2044"/>
    <d v="2023-03-20T00:00:00"/>
    <x v="5"/>
    <x v="1"/>
    <x v="1"/>
    <x v="0"/>
    <n v="33691.760000000002"/>
    <n v="23970.05"/>
    <s v="Actual"/>
    <n v="4"/>
    <n v="9721.7100000000028"/>
    <n v="0.2885485946712194"/>
  </r>
  <r>
    <s v="ORD3014"/>
    <d v="2023-01-15T00:00:00"/>
    <x v="4"/>
    <x v="1"/>
    <x v="0"/>
    <x v="0"/>
    <n v="81011.81"/>
    <n v="64809.448000000004"/>
    <s v="Estimated"/>
    <n v="5"/>
    <n v="16202.361999999994"/>
    <n v="0.19999999999999993"/>
  </r>
  <r>
    <s v="ORD4440"/>
    <d v="2023-04-05T00:00:00"/>
    <x v="2"/>
    <x v="2"/>
    <x v="0"/>
    <x v="0"/>
    <n v="68854.94"/>
    <n v="47779.07"/>
    <s v="Actual"/>
    <n v="5"/>
    <n v="21075.870000000003"/>
    <n v="0.30609089195343142"/>
  </r>
  <r>
    <s v="ORD467"/>
    <s v="Not Mentioned"/>
    <x v="3"/>
    <x v="2"/>
    <x v="0"/>
    <x v="0"/>
    <n v="50705.53"/>
    <n v="34802.18"/>
    <s v="Actual"/>
    <n v="4"/>
    <n v="15903.349999999999"/>
    <n v="0.31364133261204447"/>
  </r>
  <r>
    <s v="ORD9185"/>
    <d v="2023-01-15T00:00:00"/>
    <x v="4"/>
    <x v="2"/>
    <x v="1"/>
    <x v="0"/>
    <n v="9670.42"/>
    <n v="6321.08"/>
    <s v="Actual"/>
    <n v="1"/>
    <n v="3349.34"/>
    <n v="0.34634896933121828"/>
  </r>
  <r>
    <s v="ORD9257"/>
    <d v="2023-02-15T00:00:00"/>
    <x v="1"/>
    <x v="1"/>
    <x v="0"/>
    <x v="0"/>
    <n v="42315.09"/>
    <n v="33852.072"/>
    <s v="Estimated"/>
    <n v="3"/>
    <n v="8463.0179999999964"/>
    <n v="0.19999999999999993"/>
  </r>
  <r>
    <s v="ORD4632"/>
    <s v="Not Mentioned"/>
    <x v="3"/>
    <x v="1"/>
    <x v="3"/>
    <x v="0"/>
    <n v="65040.55"/>
    <n v="44104.41"/>
    <s v="Actual"/>
    <n v="1"/>
    <n v="20936.14"/>
    <n v="0.32189364942332127"/>
  </r>
  <r>
    <s v="ORD623"/>
    <d v="2023-01-15T00:00:00"/>
    <x v="4"/>
    <x v="1"/>
    <x v="2"/>
    <x v="0"/>
    <n v="61264.94"/>
    <n v="41773.699999999997"/>
    <s v="Actual"/>
    <n v="3"/>
    <n v="19491.240000000005"/>
    <n v="0.31814672470094651"/>
  </r>
  <r>
    <s v="ORD7125"/>
    <d v="2023-04-05T00:00:00"/>
    <x v="2"/>
    <x v="1"/>
    <x v="1"/>
    <x v="0"/>
    <n v="20854.88"/>
    <n v="14729.14"/>
    <s v="Actual"/>
    <n v="2"/>
    <n v="6125.7400000000016"/>
    <n v="0.29373173089463961"/>
  </r>
  <r>
    <s v="ORD218"/>
    <d v="2023-06-25T00:00:00"/>
    <x v="0"/>
    <x v="2"/>
    <x v="3"/>
    <x v="0"/>
    <n v="62330.99"/>
    <n v="41036.06"/>
    <s v="Actual"/>
    <s v="Unknown"/>
    <n v="21294.93"/>
    <n v="0.34164273662266559"/>
  </r>
  <r>
    <s v="ORD2271"/>
    <d v="2023-01-15T00:00:00"/>
    <x v="4"/>
    <x v="0"/>
    <x v="2"/>
    <x v="0"/>
    <n v="91700.31"/>
    <n v="68968.740000000005"/>
    <s v="Actual"/>
    <n v="5"/>
    <n v="22731.569999999992"/>
    <n v="0.2478897835787032"/>
  </r>
  <r>
    <s v="ORD5547"/>
    <s v="Not Mentioned"/>
    <x v="3"/>
    <x v="3"/>
    <x v="3"/>
    <x v="0"/>
    <n v="64329.98"/>
    <n v="42613.88"/>
    <s v="Actual"/>
    <n v="1"/>
    <n v="21716.100000000006"/>
    <n v="0.33757355435210773"/>
  </r>
  <r>
    <s v="ORD8684"/>
    <d v="2023-04-05T00:00:00"/>
    <x v="2"/>
    <x v="2"/>
    <x v="3"/>
    <x v="0"/>
    <n v="123988.45"/>
    <n v="99190.760000000009"/>
    <s v="Estimated"/>
    <n v="2"/>
    <n v="24797.689999999988"/>
    <n v="0.1999999999999999"/>
  </r>
  <r>
    <s v="ORD6255"/>
    <d v="2023-06-25T00:00:00"/>
    <x v="0"/>
    <x v="3"/>
    <x v="2"/>
    <x v="0"/>
    <n v="83207.210000000006"/>
    <n v="53336.46"/>
    <s v="Actual"/>
    <n v="4"/>
    <n v="29870.750000000007"/>
    <n v="0.35899232770813977"/>
  </r>
  <r>
    <s v="ORD7672"/>
    <d v="2023-02-15T00:00:00"/>
    <x v="1"/>
    <x v="0"/>
    <x v="1"/>
    <x v="0"/>
    <n v="31444.11"/>
    <n v="25155.288"/>
    <s v="Estimated"/>
    <n v="3"/>
    <n v="6288.8220000000001"/>
    <n v="0.2"/>
  </r>
  <r>
    <s v="ORD4509"/>
    <s v="Not Mentioned"/>
    <x v="3"/>
    <x v="1"/>
    <x v="0"/>
    <x v="0"/>
    <n v="35399.57"/>
    <n v="20570.060000000001"/>
    <s v="Actual"/>
    <n v="2"/>
    <n v="14829.509999999998"/>
    <n v="0.41891780041395976"/>
  </r>
  <r>
    <s v="ORD685"/>
    <d v="2023-02-15T00:00:00"/>
    <x v="1"/>
    <x v="2"/>
    <x v="2"/>
    <x v="0"/>
    <n v="90865.3"/>
    <n v="70110.210000000006"/>
    <s v="Actual"/>
    <n v="5"/>
    <n v="20755.089999999997"/>
    <n v="0.22841601799586855"/>
  </r>
  <r>
    <s v="ORD995"/>
    <d v="2023-03-20T00:00:00"/>
    <x v="5"/>
    <x v="2"/>
    <x v="1"/>
    <x v="0"/>
    <n v="26170.38"/>
    <n v="19535.53"/>
    <s v="Actual"/>
    <n v="3"/>
    <n v="6634.8500000000022"/>
    <n v="0.25352516853022394"/>
  </r>
  <r>
    <s v="ORD8847"/>
    <d v="2023-04-05T00:00:00"/>
    <x v="2"/>
    <x v="1"/>
    <x v="1"/>
    <x v="0"/>
    <n v="37423.53"/>
    <n v="26283.61"/>
    <s v="Actual"/>
    <n v="4"/>
    <n v="11139.919999999998"/>
    <n v="0.29767154514819949"/>
  </r>
  <r>
    <s v="ORD9058"/>
    <d v="2023-02-15T00:00:00"/>
    <x v="1"/>
    <x v="1"/>
    <x v="1"/>
    <x v="0"/>
    <n v="59003.37"/>
    <n v="32105.09"/>
    <s v="Actual"/>
    <n v="5"/>
    <n v="26898.280000000002"/>
    <n v="0.45587701177068363"/>
  </r>
  <r>
    <s v="ORD9175"/>
    <d v="2023-04-05T00:00:00"/>
    <x v="2"/>
    <x v="2"/>
    <x v="2"/>
    <x v="0"/>
    <n v="41162.15"/>
    <n v="25773.02"/>
    <s v="Actual"/>
    <n v="2"/>
    <n v="15389.130000000001"/>
    <n v="0.37386603955332753"/>
  </r>
  <r>
    <s v="ORD8396"/>
    <d v="2023-03-20T00:00:00"/>
    <x v="5"/>
    <x v="1"/>
    <x v="1"/>
    <x v="0"/>
    <n v="39713.300000000003"/>
    <n v="27044.51"/>
    <s v="Actual"/>
    <n v="4"/>
    <n v="12668.790000000005"/>
    <n v="0.31900622713297572"/>
  </r>
  <r>
    <s v="ORD247"/>
    <d v="2023-06-25T00:00:00"/>
    <x v="0"/>
    <x v="2"/>
    <x v="3"/>
    <x v="0"/>
    <n v="241100.54"/>
    <n v="190723.48"/>
    <s v="Actual"/>
    <n v="4"/>
    <n v="50377.06"/>
    <n v="0.20894627610539568"/>
  </r>
  <r>
    <s v="ORD5337"/>
    <d v="2023-06-25T00:00:00"/>
    <x v="0"/>
    <x v="3"/>
    <x v="0"/>
    <x v="0"/>
    <n v="49287.94"/>
    <n v="27549.01"/>
    <s v="Actual"/>
    <n v="3"/>
    <n v="21738.930000000004"/>
    <n v="0.44105982112459968"/>
  </r>
  <r>
    <s v="ORD9808"/>
    <d v="2023-04-05T00:00:00"/>
    <x v="2"/>
    <x v="2"/>
    <x v="3"/>
    <x v="0"/>
    <n v="210832.64000000001"/>
    <n v="168666.11200000002"/>
    <s v="Estimated"/>
    <n v="3"/>
    <n v="42166.527999999991"/>
    <n v="0.19999999999999996"/>
  </r>
  <r>
    <s v="ORD4920"/>
    <d v="2023-01-15T00:00:00"/>
    <x v="4"/>
    <x v="3"/>
    <x v="1"/>
    <x v="0"/>
    <n v="57911.23"/>
    <n v="33475.9"/>
    <s v="Actual"/>
    <n v="5"/>
    <n v="24435.33"/>
    <n v="0.42194458656809741"/>
  </r>
  <r>
    <s v="ORD4045"/>
    <d v="2023-02-15T00:00:00"/>
    <x v="1"/>
    <x v="0"/>
    <x v="0"/>
    <x v="0"/>
    <n v="17406.23"/>
    <n v="13924.984"/>
    <s v="Estimated"/>
    <n v="1"/>
    <n v="3481.2459999999992"/>
    <n v="0.19999999999999996"/>
  </r>
  <r>
    <s v="ORD7834"/>
    <d v="2023-06-25T00:00:00"/>
    <x v="0"/>
    <x v="1"/>
    <x v="3"/>
    <x v="0"/>
    <n v="265552.86"/>
    <n v="197181.53"/>
    <s v="Actual"/>
    <n v="5"/>
    <n v="68371.329999999987"/>
    <n v="0.25746787287472628"/>
  </r>
  <r>
    <s v="ORD1650"/>
    <d v="2023-02-15T00:00:00"/>
    <x v="1"/>
    <x v="1"/>
    <x v="2"/>
    <x v="0"/>
    <n v="32525.8"/>
    <n v="24751.35"/>
    <s v="Actual"/>
    <n v="2"/>
    <n v="7774.4500000000007"/>
    <n v="0.23902409779313655"/>
  </r>
  <r>
    <s v="ORD268"/>
    <d v="2023-03-20T00:00:00"/>
    <x v="5"/>
    <x v="3"/>
    <x v="0"/>
    <x v="0"/>
    <n v="13965.93"/>
    <n v="9299.59"/>
    <s v="Actual"/>
    <n v="1"/>
    <n v="4666.34"/>
    <n v="0.33412311246010828"/>
  </r>
  <r>
    <s v="ORD5957"/>
    <d v="2023-04-05T00:00:00"/>
    <x v="2"/>
    <x v="1"/>
    <x v="1"/>
    <x v="0"/>
    <n v="20518.150000000001"/>
    <n v="12338.21"/>
    <s v="Actual"/>
    <n v="2"/>
    <n v="8179.9400000000023"/>
    <n v="0.3986684959413983"/>
  </r>
  <r>
    <s v="ORD1872"/>
    <d v="2023-04-05T00:00:00"/>
    <x v="2"/>
    <x v="2"/>
    <x v="3"/>
    <x v="0"/>
    <n v="100777.71"/>
    <n v="87894.25"/>
    <s v="Actual"/>
    <n v="2"/>
    <n v="12883.460000000006"/>
    <n v="0.12784037263795739"/>
  </r>
  <r>
    <s v="ORD663"/>
    <d v="2023-06-25T00:00:00"/>
    <x v="0"/>
    <x v="3"/>
    <x v="0"/>
    <x v="0"/>
    <n v="66926.83"/>
    <n v="43947.6"/>
    <s v="Actual"/>
    <n v="4"/>
    <n v="22979.230000000003"/>
    <n v="0.34334854945318644"/>
  </r>
  <r>
    <s v="ORD8739"/>
    <s v="Not Mentioned"/>
    <x v="3"/>
    <x v="3"/>
    <x v="1"/>
    <x v="0"/>
    <n v="18543.7"/>
    <n v="12305.33"/>
    <s v="Actual"/>
    <n v="2"/>
    <n v="6238.3700000000008"/>
    <n v="0.33641452353090273"/>
  </r>
  <r>
    <s v="ORD7037"/>
    <d v="2023-06-25T00:00:00"/>
    <x v="0"/>
    <x v="2"/>
    <x v="2"/>
    <x v="0"/>
    <n v="55095.22"/>
    <n v="44076.176000000007"/>
    <s v="Estimated"/>
    <n v="3"/>
    <n v="11019.043999999994"/>
    <n v="0.1999999999999999"/>
  </r>
  <r>
    <s v="ORD959"/>
    <s v="Not Mentioned"/>
    <x v="3"/>
    <x v="1"/>
    <x v="0"/>
    <x v="0"/>
    <n v="26506.69"/>
    <n v="17335.330000000002"/>
    <s v="Actual"/>
    <n v="2"/>
    <n v="9171.3599999999969"/>
    <n v="0.34600170749346665"/>
  </r>
  <r>
    <s v="ORD1674"/>
    <d v="2023-04-05T00:00:00"/>
    <x v="2"/>
    <x v="2"/>
    <x v="0"/>
    <x v="0"/>
    <n v="43588.11"/>
    <n v="29979.1"/>
    <s v="Actual"/>
    <n v="3"/>
    <n v="13609.010000000002"/>
    <n v="0.31221840084371638"/>
  </r>
  <r>
    <s v="ORD481"/>
    <s v="Not Mentioned"/>
    <x v="3"/>
    <x v="1"/>
    <x v="3"/>
    <x v="0"/>
    <n v="204597.6"/>
    <n v="192705.64"/>
    <s v="Actual"/>
    <n v="4"/>
    <n v="11891.959999999992"/>
    <n v="5.8123653454390432E-2"/>
  </r>
  <r>
    <s v="ORD9360"/>
    <d v="2023-04-05T00:00:00"/>
    <x v="2"/>
    <x v="1"/>
    <x v="1"/>
    <x v="0"/>
    <n v="48634.15"/>
    <n v="30294.84"/>
    <s v="Actual"/>
    <n v="5"/>
    <n v="18339.310000000001"/>
    <n v="0.37708708798241564"/>
  </r>
  <r>
    <s v="ORD493"/>
    <d v="2023-06-25T00:00:00"/>
    <x v="0"/>
    <x v="2"/>
    <x v="3"/>
    <x v="0"/>
    <n v="209829.23"/>
    <n v="167863.38400000002"/>
    <s v="Estimated"/>
    <n v="4"/>
    <n v="41965.84599999999"/>
    <n v="0.19999999999999996"/>
  </r>
  <r>
    <s v="ORD3244"/>
    <d v="2023-01-15T00:00:00"/>
    <x v="4"/>
    <x v="1"/>
    <x v="2"/>
    <x v="0"/>
    <n v="23243.69"/>
    <n v="13723.03"/>
    <s v="Actual"/>
    <n v="1"/>
    <n v="9520.659999999998"/>
    <n v="0.40960191776778981"/>
  </r>
  <r>
    <s v="ORD9608"/>
    <d v="2023-06-25T00:00:00"/>
    <x v="0"/>
    <x v="1"/>
    <x v="2"/>
    <x v="0"/>
    <n v="43008.59"/>
    <n v="28363.94"/>
    <s v="Actual"/>
    <n v="2"/>
    <n v="14644.649999999998"/>
    <n v="0.34050523395442628"/>
  </r>
  <r>
    <s v="ORD1852"/>
    <s v="Not Mentioned"/>
    <x v="3"/>
    <x v="2"/>
    <x v="1"/>
    <x v="0"/>
    <n v="26799.63"/>
    <n v="21173.360000000001"/>
    <s v="Actual"/>
    <n v="3"/>
    <n v="5626.27"/>
    <n v="0.20993834616373436"/>
  </r>
  <r>
    <s v="ORD1568"/>
    <d v="2023-02-15T00:00:00"/>
    <x v="1"/>
    <x v="1"/>
    <x v="1"/>
    <x v="0"/>
    <n v="31722.43"/>
    <n v="19916.95"/>
    <s v="Actual"/>
    <n v="3"/>
    <n v="11805.48"/>
    <n v="0.37214929625504728"/>
  </r>
  <r>
    <s v="ORD3718"/>
    <d v="2023-02-15T00:00:00"/>
    <x v="1"/>
    <x v="1"/>
    <x v="0"/>
    <x v="0"/>
    <n v="61362.3"/>
    <n v="44369.87"/>
    <s v="Actual"/>
    <n v="5"/>
    <n v="16992.43"/>
    <n v="0.27691970476986683"/>
  </r>
  <r>
    <s v="ORD9012"/>
    <d v="2023-06-25T00:00:00"/>
    <x v="0"/>
    <x v="2"/>
    <x v="1"/>
    <x v="0"/>
    <n v="58240.61"/>
    <n v="38257.879999999997"/>
    <s v="Actual"/>
    <n v="5"/>
    <n v="19982.730000000003"/>
    <n v="0.34310646814997309"/>
  </r>
  <r>
    <s v="ORD3993"/>
    <d v="2023-03-20T00:00:00"/>
    <x v="5"/>
    <x v="3"/>
    <x v="0"/>
    <x v="0"/>
    <n v="12155.41"/>
    <n v="9703.14"/>
    <s v="Actual"/>
    <n v="1"/>
    <n v="2452.2700000000004"/>
    <n v="0.20174309217048214"/>
  </r>
  <r>
    <s v="ORD5878"/>
    <d v="2023-03-20T00:00:00"/>
    <x v="5"/>
    <x v="3"/>
    <x v="2"/>
    <x v="0"/>
    <n v="60688.160000000003"/>
    <n v="41266.58"/>
    <s v="Actual"/>
    <n v="3"/>
    <n v="19421.580000000002"/>
    <n v="0.32002255464657359"/>
  </r>
  <r>
    <s v="ORD3582"/>
    <d v="2023-04-05T00:00:00"/>
    <x v="2"/>
    <x v="3"/>
    <x v="0"/>
    <x v="0"/>
    <n v="61420.45"/>
    <n v="45508.91"/>
    <s v="Actual"/>
    <n v="5"/>
    <n v="15911.539999999994"/>
    <n v="0.25905931981937602"/>
  </r>
  <r>
    <s v="ORD601"/>
    <d v="2023-03-20T00:00:00"/>
    <x v="5"/>
    <x v="1"/>
    <x v="3"/>
    <x v="0"/>
    <n v="192236.98"/>
    <n v="153789.584"/>
    <s v="Estimated"/>
    <n v="4"/>
    <n v="38447.396000000008"/>
    <n v="0.20000000000000004"/>
  </r>
  <r>
    <s v="ORD985"/>
    <d v="2023-06-25T00:00:00"/>
    <x v="0"/>
    <x v="0"/>
    <x v="1"/>
    <x v="0"/>
    <n v="43808.67"/>
    <n v="26091.42"/>
    <s v="Actual"/>
    <n v="4"/>
    <n v="17717.25"/>
    <n v="0.40442337099026288"/>
  </r>
  <r>
    <s v="ORD9454"/>
    <d v="2023-03-20T00:00:00"/>
    <x v="5"/>
    <x v="1"/>
    <x v="0"/>
    <x v="0"/>
    <n v="54844.69"/>
    <n v="41928.65"/>
    <s v="Actual"/>
    <n v="4"/>
    <n v="12916.04"/>
    <n v="0.23550210603797742"/>
  </r>
  <r>
    <s v="ORD790"/>
    <d v="2023-04-05T00:00:00"/>
    <x v="2"/>
    <x v="2"/>
    <x v="3"/>
    <x v="0"/>
    <n v="68008.73"/>
    <n v="42543.1"/>
    <s v="Actual"/>
    <n v="1"/>
    <n v="25465.629999999997"/>
    <n v="0.37444648650254164"/>
  </r>
  <r>
    <s v="ORD8452"/>
    <d v="2023-03-20T00:00:00"/>
    <x v="5"/>
    <x v="2"/>
    <x v="3"/>
    <x v="0"/>
    <n v="137556.60999999999"/>
    <n v="88250.86"/>
    <s v="Actual"/>
    <n v="2"/>
    <n v="49305.749999999985"/>
    <n v="0.35843969984430402"/>
  </r>
  <r>
    <s v="ORD9462"/>
    <d v="2023-03-20T00:00:00"/>
    <x v="5"/>
    <x v="2"/>
    <x v="3"/>
    <x v="0"/>
    <n v="265558.24"/>
    <n v="182766.4"/>
    <s v="Actual"/>
    <n v="4"/>
    <n v="82791.839999999997"/>
    <n v="0.31176528357771915"/>
  </r>
  <r>
    <s v="ORD9828"/>
    <d v="2023-04-05T00:00:00"/>
    <x v="2"/>
    <x v="3"/>
    <x v="1"/>
    <x v="0"/>
    <n v="24327.45"/>
    <n v="19058.45"/>
    <s v="Actual"/>
    <n v="3"/>
    <n v="5269"/>
    <n v="0.21658661306466562"/>
  </r>
  <r>
    <s v="ORD4521"/>
    <d v="2023-01-15T00:00:00"/>
    <x v="4"/>
    <x v="2"/>
    <x v="3"/>
    <x v="0"/>
    <n v="50378.31"/>
    <n v="47941.86"/>
    <s v="Actual"/>
    <n v="1"/>
    <n v="2436.4499999999971"/>
    <n v="4.8363075299667602E-2"/>
  </r>
  <r>
    <s v="ORD8912"/>
    <d v="2023-04-05T00:00:00"/>
    <x v="2"/>
    <x v="1"/>
    <x v="2"/>
    <x v="0"/>
    <n v="60944.51"/>
    <n v="48755.608000000007"/>
    <s v="Estimated"/>
    <n v="3"/>
    <n v="12188.901999999995"/>
    <n v="0.1999999999999999"/>
  </r>
  <r>
    <s v="ORD1145"/>
    <d v="2023-04-05T00:00:00"/>
    <x v="2"/>
    <x v="0"/>
    <x v="0"/>
    <x v="0"/>
    <n v="74443.39"/>
    <n v="54880.71"/>
    <s v="Actual"/>
    <n v="5"/>
    <n v="19562.68"/>
    <n v="0.26278599080455634"/>
  </r>
  <r>
    <s v="ORD8429"/>
    <d v="2023-04-05T00:00:00"/>
    <x v="2"/>
    <x v="1"/>
    <x v="0"/>
    <x v="0"/>
    <n v="42421.8"/>
    <n v="32167.3"/>
    <s v="Actual"/>
    <n v="3"/>
    <n v="10254.500000000004"/>
    <n v="0.24172713086196254"/>
  </r>
  <r>
    <s v="ORD1676"/>
    <d v="2023-03-20T00:00:00"/>
    <x v="5"/>
    <x v="3"/>
    <x v="2"/>
    <x v="0"/>
    <n v="71806.83"/>
    <n v="51600.76"/>
    <s v="Actual"/>
    <n v="4"/>
    <n v="20206.07"/>
    <n v="0.28139481996350485"/>
  </r>
  <r>
    <s v="ORD9070"/>
    <s v="Not Mentioned"/>
    <x v="3"/>
    <x v="2"/>
    <x v="0"/>
    <x v="0"/>
    <n v="28294.66"/>
    <n v="21006.74"/>
    <s v="Actual"/>
    <s v="Unknown"/>
    <n v="7287.9199999999983"/>
    <n v="0.25757227688899598"/>
  </r>
  <r>
    <s v="ORD886"/>
    <d v="2023-03-20T00:00:00"/>
    <x v="5"/>
    <x v="1"/>
    <x v="1"/>
    <x v="0"/>
    <n v="23385.360000000001"/>
    <n v="12411.25"/>
    <s v="Actual"/>
    <n v="2"/>
    <n v="10974.11"/>
    <n v="0.46927265605489932"/>
  </r>
  <r>
    <s v="ORD1483"/>
    <d v="2023-06-25T00:00:00"/>
    <x v="0"/>
    <x v="0"/>
    <x v="2"/>
    <x v="0"/>
    <n v="66479.22"/>
    <n v="55991.26"/>
    <s v="Actual"/>
    <n v="4"/>
    <n v="10487.96"/>
    <n v="0.15776298217698703"/>
  </r>
  <r>
    <s v="ORD9601"/>
    <d v="2023-04-05T00:00:00"/>
    <x v="2"/>
    <x v="1"/>
    <x v="2"/>
    <x v="0"/>
    <n v="70571.740000000005"/>
    <n v="43906.91"/>
    <s v="Actual"/>
    <n v="3"/>
    <n v="26664.83"/>
    <n v="0.37784005325644515"/>
  </r>
  <r>
    <s v="ORD7469"/>
    <s v="Not Mentioned"/>
    <x v="3"/>
    <x v="2"/>
    <x v="0"/>
    <x v="0"/>
    <n v="43491.38"/>
    <n v="31425.200000000001"/>
    <s v="Actual"/>
    <n v="3"/>
    <n v="12066.179999999997"/>
    <n v="0.27743842572942035"/>
  </r>
  <r>
    <s v="ORD2190"/>
    <d v="2023-01-15T00:00:00"/>
    <x v="4"/>
    <x v="3"/>
    <x v="1"/>
    <x v="0"/>
    <n v="37758.379999999997"/>
    <n v="30206.703999999998"/>
    <s v="Estimated"/>
    <n v="4"/>
    <n v="7551.6759999999995"/>
    <n v="0.2"/>
  </r>
  <r>
    <s v="ORD6647"/>
    <d v="2023-04-05T00:00:00"/>
    <x v="2"/>
    <x v="0"/>
    <x v="3"/>
    <x v="0"/>
    <n v="168668.02"/>
    <n v="115519.76"/>
    <s v="Actual"/>
    <s v="Unknown"/>
    <n v="53148.259999999995"/>
    <n v="0.31510573255084157"/>
  </r>
  <r>
    <s v="ORD4081"/>
    <s v="Not Mentioned"/>
    <x v="3"/>
    <x v="1"/>
    <x v="0"/>
    <x v="0"/>
    <n v="74576.95"/>
    <n v="51999.59"/>
    <s v="Actual"/>
    <n v="5"/>
    <n v="22577.360000000001"/>
    <n v="0.30273911711326357"/>
  </r>
  <r>
    <s v="ORD6655"/>
    <s v="Not Mentioned"/>
    <x v="3"/>
    <x v="1"/>
    <x v="1"/>
    <x v="0"/>
    <n v="19336.28"/>
    <n v="12682.92"/>
    <s v="Actual"/>
    <n v="2"/>
    <n v="6653.3599999999988"/>
    <n v="0.34408686676030753"/>
  </r>
  <r>
    <s v="ORD2946"/>
    <d v="2023-03-20T00:00:00"/>
    <x v="5"/>
    <x v="1"/>
    <x v="2"/>
    <x v="0"/>
    <n v="97323.78"/>
    <n v="67284.06"/>
    <s v="Actual"/>
    <n v="5"/>
    <n v="30039.72"/>
    <n v="0.30865755522442717"/>
  </r>
  <r>
    <s v="ORD5344"/>
    <d v="2023-04-05T00:00:00"/>
    <x v="2"/>
    <x v="2"/>
    <x v="3"/>
    <x v="0"/>
    <n v="96356.17"/>
    <n v="97048"/>
    <s v="Actual"/>
    <n v="2"/>
    <n v="-691.83000000000175"/>
    <n v="-7.1799242331861239E-3"/>
  </r>
  <r>
    <s v="ORD4129"/>
    <d v="2023-04-05T00:00:00"/>
    <x v="2"/>
    <x v="1"/>
    <x v="1"/>
    <x v="0"/>
    <n v="36933.17"/>
    <n v="28128.21"/>
    <s v="Actual"/>
    <n v="4"/>
    <n v="8804.9599999999991"/>
    <n v="0.23840249835039884"/>
  </r>
  <r>
    <s v="ORD2266"/>
    <d v="2023-02-15T00:00:00"/>
    <x v="1"/>
    <x v="2"/>
    <x v="3"/>
    <x v="0"/>
    <n v="240846.86"/>
    <n v="194485.31"/>
    <s v="Actual"/>
    <n v="4"/>
    <n v="46361.549999999988"/>
    <n v="0.1924938942529705"/>
  </r>
  <r>
    <s v="ORD7900"/>
    <d v="2023-03-20T00:00:00"/>
    <x v="5"/>
    <x v="2"/>
    <x v="3"/>
    <x v="0"/>
    <n v="183149.2"/>
    <n v="127779.79"/>
    <s v="Actual"/>
    <n v="3"/>
    <n v="55369.410000000018"/>
    <n v="0.30231860144625267"/>
  </r>
  <r>
    <s v="ORD6117"/>
    <d v="2023-06-25T00:00:00"/>
    <x v="0"/>
    <x v="1"/>
    <x v="3"/>
    <x v="0"/>
    <n v="119170.08"/>
    <n v="79551.839999999997"/>
    <s v="Actual"/>
    <n v="2"/>
    <n v="39618.240000000005"/>
    <n v="0.33245123272552979"/>
  </r>
  <r>
    <s v="ORD371"/>
    <d v="2023-04-05T00:00:00"/>
    <x v="2"/>
    <x v="1"/>
    <x v="3"/>
    <x v="0"/>
    <n v="187656.86"/>
    <n v="121519.71"/>
    <s v="Actual"/>
    <n v="3"/>
    <n v="66137.14999999998"/>
    <n v="0.35243662288711419"/>
  </r>
  <r>
    <s v="ORD832"/>
    <s v="Not Mentioned"/>
    <x v="3"/>
    <x v="3"/>
    <x v="1"/>
    <x v="0"/>
    <n v="37421.49"/>
    <n v="29061.23"/>
    <s v="Actual"/>
    <n v="4"/>
    <n v="8360.2599999999984"/>
    <n v="0.22340799364215586"/>
  </r>
  <r>
    <s v="ORD4410"/>
    <d v="2023-02-15T00:00:00"/>
    <x v="1"/>
    <x v="2"/>
    <x v="3"/>
    <x v="0"/>
    <n v="319441.11"/>
    <n v="216703.54"/>
    <s v="Actual"/>
    <n v="5"/>
    <n v="102737.56999999998"/>
    <n v="0.32161661972687228"/>
  </r>
  <r>
    <s v="ORD4387"/>
    <s v="Not Mentioned"/>
    <x v="3"/>
    <x v="1"/>
    <x v="0"/>
    <x v="0"/>
    <n v="34560.68"/>
    <n v="27648.544000000002"/>
    <s v="Estimated"/>
    <n v="2"/>
    <n v="6912.1359999999986"/>
    <n v="0.19999999999999996"/>
  </r>
  <r>
    <s v="ORD6950"/>
    <s v="Not Mentioned"/>
    <x v="3"/>
    <x v="3"/>
    <x v="2"/>
    <x v="0"/>
    <n v="86157.18"/>
    <n v="61251.42"/>
    <s v="Actual"/>
    <n v="4"/>
    <n v="24905.759999999995"/>
    <n v="0.28907352817257942"/>
  </r>
  <r>
    <s v="ORD8715"/>
    <d v="2023-02-15T00:00:00"/>
    <x v="1"/>
    <x v="2"/>
    <x v="0"/>
    <x v="0"/>
    <n v="15192.11"/>
    <n v="9221.65"/>
    <s v="Actual"/>
    <n v="1"/>
    <n v="5970.4600000000009"/>
    <n v="0.39299741773854985"/>
  </r>
  <r>
    <s v="ORD3036"/>
    <d v="2023-01-15T00:00:00"/>
    <x v="4"/>
    <x v="1"/>
    <x v="2"/>
    <x v="0"/>
    <n v="49701.919999999998"/>
    <n v="39761.536"/>
    <s v="Estimated"/>
    <n v="3"/>
    <n v="9940.3839999999982"/>
    <n v="0.19999999999999998"/>
  </r>
  <r>
    <s v="ORD4561"/>
    <d v="2023-04-05T00:00:00"/>
    <x v="2"/>
    <x v="2"/>
    <x v="1"/>
    <x v="0"/>
    <n v="22526.37"/>
    <n v="18021.096000000001"/>
    <s v="Estimated"/>
    <n v="2"/>
    <n v="4505.2739999999976"/>
    <n v="0.1999999999999999"/>
  </r>
  <r>
    <s v="ORD4101"/>
    <d v="2023-04-05T00:00:00"/>
    <x v="2"/>
    <x v="2"/>
    <x v="2"/>
    <x v="0"/>
    <n v="89837.06"/>
    <n v="62759.06"/>
    <s v="Actual"/>
    <n v="5"/>
    <n v="27078"/>
    <n v="0.30141235699387314"/>
  </r>
  <r>
    <s v="ORD752"/>
    <s v="Not Mentioned"/>
    <x v="3"/>
    <x v="3"/>
    <x v="0"/>
    <x v="0"/>
    <n v="52299.16"/>
    <n v="28810.53"/>
    <s v="Actual"/>
    <n v="3"/>
    <n v="23488.630000000005"/>
    <n v="0.44912059773044161"/>
  </r>
  <r>
    <s v="ORD5211"/>
    <s v="Not Mentioned"/>
    <x v="3"/>
    <x v="2"/>
    <x v="1"/>
    <x v="0"/>
    <n v="58847.63"/>
    <n v="35082.32"/>
    <s v="Actual"/>
    <n v="5"/>
    <n v="23765.309999999998"/>
    <n v="0.40384481074259065"/>
  </r>
  <r>
    <s v="ORD2760"/>
    <d v="2023-01-15T00:00:00"/>
    <x v="4"/>
    <x v="2"/>
    <x v="0"/>
    <x v="0"/>
    <n v="28823.95"/>
    <n v="19558.63"/>
    <s v="Actual"/>
    <n v="2"/>
    <n v="9265.32"/>
    <n v="0.32144518707533143"/>
  </r>
  <r>
    <s v="ORD5110"/>
    <d v="2023-04-05T00:00:00"/>
    <x v="2"/>
    <x v="1"/>
    <x v="0"/>
    <x v="0"/>
    <n v="52003.5"/>
    <n v="41992.39"/>
    <s v="Actual"/>
    <n v="4"/>
    <n v="10011.11"/>
    <n v="0.19250838885844224"/>
  </r>
  <r>
    <s v="ORD6487"/>
    <s v="Not Mentioned"/>
    <x v="3"/>
    <x v="1"/>
    <x v="1"/>
    <x v="0"/>
    <n v="9262.4"/>
    <n v="7637.05"/>
    <s v="Actual"/>
    <n v="1"/>
    <n v="1625.3499999999995"/>
    <n v="0.17547827776818098"/>
  </r>
  <r>
    <s v="ORD5616"/>
    <d v="2023-06-25T00:00:00"/>
    <x v="0"/>
    <x v="2"/>
    <x v="2"/>
    <x v="0"/>
    <n v="94567.79"/>
    <n v="68261.67"/>
    <s v="Actual"/>
    <n v="5"/>
    <n v="26306.119999999995"/>
    <n v="0.27817209221025463"/>
  </r>
  <r>
    <s v="ORD9208"/>
    <d v="2023-03-20T00:00:00"/>
    <x v="5"/>
    <x v="3"/>
    <x v="2"/>
    <x v="0"/>
    <n v="33497.56"/>
    <n v="25730.38"/>
    <s v="Actual"/>
    <n v="2"/>
    <n v="7767.1799999999967"/>
    <n v="0.23187300806387084"/>
  </r>
  <r>
    <s v="ORD9120"/>
    <d v="2023-01-15T00:00:00"/>
    <x v="4"/>
    <x v="2"/>
    <x v="1"/>
    <x v="0"/>
    <n v="10850.65"/>
    <n v="6126.17"/>
    <s v="Actual"/>
    <n v="1"/>
    <n v="4724.4799999999996"/>
    <n v="0.43540986023878753"/>
  </r>
  <r>
    <s v="ORD393"/>
    <d v="2023-06-25T00:00:00"/>
    <x v="0"/>
    <x v="1"/>
    <x v="1"/>
    <x v="0"/>
    <n v="57520.09"/>
    <n v="46016.072"/>
    <s v="Estimated"/>
    <n v="5"/>
    <n v="11504.017999999996"/>
    <n v="0.19999999999999996"/>
  </r>
  <r>
    <s v="ORD722"/>
    <d v="2023-02-15T00:00:00"/>
    <x v="1"/>
    <x v="1"/>
    <x v="1"/>
    <x v="0"/>
    <n v="30261.08"/>
    <n v="20039.259999999998"/>
    <s v="Actual"/>
    <n v="3"/>
    <n v="10221.820000000003"/>
    <n v="0.33778767975234203"/>
  </r>
  <r>
    <s v="ORD5164"/>
    <d v="2023-01-15T00:00:00"/>
    <x v="4"/>
    <x v="1"/>
    <x v="3"/>
    <x v="0"/>
    <n v="214005.5"/>
    <n v="121168.8"/>
    <s v="Actual"/>
    <n v="3"/>
    <n v="92836.7"/>
    <n v="0.43380520594096877"/>
  </r>
  <r>
    <s v="ORD3534"/>
    <d v="2023-01-15T00:00:00"/>
    <x v="4"/>
    <x v="2"/>
    <x v="2"/>
    <x v="0"/>
    <n v="95070.71"/>
    <n v="60859.96"/>
    <s v="Actual"/>
    <n v="5"/>
    <n v="34210.750000000007"/>
    <n v="0.3598453193417826"/>
  </r>
  <r>
    <s v="ORD7238"/>
    <d v="2023-04-05T00:00:00"/>
    <x v="2"/>
    <x v="3"/>
    <x v="3"/>
    <x v="0"/>
    <n v="57382.6"/>
    <n v="41005"/>
    <s v="Actual"/>
    <n v="1"/>
    <n v="16377.599999999999"/>
    <n v="0.28541055999553872"/>
  </r>
  <r>
    <s v="ORD3405"/>
    <d v="2023-04-05T00:00:00"/>
    <x v="2"/>
    <x v="3"/>
    <x v="3"/>
    <x v="0"/>
    <n v="222353.09"/>
    <n v="190359.01"/>
    <s v="Actual"/>
    <n v="4"/>
    <n v="31994.079999999987"/>
    <n v="0.14388862327031293"/>
  </r>
  <r>
    <s v="ORD3214"/>
    <d v="2023-02-15T00:00:00"/>
    <x v="1"/>
    <x v="2"/>
    <x v="1"/>
    <x v="0"/>
    <n v="8218.32"/>
    <n v="6940.89"/>
    <s v="Actual"/>
    <n v="1"/>
    <n v="1277.4299999999994"/>
    <n v="0.15543687761002242"/>
  </r>
  <r>
    <s v="ORD6181"/>
    <s v="Not Mentioned"/>
    <x v="3"/>
    <x v="3"/>
    <x v="2"/>
    <x v="0"/>
    <n v="92470.83"/>
    <n v="64914.97"/>
    <s v="Actual"/>
    <s v="Unknown"/>
    <n v="27555.86"/>
    <n v="0.29799516236633761"/>
  </r>
  <r>
    <s v="ORD9566"/>
    <d v="2023-02-15T00:00:00"/>
    <x v="1"/>
    <x v="0"/>
    <x v="2"/>
    <x v="0"/>
    <n v="81530.570000000007"/>
    <n v="74767.460000000006"/>
    <s v="Actual"/>
    <n v="5"/>
    <n v="6763.1100000000006"/>
    <n v="8.2951830215341318E-2"/>
  </r>
  <r>
    <s v="ORD9742"/>
    <s v="Not Mentioned"/>
    <x v="3"/>
    <x v="1"/>
    <x v="1"/>
    <x v="0"/>
    <n v="29389.66"/>
    <n v="19608.099999999999"/>
    <s v="Actual"/>
    <s v="Unknown"/>
    <n v="9781.5600000000013"/>
    <n v="0.33282317658659549"/>
  </r>
  <r>
    <s v="ORD3710"/>
    <d v="2023-01-15T00:00:00"/>
    <x v="4"/>
    <x v="2"/>
    <x v="3"/>
    <x v="0"/>
    <n v="331641.96999999997"/>
    <n v="245071.46"/>
    <s v="Actual"/>
    <n v="5"/>
    <n v="86570.50999999998"/>
    <n v="0.26103605041304029"/>
  </r>
  <r>
    <s v="ORD3798"/>
    <d v="2023-01-15T00:00:00"/>
    <x v="4"/>
    <x v="1"/>
    <x v="1"/>
    <x v="0"/>
    <n v="10239.76"/>
    <n v="6461.32"/>
    <s v="Actual"/>
    <n v="1"/>
    <n v="3778.4400000000005"/>
    <n v="0.36899692961553793"/>
  </r>
  <r>
    <s v="ORD2950"/>
    <d v="2023-03-20T00:00:00"/>
    <x v="5"/>
    <x v="0"/>
    <x v="2"/>
    <x v="0"/>
    <n v="75267.710000000006"/>
    <n v="53861.03"/>
    <s v="Actual"/>
    <n v="4"/>
    <n v="21406.680000000008"/>
    <n v="0.28440721791588991"/>
  </r>
  <r>
    <s v="ORD5604"/>
    <d v="2023-04-05T00:00:00"/>
    <x v="2"/>
    <x v="2"/>
    <x v="2"/>
    <x v="0"/>
    <n v="51477.81"/>
    <n v="36783.81"/>
    <s v="Actual"/>
    <n v="3"/>
    <n v="14694"/>
    <n v="0.28544337841877893"/>
  </r>
  <r>
    <s v="ORD562"/>
    <d v="2023-06-25T00:00:00"/>
    <x v="0"/>
    <x v="0"/>
    <x v="0"/>
    <x v="0"/>
    <n v="33055.17"/>
    <n v="20444.47"/>
    <s v="Actual"/>
    <n v="2"/>
    <n v="12610.699999999997"/>
    <n v="0.38150461788579509"/>
  </r>
  <r>
    <s v="ORD3807"/>
    <d v="2023-06-25T00:00:00"/>
    <x v="0"/>
    <x v="2"/>
    <x v="3"/>
    <x v="0"/>
    <n v="62142.15"/>
    <n v="40219.1"/>
    <s v="Actual"/>
    <n v="1"/>
    <n v="21923.050000000003"/>
    <n v="0.35278872713609044"/>
  </r>
  <r>
    <s v="ORD5177"/>
    <s v="Not Mentioned"/>
    <x v="3"/>
    <x v="3"/>
    <x v="0"/>
    <x v="0"/>
    <n v="48735.33"/>
    <n v="31602.42"/>
    <s v="Actual"/>
    <n v="3"/>
    <n v="17132.910000000003"/>
    <n v="0.35155009722925856"/>
  </r>
  <r>
    <s v="ORD475"/>
    <d v="2023-06-25T00:00:00"/>
    <x v="0"/>
    <x v="3"/>
    <x v="2"/>
    <x v="0"/>
    <n v="20469.22"/>
    <n v="11909.63"/>
    <s v="Actual"/>
    <n v="1"/>
    <n v="8559.590000000002"/>
    <n v="0.41816884082539546"/>
  </r>
  <r>
    <s v="ORD9751"/>
    <d v="2023-01-15T00:00:00"/>
    <x v="4"/>
    <x v="3"/>
    <x v="1"/>
    <x v="0"/>
    <n v="16123.69"/>
    <n v="12303.07"/>
    <s v="Actual"/>
    <n v="2"/>
    <n v="3820.6200000000008"/>
    <n v="0.23695692487265638"/>
  </r>
  <r>
    <s v="ORD7910"/>
    <d v="2023-06-25T00:00:00"/>
    <x v="0"/>
    <x v="1"/>
    <x v="1"/>
    <x v="0"/>
    <n v="8144.47"/>
    <n v="7014.94"/>
    <s v="Actual"/>
    <n v="1"/>
    <n v="1129.5300000000007"/>
    <n v="0.1386867408192308"/>
  </r>
  <r>
    <s v="ORD8532"/>
    <d v="2023-04-05T00:00:00"/>
    <x v="2"/>
    <x v="1"/>
    <x v="2"/>
    <x v="0"/>
    <n v="21225.47"/>
    <n v="12610.17"/>
    <s v="Actual"/>
    <n v="1"/>
    <n v="8615.3000000000011"/>
    <n v="0.40589442777945556"/>
  </r>
  <r>
    <s v="ORD7611"/>
    <d v="2023-01-15T00:00:00"/>
    <x v="4"/>
    <x v="1"/>
    <x v="0"/>
    <x v="0"/>
    <n v="30391.59"/>
    <n v="18121.509999999998"/>
    <s v="Actual"/>
    <s v="Unknown"/>
    <n v="12270.080000000002"/>
    <n v="0.40373274317006785"/>
  </r>
  <r>
    <s v="ORD178"/>
    <d v="2023-01-15T00:00:00"/>
    <x v="4"/>
    <x v="3"/>
    <x v="1"/>
    <x v="0"/>
    <n v="18685.48"/>
    <n v="14561.9"/>
    <s v="Actual"/>
    <n v="2"/>
    <n v="4123.58"/>
    <n v="0.22068365383174529"/>
  </r>
  <r>
    <s v="ORD9186"/>
    <d v="2023-04-05T00:00:00"/>
    <x v="2"/>
    <x v="2"/>
    <x v="2"/>
    <x v="0"/>
    <n v="20087.82"/>
    <n v="14209.11"/>
    <s v="Actual"/>
    <n v="1"/>
    <n v="5878.7099999999991"/>
    <n v="0.29265047177842091"/>
  </r>
  <r>
    <s v="ORD6491"/>
    <d v="2023-06-25T00:00:00"/>
    <x v="0"/>
    <x v="0"/>
    <x v="0"/>
    <x v="0"/>
    <n v="67504.02"/>
    <n v="46432.03"/>
    <s v="Actual"/>
    <n v="5"/>
    <n v="21071.990000000005"/>
    <n v="0.31215903882465079"/>
  </r>
  <r>
    <s v="ORD1448"/>
    <d v="2023-04-05T00:00:00"/>
    <x v="2"/>
    <x v="0"/>
    <x v="3"/>
    <x v="0"/>
    <n v="172862.15"/>
    <n v="142855.54999999999"/>
    <s v="Actual"/>
    <n v="3"/>
    <n v="30006.600000000006"/>
    <n v="0.1735868725455515"/>
  </r>
  <r>
    <s v="ORD8439"/>
    <d v="2023-01-15T00:00:00"/>
    <x v="4"/>
    <x v="2"/>
    <x v="2"/>
    <x v="0"/>
    <n v="35552.57"/>
    <n v="27325.74"/>
    <s v="Actual"/>
    <n v="2"/>
    <n v="8226.8299999999981"/>
    <n v="0.23139902403679954"/>
  </r>
  <r>
    <s v="ORD333"/>
    <d v="2023-01-15T00:00:00"/>
    <x v="4"/>
    <x v="1"/>
    <x v="2"/>
    <x v="0"/>
    <n v="20945.080000000002"/>
    <n v="13241.33"/>
    <s v="Actual"/>
    <n v="1"/>
    <n v="7703.7500000000018"/>
    <n v="0.36780714134297893"/>
  </r>
  <r>
    <s v="ORD7214"/>
    <d v="2023-02-15T00:00:00"/>
    <x v="1"/>
    <x v="0"/>
    <x v="3"/>
    <x v="0"/>
    <n v="212954.65"/>
    <n v="127740.84"/>
    <s v="Actual"/>
    <n v="3"/>
    <n v="85213.81"/>
    <n v="0.4001500319434208"/>
  </r>
  <r>
    <s v="ORD3481"/>
    <d v="2023-01-15T00:00:00"/>
    <x v="4"/>
    <x v="1"/>
    <x v="0"/>
    <x v="0"/>
    <n v="12229.84"/>
    <n v="8621.24"/>
    <s v="Actual"/>
    <n v="1"/>
    <n v="3608.6000000000004"/>
    <n v="0.29506518482662081"/>
  </r>
  <r>
    <s v="ORD2220"/>
    <s v="Not Mentioned"/>
    <x v="3"/>
    <x v="1"/>
    <x v="1"/>
    <x v="0"/>
    <n v="25894.15"/>
    <n v="17983.52"/>
    <s v="Actual"/>
    <n v="3"/>
    <n v="7910.630000000001"/>
    <n v="0.3054987323391577"/>
  </r>
  <r>
    <s v="ORD5953"/>
    <d v="2023-02-15T00:00:00"/>
    <x v="1"/>
    <x v="0"/>
    <x v="1"/>
    <x v="0"/>
    <n v="23944.06"/>
    <n v="12541.08"/>
    <s v="Actual"/>
    <n v="2"/>
    <n v="11402.980000000001"/>
    <n v="0.4762341891893021"/>
  </r>
  <r>
    <s v="ORD7051"/>
    <d v="2023-01-15T00:00:00"/>
    <x v="4"/>
    <x v="1"/>
    <x v="2"/>
    <x v="0"/>
    <n v="17157.009999999998"/>
    <n v="13289.74"/>
    <s v="Actual"/>
    <n v="1"/>
    <n v="3867.2699999999986"/>
    <n v="0.22540465966972095"/>
  </r>
  <r>
    <s v="ORD8506"/>
    <d v="2023-04-05T00:00:00"/>
    <x v="2"/>
    <x v="2"/>
    <x v="2"/>
    <x v="0"/>
    <n v="46553"/>
    <n v="26984.720000000001"/>
    <s v="Actual"/>
    <n v="2"/>
    <n v="19568.28"/>
    <n v="0.42034412390178932"/>
  </r>
  <r>
    <s v="ORD1572"/>
    <d v="2023-01-15T00:00:00"/>
    <x v="4"/>
    <x v="1"/>
    <x v="2"/>
    <x v="0"/>
    <n v="68524.009999999995"/>
    <n v="57725.24"/>
    <s v="Actual"/>
    <n v="4"/>
    <n v="10798.769999999997"/>
    <n v="0.15759103998729784"/>
  </r>
  <r>
    <s v="ORD4052"/>
    <d v="2023-02-15T00:00:00"/>
    <x v="1"/>
    <x v="1"/>
    <x v="3"/>
    <x v="0"/>
    <n v="244552.32000000001"/>
    <n v="183113.89"/>
    <s v="Actual"/>
    <s v="Unknown"/>
    <n v="61438.429999999993"/>
    <n v="0.25122816254615776"/>
  </r>
  <r>
    <s v="ORD456"/>
    <d v="2023-03-20T00:00:00"/>
    <x v="5"/>
    <x v="3"/>
    <x v="1"/>
    <x v="0"/>
    <n v="31103.67"/>
    <n v="22345.37"/>
    <s v="Actual"/>
    <n v="3"/>
    <n v="8758.2999999999993"/>
    <n v="0.28158413460533754"/>
  </r>
  <r>
    <s v="ORD500"/>
    <d v="2023-04-05T00:00:00"/>
    <x v="2"/>
    <x v="1"/>
    <x v="3"/>
    <x v="0"/>
    <n v="248970.94"/>
    <n v="193673.49"/>
    <s v="Actual"/>
    <n v="5"/>
    <n v="55297.450000000012"/>
    <n v="0.2221040335068824"/>
  </r>
  <r>
    <s v="ORD1101"/>
    <d v="2023-03-20T00:00:00"/>
    <x v="5"/>
    <x v="0"/>
    <x v="0"/>
    <x v="0"/>
    <n v="13827.67"/>
    <n v="10449.799999999999"/>
    <s v="Actual"/>
    <n v="1"/>
    <n v="3377.8700000000008"/>
    <n v="0.24428338252214588"/>
  </r>
  <r>
    <s v="ORD3873"/>
    <d v="2023-03-20T00:00:00"/>
    <x v="5"/>
    <x v="0"/>
    <x v="3"/>
    <x v="0"/>
    <n v="287528.62"/>
    <n v="224359.18"/>
    <s v="Actual"/>
    <n v="5"/>
    <n v="63169.440000000002"/>
    <n v="0.219697920853931"/>
  </r>
  <r>
    <s v="ORD4368"/>
    <d v="2023-01-15T00:00:00"/>
    <x v="4"/>
    <x v="3"/>
    <x v="3"/>
    <x v="0"/>
    <n v="255488.93"/>
    <n v="158088.97"/>
    <s v="Actual"/>
    <n v="4"/>
    <n v="97399.959999999992"/>
    <n v="0.38122966815039694"/>
  </r>
  <r>
    <s v="ORD8420"/>
    <d v="2023-04-05T00:00:00"/>
    <x v="2"/>
    <x v="2"/>
    <x v="1"/>
    <x v="0"/>
    <n v="38944.18"/>
    <n v="30620.67"/>
    <s v="Actual"/>
    <n v="4"/>
    <n v="8323.510000000002"/>
    <n v="0.21372924015860656"/>
  </r>
  <r>
    <s v="ORD195"/>
    <d v="2023-04-05T00:00:00"/>
    <x v="2"/>
    <x v="1"/>
    <x v="1"/>
    <x v="0"/>
    <n v="10320.75"/>
    <n v="7063.76"/>
    <s v="Actual"/>
    <n v="1"/>
    <n v="3256.99"/>
    <n v="0.31557687183586464"/>
  </r>
  <r>
    <s v="ORD2382"/>
    <d v="2023-01-15T00:00:00"/>
    <x v="4"/>
    <x v="1"/>
    <x v="2"/>
    <x v="0"/>
    <n v="89816.42"/>
    <n v="71853.135999999999"/>
    <s v="Estimated"/>
    <n v="5"/>
    <n v="17963.284"/>
    <n v="0.2"/>
  </r>
  <r>
    <s v="ORD7764"/>
    <d v="2023-06-25T00:00:00"/>
    <x v="0"/>
    <x v="1"/>
    <x v="2"/>
    <x v="0"/>
    <n v="49740.37"/>
    <n v="46137.59"/>
    <s v="Actual"/>
    <n v="3"/>
    <n v="3602.7800000000061"/>
    <n v="7.243170889159059E-2"/>
  </r>
  <r>
    <s v="ORD9771"/>
    <d v="2023-06-25T00:00:00"/>
    <x v="0"/>
    <x v="1"/>
    <x v="1"/>
    <x v="0"/>
    <n v="34938.879999999997"/>
    <n v="17902.47"/>
    <s v="Actual"/>
    <n v="3"/>
    <n v="17036.409999999996"/>
    <n v="0.48760607094446068"/>
  </r>
  <r>
    <s v="ORD7767"/>
    <d v="2023-06-25T00:00:00"/>
    <x v="0"/>
    <x v="1"/>
    <x v="1"/>
    <x v="0"/>
    <n v="20670.7"/>
    <n v="12131.16"/>
    <s v="Actual"/>
    <n v="2"/>
    <n v="8539.5400000000009"/>
    <n v="0.41312292278442436"/>
  </r>
  <r>
    <s v="ORD8828"/>
    <s v="Not Mentioned"/>
    <x v="3"/>
    <x v="1"/>
    <x v="3"/>
    <x v="0"/>
    <n v="193280.45"/>
    <n v="197952.37"/>
    <s v="Actual"/>
    <n v="4"/>
    <n v="-4671.9199999999837"/>
    <n v="-2.4171715245902954E-2"/>
  </r>
  <r>
    <s v="ORD910"/>
    <d v="2023-06-25T00:00:00"/>
    <x v="0"/>
    <x v="1"/>
    <x v="0"/>
    <x v="0"/>
    <n v="33569.57"/>
    <n v="21162.46"/>
    <s v="Actual"/>
    <n v="2"/>
    <n v="12407.11"/>
    <n v="0.36959395071190965"/>
  </r>
  <r>
    <s v="ORD117"/>
    <d v="2023-03-20T00:00:00"/>
    <x v="5"/>
    <x v="1"/>
    <x v="0"/>
    <x v="0"/>
    <n v="14015.8"/>
    <n v="9323.11"/>
    <s v="Actual"/>
    <n v="1"/>
    <n v="4692.6899999999987"/>
    <n v="0.33481428102569949"/>
  </r>
  <r>
    <s v="ORD6528"/>
    <d v="2023-06-25T00:00:00"/>
    <x v="0"/>
    <x v="0"/>
    <x v="3"/>
    <x v="0"/>
    <n v="120408.2"/>
    <n v="86623.61"/>
    <s v="Actual"/>
    <n v="2"/>
    <n v="33784.589999999997"/>
    <n v="0.28058379744901091"/>
  </r>
  <r>
    <s v="ORD9629"/>
    <d v="2023-04-05T00:00:00"/>
    <x v="2"/>
    <x v="2"/>
    <x v="3"/>
    <x v="0"/>
    <n v="213482.17"/>
    <n v="177080.86"/>
    <s v="Actual"/>
    <n v="4"/>
    <n v="36401.310000000027"/>
    <n v="0.1705121790733157"/>
  </r>
  <r>
    <s v="ORD7800"/>
    <d v="2023-02-15T00:00:00"/>
    <x v="1"/>
    <x v="2"/>
    <x v="0"/>
    <x v="0"/>
    <n v="15734.71"/>
    <n v="9311.67"/>
    <s v="Actual"/>
    <n v="1"/>
    <n v="6423.0399999999991"/>
    <n v="0.40820834956602309"/>
  </r>
  <r>
    <s v="ORD2832"/>
    <d v="2023-02-15T00:00:00"/>
    <x v="1"/>
    <x v="3"/>
    <x v="3"/>
    <x v="0"/>
    <n v="231568.75"/>
    <n v="194940.82"/>
    <s v="Actual"/>
    <n v="4"/>
    <n v="36627.929999999993"/>
    <n v="0.15817302636905883"/>
  </r>
  <r>
    <s v="ORD6850"/>
    <d v="2023-06-25T00:00:00"/>
    <x v="0"/>
    <x v="1"/>
    <x v="3"/>
    <x v="0"/>
    <n v="162318.59"/>
    <n v="145373.10999999999"/>
    <s v="Actual"/>
    <n v="3"/>
    <n v="16945.48000000001"/>
    <n v="0.10439642187626205"/>
  </r>
  <r>
    <s v="ORD5882"/>
    <d v="2023-06-25T00:00:00"/>
    <x v="0"/>
    <x v="3"/>
    <x v="0"/>
    <x v="0"/>
    <n v="84261.26"/>
    <n v="44879.02"/>
    <s v="Actual"/>
    <n v="5"/>
    <n v="39382.239999999998"/>
    <n v="0.46738251955881033"/>
  </r>
  <r>
    <s v="ORD3459"/>
    <d v="2023-02-15T00:00:00"/>
    <x v="1"/>
    <x v="1"/>
    <x v="3"/>
    <x v="0"/>
    <n v="310132.98"/>
    <n v="248106.38399999999"/>
    <s v="Estimated"/>
    <n v="5"/>
    <n v="62026.59599999999"/>
    <n v="0.19999999999999998"/>
  </r>
  <r>
    <s v="ORD7883"/>
    <s v="Not Mentioned"/>
    <x v="3"/>
    <x v="0"/>
    <x v="1"/>
    <x v="0"/>
    <n v="56198.9"/>
    <n v="35092.199999999997"/>
    <s v="Actual"/>
    <n v="5"/>
    <n v="21106.700000000004"/>
    <n v="0.37557140798129507"/>
  </r>
  <r>
    <s v="ORD1520"/>
    <d v="2023-02-15T00:00:00"/>
    <x v="1"/>
    <x v="3"/>
    <x v="2"/>
    <x v="0"/>
    <n v="64911.08"/>
    <n v="57263.41"/>
    <s v="Actual"/>
    <n v="4"/>
    <n v="7647.6699999999983"/>
    <n v="0.11781763606459787"/>
  </r>
  <r>
    <s v="ORD3493"/>
    <d v="2023-03-20T00:00:00"/>
    <x v="5"/>
    <x v="2"/>
    <x v="3"/>
    <x v="0"/>
    <n v="141552.23000000001"/>
    <n v="97673.27"/>
    <s v="Actual"/>
    <n v="2"/>
    <n v="43878.960000000006"/>
    <n v="0.30998423691382326"/>
  </r>
  <r>
    <s v="ORD575"/>
    <d v="2023-06-25T00:00:00"/>
    <x v="0"/>
    <x v="3"/>
    <x v="3"/>
    <x v="0"/>
    <n v="53941.49"/>
    <n v="39289.01"/>
    <s v="Actual"/>
    <n v="1"/>
    <n v="14652.479999999996"/>
    <n v="0.27163654544952309"/>
  </r>
  <r>
    <s v="ORD7723"/>
    <d v="2023-03-20T00:00:00"/>
    <x v="5"/>
    <x v="2"/>
    <x v="2"/>
    <x v="0"/>
    <n v="115074.92"/>
    <n v="66399.740000000005"/>
    <s v="Actual"/>
    <n v="5"/>
    <n v="48675.179999999993"/>
    <n v="0.42298686803345154"/>
  </r>
  <r>
    <s v="ORD4402"/>
    <d v="2023-03-20T00:00:00"/>
    <x v="5"/>
    <x v="2"/>
    <x v="2"/>
    <x v="0"/>
    <n v="62170.49"/>
    <n v="49736.392"/>
    <s v="Estimated"/>
    <n v="3"/>
    <n v="12434.097999999998"/>
    <n v="0.19999999999999998"/>
  </r>
  <r>
    <s v="ORD7621"/>
    <d v="2023-01-15T00:00:00"/>
    <x v="4"/>
    <x v="2"/>
    <x v="3"/>
    <x v="0"/>
    <n v="334703.96999999997"/>
    <n v="234928.43"/>
    <s v="Actual"/>
    <n v="5"/>
    <n v="99775.539999999979"/>
    <n v="0.29810085610875781"/>
  </r>
  <r>
    <s v="ORD5383"/>
    <d v="2023-06-25T00:00:00"/>
    <x v="0"/>
    <x v="2"/>
    <x v="0"/>
    <x v="0"/>
    <n v="13137.53"/>
    <n v="10517.13"/>
    <s v="Actual"/>
    <n v="1"/>
    <n v="2620.4000000000015"/>
    <n v="0.19945910684885221"/>
  </r>
  <r>
    <s v="ORD9813"/>
    <d v="2023-01-15T00:00:00"/>
    <x v="4"/>
    <x v="1"/>
    <x v="1"/>
    <x v="0"/>
    <n v="11193.25"/>
    <n v="6126.97"/>
    <s v="Actual"/>
    <n v="1"/>
    <n v="5066.28"/>
    <n v="0.4526192124718022"/>
  </r>
  <r>
    <s v="ORD9776"/>
    <s v="Not Mentioned"/>
    <x v="3"/>
    <x v="0"/>
    <x v="1"/>
    <x v="0"/>
    <n v="19894.75"/>
    <n v="14715.9"/>
    <s v="Actual"/>
    <n v="2"/>
    <n v="5178.8500000000004"/>
    <n v="0.26031239397328443"/>
  </r>
  <r>
    <s v="ORD6190"/>
    <d v="2023-04-05T00:00:00"/>
    <x v="2"/>
    <x v="0"/>
    <x v="0"/>
    <x v="0"/>
    <n v="77494.850000000006"/>
    <n v="48270.14"/>
    <s v="Actual"/>
    <n v="5"/>
    <n v="29224.710000000006"/>
    <n v="0.37711809236355709"/>
  </r>
  <r>
    <s v="ORD3533"/>
    <d v="2023-03-20T00:00:00"/>
    <x v="5"/>
    <x v="2"/>
    <x v="1"/>
    <x v="0"/>
    <n v="21298.52"/>
    <n v="13653.75"/>
    <s v="Actual"/>
    <s v="Unknown"/>
    <n v="7644.77"/>
    <n v="0.35893432970929434"/>
  </r>
  <r>
    <s v="ORD3715"/>
    <d v="2023-02-15T00:00:00"/>
    <x v="1"/>
    <x v="2"/>
    <x v="2"/>
    <x v="0"/>
    <n v="82744.33"/>
    <n v="51834.38"/>
    <s v="Actual"/>
    <n v="4"/>
    <n v="30909.950000000004"/>
    <n v="0.37355973515043273"/>
  </r>
  <r>
    <s v="ORD4332"/>
    <d v="2023-02-15T00:00:00"/>
    <x v="1"/>
    <x v="2"/>
    <x v="1"/>
    <x v="0"/>
    <n v="35964.35"/>
    <n v="29037.34"/>
    <s v="Actual"/>
    <n v="4"/>
    <n v="6927.0099999999984"/>
    <n v="0.19260767954933145"/>
  </r>
  <r>
    <s v="ORD3425"/>
    <d v="2023-04-05T00:00:00"/>
    <x v="2"/>
    <x v="1"/>
    <x v="0"/>
    <x v="0"/>
    <n v="78781.69"/>
    <n v="48969.99"/>
    <s v="Actual"/>
    <n v="5"/>
    <n v="29811.700000000004"/>
    <n v="0.37840899325718963"/>
  </r>
  <r>
    <s v="ORD9544"/>
    <s v="Not Mentioned"/>
    <x v="3"/>
    <x v="1"/>
    <x v="3"/>
    <x v="0"/>
    <n v="68163.03"/>
    <n v="54530.423999999999"/>
    <s v="Estimated"/>
    <n v="1"/>
    <n v="13632.606"/>
    <n v="0.2"/>
  </r>
  <r>
    <s v="ORD5254"/>
    <d v="2023-03-20T00:00:00"/>
    <x v="5"/>
    <x v="2"/>
    <x v="1"/>
    <x v="0"/>
    <n v="17351.63"/>
    <n v="13881.304000000002"/>
    <s v="Estimated"/>
    <n v="2"/>
    <n v="3470.3259999999991"/>
    <n v="0.19999999999999993"/>
  </r>
  <r>
    <s v="ORD3815"/>
    <d v="2023-06-25T00:00:00"/>
    <x v="0"/>
    <x v="1"/>
    <x v="3"/>
    <x v="0"/>
    <n v="197531.9"/>
    <n v="116203.53"/>
    <s v="Actual"/>
    <n v="3"/>
    <n v="81328.37"/>
    <n v="0.41172271415401762"/>
  </r>
  <r>
    <s v="ORD8348"/>
    <d v="2023-03-20T00:00:00"/>
    <x v="5"/>
    <x v="2"/>
    <x v="2"/>
    <x v="0"/>
    <n v="91938.8"/>
    <n v="61320.3"/>
    <s v="Actual"/>
    <n v="4"/>
    <n v="30618.5"/>
    <n v="0.33303132083516424"/>
  </r>
  <r>
    <s v="ORD6059"/>
    <d v="2023-06-25T00:00:00"/>
    <x v="0"/>
    <x v="1"/>
    <x v="1"/>
    <x v="0"/>
    <n v="46936.87"/>
    <n v="37632.699999999997"/>
    <s v="Actual"/>
    <n v="5"/>
    <n v="9304.1700000000055"/>
    <n v="0.19822732108042154"/>
  </r>
  <r>
    <s v="ORD5883"/>
    <s v="Not Mentioned"/>
    <x v="3"/>
    <x v="2"/>
    <x v="0"/>
    <x v="0"/>
    <n v="53054.01"/>
    <n v="41416.769999999997"/>
    <s v="Actual"/>
    <n v="4"/>
    <n v="11637.240000000005"/>
    <n v="0.21934703898913588"/>
  </r>
  <r>
    <s v="ORD6099"/>
    <d v="2023-04-05T00:00:00"/>
    <x v="2"/>
    <x v="2"/>
    <x v="3"/>
    <x v="0"/>
    <n v="276486.02"/>
    <n v="174750.78"/>
    <s v="Actual"/>
    <n v="4"/>
    <n v="101735.24000000002"/>
    <n v="0.3679579893406546"/>
  </r>
  <r>
    <s v="ORD434"/>
    <s v="Not Mentioned"/>
    <x v="3"/>
    <x v="1"/>
    <x v="1"/>
    <x v="0"/>
    <n v="10305.549999999999"/>
    <n v="7519.45"/>
    <s v="Actual"/>
    <n v="1"/>
    <n v="2786.0999999999995"/>
    <n v="0.27034947188650771"/>
  </r>
  <r>
    <s v="ORD6850"/>
    <d v="2023-03-20T00:00:00"/>
    <x v="5"/>
    <x v="2"/>
    <x v="2"/>
    <x v="0"/>
    <n v="101501.57"/>
    <n v="62848.44"/>
    <s v="Actual"/>
    <n v="5"/>
    <n v="38653.130000000005"/>
    <n v="0.38081312436842113"/>
  </r>
  <r>
    <s v="ORD8529"/>
    <d v="2023-06-25T00:00:00"/>
    <x v="0"/>
    <x v="3"/>
    <x v="3"/>
    <x v="0"/>
    <n v="140323.51999999999"/>
    <n v="83125.52"/>
    <s v="Actual"/>
    <n v="2"/>
    <n v="57197.999999999985"/>
    <n v="0.40761520235524301"/>
  </r>
  <r>
    <s v="ORD9525"/>
    <d v="2023-04-05T00:00:00"/>
    <x v="2"/>
    <x v="1"/>
    <x v="2"/>
    <x v="0"/>
    <n v="87878.25"/>
    <n v="52424.17"/>
    <s v="Actual"/>
    <n v="4"/>
    <n v="35454.080000000002"/>
    <n v="0.40344544867472898"/>
  </r>
  <r>
    <s v="ORD6482"/>
    <d v="2023-04-05T00:00:00"/>
    <x v="2"/>
    <x v="2"/>
    <x v="2"/>
    <x v="0"/>
    <n v="41175.199999999997"/>
    <n v="25068.71"/>
    <s v="Actual"/>
    <n v="2"/>
    <n v="16106.489999999998"/>
    <n v="0.39116968466455532"/>
  </r>
  <r>
    <s v="ORD2757"/>
    <d v="2023-04-05T00:00:00"/>
    <x v="2"/>
    <x v="3"/>
    <x v="3"/>
    <x v="0"/>
    <n v="70885.77"/>
    <n v="46526.81"/>
    <s v="Actual"/>
    <n v="1"/>
    <n v="24358.960000000006"/>
    <n v="0.34363681173245358"/>
  </r>
  <r>
    <s v="ORD635"/>
    <d v="2023-02-15T00:00:00"/>
    <x v="1"/>
    <x v="1"/>
    <x v="3"/>
    <x v="0"/>
    <n v="104618.11"/>
    <n v="96860.17"/>
    <s v="Actual"/>
    <n v="2"/>
    <n v="7757.9400000000023"/>
    <n v="7.4154847568934312E-2"/>
  </r>
  <r>
    <s v="ORD780"/>
    <d v="2023-01-15T00:00:00"/>
    <x v="4"/>
    <x v="2"/>
    <x v="0"/>
    <x v="0"/>
    <n v="64595.5"/>
    <n v="40661.83"/>
    <s v="Actual"/>
    <n v="4"/>
    <n v="23933.67"/>
    <n v="0.3705160576201128"/>
  </r>
  <r>
    <s v="ORD363"/>
    <d v="2023-02-15T00:00:00"/>
    <x v="1"/>
    <x v="3"/>
    <x v="3"/>
    <x v="0"/>
    <n v="50297.55"/>
    <n v="48829.24"/>
    <s v="Actual"/>
    <n v="1"/>
    <n v="1468.3100000000049"/>
    <n v="2.9192475577836392E-2"/>
  </r>
  <r>
    <s v="ORD285"/>
    <d v="2023-06-25T00:00:00"/>
    <x v="0"/>
    <x v="3"/>
    <x v="2"/>
    <x v="0"/>
    <n v="81494.52"/>
    <n v="50512.05"/>
    <s v="Actual"/>
    <n v="4"/>
    <n v="30982.47"/>
    <n v="0.38017856906206698"/>
  </r>
  <r>
    <s v="ORD4690"/>
    <d v="2023-03-20T00:00:00"/>
    <x v="5"/>
    <x v="0"/>
    <x v="1"/>
    <x v="0"/>
    <n v="43667.32"/>
    <n v="26293.200000000001"/>
    <s v="Actual"/>
    <n v="4"/>
    <n v="17374.12"/>
    <n v="0.39787465775321224"/>
  </r>
  <r>
    <s v="ORD7896"/>
    <d v="2023-06-25T00:00:00"/>
    <x v="0"/>
    <x v="1"/>
    <x v="3"/>
    <x v="0"/>
    <n v="268824.03999999998"/>
    <n v="192969.42"/>
    <s v="Actual"/>
    <n v="4"/>
    <n v="75854.619999999966"/>
    <n v="0.28217201110436391"/>
  </r>
  <r>
    <s v="ORD2075"/>
    <d v="2023-03-20T00:00:00"/>
    <x v="5"/>
    <x v="1"/>
    <x v="2"/>
    <x v="0"/>
    <n v="36492.410000000003"/>
    <n v="24660.21"/>
    <s v="Actual"/>
    <n v="2"/>
    <n v="11832.200000000004"/>
    <n v="0.32423728660288548"/>
  </r>
  <r>
    <s v="ORD6909"/>
    <d v="2023-03-20T00:00:00"/>
    <x v="5"/>
    <x v="1"/>
    <x v="0"/>
    <x v="0"/>
    <n v="15644.89"/>
    <n v="9033.43"/>
    <s v="Actual"/>
    <n v="1"/>
    <n v="6611.4599999999991"/>
    <n v="0.42259549284143255"/>
  </r>
  <r>
    <s v="ORD6135"/>
    <d v="2023-02-15T00:00:00"/>
    <x v="1"/>
    <x v="2"/>
    <x v="0"/>
    <x v="0"/>
    <n v="74111.89"/>
    <n v="47874.91"/>
    <s v="Actual"/>
    <n v="5"/>
    <n v="26236.979999999996"/>
    <n v="0.35401849824636772"/>
  </r>
  <r>
    <s v="ORD5210"/>
    <d v="2023-01-15T00:00:00"/>
    <x v="4"/>
    <x v="2"/>
    <x v="1"/>
    <x v="0"/>
    <n v="39266.01"/>
    <n v="29896.32"/>
    <s v="Actual"/>
    <n v="4"/>
    <n v="9369.6900000000023"/>
    <n v="0.23862088355806974"/>
  </r>
  <r>
    <s v="ORD3533"/>
    <d v="2023-02-15T00:00:00"/>
    <x v="1"/>
    <x v="2"/>
    <x v="2"/>
    <x v="0"/>
    <n v="20623.66"/>
    <n v="14196.87"/>
    <s v="Actual"/>
    <n v="1"/>
    <n v="6426.7899999999991"/>
    <n v="0.31162218539289338"/>
  </r>
  <r>
    <s v="ORD2336"/>
    <d v="2023-06-25T00:00:00"/>
    <x v="0"/>
    <x v="2"/>
    <x v="0"/>
    <x v="0"/>
    <n v="24904.61"/>
    <n v="17245.25"/>
    <s v="Actual"/>
    <n v="2"/>
    <n v="7659.3600000000006"/>
    <n v="0.30754787968974423"/>
  </r>
  <r>
    <s v="ORD806"/>
    <d v="2023-03-20T00:00:00"/>
    <x v="5"/>
    <x v="1"/>
    <x v="0"/>
    <x v="0"/>
    <n v="12526.57"/>
    <n v="10653.7"/>
    <s v="Actual"/>
    <n v="1"/>
    <n v="1872.869999999999"/>
    <n v="0.14951179772276041"/>
  </r>
  <r>
    <s v="ORD4086"/>
    <d v="2023-02-15T00:00:00"/>
    <x v="1"/>
    <x v="3"/>
    <x v="2"/>
    <x v="0"/>
    <n v="42646.26"/>
    <n v="25879.919999999998"/>
    <s v="Actual"/>
    <n v="2"/>
    <n v="16766.340000000004"/>
    <n v="0.39314912960714499"/>
  </r>
  <r>
    <s v="ORD1868"/>
    <d v="2023-02-15T00:00:00"/>
    <x v="1"/>
    <x v="1"/>
    <x v="0"/>
    <x v="0"/>
    <n v="14982.78"/>
    <n v="9047.74"/>
    <s v="Actual"/>
    <s v="Unknown"/>
    <n v="5935.0400000000009"/>
    <n v="0.39612408378151454"/>
  </r>
  <r>
    <s v="ORD6057"/>
    <d v="2023-04-05T00:00:00"/>
    <x v="2"/>
    <x v="3"/>
    <x v="2"/>
    <x v="0"/>
    <n v="84701.65"/>
    <n v="50663.040000000001"/>
    <s v="Actual"/>
    <n v="4"/>
    <n v="34038.609999999993"/>
    <n v="0.40186478067428433"/>
  </r>
  <r>
    <s v="ORD1143"/>
    <d v="2023-03-20T00:00:00"/>
    <x v="5"/>
    <x v="0"/>
    <x v="2"/>
    <x v="0"/>
    <n v="102067.64"/>
    <n v="64409.77"/>
    <s v="Actual"/>
    <n v="5"/>
    <n v="37657.870000000003"/>
    <n v="0.36895013933897169"/>
  </r>
  <r>
    <s v="ORD7599"/>
    <s v="Not Mentioned"/>
    <x v="3"/>
    <x v="1"/>
    <x v="2"/>
    <x v="0"/>
    <n v="75242.05"/>
    <n v="60193.640000000007"/>
    <s v="Estimated"/>
    <n v="4"/>
    <n v="15048.409999999996"/>
    <n v="0.19999999999999996"/>
  </r>
  <r>
    <s v="ORD3620"/>
    <d v="2023-01-15T00:00:00"/>
    <x v="4"/>
    <x v="1"/>
    <x v="1"/>
    <x v="0"/>
    <n v="9154.32"/>
    <n v="6843.13"/>
    <s v="Actual"/>
    <n v="1"/>
    <n v="2311.1899999999996"/>
    <n v="0.25246987214779465"/>
  </r>
  <r>
    <s v="ORD6745"/>
    <d v="2023-06-25T00:00:00"/>
    <x v="0"/>
    <x v="1"/>
    <x v="2"/>
    <x v="0"/>
    <n v="73107.429999999993"/>
    <n v="52904.34"/>
    <s v="Actual"/>
    <n v="4"/>
    <n v="20203.089999999997"/>
    <n v="0.2763479717451427"/>
  </r>
  <r>
    <s v="ORD3395"/>
    <d v="2023-06-25T00:00:00"/>
    <x v="0"/>
    <x v="3"/>
    <x v="2"/>
    <x v="0"/>
    <n v="62427.07"/>
    <n v="36233.74"/>
    <s v="Actual"/>
    <n v="3"/>
    <n v="26193.33"/>
    <n v="0.41958288287436846"/>
  </r>
  <r>
    <s v="ORD9706"/>
    <d v="2023-06-25T00:00:00"/>
    <x v="0"/>
    <x v="1"/>
    <x v="1"/>
    <x v="0"/>
    <n v="19147.73"/>
    <n v="15318.184000000001"/>
    <s v="Estimated"/>
    <n v="2"/>
    <n v="3829.5459999999985"/>
    <n v="0.19999999999999993"/>
  </r>
  <r>
    <s v="ORD4688"/>
    <d v="2023-04-05T00:00:00"/>
    <x v="2"/>
    <x v="0"/>
    <x v="1"/>
    <x v="0"/>
    <n v="32651.35"/>
    <n v="20261.5"/>
    <s v="Actual"/>
    <n v="3"/>
    <n v="12389.849999999999"/>
    <n v="0.3794590422754342"/>
  </r>
  <r>
    <s v="ORD2067"/>
    <d v="2023-04-05T00:00:00"/>
    <x v="2"/>
    <x v="1"/>
    <x v="3"/>
    <x v="0"/>
    <n v="196364.09"/>
    <n v="190735.22"/>
    <s v="Actual"/>
    <n v="4"/>
    <n v="5628.8699999999953"/>
    <n v="2.8665475444109946E-2"/>
  </r>
  <r>
    <s v="ORD1837"/>
    <d v="2023-04-05T00:00:00"/>
    <x v="2"/>
    <x v="1"/>
    <x v="2"/>
    <x v="0"/>
    <n v="95830.83"/>
    <n v="69161.34"/>
    <s v="Actual"/>
    <n v="5"/>
    <n v="26669.490000000005"/>
    <n v="0.27829760005209186"/>
  </r>
  <r>
    <s v="ORD8597"/>
    <d v="2023-01-15T00:00:00"/>
    <x v="4"/>
    <x v="2"/>
    <x v="1"/>
    <x v="0"/>
    <n v="10238.030000000001"/>
    <n v="7264.36"/>
    <s v="Actual"/>
    <s v="Unknown"/>
    <n v="2973.670000000001"/>
    <n v="0.2904533391677892"/>
  </r>
  <r>
    <s v="ORD5861"/>
    <d v="2023-04-05T00:00:00"/>
    <x v="2"/>
    <x v="0"/>
    <x v="3"/>
    <x v="0"/>
    <n v="172225.95"/>
    <n v="132509.54"/>
    <s v="Actual"/>
    <n v="3"/>
    <n v="39716.410000000003"/>
    <n v="0.23060642139004023"/>
  </r>
  <r>
    <s v="ORD2128"/>
    <d v="2023-04-05T00:00:00"/>
    <x v="2"/>
    <x v="1"/>
    <x v="2"/>
    <x v="0"/>
    <n v="75415.399999999994"/>
    <n v="61398.04"/>
    <s v="Actual"/>
    <s v="Unknown"/>
    <n v="14017.359999999993"/>
    <n v="0.18586866873344163"/>
  </r>
  <r>
    <s v="ORD8261"/>
    <d v="2023-03-20T00:00:00"/>
    <x v="5"/>
    <x v="2"/>
    <x v="2"/>
    <x v="0"/>
    <n v="18837.63"/>
    <n v="15113.8"/>
    <s v="Actual"/>
    <n v="1"/>
    <n v="3723.8300000000017"/>
    <n v="0.19768038760714599"/>
  </r>
  <r>
    <s v="ORD2429"/>
    <s v="Not Mentioned"/>
    <x v="3"/>
    <x v="2"/>
    <x v="2"/>
    <x v="0"/>
    <n v="16972.900000000001"/>
    <n v="12829.93"/>
    <s v="Actual"/>
    <n v="1"/>
    <n v="4142.9700000000012"/>
    <n v="0.24409323097408225"/>
  </r>
  <r>
    <s v="ORD4966"/>
    <d v="2023-02-15T00:00:00"/>
    <x v="1"/>
    <x v="0"/>
    <x v="3"/>
    <x v="0"/>
    <n v="187083.28"/>
    <n v="129254.9"/>
    <s v="Actual"/>
    <n v="3"/>
    <n v="57828.380000000005"/>
    <n v="0.309105014622365"/>
  </r>
  <r>
    <s v="ORD7867"/>
    <d v="2023-04-05T00:00:00"/>
    <x v="2"/>
    <x v="1"/>
    <x v="0"/>
    <x v="0"/>
    <n v="13319.91"/>
    <n v="8528.1"/>
    <s v="Actual"/>
    <s v="Unknown"/>
    <n v="4791.8099999999995"/>
    <n v="0.35974792622472673"/>
  </r>
  <r>
    <s v="ORD4670"/>
    <d v="2023-03-20T00:00:00"/>
    <x v="5"/>
    <x v="1"/>
    <x v="2"/>
    <x v="0"/>
    <n v="64447.38"/>
    <n v="47780.66"/>
    <s v="Actual"/>
    <n v="4"/>
    <n v="16666.719999999994"/>
    <n v="0.25860973712197444"/>
  </r>
  <r>
    <s v="ORD4709"/>
    <d v="2023-03-20T00:00:00"/>
    <x v="5"/>
    <x v="0"/>
    <x v="1"/>
    <x v="0"/>
    <n v="9665.0499999999993"/>
    <n v="7141.98"/>
    <s v="Actual"/>
    <n v="1"/>
    <n v="2523.0699999999997"/>
    <n v="0.26105089989187846"/>
  </r>
  <r>
    <s v="ORD8995"/>
    <d v="2023-03-20T00:00:00"/>
    <x v="5"/>
    <x v="2"/>
    <x v="1"/>
    <x v="0"/>
    <n v="19250.169999999998"/>
    <n v="13264.1"/>
    <s v="Actual"/>
    <n v="2"/>
    <n v="5986.0699999999979"/>
    <n v="0.31096192916737869"/>
  </r>
  <r>
    <s v="ORD2818"/>
    <d v="2023-01-15T00:00:00"/>
    <x v="4"/>
    <x v="1"/>
    <x v="3"/>
    <x v="0"/>
    <n v="273429.96999999997"/>
    <n v="205879.79"/>
    <s v="Actual"/>
    <n v="5"/>
    <n v="67550.179999999964"/>
    <n v="0.2470474615492953"/>
  </r>
  <r>
    <s v="ORD8204"/>
    <d v="2023-04-05T00:00:00"/>
    <x v="2"/>
    <x v="2"/>
    <x v="1"/>
    <x v="0"/>
    <n v="20073.830000000002"/>
    <n v="12305.48"/>
    <s v="Actual"/>
    <n v="2"/>
    <n v="7768.3500000000022"/>
    <n v="0.38698893036356297"/>
  </r>
  <r>
    <s v="ORD910"/>
    <d v="2023-03-20T00:00:00"/>
    <x v="5"/>
    <x v="1"/>
    <x v="0"/>
    <x v="0"/>
    <n v="82938.81"/>
    <n v="50470.94"/>
    <s v="Actual"/>
    <n v="5"/>
    <n v="32467.869999999995"/>
    <n v="0.39146775797723643"/>
  </r>
  <r>
    <s v="ORD1687"/>
    <d v="2023-01-15T00:00:00"/>
    <x v="4"/>
    <x v="0"/>
    <x v="1"/>
    <x v="0"/>
    <n v="42476.2"/>
    <n v="28701.99"/>
    <s v="Actual"/>
    <n v="4"/>
    <n v="13774.209999999995"/>
    <n v="0.32428065599088424"/>
  </r>
  <r>
    <s v="ORD8710"/>
    <d v="2023-03-20T00:00:00"/>
    <x v="5"/>
    <x v="1"/>
    <x v="2"/>
    <x v="0"/>
    <n v="63668.95"/>
    <n v="39058.46"/>
    <s v="Actual"/>
    <n v="3"/>
    <n v="24610.489999999998"/>
    <n v="0.38653833619056072"/>
  </r>
  <r>
    <s v="ORD2132"/>
    <d v="2023-01-15T00:00:00"/>
    <x v="4"/>
    <x v="1"/>
    <x v="0"/>
    <x v="0"/>
    <n v="16387.740000000002"/>
    <n v="10818.65"/>
    <s v="Actual"/>
    <n v="1"/>
    <n v="5569.090000000002"/>
    <n v="0.33983270420448464"/>
  </r>
  <r>
    <s v="ORD270"/>
    <s v="Not Mentioned"/>
    <x v="3"/>
    <x v="2"/>
    <x v="0"/>
    <x v="0"/>
    <n v="36879.99"/>
    <n v="32270.63"/>
    <s v="Actual"/>
    <n v="3"/>
    <n v="4609.3599999999969"/>
    <n v="0.12498268030983732"/>
  </r>
  <r>
    <s v="ORD9051"/>
    <s v="Not Mentioned"/>
    <x v="3"/>
    <x v="2"/>
    <x v="3"/>
    <x v="0"/>
    <n v="250714.31"/>
    <n v="233254.68"/>
    <s v="Actual"/>
    <n v="5"/>
    <n v="17459.630000000005"/>
    <n v="6.9639543111839147E-2"/>
  </r>
  <r>
    <s v="ORD9396"/>
    <d v="2023-01-15T00:00:00"/>
    <x v="4"/>
    <x v="1"/>
    <x v="1"/>
    <x v="0"/>
    <n v="33276.11"/>
    <n v="24767.09"/>
    <s v="Actual"/>
    <n v="4"/>
    <n v="8509.02"/>
    <n v="0.25570957663020105"/>
  </r>
  <r>
    <s v="ORD2459"/>
    <d v="2023-06-25T00:00:00"/>
    <x v="0"/>
    <x v="3"/>
    <x v="2"/>
    <x v="0"/>
    <n v="21504.71"/>
    <n v="14107.19"/>
    <s v="Actual"/>
    <n v="1"/>
    <n v="7397.5199999999986"/>
    <n v="0.34399533869556942"/>
  </r>
  <r>
    <s v="ORD2003"/>
    <d v="2023-06-25T00:00:00"/>
    <x v="0"/>
    <x v="0"/>
    <x v="2"/>
    <x v="0"/>
    <n v="17968.63"/>
    <n v="15235.11"/>
    <s v="Actual"/>
    <n v="1"/>
    <n v="2733.5200000000004"/>
    <n v="0.15212734638088715"/>
  </r>
  <r>
    <s v="ORD5498"/>
    <d v="2023-04-05T00:00:00"/>
    <x v="2"/>
    <x v="0"/>
    <x v="0"/>
    <x v="0"/>
    <n v="14952.82"/>
    <n v="9255.18"/>
    <s v="Actual"/>
    <n v="1"/>
    <n v="5697.6399999999994"/>
    <n v="0.38104116815423444"/>
  </r>
  <r>
    <s v="ORD796"/>
    <d v="2023-04-05T00:00:00"/>
    <x v="2"/>
    <x v="3"/>
    <x v="0"/>
    <x v="0"/>
    <n v="64474.42"/>
    <n v="41419.67"/>
    <s v="Actual"/>
    <n v="4"/>
    <n v="23054.75"/>
    <n v="0.35757979676280921"/>
  </r>
  <r>
    <s v="ORD8798"/>
    <d v="2023-06-25T00:00:00"/>
    <x v="0"/>
    <x v="0"/>
    <x v="2"/>
    <x v="0"/>
    <n v="98962.52"/>
    <n v="70781.240000000005"/>
    <s v="Actual"/>
    <n v="5"/>
    <n v="28181.279999999999"/>
    <n v="0.28476720277535372"/>
  </r>
  <r>
    <s v="ORD6527"/>
    <d v="2023-01-15T00:00:00"/>
    <x v="4"/>
    <x v="2"/>
    <x v="1"/>
    <x v="0"/>
    <n v="10759.78"/>
    <n v="5961.39"/>
    <s v="Actual"/>
    <n v="1"/>
    <n v="4798.3900000000003"/>
    <n v="0.44595614408473033"/>
  </r>
  <r>
    <s v="ORD7499"/>
    <d v="2023-06-25T00:00:00"/>
    <x v="0"/>
    <x v="3"/>
    <x v="2"/>
    <x v="0"/>
    <n v="50323.49"/>
    <n v="41162.68"/>
    <s v="Actual"/>
    <n v="3"/>
    <n v="9160.8099999999977"/>
    <n v="0.18203844765138502"/>
  </r>
  <r>
    <s v="ORD736"/>
    <s v="Not Mentioned"/>
    <x v="3"/>
    <x v="3"/>
    <x v="3"/>
    <x v="0"/>
    <n v="70622.17"/>
    <n v="46265.07"/>
    <s v="Actual"/>
    <n v="1"/>
    <n v="24357.1"/>
    <n v="0.34489311217709678"/>
  </r>
  <r>
    <s v="ORD895"/>
    <d v="2023-04-05T00:00:00"/>
    <x v="2"/>
    <x v="1"/>
    <x v="0"/>
    <x v="0"/>
    <n v="25517.58"/>
    <n v="20856.18"/>
    <s v="Actual"/>
    <n v="2"/>
    <n v="4661.4000000000015"/>
    <n v="0.18267406235230774"/>
  </r>
  <r>
    <s v="ORD553"/>
    <s v="Not Mentioned"/>
    <x v="3"/>
    <x v="0"/>
    <x v="0"/>
    <x v="0"/>
    <n v="69982.960000000006"/>
    <n v="39859.370000000003"/>
    <s v="Actual"/>
    <n v="4"/>
    <n v="30123.590000000004"/>
    <n v="0.43044178182803361"/>
  </r>
  <r>
    <s v="ORD428"/>
    <d v="2023-04-05T00:00:00"/>
    <x v="2"/>
    <x v="1"/>
    <x v="3"/>
    <x v="0"/>
    <n v="208123.6"/>
    <n v="194416.21"/>
    <s v="Actual"/>
    <n v="4"/>
    <n v="13707.390000000014"/>
    <n v="6.586177636750476E-2"/>
  </r>
  <r>
    <s v="ORD2586"/>
    <d v="2023-02-15T00:00:00"/>
    <x v="1"/>
    <x v="0"/>
    <x v="2"/>
    <x v="0"/>
    <n v="32055.5"/>
    <n v="29895.79"/>
    <s v="Actual"/>
    <n v="2"/>
    <n v="2159.7099999999991"/>
    <n v="6.7374085570338915E-2"/>
  </r>
  <r>
    <s v="ORD568"/>
    <d v="2023-02-15T00:00:00"/>
    <x v="1"/>
    <x v="1"/>
    <x v="0"/>
    <x v="0"/>
    <n v="58154.1"/>
    <n v="35043.64"/>
    <s v="Actual"/>
    <n v="4"/>
    <n v="23110.46"/>
    <n v="0.39740035526299949"/>
  </r>
  <r>
    <s v="ORD8993"/>
    <d v="2023-04-05T00:00:00"/>
    <x v="2"/>
    <x v="1"/>
    <x v="2"/>
    <x v="0"/>
    <n v="18091.11"/>
    <n v="13347.35"/>
    <s v="Actual"/>
    <n v="1"/>
    <n v="4743.76"/>
    <n v="0.26221497741155742"/>
  </r>
  <r>
    <s v="ORD3764"/>
    <d v="2023-06-25T00:00:00"/>
    <x v="0"/>
    <x v="0"/>
    <x v="3"/>
    <x v="0"/>
    <n v="177099.19"/>
    <n v="119946.03"/>
    <s v="Actual"/>
    <n v="3"/>
    <n v="57153.16"/>
    <n v="0.32271835912970581"/>
  </r>
  <r>
    <s v="ORD6584"/>
    <d v="2023-02-15T00:00:00"/>
    <x v="1"/>
    <x v="1"/>
    <x v="1"/>
    <x v="0"/>
    <n v="44840.7"/>
    <n v="30290.29"/>
    <s v="Actual"/>
    <n v="4"/>
    <n v="14550.409999999996"/>
    <n v="0.32449114309098648"/>
  </r>
  <r>
    <s v="ORD9035"/>
    <d v="2023-06-25T00:00:00"/>
    <x v="0"/>
    <x v="2"/>
    <x v="2"/>
    <x v="0"/>
    <n v="17631.07"/>
    <n v="11983.96"/>
    <s v="Actual"/>
    <n v="1"/>
    <n v="5647.1100000000006"/>
    <n v="0.32029309622161334"/>
  </r>
  <r>
    <s v="ORD5250"/>
    <d v="2023-03-20T00:00:00"/>
    <x v="5"/>
    <x v="2"/>
    <x v="2"/>
    <x v="0"/>
    <n v="17053.12"/>
    <n v="13127.7"/>
    <s v="Actual"/>
    <n v="1"/>
    <n v="3925.4199999999983"/>
    <n v="0.23018778968306083"/>
  </r>
  <r>
    <s v="ORD5433"/>
    <d v="2023-06-25T00:00:00"/>
    <x v="0"/>
    <x v="2"/>
    <x v="1"/>
    <x v="0"/>
    <n v="17010.46"/>
    <n v="13200.72"/>
    <s v="Actual"/>
    <n v="2"/>
    <n v="3809.74"/>
    <n v="0.22396454887169423"/>
  </r>
  <r>
    <s v="ORD986"/>
    <s v="Not Mentioned"/>
    <x v="3"/>
    <x v="2"/>
    <x v="3"/>
    <x v="0"/>
    <n v="51960.9"/>
    <n v="49470.55"/>
    <s v="Actual"/>
    <n v="1"/>
    <n v="2490.3499999999985"/>
    <n v="4.792738385978685E-2"/>
  </r>
  <r>
    <s v="ORD120"/>
    <d v="2023-03-20T00:00:00"/>
    <x v="5"/>
    <x v="1"/>
    <x v="0"/>
    <x v="0"/>
    <n v="14933.36"/>
    <n v="9804.7900000000009"/>
    <s v="Actual"/>
    <n v="1"/>
    <n v="5128.57"/>
    <n v="0.34343041351711867"/>
  </r>
  <r>
    <s v="ORD6332"/>
    <d v="2023-01-15T00:00:00"/>
    <x v="4"/>
    <x v="0"/>
    <x v="3"/>
    <x v="0"/>
    <n v="160172.42000000001"/>
    <n v="116564.91"/>
    <s v="Actual"/>
    <n v="3"/>
    <n v="43607.510000000009"/>
    <n v="0.27225355026789261"/>
  </r>
  <r>
    <s v="ORD8465"/>
    <d v="2023-01-15T00:00:00"/>
    <x v="4"/>
    <x v="0"/>
    <x v="3"/>
    <x v="0"/>
    <n v="118972.58"/>
    <n v="84158.7"/>
    <s v="Actual"/>
    <n v="2"/>
    <n v="34813.880000000005"/>
    <n v="0.29262103923441857"/>
  </r>
  <r>
    <s v="ORD1720"/>
    <d v="2023-01-15T00:00:00"/>
    <x v="4"/>
    <x v="3"/>
    <x v="3"/>
    <x v="0"/>
    <n v="286745.7"/>
    <n v="213149.47"/>
    <s v="Actual"/>
    <n v="5"/>
    <n v="73596.23000000001"/>
    <n v="0.25666027424299653"/>
  </r>
  <r>
    <s v="ORD8046"/>
    <s v="Not Mentioned"/>
    <x v="3"/>
    <x v="2"/>
    <x v="3"/>
    <x v="0"/>
    <n v="204092.81"/>
    <n v="190612.94"/>
    <s v="Actual"/>
    <n v="4"/>
    <n v="13479.869999999995"/>
    <n v="6.6047745631019519E-2"/>
  </r>
  <r>
    <s v="ORD9616"/>
    <d v="2023-02-15T00:00:00"/>
    <x v="1"/>
    <x v="3"/>
    <x v="1"/>
    <x v="0"/>
    <n v="44468.91"/>
    <n v="26058.639999999999"/>
    <s v="Actual"/>
    <n v="4"/>
    <n v="18410.270000000004"/>
    <n v="0.41400317660136043"/>
  </r>
  <r>
    <s v="ORD1637"/>
    <d v="2023-04-05T00:00:00"/>
    <x v="2"/>
    <x v="2"/>
    <x v="2"/>
    <x v="0"/>
    <n v="90116.58"/>
    <n v="72093.26400000001"/>
    <s v="Estimated"/>
    <n v="5"/>
    <n v="18023.315999999992"/>
    <n v="0.1999999999999999"/>
  </r>
  <r>
    <s v="ORD2488"/>
    <d v="2023-01-15T00:00:00"/>
    <x v="4"/>
    <x v="2"/>
    <x v="2"/>
    <x v="0"/>
    <n v="49074.05"/>
    <n v="43215.66"/>
    <s v="Actual"/>
    <n v="3"/>
    <n v="5858.3899999999994"/>
    <n v="0.1193785717706201"/>
  </r>
  <r>
    <s v="ORD7195"/>
    <s v="Not Mentioned"/>
    <x v="3"/>
    <x v="3"/>
    <x v="2"/>
    <x v="0"/>
    <n v="36425.040000000001"/>
    <n v="30256.79"/>
    <s v="Actual"/>
    <n v="2"/>
    <n v="6168.25"/>
    <n v="0.16934092591250413"/>
  </r>
  <r>
    <s v="ORD1356"/>
    <d v="2023-02-15T00:00:00"/>
    <x v="1"/>
    <x v="2"/>
    <x v="3"/>
    <x v="0"/>
    <n v="70539.820000000007"/>
    <n v="38737.56"/>
    <s v="Actual"/>
    <n v="1"/>
    <n v="31802.260000000009"/>
    <n v="0.45084124115995766"/>
  </r>
  <r>
    <s v="ORD3713"/>
    <d v="2023-01-15T00:00:00"/>
    <x v="4"/>
    <x v="1"/>
    <x v="0"/>
    <x v="0"/>
    <n v="16576.009999999998"/>
    <n v="10622.91"/>
    <s v="Actual"/>
    <s v="Unknown"/>
    <n v="5953.0999999999985"/>
    <n v="0.35913950341487483"/>
  </r>
  <r>
    <s v="ORD4372"/>
    <d v="2023-06-25T00:00:00"/>
    <x v="0"/>
    <x v="1"/>
    <x v="1"/>
    <x v="0"/>
    <n v="9736.91"/>
    <n v="6167.9"/>
    <s v="Actual"/>
    <n v="1"/>
    <n v="3569.01"/>
    <n v="0.36654441706865937"/>
  </r>
  <r>
    <s v="ORD6177"/>
    <d v="2023-06-25T00:00:00"/>
    <x v="0"/>
    <x v="3"/>
    <x v="3"/>
    <x v="0"/>
    <n v="71930.73"/>
    <n v="45909.19"/>
    <s v="Actual"/>
    <n v="1"/>
    <n v="26021.539999999994"/>
    <n v="0.36175831942759368"/>
  </r>
  <r>
    <s v="ORD893"/>
    <d v="2023-03-20T00:00:00"/>
    <x v="5"/>
    <x v="3"/>
    <x v="2"/>
    <x v="0"/>
    <n v="87110.04"/>
    <n v="59568.29"/>
    <s v="Actual"/>
    <n v="4"/>
    <n v="27541.749999999993"/>
    <n v="0.31617193609370398"/>
  </r>
  <r>
    <s v="ORD9770"/>
    <d v="2023-04-05T00:00:00"/>
    <x v="2"/>
    <x v="0"/>
    <x v="1"/>
    <x v="0"/>
    <n v="32530.28"/>
    <n v="18920.05"/>
    <s v="Actual"/>
    <n v="3"/>
    <n v="13610.23"/>
    <n v="0.41838650020842122"/>
  </r>
  <r>
    <s v="ORD376"/>
    <d v="2023-01-15T00:00:00"/>
    <x v="4"/>
    <x v="3"/>
    <x v="2"/>
    <x v="0"/>
    <n v="53726.98"/>
    <n v="44134.78"/>
    <s v="Actual"/>
    <n v="3"/>
    <n v="9592.2000000000044"/>
    <n v="0.17853599811491366"/>
  </r>
  <r>
    <s v="ORD7974"/>
    <d v="2023-03-20T00:00:00"/>
    <x v="5"/>
    <x v="2"/>
    <x v="0"/>
    <x v="0"/>
    <n v="65334.67"/>
    <n v="38349.71"/>
    <s v="Actual"/>
    <n v="4"/>
    <n v="26984.959999999999"/>
    <n v="0.41302665185268406"/>
  </r>
  <r>
    <s v="ORD9818"/>
    <d v="2023-06-25T00:00:00"/>
    <x v="0"/>
    <x v="2"/>
    <x v="1"/>
    <x v="0"/>
    <n v="8325.58"/>
    <n v="6150.71"/>
    <s v="Actual"/>
    <n v="1"/>
    <n v="2174.87"/>
    <n v="0.26122744601577308"/>
  </r>
  <r>
    <s v="ORD2049"/>
    <d v="2023-06-25T00:00:00"/>
    <x v="0"/>
    <x v="1"/>
    <x v="2"/>
    <x v="0"/>
    <n v="20011.25"/>
    <n v="12843.95"/>
    <s v="Actual"/>
    <n v="1"/>
    <n v="7167.2999999999993"/>
    <n v="0.35816353301268034"/>
  </r>
  <r>
    <s v="ORD184"/>
    <d v="2023-01-15T00:00:00"/>
    <x v="4"/>
    <x v="2"/>
    <x v="3"/>
    <x v="0"/>
    <n v="127496.43"/>
    <n v="101997.144"/>
    <s v="Estimated"/>
    <n v="2"/>
    <n v="25499.285999999993"/>
    <n v="0.19999999999999996"/>
  </r>
  <r>
    <s v="ORD7834"/>
    <d v="2023-02-15T00:00:00"/>
    <x v="1"/>
    <x v="1"/>
    <x v="2"/>
    <x v="0"/>
    <n v="23270.05"/>
    <n v="14488.63"/>
    <s v="Actual"/>
    <n v="1"/>
    <n v="8781.42"/>
    <n v="0.37737005292210374"/>
  </r>
  <r>
    <s v="ORD970"/>
    <d v="2023-06-25T00:00:00"/>
    <x v="0"/>
    <x v="1"/>
    <x v="3"/>
    <x v="0"/>
    <n v="142062.73000000001"/>
    <n v="80663.009999999995"/>
    <s v="Actual"/>
    <n v="2"/>
    <n v="61399.720000000016"/>
    <n v="0.43220146480361182"/>
  </r>
  <r>
    <s v="ORD737"/>
    <d v="2023-03-20T00:00:00"/>
    <x v="5"/>
    <x v="2"/>
    <x v="3"/>
    <x v="0"/>
    <n v="54781.04"/>
    <n v="41494.97"/>
    <s v="Actual"/>
    <n v="1"/>
    <n v="13286.07"/>
    <n v="0.24253044484003955"/>
  </r>
  <r>
    <s v="ORD7741"/>
    <d v="2023-01-15T00:00:00"/>
    <x v="4"/>
    <x v="3"/>
    <x v="3"/>
    <x v="0"/>
    <n v="244275.92"/>
    <n v="195420.73600000003"/>
    <s v="Estimated"/>
    <n v="5"/>
    <n v="48855.183999999979"/>
    <n v="0.1999999999999999"/>
  </r>
  <r>
    <s v="ORD2218"/>
    <d v="2023-06-25T00:00:00"/>
    <x v="0"/>
    <x v="1"/>
    <x v="1"/>
    <x v="0"/>
    <n v="8523.44"/>
    <n v="7345.84"/>
    <s v="Actual"/>
    <n v="1"/>
    <n v="1177.6000000000004"/>
    <n v="0.13816017945805922"/>
  </r>
  <r>
    <s v="ORD9965"/>
    <d v="2023-02-15T00:00:00"/>
    <x v="1"/>
    <x v="3"/>
    <x v="0"/>
    <x v="0"/>
    <n v="76605.87"/>
    <n v="43474.68"/>
    <s v="Actual"/>
    <n v="5"/>
    <n v="33131.189999999995"/>
    <n v="0.43248892023548585"/>
  </r>
  <r>
    <s v="ORD5680"/>
    <s v="Not Mentioned"/>
    <x v="3"/>
    <x v="1"/>
    <x v="2"/>
    <x v="0"/>
    <n v="113340.94"/>
    <n v="64443.72"/>
    <s v="Actual"/>
    <n v="5"/>
    <n v="48897.22"/>
    <n v="0.4314171031226669"/>
  </r>
  <r>
    <s v="ORD8785"/>
    <d v="2023-01-15T00:00:00"/>
    <x v="4"/>
    <x v="1"/>
    <x v="3"/>
    <x v="0"/>
    <n v="64270.28"/>
    <n v="47482.879999999997"/>
    <s v="Actual"/>
    <n v="1"/>
    <n v="16787.400000000001"/>
    <n v="0.26120004456180995"/>
  </r>
  <r>
    <s v="ORD3501"/>
    <d v="2023-04-05T00:00:00"/>
    <x v="2"/>
    <x v="2"/>
    <x v="0"/>
    <x v="0"/>
    <n v="49276.45"/>
    <n v="43001.55"/>
    <s v="Actual"/>
    <n v="4"/>
    <n v="6274.8999999999942"/>
    <n v="0.12734074796378381"/>
  </r>
  <r>
    <s v="ORD4746"/>
    <d v="2023-02-15T00:00:00"/>
    <x v="1"/>
    <x v="0"/>
    <x v="0"/>
    <x v="0"/>
    <n v="16430.349999999999"/>
    <n v="10760.35"/>
    <s v="Actual"/>
    <n v="1"/>
    <n v="5669.9999999999982"/>
    <n v="0.34509307470625999"/>
  </r>
  <r>
    <s v="ORD9743"/>
    <d v="2023-03-20T00:00:00"/>
    <x v="5"/>
    <x v="0"/>
    <x v="2"/>
    <x v="0"/>
    <n v="56697.440000000002"/>
    <n v="39751.11"/>
    <s v="Actual"/>
    <n v="3"/>
    <n v="16946.330000000002"/>
    <n v="0.29889056719315726"/>
  </r>
  <r>
    <s v="ORD8404"/>
    <d v="2023-03-20T00:00:00"/>
    <x v="5"/>
    <x v="2"/>
    <x v="1"/>
    <x v="0"/>
    <n v="40438.83"/>
    <n v="36476.22"/>
    <s v="Actual"/>
    <n v="5"/>
    <n v="3962.6100000000006"/>
    <n v="9.7990223752764366E-2"/>
  </r>
  <r>
    <s v="ORD977"/>
    <d v="2023-06-25T00:00:00"/>
    <x v="0"/>
    <x v="1"/>
    <x v="2"/>
    <x v="0"/>
    <n v="23792.99"/>
    <n v="14871.15"/>
    <s v="Actual"/>
    <n v="1"/>
    <n v="8921.840000000002"/>
    <n v="0.37497767199498683"/>
  </r>
  <r>
    <s v="ORD7643"/>
    <s v="Not Mentioned"/>
    <x v="3"/>
    <x v="2"/>
    <x v="1"/>
    <x v="0"/>
    <n v="23943.27"/>
    <n v="14100.83"/>
    <s v="Actual"/>
    <n v="2"/>
    <n v="9842.44"/>
    <n v="0.41107334127711043"/>
  </r>
  <r>
    <s v="ORD271"/>
    <d v="2023-02-15T00:00:00"/>
    <x v="1"/>
    <x v="1"/>
    <x v="2"/>
    <x v="0"/>
    <n v="87922.5"/>
    <n v="53542.13"/>
    <s v="Actual"/>
    <n v="4"/>
    <n v="34380.370000000003"/>
    <n v="0.39103039608746343"/>
  </r>
  <r>
    <s v="ORD1401"/>
    <d v="2023-02-15T00:00:00"/>
    <x v="1"/>
    <x v="2"/>
    <x v="0"/>
    <x v="0"/>
    <n v="82263.98"/>
    <n v="45677.29"/>
    <s v="Actual"/>
    <n v="5"/>
    <n v="36586.689999999995"/>
    <n v="0.4447473851860802"/>
  </r>
  <r>
    <s v="ORD5250"/>
    <d v="2023-03-20T00:00:00"/>
    <x v="5"/>
    <x v="2"/>
    <x v="2"/>
    <x v="0"/>
    <n v="87749.54"/>
    <n v="70382.19"/>
    <s v="Actual"/>
    <n v="5"/>
    <n v="17367.349999999991"/>
    <n v="0.19791955604553588"/>
  </r>
  <r>
    <s v="ORD8957"/>
    <d v="2023-06-25T00:00:00"/>
    <x v="0"/>
    <x v="1"/>
    <x v="0"/>
    <x v="0"/>
    <n v="15750.73"/>
    <n v="12600.584000000001"/>
    <s v="Estimated"/>
    <n v="1"/>
    <n v="3150.1459999999988"/>
    <n v="0.19999999999999993"/>
  </r>
  <r>
    <s v="ORD9023"/>
    <d v="2023-03-20T00:00:00"/>
    <x v="5"/>
    <x v="2"/>
    <x v="1"/>
    <x v="0"/>
    <n v="31045.24"/>
    <n v="22791.01"/>
    <s v="Actual"/>
    <n v="3"/>
    <n v="8254.2300000000032"/>
    <n v="0.26587747429235536"/>
  </r>
  <r>
    <s v="ORD4468"/>
    <d v="2023-01-15T00:00:00"/>
    <x v="4"/>
    <x v="0"/>
    <x v="2"/>
    <x v="0"/>
    <n v="63238.720000000001"/>
    <n v="40748.43"/>
    <s v="Actual"/>
    <n v="3"/>
    <n v="22490.29"/>
    <n v="0.35564113252134139"/>
  </r>
  <r>
    <s v="ORD6240"/>
    <d v="2023-02-15T00:00:00"/>
    <x v="1"/>
    <x v="3"/>
    <x v="3"/>
    <x v="0"/>
    <n v="255010.93"/>
    <n v="170571.53"/>
    <s v="Actual"/>
    <n v="4"/>
    <n v="84439.4"/>
    <n v="0.33112070921822839"/>
  </r>
  <r>
    <s v="ORD980"/>
    <d v="2023-06-25T00:00:00"/>
    <x v="0"/>
    <x v="1"/>
    <x v="2"/>
    <x v="0"/>
    <n v="105209.53"/>
    <n v="67139.990000000005"/>
    <s v="Actual"/>
    <n v="5"/>
    <n v="38069.539999999994"/>
    <n v="0.36184497735138627"/>
  </r>
  <r>
    <s v="ORD4159"/>
    <d v="2023-06-25T00:00:00"/>
    <x v="0"/>
    <x v="2"/>
    <x v="3"/>
    <x v="0"/>
    <n v="244601.89"/>
    <n v="195681.51200000002"/>
    <s v="Estimated"/>
    <n v="5"/>
    <n v="48920.377999999997"/>
    <n v="0.19999999999999998"/>
  </r>
  <r>
    <s v="ORD6932"/>
    <d v="2023-04-05T00:00:00"/>
    <x v="2"/>
    <x v="2"/>
    <x v="1"/>
    <x v="0"/>
    <n v="58961.05"/>
    <n v="38032.370000000003"/>
    <s v="Actual"/>
    <n v="5"/>
    <n v="20928.68"/>
    <n v="0.35495772208941323"/>
  </r>
  <r>
    <s v="ORD6689"/>
    <s v="Not Mentioned"/>
    <x v="3"/>
    <x v="2"/>
    <x v="3"/>
    <x v="0"/>
    <n v="64058.29"/>
    <n v="41934.959999999999"/>
    <s v="Actual"/>
    <n v="1"/>
    <n v="22123.33"/>
    <n v="0.34536248157732591"/>
  </r>
  <r>
    <s v="ORD7812"/>
    <d v="2023-02-15T00:00:00"/>
    <x v="1"/>
    <x v="2"/>
    <x v="3"/>
    <x v="0"/>
    <n v="180536.57"/>
    <n v="116086.35"/>
    <s v="Actual"/>
    <n v="3"/>
    <n v="64450.22"/>
    <n v="0.3569926026621642"/>
  </r>
  <r>
    <s v="ORD5120"/>
    <d v="2023-03-20T00:00:00"/>
    <x v="5"/>
    <x v="2"/>
    <x v="3"/>
    <x v="0"/>
    <n v="266849.7"/>
    <n v="179163.21"/>
    <s v="Actual"/>
    <n v="4"/>
    <n v="87686.49000000002"/>
    <n v="0.32859879550173754"/>
  </r>
  <r>
    <s v="ORD7959"/>
    <d v="2023-03-20T00:00:00"/>
    <x v="5"/>
    <x v="2"/>
    <x v="2"/>
    <x v="0"/>
    <n v="102681"/>
    <n v="66451.570000000007"/>
    <s v="Actual"/>
    <n v="5"/>
    <n v="36229.429999999993"/>
    <n v="0.35283479903779658"/>
  </r>
  <r>
    <s v="ORD3665"/>
    <d v="2023-01-15T00:00:00"/>
    <x v="4"/>
    <x v="0"/>
    <x v="3"/>
    <x v="0"/>
    <n v="186625.42"/>
    <n v="120950.19"/>
    <s v="Actual"/>
    <s v="Unknown"/>
    <n v="65675.23000000001"/>
    <n v="0.35190934868358237"/>
  </r>
  <r>
    <s v="ORD1450"/>
    <d v="2023-06-25T00:00:00"/>
    <x v="0"/>
    <x v="2"/>
    <x v="1"/>
    <x v="0"/>
    <n v="28791.3"/>
    <n v="21766.32"/>
    <s v="Actual"/>
    <n v="3"/>
    <n v="7024.98"/>
    <n v="0.24399662398016067"/>
  </r>
  <r>
    <s v="ORD3365"/>
    <d v="2023-02-15T00:00:00"/>
    <x v="1"/>
    <x v="3"/>
    <x v="3"/>
    <x v="0"/>
    <n v="169999.59"/>
    <n v="138967.20000000001"/>
    <s v="Actual"/>
    <n v="3"/>
    <n v="31032.389999999985"/>
    <n v="0.18254391084119664"/>
  </r>
  <r>
    <s v="ORD6748"/>
    <d v="2023-04-05T00:00:00"/>
    <x v="2"/>
    <x v="3"/>
    <x v="2"/>
    <x v="0"/>
    <n v="87435.17"/>
    <n v="48710.23"/>
    <s v="Actual"/>
    <n v="4"/>
    <n v="38724.939999999995"/>
    <n v="0.44289889297407437"/>
  </r>
  <r>
    <s v="ORD5418"/>
    <d v="2023-03-20T00:00:00"/>
    <x v="5"/>
    <x v="2"/>
    <x v="1"/>
    <x v="0"/>
    <n v="32195.25"/>
    <n v="22312.04"/>
    <s v="Actual"/>
    <n v="3"/>
    <n v="9883.2099999999991"/>
    <n v="0.30697727149191262"/>
  </r>
  <r>
    <s v="ORD1132"/>
    <d v="2023-03-20T00:00:00"/>
    <x v="5"/>
    <x v="1"/>
    <x v="1"/>
    <x v="0"/>
    <n v="32849.06"/>
    <n v="26279.248"/>
    <s v="Estimated"/>
    <n v="3"/>
    <n v="6569.8119999999981"/>
    <n v="0.19999999999999996"/>
  </r>
  <r>
    <s v="ORD2265"/>
    <d v="2023-03-20T00:00:00"/>
    <x v="5"/>
    <x v="2"/>
    <x v="1"/>
    <x v="0"/>
    <n v="38153.050000000003"/>
    <n v="25926.33"/>
    <s v="Actual"/>
    <n v="4"/>
    <n v="12226.720000000001"/>
    <n v="0.32046507422080278"/>
  </r>
  <r>
    <s v="ORD3393"/>
    <d v="2023-01-15T00:00:00"/>
    <x v="4"/>
    <x v="1"/>
    <x v="2"/>
    <x v="0"/>
    <n v="39567.74"/>
    <n v="29138.71"/>
    <s v="Actual"/>
    <n v="2"/>
    <n v="10429.029999999999"/>
    <n v="0.26357406311303094"/>
  </r>
  <r>
    <s v="ORD6981"/>
    <d v="2023-04-05T00:00:00"/>
    <x v="2"/>
    <x v="0"/>
    <x v="1"/>
    <x v="0"/>
    <n v="10860.97"/>
    <n v="7237.46"/>
    <s v="Actual"/>
    <n v="1"/>
    <n v="3623.5099999999993"/>
    <n v="0.33362673867987847"/>
  </r>
  <r>
    <s v="ORD6019"/>
    <d v="2023-01-15T00:00:00"/>
    <x v="4"/>
    <x v="0"/>
    <x v="3"/>
    <x v="0"/>
    <n v="209243.57"/>
    <n v="167394.85600000003"/>
    <s v="Estimated"/>
    <n v="3"/>
    <n v="41848.713999999978"/>
    <n v="0.1999999999999999"/>
  </r>
  <r>
    <s v="ORD272"/>
    <s v="Not Mentioned"/>
    <x v="3"/>
    <x v="3"/>
    <x v="2"/>
    <x v="0"/>
    <n v="103126.49"/>
    <n v="69010.02"/>
    <s v="Actual"/>
    <n v="5"/>
    <n v="34116.47"/>
    <n v="0.33082159588676002"/>
  </r>
  <r>
    <s v="ORD4352"/>
    <d v="2023-04-05T00:00:00"/>
    <x v="2"/>
    <x v="1"/>
    <x v="3"/>
    <x v="0"/>
    <n v="66660.710000000006"/>
    <n v="42953.71"/>
    <s v="Actual"/>
    <n v="1"/>
    <n v="23707.000000000007"/>
    <n v="0.35563677614594874"/>
  </r>
  <r>
    <s v="ORD9009"/>
    <d v="2023-06-25T00:00:00"/>
    <x v="0"/>
    <x v="0"/>
    <x v="3"/>
    <x v="0"/>
    <n v="212296.25"/>
    <n v="121275.75"/>
    <s v="Actual"/>
    <n v="3"/>
    <n v="91020.5"/>
    <n v="0.4287428534418295"/>
  </r>
  <r>
    <s v="ORD2002"/>
    <d v="2023-02-15T00:00:00"/>
    <x v="1"/>
    <x v="3"/>
    <x v="3"/>
    <x v="0"/>
    <n v="210083.55"/>
    <n v="144579.75"/>
    <s v="Actual"/>
    <n v="3"/>
    <n v="65503.799999999988"/>
    <n v="0.31179880576085084"/>
  </r>
  <r>
    <s v="ORD7414"/>
    <d v="2023-02-15T00:00:00"/>
    <x v="1"/>
    <x v="0"/>
    <x v="3"/>
    <x v="0"/>
    <n v="235319.53"/>
    <n v="171018.21"/>
    <s v="Actual"/>
    <n v="4"/>
    <n v="64301.320000000007"/>
    <n v="0.27325109819826687"/>
  </r>
  <r>
    <s v="ORD6849"/>
    <d v="2023-04-05T00:00:00"/>
    <x v="2"/>
    <x v="1"/>
    <x v="0"/>
    <x v="0"/>
    <n v="40394.870000000003"/>
    <n v="32383.18"/>
    <s v="Actual"/>
    <n v="3"/>
    <n v="8011.6900000000023"/>
    <n v="0.19833434294998353"/>
  </r>
  <r>
    <s v="ORD742"/>
    <d v="2023-01-15T00:00:00"/>
    <x v="4"/>
    <x v="2"/>
    <x v="3"/>
    <x v="0"/>
    <n v="351197.93"/>
    <n v="235357.44"/>
    <s v="Actual"/>
    <n v="5"/>
    <n v="115840.48999999999"/>
    <n v="0.3298438860388499"/>
  </r>
  <r>
    <s v="ORD8346"/>
    <d v="2023-01-15T00:00:00"/>
    <x v="4"/>
    <x v="2"/>
    <x v="1"/>
    <x v="0"/>
    <n v="33533.769999999997"/>
    <n v="24442.5"/>
    <s v="Actual"/>
    <n v="4"/>
    <n v="9091.2699999999968"/>
    <n v="0.2711079010800157"/>
  </r>
  <r>
    <s v="ORD3724"/>
    <d v="2023-06-25T00:00:00"/>
    <x v="0"/>
    <x v="1"/>
    <x v="0"/>
    <x v="0"/>
    <n v="56614.2"/>
    <n v="35480.980000000003"/>
    <s v="Actual"/>
    <n v="4"/>
    <n v="21133.219999999994"/>
    <n v="0.37328479427422795"/>
  </r>
  <r>
    <s v="ORD5320"/>
    <d v="2023-01-15T00:00:00"/>
    <x v="4"/>
    <x v="1"/>
    <x v="3"/>
    <x v="0"/>
    <n v="59268.05"/>
    <n v="47414.44"/>
    <s v="Estimated"/>
    <n v="1"/>
    <n v="11853.61"/>
    <n v="0.2"/>
  </r>
  <r>
    <s v="ORD5309"/>
    <d v="2023-01-15T00:00:00"/>
    <x v="4"/>
    <x v="2"/>
    <x v="3"/>
    <x v="0"/>
    <n v="65745.91"/>
    <n v="47036.6"/>
    <s v="Actual"/>
    <n v="1"/>
    <n v="18709.310000000005"/>
    <n v="0.28456994511141459"/>
  </r>
  <r>
    <s v="ORD8026"/>
    <d v="2023-03-20T00:00:00"/>
    <x v="5"/>
    <x v="1"/>
    <x v="1"/>
    <x v="0"/>
    <n v="17298.560000000001"/>
    <n v="12619.99"/>
    <s v="Actual"/>
    <n v="2"/>
    <n v="4678.5700000000015"/>
    <n v="0.27046008453882875"/>
  </r>
  <r>
    <s v="ORD4159"/>
    <d v="2023-03-20T00:00:00"/>
    <x v="5"/>
    <x v="3"/>
    <x v="3"/>
    <x v="0"/>
    <n v="176433.65"/>
    <n v="120452.3"/>
    <s v="Actual"/>
    <n v="3"/>
    <n v="55981.349999999991"/>
    <n v="0.31729406493602547"/>
  </r>
  <r>
    <s v="ORD736"/>
    <d v="2023-04-05T00:00:00"/>
    <x v="2"/>
    <x v="1"/>
    <x v="3"/>
    <x v="0"/>
    <n v="68322.19"/>
    <n v="45246.09"/>
    <s v="Actual"/>
    <n v="1"/>
    <n v="23076.100000000006"/>
    <n v="0.33775410302275155"/>
  </r>
  <r>
    <s v="ORD5565"/>
    <d v="2023-03-20T00:00:00"/>
    <x v="5"/>
    <x v="2"/>
    <x v="1"/>
    <x v="0"/>
    <n v="11738.28"/>
    <n v="6368.45"/>
    <s v="Actual"/>
    <n v="1"/>
    <n v="5369.8300000000008"/>
    <n v="0.45746310362335885"/>
  </r>
  <r>
    <s v="ORD9921"/>
    <d v="2023-03-20T00:00:00"/>
    <x v="5"/>
    <x v="3"/>
    <x v="2"/>
    <x v="0"/>
    <n v="43336.99"/>
    <n v="29228.98"/>
    <s v="Actual"/>
    <n v="2"/>
    <n v="14108.009999999998"/>
    <n v="0.32554199080277607"/>
  </r>
  <r>
    <s v="ORD7867"/>
    <d v="2023-04-05T00:00:00"/>
    <x v="2"/>
    <x v="1"/>
    <x v="1"/>
    <x v="0"/>
    <n v="21066.86"/>
    <n v="12296.44"/>
    <s v="Actual"/>
    <n v="2"/>
    <n v="8770.42"/>
    <n v="0.41631358446394001"/>
  </r>
  <r>
    <s v="ORD5324"/>
    <s v="Not Mentioned"/>
    <x v="3"/>
    <x v="2"/>
    <x v="3"/>
    <x v="0"/>
    <n v="110541.99"/>
    <n v="81470.649999999994"/>
    <s v="Actual"/>
    <n v="2"/>
    <n v="29071.340000000011"/>
    <n v="0.26298911391046975"/>
  </r>
  <r>
    <s v="ORD7452"/>
    <d v="2023-06-25T00:00:00"/>
    <x v="0"/>
    <x v="2"/>
    <x v="1"/>
    <x v="0"/>
    <n v="57977.72"/>
    <n v="30346.17"/>
    <s v="Actual"/>
    <n v="5"/>
    <n v="27631.550000000003"/>
    <n v="0.47658911043759572"/>
  </r>
  <r>
    <s v="ORD9385"/>
    <d v="2023-06-25T00:00:00"/>
    <x v="0"/>
    <x v="0"/>
    <x v="2"/>
    <x v="0"/>
    <n v="81776.37"/>
    <n v="59740.959999999999"/>
    <s v="Actual"/>
    <n v="4"/>
    <n v="22035.409999999996"/>
    <n v="0.26945938050319423"/>
  </r>
  <r>
    <s v="ORD5266"/>
    <d v="2023-06-25T00:00:00"/>
    <x v="0"/>
    <x v="2"/>
    <x v="2"/>
    <x v="0"/>
    <n v="76715.39"/>
    <n v="51044.77"/>
    <s v="Actual"/>
    <n v="4"/>
    <n v="25670.620000000003"/>
    <n v="0.33462151466609247"/>
  </r>
  <r>
    <s v="ORD576"/>
    <d v="2023-03-20T00:00:00"/>
    <x v="5"/>
    <x v="2"/>
    <x v="0"/>
    <x v="0"/>
    <n v="13484.66"/>
    <n v="10859.74"/>
    <s v="Actual"/>
    <n v="1"/>
    <n v="2624.92"/>
    <n v="0.19465970962560422"/>
  </r>
  <r>
    <s v="ORD3923"/>
    <d v="2023-04-05T00:00:00"/>
    <x v="2"/>
    <x v="1"/>
    <x v="3"/>
    <x v="0"/>
    <n v="200691.53"/>
    <n v="116281.48"/>
    <s v="Actual"/>
    <n v="3"/>
    <n v="84410.05"/>
    <n v="0.42059597632246865"/>
  </r>
  <r>
    <s v="ORD6444"/>
    <d v="2023-04-05T00:00:00"/>
    <x v="2"/>
    <x v="2"/>
    <x v="1"/>
    <x v="0"/>
    <n v="8241.65"/>
    <n v="6994.26"/>
    <s v="Actual"/>
    <n v="1"/>
    <n v="1247.3899999999994"/>
    <n v="0.15135197442259735"/>
  </r>
  <r>
    <s v="ORD592"/>
    <d v="2023-03-20T00:00:00"/>
    <x v="5"/>
    <x v="2"/>
    <x v="3"/>
    <x v="0"/>
    <n v="251811.58"/>
    <n v="197142.97"/>
    <s v="Actual"/>
    <n v="5"/>
    <n v="54668.609999999986"/>
    <n v="0.21710125483506354"/>
  </r>
  <r>
    <s v="ORD2205"/>
    <d v="2023-03-20T00:00:00"/>
    <x v="5"/>
    <x v="2"/>
    <x v="1"/>
    <x v="0"/>
    <n v="22731"/>
    <n v="12869.71"/>
    <s v="Actual"/>
    <n v="2"/>
    <n v="9861.2900000000009"/>
    <n v="0.43382561259953373"/>
  </r>
  <r>
    <s v="ORD2665"/>
    <d v="2023-03-20T00:00:00"/>
    <x v="5"/>
    <x v="2"/>
    <x v="2"/>
    <x v="0"/>
    <n v="80512.17"/>
    <n v="64409.736000000004"/>
    <s v="Estimated"/>
    <n v="4"/>
    <n v="16102.433999999994"/>
    <n v="0.19999999999999993"/>
  </r>
  <r>
    <s v="ORD9760"/>
    <d v="2023-03-20T00:00:00"/>
    <x v="5"/>
    <x v="1"/>
    <x v="3"/>
    <x v="0"/>
    <n v="109898.37"/>
    <n v="89039.98"/>
    <s v="Actual"/>
    <n v="2"/>
    <n v="20858.39"/>
    <n v="0.18979708252269803"/>
  </r>
  <r>
    <s v="ORD5840"/>
    <d v="2023-01-15T00:00:00"/>
    <x v="4"/>
    <x v="2"/>
    <x v="2"/>
    <x v="0"/>
    <n v="51001.71"/>
    <n v="38608.29"/>
    <s v="Actual"/>
    <n v="3"/>
    <n v="12393.419999999998"/>
    <n v="0.24300008764412015"/>
  </r>
  <r>
    <s v="ORD8796"/>
    <d v="2023-06-25T00:00:00"/>
    <x v="0"/>
    <x v="2"/>
    <x v="1"/>
    <x v="0"/>
    <n v="17786.38"/>
    <n v="12851.85"/>
    <s v="Actual"/>
    <n v="2"/>
    <n v="4934.5300000000007"/>
    <n v="0.27743306957346014"/>
  </r>
  <r>
    <s v="ORD5860"/>
    <d v="2023-03-20T00:00:00"/>
    <x v="5"/>
    <x v="2"/>
    <x v="0"/>
    <x v="0"/>
    <n v="36082.81"/>
    <n v="27722.86"/>
    <s v="Actual"/>
    <n v="3"/>
    <n v="8359.9499999999971"/>
    <n v="0.23168788683586444"/>
  </r>
  <r>
    <s v="ORD1414"/>
    <d v="2023-04-05T00:00:00"/>
    <x v="2"/>
    <x v="1"/>
    <x v="3"/>
    <x v="0"/>
    <n v="104934.24"/>
    <n v="83163.22"/>
    <s v="Actual"/>
    <n v="2"/>
    <n v="21771.020000000004"/>
    <n v="0.20747298498564437"/>
  </r>
  <r>
    <s v="ORD579"/>
    <d v="2023-03-20T00:00:00"/>
    <x v="5"/>
    <x v="3"/>
    <x v="1"/>
    <x v="0"/>
    <n v="30572.23"/>
    <n v="19605.68"/>
    <s v="Actual"/>
    <n v="3"/>
    <n v="10966.55"/>
    <n v="0.35870952168029613"/>
  </r>
  <r>
    <s v="ORD6630"/>
    <d v="2023-06-25T00:00:00"/>
    <x v="0"/>
    <x v="3"/>
    <x v="0"/>
    <x v="0"/>
    <n v="28244.07"/>
    <n v="17663.45"/>
    <s v="Actual"/>
    <n v="2"/>
    <n v="10580.619999999999"/>
    <n v="0.3746138569972387"/>
  </r>
  <r>
    <s v="ORD6633"/>
    <d v="2023-02-15T00:00:00"/>
    <x v="1"/>
    <x v="1"/>
    <x v="1"/>
    <x v="0"/>
    <n v="41880.61"/>
    <n v="32218.37"/>
    <s v="Actual"/>
    <n v="5"/>
    <n v="9662.2400000000016"/>
    <n v="0.2307091515620236"/>
  </r>
  <r>
    <s v="ORD250"/>
    <d v="2023-04-05T00:00:00"/>
    <x v="2"/>
    <x v="1"/>
    <x v="0"/>
    <x v="0"/>
    <n v="16511.34"/>
    <n v="8882.7800000000007"/>
    <s v="Actual"/>
    <n v="1"/>
    <n v="7628.5599999999995"/>
    <n v="0.46201943633890402"/>
  </r>
  <r>
    <s v="ORD5587"/>
    <d v="2023-04-05T00:00:00"/>
    <x v="2"/>
    <x v="2"/>
    <x v="1"/>
    <x v="0"/>
    <n v="8867.34"/>
    <n v="7463.46"/>
    <s v="Actual"/>
    <n v="1"/>
    <n v="1403.88"/>
    <n v="0.15832030800668523"/>
  </r>
  <r>
    <s v="ORD4611"/>
    <d v="2023-04-05T00:00:00"/>
    <x v="2"/>
    <x v="2"/>
    <x v="1"/>
    <x v="0"/>
    <n v="32773.800000000003"/>
    <n v="28371.95"/>
    <s v="Actual"/>
    <n v="4"/>
    <n v="4401.8500000000022"/>
    <n v="0.13431002813222762"/>
  </r>
  <r>
    <s v="ORD411"/>
    <s v="Not Mentioned"/>
    <x v="3"/>
    <x v="2"/>
    <x v="0"/>
    <x v="0"/>
    <n v="27128.13"/>
    <n v="18966.11"/>
    <s v="Actual"/>
    <n v="2"/>
    <n v="8162.02"/>
    <n v="0.30086924531842041"/>
  </r>
  <r>
    <s v="ORD535"/>
    <d v="2023-01-15T00:00:00"/>
    <x v="4"/>
    <x v="2"/>
    <x v="2"/>
    <x v="0"/>
    <n v="78395.67"/>
    <n v="55048.1"/>
    <s v="Actual"/>
    <n v="4"/>
    <n v="23347.57"/>
    <n v="0.29781708607120777"/>
  </r>
  <r>
    <s v="ORD2996"/>
    <s v="Not Mentioned"/>
    <x v="3"/>
    <x v="0"/>
    <x v="2"/>
    <x v="0"/>
    <n v="92643.19"/>
    <n v="73512.100000000006"/>
    <s v="Actual"/>
    <n v="5"/>
    <n v="19131.089999999997"/>
    <n v="0.20650292806195464"/>
  </r>
  <r>
    <s v="ORD3822"/>
    <d v="2023-02-15T00:00:00"/>
    <x v="1"/>
    <x v="0"/>
    <x v="3"/>
    <x v="0"/>
    <n v="115192.03"/>
    <n v="81377.350000000006"/>
    <s v="Actual"/>
    <n v="2"/>
    <n v="33814.679999999993"/>
    <n v="0.29355051734047916"/>
  </r>
  <r>
    <s v="ORD8584"/>
    <d v="2023-03-20T00:00:00"/>
    <x v="5"/>
    <x v="1"/>
    <x v="1"/>
    <x v="0"/>
    <n v="38653.440000000002"/>
    <n v="24933.88"/>
    <s v="Actual"/>
    <n v="4"/>
    <n v="13719.560000000001"/>
    <n v="0.35493762004106233"/>
  </r>
  <r>
    <s v="ORD1895"/>
    <d v="2023-02-15T00:00:00"/>
    <x v="1"/>
    <x v="1"/>
    <x v="0"/>
    <x v="0"/>
    <n v="28102.68"/>
    <n v="17534.91"/>
    <s v="Actual"/>
    <n v="2"/>
    <n v="10567.77"/>
    <n v="0.37604135975643604"/>
  </r>
  <r>
    <s v="ORD4119"/>
    <s v="Not Mentioned"/>
    <x v="3"/>
    <x v="2"/>
    <x v="3"/>
    <x v="0"/>
    <n v="135337.10999999999"/>
    <n v="108269.68799999999"/>
    <s v="Estimated"/>
    <s v="Unknown"/>
    <n v="27067.421999999991"/>
    <n v="0.19999999999999996"/>
  </r>
  <r>
    <s v="ORD1531"/>
    <d v="2023-06-25T00:00:00"/>
    <x v="0"/>
    <x v="1"/>
    <x v="1"/>
    <x v="0"/>
    <n v="55963.519999999997"/>
    <n v="30909.759999999998"/>
    <s v="Actual"/>
    <n v="5"/>
    <n v="25053.759999999998"/>
    <n v="0.44768020310373613"/>
  </r>
  <r>
    <s v="ORD7030"/>
    <d v="2023-04-05T00:00:00"/>
    <x v="2"/>
    <x v="2"/>
    <x v="3"/>
    <x v="0"/>
    <n v="102663.2"/>
    <n v="78278.240000000005"/>
    <s v="Actual"/>
    <n v="2"/>
    <n v="24384.959999999992"/>
    <n v="0.23752386444217591"/>
  </r>
  <r>
    <s v="ORD2060"/>
    <d v="2023-04-05T00:00:00"/>
    <x v="2"/>
    <x v="3"/>
    <x v="1"/>
    <x v="0"/>
    <n v="30864.41"/>
    <n v="24691.528000000002"/>
    <s v="Estimated"/>
    <n v="3"/>
    <n v="6172.8819999999978"/>
    <n v="0.19999999999999993"/>
  </r>
  <r>
    <s v="ORD5628"/>
    <d v="2023-06-25T00:00:00"/>
    <x v="0"/>
    <x v="2"/>
    <x v="2"/>
    <x v="0"/>
    <n v="17430.07"/>
    <n v="13591.33"/>
    <s v="Actual"/>
    <n v="1"/>
    <n v="3838.74"/>
    <n v="0.22023663703014387"/>
  </r>
  <r>
    <s v="ORD909"/>
    <d v="2023-02-15T00:00:00"/>
    <x v="1"/>
    <x v="3"/>
    <x v="2"/>
    <x v="0"/>
    <n v="90077.61"/>
    <n v="59889.38"/>
    <s v="Actual"/>
    <n v="5"/>
    <n v="30188.230000000003"/>
    <n v="0.3351357790243325"/>
  </r>
  <r>
    <s v="ORD4763"/>
    <s v="Not Mentioned"/>
    <x v="3"/>
    <x v="2"/>
    <x v="0"/>
    <x v="0"/>
    <n v="38125.06"/>
    <n v="27298.81"/>
    <s v="Actual"/>
    <n v="3"/>
    <n v="10826.249999999996"/>
    <n v="0.28396676621623668"/>
  </r>
  <r>
    <s v="ORD3926"/>
    <s v="Not Mentioned"/>
    <x v="3"/>
    <x v="3"/>
    <x v="1"/>
    <x v="0"/>
    <n v="10173.219999999999"/>
    <n v="7681.54"/>
    <s v="Actual"/>
    <n v="1"/>
    <n v="2491.6799999999994"/>
    <n v="0.24492540218337946"/>
  </r>
  <r>
    <s v="ORD7219"/>
    <d v="2023-01-15T00:00:00"/>
    <x v="4"/>
    <x v="2"/>
    <x v="0"/>
    <x v="0"/>
    <n v="61457.74"/>
    <n v="39867.769999999997"/>
    <s v="Actual"/>
    <n v="4"/>
    <n v="21589.97"/>
    <n v="0.35129781863114395"/>
  </r>
  <r>
    <s v="ORD8792"/>
    <d v="2023-03-20T00:00:00"/>
    <x v="5"/>
    <x v="0"/>
    <x v="0"/>
    <x v="0"/>
    <n v="64046.46"/>
    <n v="38260.050000000003"/>
    <s v="Actual"/>
    <n v="4"/>
    <n v="25786.409999999996"/>
    <n v="0.40262037901860614"/>
  </r>
  <r>
    <s v="ORD6491"/>
    <d v="2023-01-15T00:00:00"/>
    <x v="4"/>
    <x v="2"/>
    <x v="2"/>
    <x v="0"/>
    <n v="21910.75"/>
    <n v="17528.600000000002"/>
    <s v="Estimated"/>
    <n v="1"/>
    <n v="4382.1499999999978"/>
    <n v="0.1999999999999999"/>
  </r>
  <r>
    <s v="ORD620"/>
    <d v="2023-01-15T00:00:00"/>
    <x v="4"/>
    <x v="0"/>
    <x v="3"/>
    <x v="0"/>
    <n v="129100.67"/>
    <n v="79415.600000000006"/>
    <s v="Actual"/>
    <n v="2"/>
    <n v="49685.069999999992"/>
    <n v="0.38485524513544345"/>
  </r>
  <r>
    <s v="ORD4289"/>
    <d v="2023-02-15T00:00:00"/>
    <x v="1"/>
    <x v="2"/>
    <x v="2"/>
    <x v="0"/>
    <n v="43840.09"/>
    <n v="27371.49"/>
    <s v="Actual"/>
    <n v="2"/>
    <n v="16468.599999999995"/>
    <n v="0.37565160108019841"/>
  </r>
  <r>
    <s v="ORD2440"/>
    <d v="2023-04-05T00:00:00"/>
    <x v="2"/>
    <x v="2"/>
    <x v="2"/>
    <x v="0"/>
    <n v="58557.48"/>
    <n v="41669.4"/>
    <s v="Actual"/>
    <n v="3"/>
    <n v="16888.080000000002"/>
    <n v="0.28840175499355508"/>
  </r>
  <r>
    <s v="ORD2637"/>
    <d v="2023-06-25T00:00:00"/>
    <x v="0"/>
    <x v="0"/>
    <x v="3"/>
    <x v="0"/>
    <n v="227019.25"/>
    <n v="178231.4"/>
    <s v="Actual"/>
    <n v="4"/>
    <n v="48787.850000000006"/>
    <n v="0.21490622491264511"/>
  </r>
  <r>
    <s v="ORD3934"/>
    <d v="2023-06-25T00:00:00"/>
    <x v="0"/>
    <x v="3"/>
    <x v="0"/>
    <x v="0"/>
    <n v="17980.87"/>
    <n v="14384.696"/>
    <s v="Estimated"/>
    <n v="1"/>
    <n v="3596.1739999999991"/>
    <n v="0.19999999999999996"/>
  </r>
  <r>
    <s v="ORD5072"/>
    <d v="2023-02-15T00:00:00"/>
    <x v="1"/>
    <x v="3"/>
    <x v="0"/>
    <x v="0"/>
    <n v="44282.29"/>
    <n v="26118.79"/>
    <s v="Actual"/>
    <n v="3"/>
    <n v="18163.5"/>
    <n v="0.41017526419704131"/>
  </r>
  <r>
    <s v="ORD4475"/>
    <d v="2023-02-15T00:00:00"/>
    <x v="1"/>
    <x v="0"/>
    <x v="2"/>
    <x v="0"/>
    <n v="38291.83"/>
    <n v="29523.27"/>
    <s v="Actual"/>
    <n v="2"/>
    <n v="8768.5600000000013"/>
    <n v="0.22899297317469552"/>
  </r>
  <r>
    <s v="ORD8241"/>
    <s v="Not Mentioned"/>
    <x v="3"/>
    <x v="0"/>
    <x v="3"/>
    <x v="0"/>
    <n v="298512.09999999998"/>
    <n v="204649.54"/>
    <s v="Actual"/>
    <n v="5"/>
    <n v="93862.559999999969"/>
    <n v="0.31443469125707124"/>
  </r>
  <r>
    <s v="ORD6289"/>
    <d v="2023-01-15T00:00:00"/>
    <x v="4"/>
    <x v="1"/>
    <x v="3"/>
    <x v="0"/>
    <n v="173754.07"/>
    <n v="131330.46"/>
    <s v="Actual"/>
    <n v="3"/>
    <n v="42423.610000000015"/>
    <n v="0.24415894257901419"/>
  </r>
  <r>
    <s v="ORD5983"/>
    <d v="2023-02-15T00:00:00"/>
    <x v="1"/>
    <x v="3"/>
    <x v="2"/>
    <x v="0"/>
    <n v="85220.12"/>
    <n v="58762.400000000001"/>
    <s v="Actual"/>
    <n v="4"/>
    <n v="26457.719999999994"/>
    <n v="0.3104633037362538"/>
  </r>
  <r>
    <s v="ORD5507"/>
    <d v="2023-06-25T00:00:00"/>
    <x v="0"/>
    <x v="2"/>
    <x v="0"/>
    <x v="0"/>
    <n v="51372.28"/>
    <n v="32689.15"/>
    <s v="Actual"/>
    <n v="3"/>
    <n v="18683.129999999997"/>
    <n v="0.36368115255931793"/>
  </r>
  <r>
    <s v="ORD3929"/>
    <d v="2023-03-20T00:00:00"/>
    <x v="5"/>
    <x v="2"/>
    <x v="0"/>
    <x v="0"/>
    <n v="51118.35"/>
    <n v="27272.73"/>
    <s v="Actual"/>
    <n v="3"/>
    <n v="23845.62"/>
    <n v="0.46647867155336586"/>
  </r>
  <r>
    <s v="ORD6192"/>
    <d v="2023-06-25T00:00:00"/>
    <x v="0"/>
    <x v="1"/>
    <x v="2"/>
    <x v="0"/>
    <n v="64181.77"/>
    <n v="37100.769999999997"/>
    <s v="Actual"/>
    <n v="3"/>
    <n v="27081"/>
    <n v="0.42194224310111739"/>
  </r>
  <r>
    <s v="ORD971"/>
    <d v="2023-03-20T00:00:00"/>
    <x v="5"/>
    <x v="3"/>
    <x v="3"/>
    <x v="0"/>
    <n v="205574.1"/>
    <n v="134229.73000000001"/>
    <s v="Actual"/>
    <n v="3"/>
    <n v="71344.37"/>
    <n v="0.34704940943435963"/>
  </r>
  <r>
    <s v="ORD4261"/>
    <d v="2023-04-05T00:00:00"/>
    <x v="2"/>
    <x v="0"/>
    <x v="0"/>
    <x v="0"/>
    <n v="53422.98"/>
    <n v="37496.01"/>
    <s v="Actual"/>
    <n v="4"/>
    <n v="15926.970000000001"/>
    <n v="0.29812956896077308"/>
  </r>
  <r>
    <s v="ORD3311"/>
    <d v="2023-02-15T00:00:00"/>
    <x v="1"/>
    <x v="0"/>
    <x v="0"/>
    <x v="0"/>
    <n v="13605.34"/>
    <n v="8831.23"/>
    <s v="Actual"/>
    <n v="1"/>
    <n v="4774.1100000000006"/>
    <n v="0.35089972025689919"/>
  </r>
  <r>
    <s v="ORD2931"/>
    <s v="Not Mentioned"/>
    <x v="3"/>
    <x v="2"/>
    <x v="0"/>
    <x v="0"/>
    <n v="60590.91"/>
    <n v="37735.25"/>
    <s v="Actual"/>
    <n v="4"/>
    <n v="22855.660000000003"/>
    <n v="0.37721268751368814"/>
  </r>
  <r>
    <s v="ORD5432"/>
    <s v="Not Mentioned"/>
    <x v="3"/>
    <x v="2"/>
    <x v="1"/>
    <x v="0"/>
    <n v="35142.5"/>
    <n v="19353.939999999999"/>
    <s v="Actual"/>
    <n v="3"/>
    <n v="15788.560000000001"/>
    <n v="0.44927253325745187"/>
  </r>
  <r>
    <s v="ORD2252"/>
    <s v="Not Mentioned"/>
    <x v="3"/>
    <x v="0"/>
    <x v="1"/>
    <x v="0"/>
    <n v="9723.75"/>
    <n v="7673.22"/>
    <s v="Actual"/>
    <n v="1"/>
    <n v="2050.5299999999997"/>
    <n v="0.21087851908985727"/>
  </r>
  <r>
    <s v="ORD9033"/>
    <s v="Not Mentioned"/>
    <x v="3"/>
    <x v="3"/>
    <x v="1"/>
    <x v="0"/>
    <n v="44417.51"/>
    <n v="24270.23"/>
    <s v="Actual"/>
    <n v="4"/>
    <n v="20147.280000000002"/>
    <n v="0.45358868608348379"/>
  </r>
  <r>
    <s v="ORD4343"/>
    <d v="2023-02-15T00:00:00"/>
    <x v="1"/>
    <x v="3"/>
    <x v="2"/>
    <x v="0"/>
    <n v="23121.31"/>
    <n v="13030.08"/>
    <s v="Actual"/>
    <n v="1"/>
    <n v="10091.230000000001"/>
    <n v="0.43644715632462006"/>
  </r>
  <r>
    <s v="ORD3063"/>
    <d v="2023-04-05T00:00:00"/>
    <x v="2"/>
    <x v="1"/>
    <x v="3"/>
    <x v="0"/>
    <n v="296780.78999999998"/>
    <n v="239478.2"/>
    <s v="Actual"/>
    <n v="5"/>
    <n v="57302.589999999967"/>
    <n v="0.19308052249608196"/>
  </r>
  <r>
    <s v="ORD1443"/>
    <d v="2023-04-05T00:00:00"/>
    <x v="2"/>
    <x v="1"/>
    <x v="2"/>
    <x v="0"/>
    <n v="42255.91"/>
    <n v="23814.57"/>
    <s v="Actual"/>
    <n v="2"/>
    <n v="18441.340000000004"/>
    <n v="0.43642037291351676"/>
  </r>
  <r>
    <s v="ORD8362"/>
    <d v="2023-02-15T00:00:00"/>
    <x v="1"/>
    <x v="2"/>
    <x v="0"/>
    <x v="0"/>
    <n v="34436.239999999998"/>
    <n v="20361.37"/>
    <s v="Actual"/>
    <n v="2"/>
    <n v="14074.869999999999"/>
    <n v="0.40872261315404934"/>
  </r>
  <r>
    <s v="ORD8954"/>
    <d v="2023-02-15T00:00:00"/>
    <x v="1"/>
    <x v="1"/>
    <x v="1"/>
    <x v="0"/>
    <n v="29397.88"/>
    <n v="22298.59"/>
    <s v="Actual"/>
    <n v="3"/>
    <n v="7099.2900000000009"/>
    <n v="0.24148986253430521"/>
  </r>
  <r>
    <s v="ORD7826"/>
    <s v="Not Mentioned"/>
    <x v="3"/>
    <x v="2"/>
    <x v="3"/>
    <x v="0"/>
    <n v="115339.66"/>
    <n v="84896.63"/>
    <s v="Actual"/>
    <n v="2"/>
    <n v="30443.03"/>
    <n v="0.26394242882283508"/>
  </r>
  <r>
    <s v="ORD6669"/>
    <d v="2023-01-15T00:00:00"/>
    <x v="4"/>
    <x v="1"/>
    <x v="3"/>
    <x v="0"/>
    <n v="166877.53"/>
    <n v="134390.07"/>
    <s v="Actual"/>
    <n v="3"/>
    <n v="32487.459999999992"/>
    <n v="0.19467845671013942"/>
  </r>
  <r>
    <s v="ORD1773"/>
    <d v="2023-01-15T00:00:00"/>
    <x v="4"/>
    <x v="2"/>
    <x v="3"/>
    <x v="0"/>
    <n v="140243.65"/>
    <n v="76785.460000000006"/>
    <s v="Actual"/>
    <n v="2"/>
    <n v="63458.189999999988"/>
    <n v="0.45248529969093065"/>
  </r>
  <r>
    <s v="ORD264"/>
    <s v="Not Mentioned"/>
    <x v="3"/>
    <x v="2"/>
    <x v="2"/>
    <x v="0"/>
    <n v="96572.54"/>
    <n v="62084.35"/>
    <s v="Actual"/>
    <n v="5"/>
    <n v="34488.189999999995"/>
    <n v="0.35712211773657393"/>
  </r>
  <r>
    <s v="ORD5637"/>
    <d v="2023-04-05T00:00:00"/>
    <x v="2"/>
    <x v="2"/>
    <x v="3"/>
    <x v="0"/>
    <n v="243940.92"/>
    <n v="166222.93"/>
    <s v="Actual"/>
    <n v="4"/>
    <n v="77717.99000000002"/>
    <n v="0.31859349386728564"/>
  </r>
  <r>
    <s v="ORD5452"/>
    <s v="Not Mentioned"/>
    <x v="3"/>
    <x v="1"/>
    <x v="3"/>
    <x v="0"/>
    <n v="146451.56"/>
    <n v="125594.4"/>
    <s v="Actual"/>
    <n v="3"/>
    <n v="20857.160000000003"/>
    <n v="0.14241678272324312"/>
  </r>
  <r>
    <s v="ORD1225"/>
    <d v="2023-03-20T00:00:00"/>
    <x v="5"/>
    <x v="0"/>
    <x v="0"/>
    <x v="0"/>
    <n v="17275.439999999999"/>
    <n v="9617.75"/>
    <s v="Actual"/>
    <n v="1"/>
    <n v="7657.6899999999987"/>
    <n v="0.44327033059649995"/>
  </r>
  <r>
    <s v="ORD6737"/>
    <s v="Not Mentioned"/>
    <x v="3"/>
    <x v="2"/>
    <x v="1"/>
    <x v="0"/>
    <n v="52534.400000000001"/>
    <n v="37914.01"/>
    <s v="Actual"/>
    <s v="Unknown"/>
    <n v="14620.39"/>
    <n v="0.27830126545653894"/>
  </r>
  <r>
    <s v="ORD3975"/>
    <d v="2023-01-15T00:00:00"/>
    <x v="4"/>
    <x v="1"/>
    <x v="2"/>
    <x v="0"/>
    <n v="59354.42"/>
    <n v="38705.339999999997"/>
    <s v="Actual"/>
    <n v="3"/>
    <n v="20649.080000000002"/>
    <n v="0.34789456286490544"/>
  </r>
  <r>
    <s v="ORD8659"/>
    <d v="2023-04-05T00:00:00"/>
    <x v="2"/>
    <x v="1"/>
    <x v="3"/>
    <x v="0"/>
    <n v="57057.39"/>
    <n v="47160.95"/>
    <s v="Actual"/>
    <s v="Unknown"/>
    <n v="9896.4400000000023"/>
    <n v="0.17344712052198677"/>
  </r>
  <r>
    <s v="ORD6529"/>
    <d v="2023-02-15T00:00:00"/>
    <x v="1"/>
    <x v="0"/>
    <x v="3"/>
    <x v="0"/>
    <n v="181215.05"/>
    <n v="144972.04"/>
    <s v="Estimated"/>
    <n v="3"/>
    <n v="36243.00999999998"/>
    <n v="0.1999999999999999"/>
  </r>
  <r>
    <s v="ORD9543"/>
    <d v="2023-06-25T00:00:00"/>
    <x v="0"/>
    <x v="0"/>
    <x v="3"/>
    <x v="0"/>
    <n v="233008.78"/>
    <n v="165903.29"/>
    <s v="Actual"/>
    <s v="Unknown"/>
    <n v="67105.489999999991"/>
    <n v="0.28799554248556636"/>
  </r>
  <r>
    <s v="ORD2230"/>
    <d v="2023-04-05T00:00:00"/>
    <x v="2"/>
    <x v="2"/>
    <x v="2"/>
    <x v="0"/>
    <n v="110437.04"/>
    <n v="72146.3"/>
    <s v="Actual"/>
    <n v="5"/>
    <n v="38290.739999999991"/>
    <n v="0.34672008594218018"/>
  </r>
  <r>
    <s v="ORD2752"/>
    <d v="2023-03-20T00:00:00"/>
    <x v="5"/>
    <x v="2"/>
    <x v="1"/>
    <x v="0"/>
    <n v="56740.23"/>
    <n v="30288.2"/>
    <s v="Actual"/>
    <n v="5"/>
    <n v="26452.030000000002"/>
    <n v="0.46619532560936044"/>
  </r>
  <r>
    <s v="ORD2122"/>
    <d v="2023-01-15T00:00:00"/>
    <x v="4"/>
    <x v="2"/>
    <x v="2"/>
    <x v="0"/>
    <n v="108464.5"/>
    <n v="71109.58"/>
    <s v="Actual"/>
    <n v="5"/>
    <n v="37354.92"/>
    <n v="0.34439766006389183"/>
  </r>
  <r>
    <s v="ORD249"/>
    <d v="2023-06-25T00:00:00"/>
    <x v="0"/>
    <x v="0"/>
    <x v="2"/>
    <x v="0"/>
    <n v="70395.88"/>
    <n v="46111.58"/>
    <s v="Actual"/>
    <n v="3"/>
    <n v="24284.300000000003"/>
    <n v="0.34496763162844191"/>
  </r>
  <r>
    <s v="ORD6166"/>
    <d v="2023-04-05T00:00:00"/>
    <x v="2"/>
    <x v="0"/>
    <x v="0"/>
    <x v="0"/>
    <n v="41540.29"/>
    <n v="25530.639999999999"/>
    <s v="Actual"/>
    <n v="3"/>
    <n v="16009.650000000001"/>
    <n v="0.38540053523940254"/>
  </r>
  <r>
    <s v="ORD9664"/>
    <d v="2023-03-20T00:00:00"/>
    <x v="5"/>
    <x v="2"/>
    <x v="2"/>
    <x v="0"/>
    <n v="22071.65"/>
    <n v="14694"/>
    <s v="Actual"/>
    <n v="1"/>
    <n v="7377.6500000000015"/>
    <n v="0.33425910613841742"/>
  </r>
  <r>
    <s v="ORD2813"/>
    <d v="2023-04-05T00:00:00"/>
    <x v="2"/>
    <x v="2"/>
    <x v="3"/>
    <x v="0"/>
    <n v="160116.65"/>
    <n v="119643.51"/>
    <s v="Actual"/>
    <n v="3"/>
    <n v="40473.14"/>
    <n v="0.2527728378029393"/>
  </r>
  <r>
    <s v="ORD623"/>
    <d v="2023-02-15T00:00:00"/>
    <x v="1"/>
    <x v="2"/>
    <x v="0"/>
    <x v="0"/>
    <n v="37442.58"/>
    <n v="30814.91"/>
    <s v="Actual"/>
    <n v="3"/>
    <n v="6627.6700000000019"/>
    <n v="0.17700890269847863"/>
  </r>
  <r>
    <s v="ORD4133"/>
    <d v="2023-02-15T00:00:00"/>
    <x v="1"/>
    <x v="1"/>
    <x v="2"/>
    <x v="0"/>
    <n v="89567.46"/>
    <n v="71518.81"/>
    <s v="Actual"/>
    <n v="5"/>
    <n v="18048.650000000009"/>
    <n v="0.20150900784726961"/>
  </r>
  <r>
    <s v="ORD542"/>
    <d v="2023-06-25T00:00:00"/>
    <x v="0"/>
    <x v="0"/>
    <x v="2"/>
    <x v="0"/>
    <n v="82037.34"/>
    <n v="71638.149999999994"/>
    <s v="Actual"/>
    <n v="5"/>
    <n v="10399.190000000002"/>
    <n v="0.12676166730905711"/>
  </r>
  <r>
    <s v="ORD262"/>
    <d v="2023-04-05T00:00:00"/>
    <x v="2"/>
    <x v="3"/>
    <x v="3"/>
    <x v="0"/>
    <n v="132624.85999999999"/>
    <n v="95521.97"/>
    <s v="Actual"/>
    <n v="2"/>
    <n v="37102.889999999985"/>
    <n v="0.27975818409911979"/>
  </r>
  <r>
    <s v="ORD1194"/>
    <d v="2023-03-20T00:00:00"/>
    <x v="5"/>
    <x v="1"/>
    <x v="0"/>
    <x v="0"/>
    <n v="39730.44"/>
    <n v="28210.83"/>
    <s v="Actual"/>
    <n v="3"/>
    <n v="11519.61"/>
    <n v="0.28994418385499882"/>
  </r>
  <r>
    <s v="ORD753"/>
    <s v="Not Mentioned"/>
    <x v="3"/>
    <x v="0"/>
    <x v="1"/>
    <x v="0"/>
    <n v="8318.01"/>
    <n v="6695.58"/>
    <s v="Actual"/>
    <n v="1"/>
    <n v="1622.4300000000003"/>
    <n v="0.19505025841517384"/>
  </r>
  <r>
    <s v="ORD3928"/>
    <d v="2023-01-15T00:00:00"/>
    <x v="4"/>
    <x v="2"/>
    <x v="0"/>
    <x v="0"/>
    <n v="28073.54"/>
    <n v="19952.66"/>
    <s v="Actual"/>
    <n v="2"/>
    <n v="8120.880000000001"/>
    <n v="0.28927167717359481"/>
  </r>
  <r>
    <s v="ORD1130"/>
    <d v="2023-04-05T00:00:00"/>
    <x v="2"/>
    <x v="2"/>
    <x v="0"/>
    <x v="0"/>
    <n v="82984.509999999995"/>
    <n v="49986.28"/>
    <s v="Actual"/>
    <n v="5"/>
    <n v="32998.229999999996"/>
    <n v="0.39764324691439401"/>
  </r>
  <r>
    <s v="ORD1047"/>
    <d v="2023-03-20T00:00:00"/>
    <x v="5"/>
    <x v="1"/>
    <x v="0"/>
    <x v="0"/>
    <n v="49127.79"/>
    <n v="27275.3"/>
    <s v="Actual"/>
    <n v="3"/>
    <n v="21852.49"/>
    <n v="0.44480913959288626"/>
  </r>
  <r>
    <s v="ORD8787"/>
    <d v="2023-02-15T00:00:00"/>
    <x v="1"/>
    <x v="2"/>
    <x v="2"/>
    <x v="0"/>
    <n v="90883.62"/>
    <n v="59200.02"/>
    <s v="Actual"/>
    <n v="4"/>
    <n v="31683.599999999999"/>
    <n v="0.34861727558827432"/>
  </r>
  <r>
    <s v="ORD4897"/>
    <d v="2023-01-15T00:00:00"/>
    <x v="4"/>
    <x v="3"/>
    <x v="2"/>
    <x v="0"/>
    <n v="19193.599999999999"/>
    <n v="12553.75"/>
    <s v="Actual"/>
    <n v="1"/>
    <n v="6639.8499999999985"/>
    <n v="0.34594083444481488"/>
  </r>
  <r>
    <s v="ORD5544"/>
    <d v="2023-01-15T00:00:00"/>
    <x v="4"/>
    <x v="3"/>
    <x v="0"/>
    <x v="0"/>
    <n v="49044.63"/>
    <n v="30330.71"/>
    <s v="Actual"/>
    <n v="3"/>
    <n v="18713.919999999998"/>
    <n v="0.38156919524115074"/>
  </r>
  <r>
    <s v="ORD1954"/>
    <s v="Not Mentioned"/>
    <x v="3"/>
    <x v="2"/>
    <x v="2"/>
    <x v="0"/>
    <n v="107949.12"/>
    <n v="60687.98"/>
    <s v="Actual"/>
    <s v="Unknown"/>
    <n v="47261.139999999992"/>
    <n v="0.43780940502340354"/>
  </r>
  <r>
    <s v="ORD5446"/>
    <d v="2023-04-05T00:00:00"/>
    <x v="2"/>
    <x v="0"/>
    <x v="2"/>
    <x v="0"/>
    <n v="20943.64"/>
    <n v="14290.44"/>
    <s v="Actual"/>
    <n v="1"/>
    <n v="6653.1999999999989"/>
    <n v="0.31767161773216113"/>
  </r>
  <r>
    <s v="ORD3440"/>
    <d v="2023-04-05T00:00:00"/>
    <x v="2"/>
    <x v="0"/>
    <x v="3"/>
    <x v="0"/>
    <n v="285118.40000000002"/>
    <n v="237121.86"/>
    <s v="Actual"/>
    <n v="5"/>
    <n v="47996.540000000037"/>
    <n v="0.16833897777204149"/>
  </r>
  <r>
    <s v="ORD985"/>
    <d v="2023-01-15T00:00:00"/>
    <x v="4"/>
    <x v="0"/>
    <x v="1"/>
    <x v="0"/>
    <n v="26075.34"/>
    <n v="17888.86"/>
    <s v="Actual"/>
    <n v="3"/>
    <n v="8186.48"/>
    <n v="0.31395487077062079"/>
  </r>
  <r>
    <s v="ORD6518"/>
    <d v="2023-06-25T00:00:00"/>
    <x v="0"/>
    <x v="2"/>
    <x v="2"/>
    <x v="0"/>
    <n v="19991.09"/>
    <n v="15992.872000000001"/>
    <s v="Estimated"/>
    <n v="1"/>
    <n v="3998.2179999999989"/>
    <n v="0.19999999999999996"/>
  </r>
  <r>
    <s v="ORD5644"/>
    <d v="2023-06-25T00:00:00"/>
    <x v="0"/>
    <x v="0"/>
    <x v="2"/>
    <x v="0"/>
    <n v="66287.100000000006"/>
    <n v="44420.06"/>
    <s v="Actual"/>
    <n v="3"/>
    <n v="21867.040000000008"/>
    <n v="0.32988379337759544"/>
  </r>
  <r>
    <s v="ORD9180"/>
    <d v="2023-03-20T00:00:00"/>
    <x v="5"/>
    <x v="1"/>
    <x v="0"/>
    <x v="0"/>
    <n v="68255.67"/>
    <n v="52472.38"/>
    <s v="Actual"/>
    <s v="Unknown"/>
    <n v="15783.29"/>
    <n v="0.23123778581325188"/>
  </r>
  <r>
    <s v="ORD1997"/>
    <d v="2023-04-05T00:00:00"/>
    <x v="2"/>
    <x v="2"/>
    <x v="0"/>
    <x v="0"/>
    <n v="12046.35"/>
    <n v="9359.94"/>
    <s v="Actual"/>
    <n v="1"/>
    <n v="2686.41"/>
    <n v="0.22300613878892775"/>
  </r>
  <r>
    <s v="ORD1228"/>
    <s v="Not Mentioned"/>
    <x v="3"/>
    <x v="1"/>
    <x v="0"/>
    <x v="0"/>
    <n v="26233.17"/>
    <n v="20278.099999999999"/>
    <s v="Actual"/>
    <n v="2"/>
    <n v="5955.07"/>
    <n v="0.22700535238402375"/>
  </r>
  <r>
    <s v="ORD1089"/>
    <d v="2023-01-15T00:00:00"/>
    <x v="4"/>
    <x v="2"/>
    <x v="0"/>
    <x v="0"/>
    <n v="16907.89"/>
    <n v="9601.35"/>
    <s v="Actual"/>
    <n v="1"/>
    <n v="7306.5399999999991"/>
    <n v="0.43213789538493563"/>
  </r>
  <r>
    <s v="ORD3252"/>
    <d v="2023-01-15T00:00:00"/>
    <x v="4"/>
    <x v="1"/>
    <x v="3"/>
    <x v="0"/>
    <n v="67686.58"/>
    <n v="41717.660000000003"/>
    <s v="Actual"/>
    <n v="1"/>
    <n v="25968.92"/>
    <n v="0.38366423595341936"/>
  </r>
  <r>
    <s v="ORD1092"/>
    <s v="Not Mentioned"/>
    <x v="3"/>
    <x v="1"/>
    <x v="2"/>
    <x v="0"/>
    <n v="18849.62"/>
    <n v="12822.05"/>
    <s v="Actual"/>
    <n v="1"/>
    <n v="6027.57"/>
    <n v="0.31977143305806693"/>
  </r>
  <r>
    <s v="ORD1897"/>
    <d v="2023-04-05T00:00:00"/>
    <x v="2"/>
    <x v="2"/>
    <x v="2"/>
    <x v="0"/>
    <n v="50658.81"/>
    <n v="44241.27"/>
    <s v="Actual"/>
    <n v="3"/>
    <n v="6417.5400000000009"/>
    <n v="0.12668161766926625"/>
  </r>
  <r>
    <s v="ORD8051"/>
    <s v="Not Mentioned"/>
    <x v="3"/>
    <x v="0"/>
    <x v="1"/>
    <x v="0"/>
    <n v="51407.1"/>
    <n v="37685.18"/>
    <s v="Actual"/>
    <n v="5"/>
    <n v="13721.919999999998"/>
    <n v="0.26692655294696643"/>
  </r>
  <r>
    <s v="ORD1797"/>
    <d v="2023-06-25T00:00:00"/>
    <x v="0"/>
    <x v="1"/>
    <x v="2"/>
    <x v="0"/>
    <n v="92762.61"/>
    <n v="63423.89"/>
    <s v="Actual"/>
    <n v="5"/>
    <n v="29338.720000000001"/>
    <n v="0.31627743117620344"/>
  </r>
  <r>
    <s v="ORD167"/>
    <d v="2023-02-15T00:00:00"/>
    <x v="1"/>
    <x v="2"/>
    <x v="1"/>
    <x v="0"/>
    <n v="30412.66"/>
    <n v="22858.32"/>
    <s v="Actual"/>
    <n v="3"/>
    <n v="7554.34"/>
    <n v="0.2483945830453502"/>
  </r>
  <r>
    <s v="ORD486"/>
    <d v="2023-03-20T00:00:00"/>
    <x v="5"/>
    <x v="2"/>
    <x v="1"/>
    <x v="0"/>
    <n v="25949.83"/>
    <n v="22871.51"/>
    <s v="Actual"/>
    <n v="3"/>
    <n v="3078.3200000000033"/>
    <n v="0.11862582529442402"/>
  </r>
  <r>
    <s v="ORD7564"/>
    <d v="2023-03-20T00:00:00"/>
    <x v="5"/>
    <x v="2"/>
    <x v="0"/>
    <x v="0"/>
    <n v="16145.65"/>
    <n v="10024.11"/>
    <s v="Actual"/>
    <n v="1"/>
    <n v="6121.5399999999991"/>
    <n v="0.37914484706406981"/>
  </r>
  <r>
    <s v="ORD9199"/>
    <d v="2023-04-05T00:00:00"/>
    <x v="2"/>
    <x v="1"/>
    <x v="1"/>
    <x v="0"/>
    <n v="44202.11"/>
    <n v="32333.71"/>
    <s v="Actual"/>
    <n v="5"/>
    <n v="11868.400000000001"/>
    <n v="0.26850301942599575"/>
  </r>
  <r>
    <s v="ORD653"/>
    <d v="2023-02-15T00:00:00"/>
    <x v="1"/>
    <x v="2"/>
    <x v="0"/>
    <x v="0"/>
    <n v="81966.14"/>
    <n v="43599.57"/>
    <s v="Actual"/>
    <n v="5"/>
    <n v="38366.57"/>
    <n v="0.46807828208086899"/>
  </r>
  <r>
    <s v="ORD320"/>
    <d v="2023-01-15T00:00:00"/>
    <x v="4"/>
    <x v="3"/>
    <x v="1"/>
    <x v="0"/>
    <n v="41248.050000000003"/>
    <n v="32998.44"/>
    <s v="Estimated"/>
    <n v="5"/>
    <n v="8249.61"/>
    <n v="0.2"/>
  </r>
  <r>
    <s v="ORD6161"/>
    <d v="2023-06-25T00:00:00"/>
    <x v="0"/>
    <x v="3"/>
    <x v="0"/>
    <x v="0"/>
    <n v="69091.39"/>
    <n v="39909.17"/>
    <s v="Actual"/>
    <n v="4"/>
    <n v="29182.22"/>
    <n v="0.42237129691557806"/>
  </r>
  <r>
    <s v="ORD8403"/>
    <d v="2023-04-05T00:00:00"/>
    <x v="2"/>
    <x v="1"/>
    <x v="2"/>
    <x v="0"/>
    <n v="84891.44"/>
    <n v="49405.54"/>
    <s v="Actual"/>
    <n v="4"/>
    <n v="35485.9"/>
    <n v="0.41801505546377821"/>
  </r>
  <r>
    <s v="ORD8845"/>
    <d v="2023-02-15T00:00:00"/>
    <x v="1"/>
    <x v="1"/>
    <x v="2"/>
    <x v="0"/>
    <n v="81861.600000000006"/>
    <n v="70136.11"/>
    <s v="Actual"/>
    <n v="5"/>
    <n v="11725.490000000005"/>
    <n v="0.14323553412100429"/>
  </r>
  <r>
    <s v="ORD2261"/>
    <d v="2023-06-25T00:00:00"/>
    <x v="0"/>
    <x v="3"/>
    <x v="0"/>
    <x v="0"/>
    <n v="88971.8"/>
    <n v="46226.44"/>
    <s v="Actual"/>
    <n v="5"/>
    <n v="42745.36"/>
    <n v="0.48043717222760468"/>
  </r>
  <r>
    <s v="ORD4045"/>
    <d v="2023-02-15T00:00:00"/>
    <x v="1"/>
    <x v="2"/>
    <x v="2"/>
    <x v="0"/>
    <n v="104993.69"/>
    <n v="69946.19"/>
    <s v="Actual"/>
    <n v="5"/>
    <n v="35047.5"/>
    <n v="0.3338057744232058"/>
  </r>
  <r>
    <s v="ORD732"/>
    <s v="Not Mentioned"/>
    <x v="3"/>
    <x v="1"/>
    <x v="2"/>
    <x v="0"/>
    <n v="58201.120000000003"/>
    <n v="46560.896000000008"/>
    <s v="Estimated"/>
    <n v="3"/>
    <n v="11640.223999999995"/>
    <n v="0.1999999999999999"/>
  </r>
  <r>
    <s v="ORD1121"/>
    <d v="2023-04-05T00:00:00"/>
    <x v="2"/>
    <x v="1"/>
    <x v="1"/>
    <x v="0"/>
    <n v="17802.13"/>
    <n v="12466.26"/>
    <s v="Actual"/>
    <s v="Unknown"/>
    <n v="5335.8700000000008"/>
    <n v="0.29973211070810069"/>
  </r>
  <r>
    <s v="ORD6952"/>
    <d v="2023-01-15T00:00:00"/>
    <x v="4"/>
    <x v="1"/>
    <x v="0"/>
    <x v="0"/>
    <n v="77783.12"/>
    <n v="52016.37"/>
    <s v="Actual"/>
    <n v="5"/>
    <n v="25766.749999999993"/>
    <n v="0.3312640326075888"/>
  </r>
  <r>
    <s v="ORD7640"/>
    <d v="2023-03-20T00:00:00"/>
    <x v="5"/>
    <x v="1"/>
    <x v="3"/>
    <x v="0"/>
    <n v="333458.81"/>
    <n v="192378.77"/>
    <s v="Actual"/>
    <n v="5"/>
    <n v="141080.04"/>
    <n v="0.42308085967199371"/>
  </r>
  <r>
    <s v="ORD994"/>
    <d v="2023-02-15T00:00:00"/>
    <x v="1"/>
    <x v="3"/>
    <x v="1"/>
    <x v="0"/>
    <n v="29295.31"/>
    <n v="22240.34"/>
    <s v="Actual"/>
    <n v="3"/>
    <n v="7054.9700000000012"/>
    <n v="0.24082250708389843"/>
  </r>
  <r>
    <s v="ORD2552"/>
    <d v="2023-04-05T00:00:00"/>
    <x v="2"/>
    <x v="0"/>
    <x v="1"/>
    <x v="0"/>
    <n v="31674.89"/>
    <n v="25339.912"/>
    <s v="Estimated"/>
    <n v="3"/>
    <n v="6334.9779999999992"/>
    <n v="0.19999999999999998"/>
  </r>
  <r>
    <s v="ORD933"/>
    <d v="2023-03-20T00:00:00"/>
    <x v="5"/>
    <x v="2"/>
    <x v="3"/>
    <x v="0"/>
    <n v="123347.92"/>
    <n v="92419.97"/>
    <s v="Actual"/>
    <n v="2"/>
    <n v="30927.949999999997"/>
    <n v="0.25073750736939865"/>
  </r>
  <r>
    <s v="ORD5675"/>
    <d v="2023-04-05T00:00:00"/>
    <x v="2"/>
    <x v="1"/>
    <x v="2"/>
    <x v="0"/>
    <n v="70865.919999999998"/>
    <n v="44021.64"/>
    <s v="Actual"/>
    <n v="3"/>
    <n v="26844.28"/>
    <n v="0.3788038030127881"/>
  </r>
  <r>
    <s v="ORD3022"/>
    <d v="2023-02-15T00:00:00"/>
    <x v="1"/>
    <x v="3"/>
    <x v="0"/>
    <x v="0"/>
    <n v="37325.9"/>
    <n v="29586.41"/>
    <s v="Actual"/>
    <n v="3"/>
    <n v="7739.4900000000016"/>
    <n v="0.20734905253456717"/>
  </r>
  <r>
    <s v="ORD6110"/>
    <d v="2023-03-20T00:00:00"/>
    <x v="5"/>
    <x v="1"/>
    <x v="2"/>
    <x v="0"/>
    <n v="35029.83"/>
    <n v="27893.45"/>
    <s v="Actual"/>
    <n v="2"/>
    <n v="7136.380000000001"/>
    <n v="0.20372294127604959"/>
  </r>
  <r>
    <s v="ORD533"/>
    <d v="2023-06-25T00:00:00"/>
    <x v="0"/>
    <x v="2"/>
    <x v="2"/>
    <x v="0"/>
    <n v="21472.959999999999"/>
    <n v="17178.367999999999"/>
    <s v="Estimated"/>
    <n v="1"/>
    <n v="4294.5920000000006"/>
    <n v="0.20000000000000004"/>
  </r>
  <r>
    <s v="ORD4250"/>
    <d v="2023-03-20T00:00:00"/>
    <x v="5"/>
    <x v="1"/>
    <x v="2"/>
    <x v="0"/>
    <n v="37115.97"/>
    <n v="30461.23"/>
    <s v="Actual"/>
    <n v="2"/>
    <n v="6654.7400000000016"/>
    <n v="0.17929586644239667"/>
  </r>
  <r>
    <s v="ORD3153"/>
    <d v="2023-02-15T00:00:00"/>
    <x v="1"/>
    <x v="0"/>
    <x v="1"/>
    <x v="0"/>
    <n v="44187.79"/>
    <n v="26311.59"/>
    <s v="Actual"/>
    <n v="4"/>
    <n v="17876.2"/>
    <n v="0.40455066886123975"/>
  </r>
  <r>
    <s v="ORD2311"/>
    <d v="2023-01-15T00:00:00"/>
    <x v="4"/>
    <x v="0"/>
    <x v="1"/>
    <x v="0"/>
    <n v="30052.11"/>
    <n v="21363.61"/>
    <s v="Actual"/>
    <n v="3"/>
    <n v="8688.5"/>
    <n v="0.28911447482389757"/>
  </r>
  <r>
    <s v="ORD714"/>
    <d v="2023-01-15T00:00:00"/>
    <x v="4"/>
    <x v="1"/>
    <x v="3"/>
    <x v="0"/>
    <n v="328004.34999999998"/>
    <n v="235782.05"/>
    <s v="Actual"/>
    <n v="5"/>
    <n v="92222.299999999988"/>
    <n v="0.28116181995757067"/>
  </r>
  <r>
    <s v="ORD255"/>
    <d v="2023-04-05T00:00:00"/>
    <x v="2"/>
    <x v="3"/>
    <x v="3"/>
    <x v="0"/>
    <n v="211739.85"/>
    <n v="134260.31"/>
    <s v="Actual"/>
    <n v="3"/>
    <n v="77479.540000000008"/>
    <n v="0.36591855524597761"/>
  </r>
  <r>
    <s v="ORD1205"/>
    <d v="2023-02-15T00:00:00"/>
    <x v="1"/>
    <x v="0"/>
    <x v="2"/>
    <x v="0"/>
    <n v="38624.01"/>
    <n v="26136.74"/>
    <s v="Actual"/>
    <n v="2"/>
    <n v="12487.27"/>
    <n v="0.32330330279015568"/>
  </r>
  <r>
    <s v="ORD137"/>
    <d v="2023-06-25T00:00:00"/>
    <x v="0"/>
    <x v="2"/>
    <x v="2"/>
    <x v="0"/>
    <n v="109101.39"/>
    <n v="69145.8"/>
    <s v="Actual"/>
    <n v="5"/>
    <n v="39955.589999999997"/>
    <n v="0.36622438999173151"/>
  </r>
  <r>
    <s v="ORD3522"/>
    <d v="2023-02-15T00:00:00"/>
    <x v="1"/>
    <x v="0"/>
    <x v="1"/>
    <x v="0"/>
    <n v="17717.18"/>
    <n v="12229.67"/>
    <s v="Actual"/>
    <n v="2"/>
    <n v="5487.51"/>
    <n v="0.30972818473368785"/>
  </r>
  <r>
    <s v="ORD5721"/>
    <d v="2023-03-20T00:00:00"/>
    <x v="5"/>
    <x v="0"/>
    <x v="3"/>
    <x v="0"/>
    <n v="271637.28000000003"/>
    <n v="184553.79"/>
    <s v="Actual"/>
    <n v="4"/>
    <n v="87083.49000000002"/>
    <n v="0.32058740243607214"/>
  </r>
  <r>
    <s v="ORD7081"/>
    <d v="2023-06-25T00:00:00"/>
    <x v="0"/>
    <x v="2"/>
    <x v="2"/>
    <x v="0"/>
    <n v="22317.85"/>
    <n v="15013.67"/>
    <s v="Actual"/>
    <n v="1"/>
    <n v="7304.1799999999985"/>
    <n v="0.32727973348687256"/>
  </r>
  <r>
    <s v="ORD5036"/>
    <s v="Not Mentioned"/>
    <x v="3"/>
    <x v="2"/>
    <x v="2"/>
    <x v="0"/>
    <n v="84755.27"/>
    <n v="56165.69"/>
    <s v="Actual"/>
    <n v="4"/>
    <n v="28589.58"/>
    <n v="0.33731920150805961"/>
  </r>
  <r>
    <s v="ORD1212"/>
    <s v="Not Mentioned"/>
    <x v="3"/>
    <x v="3"/>
    <x v="3"/>
    <x v="0"/>
    <n v="332440.33"/>
    <n v="216010.38"/>
    <s v="Actual"/>
    <n v="5"/>
    <n v="116429.95000000001"/>
    <n v="0.35022811462135178"/>
  </r>
  <r>
    <s v="ORD4992"/>
    <d v="2023-02-15T00:00:00"/>
    <x v="1"/>
    <x v="1"/>
    <x v="2"/>
    <x v="0"/>
    <n v="77639.91"/>
    <n v="50844.15"/>
    <s v="Actual"/>
    <n v="4"/>
    <n v="26795.760000000002"/>
    <n v="0.34512868446138079"/>
  </r>
  <r>
    <s v="ORD414"/>
    <s v="Not Mentioned"/>
    <x v="3"/>
    <x v="2"/>
    <x v="3"/>
    <x v="0"/>
    <n v="278693.38"/>
    <n v="233851.26"/>
    <s v="Actual"/>
    <s v="Unknown"/>
    <n v="44842.119999999995"/>
    <n v="0.16090127436826807"/>
  </r>
  <r>
    <s v="ORD3903"/>
    <d v="2023-01-15T00:00:00"/>
    <x v="4"/>
    <x v="2"/>
    <x v="0"/>
    <x v="0"/>
    <n v="13611.16"/>
    <n v="10782.1"/>
    <s v="Actual"/>
    <n v="1"/>
    <n v="2829.0599999999995"/>
    <n v="0.20784855956435744"/>
  </r>
  <r>
    <s v="ORD1122"/>
    <d v="2023-03-20T00:00:00"/>
    <x v="5"/>
    <x v="0"/>
    <x v="3"/>
    <x v="0"/>
    <n v="223280.12"/>
    <n v="157726.26"/>
    <s v="Actual"/>
    <n v="4"/>
    <n v="65553.859999999986"/>
    <n v="0.2935947006836076"/>
  </r>
  <r>
    <s v="ORD4580"/>
    <d v="2023-06-25T00:00:00"/>
    <x v="0"/>
    <x v="1"/>
    <x v="2"/>
    <x v="0"/>
    <n v="18727.04"/>
    <n v="11970.81"/>
    <s v="Actual"/>
    <n v="1"/>
    <n v="6756.2300000000014"/>
    <n v="0.36077404651242273"/>
  </r>
  <r>
    <s v="ORD4097"/>
    <d v="2023-03-20T00:00:00"/>
    <x v="5"/>
    <x v="1"/>
    <x v="3"/>
    <x v="0"/>
    <n v="208919.77"/>
    <n v="167135.81599999999"/>
    <s v="Estimated"/>
    <n v="3"/>
    <n v="41783.953999999998"/>
    <n v="0.2"/>
  </r>
  <r>
    <s v="ORD410"/>
    <d v="2023-02-15T00:00:00"/>
    <x v="1"/>
    <x v="1"/>
    <x v="3"/>
    <x v="0"/>
    <n v="202060.83"/>
    <n v="132770.97"/>
    <s v="Actual"/>
    <n v="3"/>
    <n v="69289.859999999986"/>
    <n v="0.34291584370904538"/>
  </r>
  <r>
    <s v="ORD3384"/>
    <d v="2023-03-20T00:00:00"/>
    <x v="5"/>
    <x v="0"/>
    <x v="1"/>
    <x v="0"/>
    <n v="22086.21"/>
    <n v="12363.11"/>
    <s v="Actual"/>
    <n v="2"/>
    <n v="9723.0999999999985"/>
    <n v="0.44023397404987091"/>
  </r>
  <r>
    <s v="ORD772"/>
    <d v="2023-03-20T00:00:00"/>
    <x v="5"/>
    <x v="1"/>
    <x v="1"/>
    <x v="0"/>
    <n v="8634.6200000000008"/>
    <n v="6880.75"/>
    <s v="Actual"/>
    <n v="1"/>
    <n v="1753.8700000000008"/>
    <n v="0.2031206932094291"/>
  </r>
  <r>
    <s v="ORD267"/>
    <d v="2023-02-15T00:00:00"/>
    <x v="1"/>
    <x v="3"/>
    <x v="2"/>
    <x v="0"/>
    <n v="63517.98"/>
    <n v="45187.21"/>
    <s v="Actual"/>
    <n v="3"/>
    <n v="18330.770000000004"/>
    <n v="0.28859182864442484"/>
  </r>
  <r>
    <s v="ORD9707"/>
    <d v="2023-04-05T00:00:00"/>
    <x v="2"/>
    <x v="2"/>
    <x v="2"/>
    <x v="0"/>
    <n v="37831.360000000001"/>
    <n v="24919.279999999999"/>
    <s v="Actual"/>
    <s v="Unknown"/>
    <n v="12912.080000000002"/>
    <n v="0.34130626020317539"/>
  </r>
  <r>
    <s v="ORD1705"/>
    <d v="2023-04-05T00:00:00"/>
    <x v="2"/>
    <x v="2"/>
    <x v="2"/>
    <x v="0"/>
    <n v="116020.43"/>
    <n v="71686.070000000007"/>
    <s v="Actual"/>
    <n v="5"/>
    <n v="44334.359999999986"/>
    <n v="0.3821254584214176"/>
  </r>
  <r>
    <s v="ORD304"/>
    <d v="2023-06-25T00:00:00"/>
    <x v="0"/>
    <x v="3"/>
    <x v="3"/>
    <x v="0"/>
    <n v="113793.7"/>
    <n v="96205.18"/>
    <s v="Actual"/>
    <n v="2"/>
    <n v="17588.520000000004"/>
    <n v="0.15456497152302812"/>
  </r>
  <r>
    <s v="ORD8056"/>
    <s v="Not Mentioned"/>
    <x v="3"/>
    <x v="1"/>
    <x v="2"/>
    <x v="0"/>
    <n v="20341.96"/>
    <n v="14665.03"/>
    <s v="Actual"/>
    <n v="1"/>
    <n v="5676.9299999999985"/>
    <n v="0.27907487774039469"/>
  </r>
  <r>
    <s v="ORD6659"/>
    <d v="2023-01-15T00:00:00"/>
    <x v="4"/>
    <x v="1"/>
    <x v="1"/>
    <x v="0"/>
    <n v="45469.72"/>
    <n v="30457.26"/>
    <s v="Actual"/>
    <n v="4"/>
    <n v="15012.460000000003"/>
    <n v="0.33016389808426361"/>
  </r>
  <r>
    <s v="ORD5490"/>
    <d v="2023-04-05T00:00:00"/>
    <x v="2"/>
    <x v="2"/>
    <x v="0"/>
    <x v="0"/>
    <n v="15816.67"/>
    <n v="10231.290000000001"/>
    <s v="Actual"/>
    <n v="1"/>
    <n v="5585.3799999999992"/>
    <n v="0.35313248616807452"/>
  </r>
  <r>
    <s v="ORD7199"/>
    <d v="2023-06-25T00:00:00"/>
    <x v="0"/>
    <x v="1"/>
    <x v="3"/>
    <x v="0"/>
    <n v="205658.78"/>
    <n v="189594.6"/>
    <s v="Actual"/>
    <n v="4"/>
    <n v="16064.179999999993"/>
    <n v="7.8110839712265109E-2"/>
  </r>
  <r>
    <s v="ORD9749"/>
    <d v="2023-02-15T00:00:00"/>
    <x v="1"/>
    <x v="0"/>
    <x v="3"/>
    <x v="0"/>
    <n v="64988.39"/>
    <n v="46124.69"/>
    <s v="Actual"/>
    <n v="1"/>
    <n v="18863.699999999997"/>
    <n v="0.29026261459931529"/>
  </r>
  <r>
    <s v="ORD1139"/>
    <d v="2023-01-15T00:00:00"/>
    <x v="4"/>
    <x v="1"/>
    <x v="1"/>
    <x v="0"/>
    <n v="41016.19"/>
    <n v="26287.05"/>
    <s v="Actual"/>
    <n v="4"/>
    <n v="14729.140000000003"/>
    <n v="0.35910551418842174"/>
  </r>
  <r>
    <s v="ORD3594"/>
    <d v="2023-03-20T00:00:00"/>
    <x v="5"/>
    <x v="3"/>
    <x v="0"/>
    <x v="0"/>
    <n v="30241.99"/>
    <n v="21932.11"/>
    <s v="Actual"/>
    <n v="2"/>
    <n v="8309.880000000001"/>
    <n v="0.27477953666408861"/>
  </r>
  <r>
    <s v="ORD8753"/>
    <d v="2023-04-05T00:00:00"/>
    <x v="2"/>
    <x v="3"/>
    <x v="1"/>
    <x v="0"/>
    <n v="33106.18"/>
    <n v="22654.639999999999"/>
    <s v="Actual"/>
    <n v="3"/>
    <n v="10451.540000000001"/>
    <n v="0.31569755254154969"/>
  </r>
  <r>
    <s v="ORD7180"/>
    <d v="2023-02-15T00:00:00"/>
    <x v="1"/>
    <x v="3"/>
    <x v="2"/>
    <x v="0"/>
    <n v="110071.34"/>
    <n v="59579.96"/>
    <s v="Actual"/>
    <n v="5"/>
    <n v="50491.38"/>
    <n v="0.45871504789530132"/>
  </r>
  <r>
    <s v="ORD7876"/>
    <d v="2023-06-25T00:00:00"/>
    <x v="0"/>
    <x v="0"/>
    <x v="1"/>
    <x v="0"/>
    <n v="21135.67"/>
    <n v="14681.05"/>
    <s v="Actual"/>
    <n v="2"/>
    <n v="6454.619999999999"/>
    <n v="0.30538989301025232"/>
  </r>
  <r>
    <s v="ORD960"/>
    <d v="2023-03-20T00:00:00"/>
    <x v="5"/>
    <x v="1"/>
    <x v="1"/>
    <x v="0"/>
    <n v="43734.14"/>
    <n v="27313.25"/>
    <s v="Actual"/>
    <n v="4"/>
    <n v="16420.89"/>
    <n v="0.37547074207930003"/>
  </r>
  <r>
    <s v="ORD3243"/>
    <d v="2023-02-15T00:00:00"/>
    <x v="1"/>
    <x v="0"/>
    <x v="3"/>
    <x v="0"/>
    <n v="244054.58"/>
    <n v="200104.63"/>
    <s v="Actual"/>
    <n v="5"/>
    <n v="43949.949999999983"/>
    <n v="0.18008246352106969"/>
  </r>
  <r>
    <s v="ORD1684"/>
    <d v="2023-02-15T00:00:00"/>
    <x v="1"/>
    <x v="3"/>
    <x v="3"/>
    <x v="0"/>
    <n v="51705.84"/>
    <n v="38890.519999999997"/>
    <s v="Actual"/>
    <n v="1"/>
    <n v="12815.32"/>
    <n v="0.24785053293786544"/>
  </r>
  <r>
    <s v="ORD7634"/>
    <d v="2023-06-25T00:00:00"/>
    <x v="0"/>
    <x v="2"/>
    <x v="0"/>
    <x v="0"/>
    <n v="13817.37"/>
    <n v="9745.0300000000007"/>
    <s v="Actual"/>
    <n v="1"/>
    <n v="4072.34"/>
    <n v="0.29472613094966699"/>
  </r>
  <r>
    <s v="ORD3492"/>
    <s v="Not Mentioned"/>
    <x v="3"/>
    <x v="2"/>
    <x v="1"/>
    <x v="0"/>
    <n v="54835.54"/>
    <n v="37471.449999999997"/>
    <s v="Actual"/>
    <n v="5"/>
    <n v="17364.090000000004"/>
    <n v="0.31665759104405655"/>
  </r>
  <r>
    <s v="ORD8581"/>
    <s v="Not Mentioned"/>
    <x v="3"/>
    <x v="2"/>
    <x v="2"/>
    <x v="0"/>
    <n v="43699.29"/>
    <n v="25694.54"/>
    <s v="Actual"/>
    <n v="2"/>
    <n v="18004.75"/>
    <n v="0.41201470321371353"/>
  </r>
  <r>
    <s v="ORD843"/>
    <d v="2023-01-15T00:00:00"/>
    <x v="4"/>
    <x v="2"/>
    <x v="2"/>
    <x v="0"/>
    <n v="17271.240000000002"/>
    <n v="14354.15"/>
    <s v="Actual"/>
    <n v="1"/>
    <n v="2917.090000000002"/>
    <n v="0.16889870096183029"/>
  </r>
  <r>
    <s v="ORD5254"/>
    <d v="2023-03-20T00:00:00"/>
    <x v="5"/>
    <x v="1"/>
    <x v="0"/>
    <x v="0"/>
    <n v="34108.339999999997"/>
    <n v="19356.12"/>
    <s v="Actual"/>
    <n v="2"/>
    <n v="14752.219999999998"/>
    <n v="0.43251064109247178"/>
  </r>
  <r>
    <s v="ORD4904"/>
    <d v="2023-06-25T00:00:00"/>
    <x v="0"/>
    <x v="0"/>
    <x v="0"/>
    <x v="0"/>
    <n v="13884.13"/>
    <n v="9630.86"/>
    <s v="Actual"/>
    <n v="1"/>
    <n v="4253.2699999999986"/>
    <n v="0.30634040447618965"/>
  </r>
  <r>
    <s v="ORD6862"/>
    <s v="Not Mentioned"/>
    <x v="3"/>
    <x v="1"/>
    <x v="0"/>
    <x v="0"/>
    <n v="12857.99"/>
    <n v="10169.24"/>
    <s v="Actual"/>
    <n v="1"/>
    <n v="2688.75"/>
    <n v="0.20911122189393522"/>
  </r>
  <r>
    <s v="ORD9624"/>
    <s v="Not Mentioned"/>
    <x v="3"/>
    <x v="1"/>
    <x v="1"/>
    <x v="0"/>
    <n v="9869.75"/>
    <n v="6977.15"/>
    <s v="Actual"/>
    <n v="1"/>
    <n v="2892.6000000000004"/>
    <n v="0.29307733225259003"/>
  </r>
  <r>
    <s v="ORD8514"/>
    <s v="Not Mentioned"/>
    <x v="3"/>
    <x v="2"/>
    <x v="3"/>
    <x v="0"/>
    <n v="69718.64"/>
    <n v="55774.912000000004"/>
    <s v="Estimated"/>
    <s v="Unknown"/>
    <n v="13943.727999999996"/>
    <n v="0.19999999999999993"/>
  </r>
  <r>
    <s v="ORD5430"/>
    <d v="2023-02-15T00:00:00"/>
    <x v="1"/>
    <x v="0"/>
    <x v="2"/>
    <x v="0"/>
    <n v="96187.71"/>
    <n v="76950.168000000005"/>
    <s v="Estimated"/>
    <n v="5"/>
    <n v="19237.542000000001"/>
    <n v="0.2"/>
  </r>
  <r>
    <s v="ORD5227"/>
    <d v="2023-06-25T00:00:00"/>
    <x v="0"/>
    <x v="2"/>
    <x v="2"/>
    <x v="0"/>
    <n v="45406.35"/>
    <n v="24597.09"/>
    <s v="Actual"/>
    <n v="2"/>
    <n v="20809.259999999998"/>
    <n v="0.45828964451007403"/>
  </r>
  <r>
    <s v="ORD9811"/>
    <d v="2023-06-25T00:00:00"/>
    <x v="0"/>
    <x v="2"/>
    <x v="1"/>
    <x v="0"/>
    <n v="55635.15"/>
    <n v="33778.6"/>
    <s v="Actual"/>
    <n v="5"/>
    <n v="21856.550000000003"/>
    <n v="0.39285505656046588"/>
  </r>
  <r>
    <s v="ORD5480"/>
    <d v="2023-04-05T00:00:00"/>
    <x v="2"/>
    <x v="2"/>
    <x v="0"/>
    <x v="0"/>
    <n v="35589.410000000003"/>
    <n v="17370.240000000002"/>
    <s v="Actual"/>
    <n v="2"/>
    <n v="18219.170000000002"/>
    <n v="0.51192672202208467"/>
  </r>
  <r>
    <s v="ORD6138"/>
    <s v="Not Mentioned"/>
    <x v="3"/>
    <x v="2"/>
    <x v="3"/>
    <x v="0"/>
    <n v="195411.51"/>
    <n v="144132.6"/>
    <s v="Actual"/>
    <n v="3"/>
    <n v="51278.91"/>
    <n v="0.26241499285277514"/>
  </r>
  <r>
    <s v="ORD850"/>
    <d v="2023-06-25T00:00:00"/>
    <x v="0"/>
    <x v="1"/>
    <x v="0"/>
    <x v="0"/>
    <n v="12904.39"/>
    <n v="8611.24"/>
    <s v="Actual"/>
    <n v="1"/>
    <n v="4293.1499999999996"/>
    <n v="0.3326891081252194"/>
  </r>
  <r>
    <s v="ORD1706"/>
    <d v="2023-03-20T00:00:00"/>
    <x v="5"/>
    <x v="3"/>
    <x v="3"/>
    <x v="0"/>
    <n v="52791.14"/>
    <n v="41272.949999999997"/>
    <s v="Actual"/>
    <n v="1"/>
    <n v="11518.190000000002"/>
    <n v="0.21818414984029522"/>
  </r>
  <r>
    <s v="ORD5015"/>
    <d v="2023-02-15T00:00:00"/>
    <x v="1"/>
    <x v="3"/>
    <x v="3"/>
    <x v="0"/>
    <n v="117743.02"/>
    <n v="86928.63"/>
    <s v="Actual"/>
    <n v="2"/>
    <n v="30814.39"/>
    <n v="0.2617088469448125"/>
  </r>
  <r>
    <s v="ORD3536"/>
    <d v="2023-03-20T00:00:00"/>
    <x v="5"/>
    <x v="2"/>
    <x v="2"/>
    <x v="0"/>
    <n v="46953.93"/>
    <n v="29621.11"/>
    <s v="Actual"/>
    <n v="2"/>
    <n v="17332.82"/>
    <n v="0.36914524513709501"/>
  </r>
  <r>
    <s v="ORD3734"/>
    <d v="2023-01-15T00:00:00"/>
    <x v="4"/>
    <x v="3"/>
    <x v="0"/>
    <x v="0"/>
    <n v="51941.87"/>
    <n v="29843.06"/>
    <s v="Actual"/>
    <n v="3"/>
    <n v="22098.81"/>
    <n v="0.4254527224376019"/>
  </r>
  <r>
    <s v="ORD193"/>
    <d v="2023-01-15T00:00:00"/>
    <x v="4"/>
    <x v="2"/>
    <x v="3"/>
    <x v="0"/>
    <n v="131716.15"/>
    <n v="77291.11"/>
    <s v="Actual"/>
    <n v="2"/>
    <n v="54425.039999999994"/>
    <n v="0.41319944441133449"/>
  </r>
  <r>
    <s v="ORD812"/>
    <d v="2023-01-15T00:00:00"/>
    <x v="4"/>
    <x v="0"/>
    <x v="1"/>
    <x v="0"/>
    <n v="17115.72"/>
    <n v="14202.08"/>
    <s v="Actual"/>
    <n v="2"/>
    <n v="2913.6400000000012"/>
    <n v="0.1702318102890209"/>
  </r>
  <r>
    <s v="ORD1414"/>
    <d v="2023-02-15T00:00:00"/>
    <x v="1"/>
    <x v="1"/>
    <x v="1"/>
    <x v="0"/>
    <n v="40851.79"/>
    <n v="26124.06"/>
    <s v="Actual"/>
    <n v="4"/>
    <n v="14727.73"/>
    <n v="0.36051614874158511"/>
  </r>
  <r>
    <s v="ORD9725"/>
    <s v="Not Mentioned"/>
    <x v="3"/>
    <x v="2"/>
    <x v="1"/>
    <x v="0"/>
    <n v="56139.55"/>
    <n v="30933.37"/>
    <s v="Actual"/>
    <n v="5"/>
    <n v="25206.180000000004"/>
    <n v="0.44899148639417313"/>
  </r>
  <r>
    <s v="ORD494"/>
    <d v="2023-01-15T00:00:00"/>
    <x v="4"/>
    <x v="1"/>
    <x v="2"/>
    <x v="0"/>
    <n v="75447.039999999994"/>
    <n v="47631.83"/>
    <s v="Actual"/>
    <n v="4"/>
    <n v="27815.209999999992"/>
    <n v="0.36867198501094267"/>
  </r>
  <r>
    <s v="ORD3393"/>
    <d v="2023-04-05T00:00:00"/>
    <x v="2"/>
    <x v="3"/>
    <x v="0"/>
    <x v="0"/>
    <n v="28044.21"/>
    <n v="20855.22"/>
    <s v="Actual"/>
    <s v="Unknown"/>
    <n v="7188.989999999998"/>
    <n v="0.25634489258210513"/>
  </r>
  <r>
    <s v="ORD6417"/>
    <d v="2023-06-25T00:00:00"/>
    <x v="0"/>
    <x v="1"/>
    <x v="2"/>
    <x v="0"/>
    <n v="85774.58"/>
    <n v="69911.45"/>
    <s v="Actual"/>
    <n v="5"/>
    <n v="15863.130000000005"/>
    <n v="0.18493975721011988"/>
  </r>
  <r>
    <s v="ORD7054"/>
    <d v="2023-01-15T00:00:00"/>
    <x v="4"/>
    <x v="1"/>
    <x v="1"/>
    <x v="0"/>
    <n v="16158.26"/>
    <n v="12592.39"/>
    <s v="Actual"/>
    <n v="2"/>
    <n v="3565.8700000000008"/>
    <n v="0.2206840340482206"/>
  </r>
  <r>
    <s v="ORD3628"/>
    <d v="2023-06-25T00:00:00"/>
    <x v="0"/>
    <x v="1"/>
    <x v="2"/>
    <x v="0"/>
    <n v="49510.38"/>
    <n v="41837.35"/>
    <s v="Actual"/>
    <n v="3"/>
    <n v="7673.0299999999988"/>
    <n v="0.15497820860999248"/>
  </r>
  <r>
    <s v="ORD8546"/>
    <d v="2023-01-15T00:00:00"/>
    <x v="4"/>
    <x v="0"/>
    <x v="1"/>
    <x v="0"/>
    <n v="36887.480000000003"/>
    <n v="25769.9"/>
    <s v="Actual"/>
    <n v="4"/>
    <n v="11117.580000000002"/>
    <n v="0.30139169170677965"/>
  </r>
  <r>
    <s v="ORD9221"/>
    <s v="Not Mentioned"/>
    <x v="3"/>
    <x v="2"/>
    <x v="0"/>
    <x v="0"/>
    <n v="15341.15"/>
    <n v="10390.15"/>
    <s v="Actual"/>
    <n v="1"/>
    <n v="4951"/>
    <n v="0.32272678384606107"/>
  </r>
  <r>
    <s v="ORD2778"/>
    <d v="2023-04-05T00:00:00"/>
    <x v="2"/>
    <x v="0"/>
    <x v="3"/>
    <x v="0"/>
    <n v="207457.76"/>
    <n v="176988.72"/>
    <s v="Actual"/>
    <n v="4"/>
    <n v="30469.040000000008"/>
    <n v="0.14686864448936501"/>
  </r>
  <r>
    <s v="ORD4499"/>
    <d v="2023-03-20T00:00:00"/>
    <x v="5"/>
    <x v="0"/>
    <x v="0"/>
    <x v="0"/>
    <n v="49465.85"/>
    <n v="31799.53"/>
    <s v="Actual"/>
    <n v="3"/>
    <n v="17666.32"/>
    <n v="0.35714174526466241"/>
  </r>
  <r>
    <s v="ORD698"/>
    <d v="2023-01-15T00:00:00"/>
    <x v="4"/>
    <x v="1"/>
    <x v="1"/>
    <x v="0"/>
    <n v="17374.12"/>
    <n v="11935.74"/>
    <s v="Actual"/>
    <n v="2"/>
    <n v="5438.3799999999992"/>
    <n v="0.31301614124916827"/>
  </r>
  <r>
    <s v="ORD3832"/>
    <d v="2023-06-25T00:00:00"/>
    <x v="0"/>
    <x v="2"/>
    <x v="3"/>
    <x v="0"/>
    <n v="205317.1"/>
    <n v="139849.04"/>
    <s v="Actual"/>
    <n v="3"/>
    <n v="65468.06"/>
    <n v="0.31886316337022097"/>
  </r>
  <r>
    <s v="ORD178"/>
    <d v="2023-04-05T00:00:00"/>
    <x v="2"/>
    <x v="2"/>
    <x v="3"/>
    <x v="0"/>
    <n v="225197.88"/>
    <n v="175646.61"/>
    <s v="Actual"/>
    <n v="4"/>
    <n v="49551.270000000019"/>
    <n v="0.22003435378698954"/>
  </r>
  <r>
    <s v="ORD6458"/>
    <d v="2023-03-20T00:00:00"/>
    <x v="5"/>
    <x v="1"/>
    <x v="0"/>
    <x v="0"/>
    <n v="65749.48"/>
    <n v="50030.559999999998"/>
    <s v="Actual"/>
    <n v="5"/>
    <n v="15718.919999999998"/>
    <n v="0.23907291738276865"/>
  </r>
  <r>
    <s v="ORD2713"/>
    <d v="2023-06-25T00:00:00"/>
    <x v="0"/>
    <x v="0"/>
    <x v="1"/>
    <x v="0"/>
    <n v="48198.59"/>
    <n v="36134.36"/>
    <s v="Actual"/>
    <n v="5"/>
    <n v="12064.229999999996"/>
    <n v="0.25030255034431498"/>
  </r>
  <r>
    <s v="ORD1833"/>
    <d v="2023-06-25T00:00:00"/>
    <x v="0"/>
    <x v="3"/>
    <x v="3"/>
    <x v="0"/>
    <n v="62075.23"/>
    <n v="48232.08"/>
    <s v="Actual"/>
    <n v="1"/>
    <n v="13843.150000000001"/>
    <n v="0.22300602027572031"/>
  </r>
  <r>
    <s v="ORD7411"/>
    <d v="2023-03-20T00:00:00"/>
    <x v="5"/>
    <x v="0"/>
    <x v="1"/>
    <x v="0"/>
    <n v="9162.7999999999993"/>
    <n v="6682.61"/>
    <s v="Actual"/>
    <n v="1"/>
    <n v="2480.1899999999996"/>
    <n v="0.2706803597153708"/>
  </r>
  <r>
    <s v="ORD2526"/>
    <s v="Not Mentioned"/>
    <x v="3"/>
    <x v="0"/>
    <x v="2"/>
    <x v="0"/>
    <n v="91098.01"/>
    <n v="72878.407999999996"/>
    <s v="Estimated"/>
    <n v="4"/>
    <n v="18219.601999999999"/>
    <n v="0.2"/>
  </r>
  <r>
    <s v="ORD7457"/>
    <d v="2023-01-15T00:00:00"/>
    <x v="4"/>
    <x v="3"/>
    <x v="3"/>
    <x v="0"/>
    <n v="99460.76"/>
    <n v="79568.608000000007"/>
    <s v="Estimated"/>
    <n v="2"/>
    <n v="19892.151999999987"/>
    <n v="0.19999999999999987"/>
  </r>
  <r>
    <s v="ORD6942"/>
    <d v="2023-01-15T00:00:00"/>
    <x v="4"/>
    <x v="0"/>
    <x v="3"/>
    <x v="0"/>
    <n v="283471.23"/>
    <n v="156888.41"/>
    <s v="Actual"/>
    <n v="4"/>
    <n v="126582.81999999998"/>
    <n v="0.44654556301886433"/>
  </r>
  <r>
    <s v="ORD685"/>
    <s v="Not Mentioned"/>
    <x v="3"/>
    <x v="2"/>
    <x v="1"/>
    <x v="0"/>
    <n v="18154.919999999998"/>
    <n v="13868.22"/>
    <s v="Actual"/>
    <n v="2"/>
    <n v="4286.6999999999989"/>
    <n v="0.23611781269209664"/>
  </r>
  <r>
    <s v="ORD7223"/>
    <d v="2023-02-15T00:00:00"/>
    <x v="1"/>
    <x v="1"/>
    <x v="2"/>
    <x v="0"/>
    <n v="88108.66"/>
    <n v="73642.95"/>
    <s v="Actual"/>
    <n v="5"/>
    <n v="14465.710000000006"/>
    <n v="0.16418034277220883"/>
  </r>
  <r>
    <s v="ORD3842"/>
    <d v="2023-01-15T00:00:00"/>
    <x v="4"/>
    <x v="2"/>
    <x v="0"/>
    <x v="0"/>
    <n v="66110.55"/>
    <n v="39634.019999999997"/>
    <s v="Actual"/>
    <n v="4"/>
    <n v="26476.530000000006"/>
    <n v="0.40048872683709341"/>
  </r>
  <r>
    <s v="ORD7198"/>
    <d v="2023-01-15T00:00:00"/>
    <x v="4"/>
    <x v="0"/>
    <x v="1"/>
    <x v="0"/>
    <n v="59775.07"/>
    <n v="37817.58"/>
    <s v="Actual"/>
    <n v="5"/>
    <n v="21957.489999999998"/>
    <n v="0.3673352452786755"/>
  </r>
  <r>
    <s v="ORD733"/>
    <d v="2023-06-25T00:00:00"/>
    <x v="0"/>
    <x v="2"/>
    <x v="2"/>
    <x v="0"/>
    <n v="85968.23"/>
    <n v="57849.279999999999"/>
    <s v="Actual"/>
    <n v="4"/>
    <n v="28118.949999999997"/>
    <n v="0.32708536630334251"/>
  </r>
  <r>
    <s v="ORD9666"/>
    <d v="2023-02-15T00:00:00"/>
    <x v="1"/>
    <x v="2"/>
    <x v="2"/>
    <x v="0"/>
    <n v="23914.28"/>
    <n v="15111.47"/>
    <s v="Actual"/>
    <n v="1"/>
    <n v="8802.81"/>
    <n v="0.36809847505339904"/>
  </r>
  <r>
    <s v="ORD7379"/>
    <d v="2023-02-15T00:00:00"/>
    <x v="1"/>
    <x v="0"/>
    <x v="3"/>
    <x v="0"/>
    <n v="352179.91"/>
    <n v="240396.34"/>
    <s v="Actual"/>
    <n v="5"/>
    <n v="111783.56999999998"/>
    <n v="0.31740473214386361"/>
  </r>
  <r>
    <s v="ORD6690"/>
    <d v="2023-02-15T00:00:00"/>
    <x v="1"/>
    <x v="0"/>
    <x v="1"/>
    <x v="0"/>
    <n v="34342.129999999997"/>
    <n v="27473.703999999998"/>
    <s v="Estimated"/>
    <n v="4"/>
    <n v="6868.4259999999995"/>
    <n v="0.2"/>
  </r>
  <r>
    <s v="ORD8434"/>
    <d v="2023-06-25T00:00:00"/>
    <x v="0"/>
    <x v="3"/>
    <x v="3"/>
    <x v="0"/>
    <n v="138119.23000000001"/>
    <n v="79206.490000000005"/>
    <s v="Actual"/>
    <n v="2"/>
    <n v="58912.740000000005"/>
    <n v="0.42653539264590457"/>
  </r>
  <r>
    <s v="ORD8114"/>
    <s v="Not Mentioned"/>
    <x v="3"/>
    <x v="0"/>
    <x v="0"/>
    <x v="0"/>
    <n v="24247.040000000001"/>
    <n v="18762.79"/>
    <s v="Actual"/>
    <n v="2"/>
    <n v="5484.25"/>
    <n v="0.22618224740009502"/>
  </r>
  <r>
    <s v="ORD692"/>
    <d v="2023-01-15T00:00:00"/>
    <x v="4"/>
    <x v="1"/>
    <x v="3"/>
    <x v="0"/>
    <n v="65403.82"/>
    <n v="41226.29"/>
    <s v="Actual"/>
    <n v="1"/>
    <n v="24177.53"/>
    <n v="0.36966541098058187"/>
  </r>
  <r>
    <s v="ORD8448"/>
    <d v="2023-03-20T00:00:00"/>
    <x v="5"/>
    <x v="3"/>
    <x v="1"/>
    <x v="0"/>
    <n v="56481.75"/>
    <n v="36127.050000000003"/>
    <s v="Actual"/>
    <s v="Unknown"/>
    <n v="20354.699999999997"/>
    <n v="0.36037658181625032"/>
  </r>
  <r>
    <s v="ORD2086"/>
    <d v="2023-04-05T00:00:00"/>
    <x v="2"/>
    <x v="0"/>
    <x v="3"/>
    <x v="0"/>
    <n v="102227.08"/>
    <n v="80479.45"/>
    <s v="Actual"/>
    <n v="2"/>
    <n v="21747.630000000005"/>
    <n v="0.2127384446469566"/>
  </r>
  <r>
    <s v="ORD4128"/>
    <d v="2023-01-15T00:00:00"/>
    <x v="4"/>
    <x v="1"/>
    <x v="1"/>
    <x v="0"/>
    <n v="50521.82"/>
    <n v="35663.730000000003"/>
    <s v="Actual"/>
    <n v="5"/>
    <n v="14858.089999999997"/>
    <n v="0.29409253269181507"/>
  </r>
  <r>
    <s v="ORD1474"/>
    <d v="2023-01-15T00:00:00"/>
    <x v="4"/>
    <x v="1"/>
    <x v="0"/>
    <x v="0"/>
    <n v="13734.2"/>
    <n v="10983.59"/>
    <s v="Actual"/>
    <n v="1"/>
    <n v="2750.6100000000006"/>
    <n v="0.20027449724046545"/>
  </r>
  <r>
    <s v="ORD1303"/>
    <s v="Not Mentioned"/>
    <x v="3"/>
    <x v="0"/>
    <x v="3"/>
    <x v="0"/>
    <n v="97080.81"/>
    <n v="80139.34"/>
    <s v="Actual"/>
    <n v="2"/>
    <n v="16941.47"/>
    <n v="0.17450894775187806"/>
  </r>
  <r>
    <s v="ORD1104"/>
    <s v="Not Mentioned"/>
    <x v="3"/>
    <x v="2"/>
    <x v="0"/>
    <x v="0"/>
    <n v="31764.42"/>
    <n v="20778.84"/>
    <s v="Actual"/>
    <n v="2"/>
    <n v="10985.579999999998"/>
    <n v="0.34584544594234679"/>
  </r>
  <r>
    <s v="ORD932"/>
    <d v="2023-04-05T00:00:00"/>
    <x v="2"/>
    <x v="3"/>
    <x v="1"/>
    <x v="0"/>
    <n v="43771.86"/>
    <n v="35796.639999999999"/>
    <s v="Actual"/>
    <n v="5"/>
    <n v="7975.2200000000012"/>
    <n v="0.18219970547287689"/>
  </r>
  <r>
    <s v="ORD655"/>
    <d v="2023-01-15T00:00:00"/>
    <x v="4"/>
    <x v="2"/>
    <x v="2"/>
    <x v="0"/>
    <n v="43757.68"/>
    <n v="24075.53"/>
    <s v="Actual"/>
    <n v="2"/>
    <n v="19682.150000000001"/>
    <n v="0.44979875532706493"/>
  </r>
  <r>
    <s v="ORD8036"/>
    <d v="2023-01-15T00:00:00"/>
    <x v="4"/>
    <x v="3"/>
    <x v="3"/>
    <x v="0"/>
    <n v="57568.92"/>
    <n v="39219.449999999997"/>
    <s v="Actual"/>
    <n v="1"/>
    <n v="18349.47"/>
    <n v="0.31873917384588768"/>
  </r>
  <r>
    <s v="ORD4556"/>
    <s v="Not Mentioned"/>
    <x v="3"/>
    <x v="0"/>
    <x v="1"/>
    <x v="0"/>
    <n v="47155.8"/>
    <n v="29033.49"/>
    <s v="Actual"/>
    <n v="4"/>
    <n v="18122.310000000001"/>
    <n v="0.38430712658888194"/>
  </r>
  <r>
    <s v="ORD7426"/>
    <d v="2023-04-05T00:00:00"/>
    <x v="2"/>
    <x v="1"/>
    <x v="2"/>
    <x v="0"/>
    <n v="48796.15"/>
    <n v="41657.72"/>
    <s v="Actual"/>
    <n v="3"/>
    <n v="7138.43"/>
    <n v="0.14629084466704853"/>
  </r>
  <r>
    <s v="ORD7005"/>
    <d v="2023-03-20T00:00:00"/>
    <x v="5"/>
    <x v="1"/>
    <x v="1"/>
    <x v="0"/>
    <n v="19760.96"/>
    <n v="15272.11"/>
    <s v="Actual"/>
    <n v="2"/>
    <n v="4488.8499999999985"/>
    <n v="0.22715748627597032"/>
  </r>
  <r>
    <s v="ORD6209"/>
    <d v="2023-02-15T00:00:00"/>
    <x v="1"/>
    <x v="0"/>
    <x v="3"/>
    <x v="0"/>
    <n v="54184.09"/>
    <n v="43347.271999999997"/>
    <s v="Estimated"/>
    <n v="1"/>
    <n v="10836.817999999999"/>
    <n v="0.2"/>
  </r>
  <r>
    <s v="ORD7235"/>
    <d v="2023-04-05T00:00:00"/>
    <x v="2"/>
    <x v="1"/>
    <x v="3"/>
    <x v="0"/>
    <n v="287300.39"/>
    <n v="244467.55"/>
    <s v="Actual"/>
    <n v="5"/>
    <n v="42832.840000000026"/>
    <n v="0.14908730196989994"/>
  </r>
  <r>
    <s v="ORD6476"/>
    <d v="2023-01-15T00:00:00"/>
    <x v="4"/>
    <x v="1"/>
    <x v="0"/>
    <x v="0"/>
    <n v="12740.66"/>
    <n v="9114.1"/>
    <s v="Actual"/>
    <n v="1"/>
    <n v="3626.5599999999995"/>
    <n v="0.28464459455004681"/>
  </r>
  <r>
    <s v="ORD1952"/>
    <s v="Not Mentioned"/>
    <x v="3"/>
    <x v="2"/>
    <x v="1"/>
    <x v="0"/>
    <n v="21646.62"/>
    <n v="15119.44"/>
    <s v="Actual"/>
    <n v="2"/>
    <n v="6527.1799999999985"/>
    <n v="0.30153344956395034"/>
  </r>
  <r>
    <s v="ORD925"/>
    <s v="Not Mentioned"/>
    <x v="3"/>
    <x v="2"/>
    <x v="0"/>
    <x v="0"/>
    <n v="13340.43"/>
    <n v="9599.7800000000007"/>
    <s v="Actual"/>
    <n v="1"/>
    <n v="3740.6499999999996"/>
    <n v="0.28039950736220642"/>
  </r>
  <r>
    <s v="ORD1626"/>
    <d v="2023-04-05T00:00:00"/>
    <x v="2"/>
    <x v="3"/>
    <x v="1"/>
    <x v="0"/>
    <n v="30449.55"/>
    <n v="21223.51"/>
    <s v="Actual"/>
    <n v="3"/>
    <n v="9226.0400000000009"/>
    <n v="0.30299429712425968"/>
  </r>
  <r>
    <s v="ORD8069"/>
    <d v="2023-03-20T00:00:00"/>
    <x v="5"/>
    <x v="1"/>
    <x v="0"/>
    <x v="0"/>
    <n v="50553.57"/>
    <n v="28350.7"/>
    <s v="Actual"/>
    <n v="3"/>
    <n v="22202.87"/>
    <n v="0.43919489761059405"/>
  </r>
  <r>
    <s v="ORD606"/>
    <d v="2023-06-25T00:00:00"/>
    <x v="0"/>
    <x v="0"/>
    <x v="3"/>
    <x v="0"/>
    <n v="64294.29"/>
    <n v="48255.62"/>
    <s v="Actual"/>
    <n v="1"/>
    <n v="16038.669999999998"/>
    <n v="0.24945714463912733"/>
  </r>
  <r>
    <s v="ORD3811"/>
    <d v="2023-02-15T00:00:00"/>
    <x v="1"/>
    <x v="0"/>
    <x v="2"/>
    <x v="0"/>
    <n v="21331.97"/>
    <n v="13247.47"/>
    <s v="Actual"/>
    <n v="1"/>
    <n v="8084.5000000000018"/>
    <n v="0.37898515702019087"/>
  </r>
  <r>
    <s v="ORD6112"/>
    <d v="2023-04-05T00:00:00"/>
    <x v="2"/>
    <x v="2"/>
    <x v="2"/>
    <x v="0"/>
    <n v="68169.87"/>
    <n v="39157.269999999997"/>
    <s v="Actual"/>
    <n v="3"/>
    <n v="29012.6"/>
    <n v="0.42559271420056982"/>
  </r>
  <r>
    <s v="ORD4234"/>
    <d v="2023-03-20T00:00:00"/>
    <x v="5"/>
    <x v="0"/>
    <x v="2"/>
    <x v="0"/>
    <n v="95620.6"/>
    <n v="74921.3"/>
    <s v="Actual"/>
    <n v="5"/>
    <n v="20699.300000000003"/>
    <n v="0.21647322857208595"/>
  </r>
  <r>
    <s v="ORD1614"/>
    <d v="2023-02-15T00:00:00"/>
    <x v="1"/>
    <x v="1"/>
    <x v="2"/>
    <x v="0"/>
    <n v="70257.820000000007"/>
    <n v="52212.06"/>
    <s v="Actual"/>
    <n v="4"/>
    <n v="18045.760000000009"/>
    <n v="0.25685055414472024"/>
  </r>
  <r>
    <s v="ORD8505"/>
    <d v="2023-02-15T00:00:00"/>
    <x v="1"/>
    <x v="2"/>
    <x v="3"/>
    <x v="0"/>
    <n v="284102.18"/>
    <n v="188909.56"/>
    <s v="Actual"/>
    <n v="4"/>
    <n v="95192.62"/>
    <n v="0.33506472917596053"/>
  </r>
  <r>
    <s v="ORD1984"/>
    <d v="2023-04-05T00:00:00"/>
    <x v="2"/>
    <x v="1"/>
    <x v="3"/>
    <x v="0"/>
    <n v="232963.67"/>
    <n v="186370.93600000002"/>
    <s v="Estimated"/>
    <n v="4"/>
    <n v="46592.733999999997"/>
    <n v="0.19999999999999998"/>
  </r>
  <r>
    <s v="ORD489"/>
    <d v="2023-01-15T00:00:00"/>
    <x v="4"/>
    <x v="1"/>
    <x v="3"/>
    <x v="0"/>
    <n v="281053.21999999997"/>
    <n v="178490.33"/>
    <s v="Actual"/>
    <n v="4"/>
    <n v="102562.88999999998"/>
    <n v="0.36492337643382983"/>
  </r>
  <r>
    <s v="ORD4424"/>
    <d v="2023-03-20T00:00:00"/>
    <x v="5"/>
    <x v="1"/>
    <x v="0"/>
    <x v="0"/>
    <n v="67678.17"/>
    <n v="46296.75"/>
    <s v="Actual"/>
    <n v="5"/>
    <n v="21381.42"/>
    <n v="0.31592786861701488"/>
  </r>
  <r>
    <s v="ORD2054"/>
    <d v="2023-03-20T00:00:00"/>
    <x v="5"/>
    <x v="3"/>
    <x v="1"/>
    <x v="0"/>
    <n v="47346.21"/>
    <n v="38358.93"/>
    <s v="Actual"/>
    <n v="5"/>
    <n v="8987.2799999999988"/>
    <n v="0.18982047348668454"/>
  </r>
  <r>
    <s v="ORD351"/>
    <d v="2023-02-15T00:00:00"/>
    <x v="1"/>
    <x v="2"/>
    <x v="0"/>
    <x v="0"/>
    <n v="61064.5"/>
    <n v="52950.27"/>
    <s v="Actual"/>
    <n v="5"/>
    <n v="8114.2300000000032"/>
    <n v="0.13287966003160598"/>
  </r>
  <r>
    <s v="ORD3588"/>
    <d v="2023-06-25T00:00:00"/>
    <x v="0"/>
    <x v="2"/>
    <x v="3"/>
    <x v="0"/>
    <n v="68103.86"/>
    <n v="39316.22"/>
    <s v="Actual"/>
    <n v="1"/>
    <n v="28787.64"/>
    <n v="0.42270203186720984"/>
  </r>
  <r>
    <s v="ORD240"/>
    <d v="2023-04-05T00:00:00"/>
    <x v="2"/>
    <x v="2"/>
    <x v="1"/>
    <x v="0"/>
    <n v="9700.4699999999993"/>
    <n v="7760.3760000000002"/>
    <s v="Estimated"/>
    <n v="1"/>
    <n v="1940.0939999999991"/>
    <n v="0.19999999999999993"/>
  </r>
  <r>
    <s v="ORD9116"/>
    <s v="Not Mentioned"/>
    <x v="3"/>
    <x v="0"/>
    <x v="1"/>
    <x v="0"/>
    <n v="35423.620000000003"/>
    <n v="30343.200000000001"/>
    <s v="Actual"/>
    <n v="4"/>
    <n v="5080.4200000000019"/>
    <n v="0.14341899557413956"/>
  </r>
  <r>
    <s v="ORD6327"/>
    <d v="2023-04-05T00:00:00"/>
    <x v="2"/>
    <x v="1"/>
    <x v="3"/>
    <x v="0"/>
    <n v="50938.22"/>
    <n v="44660.95"/>
    <s v="Actual"/>
    <n v="1"/>
    <n v="6277.2700000000041"/>
    <n v="0.12323300657149001"/>
  </r>
  <r>
    <s v="ORD1461"/>
    <d v="2023-02-15T00:00:00"/>
    <x v="1"/>
    <x v="0"/>
    <x v="3"/>
    <x v="0"/>
    <n v="49503.77"/>
    <n v="46658.74"/>
    <s v="Actual"/>
    <n v="1"/>
    <n v="2845.0299999999988"/>
    <n v="5.7470976452904478E-2"/>
  </r>
  <r>
    <s v="ORD5443"/>
    <s v="Not Mentioned"/>
    <x v="3"/>
    <x v="1"/>
    <x v="2"/>
    <x v="0"/>
    <n v="52450.35"/>
    <n v="45760.58"/>
    <s v="Actual"/>
    <n v="3"/>
    <n v="6689.7699999999968"/>
    <n v="0.12754481142642513"/>
  </r>
  <r>
    <s v="ORD6873"/>
    <d v="2023-06-25T00:00:00"/>
    <x v="0"/>
    <x v="0"/>
    <x v="2"/>
    <x v="0"/>
    <n v="32656.97"/>
    <n v="28564.81"/>
    <s v="Actual"/>
    <n v="2"/>
    <n v="4092.16"/>
    <n v="0.12530739992105819"/>
  </r>
  <r>
    <s v="ORD5611"/>
    <d v="2023-02-15T00:00:00"/>
    <x v="1"/>
    <x v="1"/>
    <x v="1"/>
    <x v="0"/>
    <n v="21124.57"/>
    <n v="16899.655999999999"/>
    <s v="Estimated"/>
    <n v="2"/>
    <n v="4224.9140000000007"/>
    <n v="0.20000000000000004"/>
  </r>
  <r>
    <s v="ORD4481"/>
    <d v="2023-02-15T00:00:00"/>
    <x v="1"/>
    <x v="2"/>
    <x v="1"/>
    <x v="0"/>
    <n v="25870.07"/>
    <n v="18955.740000000002"/>
    <s v="Actual"/>
    <n v="3"/>
    <n v="6914.3299999999981"/>
    <n v="0.26727140668734173"/>
  </r>
  <r>
    <s v="ORD3312"/>
    <d v="2023-04-05T00:00:00"/>
    <x v="2"/>
    <x v="2"/>
    <x v="2"/>
    <x v="0"/>
    <n v="18831.060000000001"/>
    <n v="14165.22"/>
    <s v="Actual"/>
    <n v="1"/>
    <n v="4665.840000000002"/>
    <n v="0.24777362506412287"/>
  </r>
  <r>
    <s v="ORD8323"/>
    <d v="2023-03-20T00:00:00"/>
    <x v="5"/>
    <x v="1"/>
    <x v="0"/>
    <x v="0"/>
    <n v="41935.56"/>
    <n v="29268.6"/>
    <s v="Actual"/>
    <n v="3"/>
    <n v="12666.96"/>
    <n v="0.30205772857212349"/>
  </r>
  <r>
    <s v="ORD8664"/>
    <s v="Not Mentioned"/>
    <x v="3"/>
    <x v="0"/>
    <x v="0"/>
    <x v="0"/>
    <n v="67611.960000000006"/>
    <n v="34892.550000000003"/>
    <s v="Actual"/>
    <n v="4"/>
    <n v="32719.410000000003"/>
    <n v="0.48392932256364113"/>
  </r>
  <r>
    <s v="ORD618"/>
    <s v="Not Mentioned"/>
    <x v="3"/>
    <x v="1"/>
    <x v="0"/>
    <x v="0"/>
    <n v="25425.79"/>
    <n v="20349.57"/>
    <s v="Actual"/>
    <n v="2"/>
    <n v="5076.2200000000012"/>
    <n v="0.19964846716660528"/>
  </r>
  <r>
    <s v="ORD194"/>
    <d v="2023-03-20T00:00:00"/>
    <x v="5"/>
    <x v="0"/>
    <x v="3"/>
    <x v="0"/>
    <n v="65349.599999999999"/>
    <n v="44246.559999999998"/>
    <s v="Actual"/>
    <n v="1"/>
    <n v="21103.040000000001"/>
    <n v="0.32292531247322098"/>
  </r>
  <r>
    <s v="ORD314"/>
    <d v="2023-04-05T00:00:00"/>
    <x v="2"/>
    <x v="2"/>
    <x v="1"/>
    <x v="0"/>
    <n v="58145.55"/>
    <n v="30506.58"/>
    <s v="Actual"/>
    <n v="5"/>
    <n v="27638.97"/>
    <n v="0.47534110520925504"/>
  </r>
  <r>
    <s v="ORD8636"/>
    <d v="2023-02-15T00:00:00"/>
    <x v="1"/>
    <x v="1"/>
    <x v="0"/>
    <x v="0"/>
    <n v="74354.47"/>
    <n v="42737.99"/>
    <s v="Actual"/>
    <n v="5"/>
    <n v="31616.480000000003"/>
    <n v="0.42521290246571597"/>
  </r>
  <r>
    <s v="ORD9032"/>
    <d v="2023-03-20T00:00:00"/>
    <x v="5"/>
    <x v="0"/>
    <x v="2"/>
    <x v="0"/>
    <n v="101852.56"/>
    <n v="67808.11"/>
    <s v="Actual"/>
    <n v="5"/>
    <n v="34044.449999999997"/>
    <n v="0.33425227603508439"/>
  </r>
  <r>
    <s v="ORD6511"/>
    <d v="2023-04-05T00:00:00"/>
    <x v="2"/>
    <x v="2"/>
    <x v="0"/>
    <x v="0"/>
    <n v="58656.4"/>
    <n v="38238.74"/>
    <s v="Actual"/>
    <n v="4"/>
    <n v="20417.660000000003"/>
    <n v="0.34808921106648216"/>
  </r>
  <r>
    <s v="ORD4659"/>
    <d v="2023-02-15T00:00:00"/>
    <x v="1"/>
    <x v="3"/>
    <x v="1"/>
    <x v="0"/>
    <n v="50016.63"/>
    <n v="37652.86"/>
    <s v="Actual"/>
    <n v="5"/>
    <n v="12363.769999999997"/>
    <n v="0.24719318354715217"/>
  </r>
  <r>
    <s v="ORD8849"/>
    <d v="2023-04-05T00:00:00"/>
    <x v="2"/>
    <x v="2"/>
    <x v="0"/>
    <x v="0"/>
    <n v="27562.41"/>
    <n v="21879.43"/>
    <s v="Actual"/>
    <n v="2"/>
    <n v="5682.98"/>
    <n v="0.20618588867954579"/>
  </r>
  <r>
    <s v="ORD6378"/>
    <d v="2023-06-25T00:00:00"/>
    <x v="0"/>
    <x v="1"/>
    <x v="0"/>
    <x v="0"/>
    <n v="80589.03"/>
    <n v="48589.9"/>
    <s v="Actual"/>
    <n v="5"/>
    <n v="31999.129999999997"/>
    <n v="0.39706558076204662"/>
  </r>
  <r>
    <s v="ORD1924"/>
    <d v="2023-02-15T00:00:00"/>
    <x v="1"/>
    <x v="2"/>
    <x v="0"/>
    <x v="0"/>
    <n v="64700.160000000003"/>
    <n v="46093.07"/>
    <s v="Actual"/>
    <n v="5"/>
    <n v="18607.090000000004"/>
    <n v="0.28758955155597765"/>
  </r>
  <r>
    <s v="ORD8026"/>
    <d v="2023-03-20T00:00:00"/>
    <x v="5"/>
    <x v="1"/>
    <x v="1"/>
    <x v="0"/>
    <n v="49967.03"/>
    <n v="38191.86"/>
    <s v="Actual"/>
    <n v="5"/>
    <n v="11775.169999999998"/>
    <n v="0.23565879340837345"/>
  </r>
  <r>
    <s v="ORD303"/>
    <d v="2023-06-25T00:00:00"/>
    <x v="0"/>
    <x v="1"/>
    <x v="0"/>
    <x v="0"/>
    <n v="81777.100000000006"/>
    <n v="43042.04"/>
    <s v="Actual"/>
    <n v="5"/>
    <n v="38735.060000000005"/>
    <n v="0.47366634424551618"/>
  </r>
  <r>
    <s v="ORD4866"/>
    <d v="2023-06-25T00:00:00"/>
    <x v="0"/>
    <x v="1"/>
    <x v="0"/>
    <x v="0"/>
    <n v="42040.55"/>
    <n v="33632.44"/>
    <s v="Estimated"/>
    <n v="3"/>
    <n v="8408.11"/>
    <n v="0.2"/>
  </r>
  <r>
    <s v="ORD2216"/>
    <d v="2023-06-25T00:00:00"/>
    <x v="0"/>
    <x v="3"/>
    <x v="1"/>
    <x v="0"/>
    <n v="32802.019999999997"/>
    <n v="25175.8"/>
    <s v="Actual"/>
    <n v="4"/>
    <n v="7626.2199999999975"/>
    <n v="0.23249238918822676"/>
  </r>
  <r>
    <s v="ORD3883"/>
    <d v="2023-04-05T00:00:00"/>
    <x v="2"/>
    <x v="3"/>
    <x v="3"/>
    <x v="0"/>
    <n v="160757.29"/>
    <n v="136867.68"/>
    <s v="Actual"/>
    <n v="3"/>
    <n v="23889.610000000015"/>
    <n v="0.14860669771181148"/>
  </r>
  <r>
    <s v="ORD8537"/>
    <d v="2023-03-20T00:00:00"/>
    <x v="5"/>
    <x v="0"/>
    <x v="2"/>
    <x v="0"/>
    <n v="62813.32"/>
    <n v="44648.47"/>
    <s v="Actual"/>
    <n v="3"/>
    <n v="18164.849999999999"/>
    <n v="0.28918786652257833"/>
  </r>
  <r>
    <s v="ORD7933"/>
    <s v="Not Mentioned"/>
    <x v="3"/>
    <x v="2"/>
    <x v="3"/>
    <x v="0"/>
    <n v="329962.34000000003"/>
    <n v="263969.87200000003"/>
    <s v="Estimated"/>
    <s v="Unknown"/>
    <n v="65992.467999999993"/>
    <n v="0.19999999999999996"/>
  </r>
  <r>
    <s v="ORD2510"/>
    <d v="2023-04-05T00:00:00"/>
    <x v="2"/>
    <x v="1"/>
    <x v="0"/>
    <x v="0"/>
    <n v="34598.36"/>
    <n v="20370.8"/>
    <s v="Actual"/>
    <n v="2"/>
    <n v="14227.560000000001"/>
    <n v="0.41122064745265385"/>
  </r>
  <r>
    <s v="ORD3192"/>
    <d v="2023-02-15T00:00:00"/>
    <x v="1"/>
    <x v="0"/>
    <x v="3"/>
    <x v="0"/>
    <n v="280671.26"/>
    <n v="196291.84"/>
    <s v="Actual"/>
    <n v="5"/>
    <n v="84379.420000000013"/>
    <n v="0.30063434353770319"/>
  </r>
  <r>
    <s v="ORD7779"/>
    <d v="2023-01-15T00:00:00"/>
    <x v="4"/>
    <x v="2"/>
    <x v="1"/>
    <x v="0"/>
    <n v="34569.18"/>
    <n v="18033.3"/>
    <s v="Actual"/>
    <n v="3"/>
    <n v="16535.88"/>
    <n v="0.47834169048846403"/>
  </r>
  <r>
    <s v="ORD1878"/>
    <d v="2023-03-20T00:00:00"/>
    <x v="5"/>
    <x v="3"/>
    <x v="3"/>
    <x v="0"/>
    <n v="241964.13"/>
    <n v="237605.59"/>
    <s v="Actual"/>
    <n v="5"/>
    <n v="4358.5400000000081"/>
    <n v="1.8013165835779079E-2"/>
  </r>
  <r>
    <s v="ORD6220"/>
    <d v="2023-04-05T00:00:00"/>
    <x v="2"/>
    <x v="2"/>
    <x v="3"/>
    <x v="0"/>
    <n v="110802.74"/>
    <n v="95553.81"/>
    <s v="Actual"/>
    <n v="2"/>
    <n v="15248.930000000008"/>
    <n v="0.13762231872605324"/>
  </r>
  <r>
    <s v="ORD1859"/>
    <d v="2023-06-25T00:00:00"/>
    <x v="0"/>
    <x v="0"/>
    <x v="2"/>
    <x v="0"/>
    <n v="20213.240000000002"/>
    <n v="14336.27"/>
    <s v="Actual"/>
    <n v="1"/>
    <n v="5876.9700000000012"/>
    <n v="0.29074853907636783"/>
  </r>
  <r>
    <s v="ORD975"/>
    <d v="2023-02-15T00:00:00"/>
    <x v="1"/>
    <x v="3"/>
    <x v="1"/>
    <x v="0"/>
    <n v="34571.08"/>
    <n v="19615.759999999998"/>
    <s v="Actual"/>
    <n v="3"/>
    <n v="14955.320000000003"/>
    <n v="0.432596262540829"/>
  </r>
  <r>
    <s v="ORD8701"/>
    <d v="2023-01-15T00:00:00"/>
    <x v="4"/>
    <x v="1"/>
    <x v="1"/>
    <x v="0"/>
    <n v="40462.720000000001"/>
    <n v="32370.176000000003"/>
    <s v="Estimated"/>
    <n v="5"/>
    <n v="8092.5439999999981"/>
    <n v="0.19999999999999996"/>
  </r>
  <r>
    <s v="ORD9613"/>
    <d v="2023-02-15T00:00:00"/>
    <x v="1"/>
    <x v="2"/>
    <x v="0"/>
    <x v="0"/>
    <n v="48170.69"/>
    <n v="32466.34"/>
    <s v="Actual"/>
    <n v="3"/>
    <n v="15704.350000000002"/>
    <n v="0.32601463670128039"/>
  </r>
  <r>
    <s v="ORD6163"/>
    <d v="2023-02-15T00:00:00"/>
    <x v="1"/>
    <x v="2"/>
    <x v="0"/>
    <x v="0"/>
    <n v="30724.39"/>
    <n v="21263.919999999998"/>
    <s v="Actual"/>
    <n v="2"/>
    <n v="9460.4700000000012"/>
    <n v="0.30791400577847117"/>
  </r>
  <r>
    <s v="ORD9377"/>
    <d v="2023-02-15T00:00:00"/>
    <x v="1"/>
    <x v="0"/>
    <x v="3"/>
    <x v="0"/>
    <n v="54092.12"/>
    <n v="40832.28"/>
    <s v="Actual"/>
    <n v="1"/>
    <n v="13259.840000000004"/>
    <n v="0.24513441144477241"/>
  </r>
  <r>
    <s v="ORD4400"/>
    <d v="2023-02-15T00:00:00"/>
    <x v="1"/>
    <x v="2"/>
    <x v="0"/>
    <x v="0"/>
    <n v="84086.33"/>
    <n v="49743.77"/>
    <s v="Actual"/>
    <n v="5"/>
    <n v="34342.560000000005"/>
    <n v="0.40842025094923284"/>
  </r>
  <r>
    <s v="ORD664"/>
    <s v="Not Mentioned"/>
    <x v="3"/>
    <x v="3"/>
    <x v="2"/>
    <x v="0"/>
    <n v="80977.179999999993"/>
    <n v="56128.26"/>
    <s v="Actual"/>
    <n v="4"/>
    <n v="24848.919999999991"/>
    <n v="0.30686324221218858"/>
  </r>
  <r>
    <s v="ORD4051"/>
    <d v="2023-02-15T00:00:00"/>
    <x v="1"/>
    <x v="1"/>
    <x v="0"/>
    <x v="0"/>
    <n v="12747.41"/>
    <n v="9546.5400000000009"/>
    <s v="Actual"/>
    <n v="1"/>
    <n v="3200.869999999999"/>
    <n v="0.25109963514156985"/>
  </r>
  <r>
    <s v="ORD6023"/>
    <d v="2023-04-05T00:00:00"/>
    <x v="2"/>
    <x v="2"/>
    <x v="3"/>
    <x v="0"/>
    <n v="101031.66"/>
    <n v="82989.16"/>
    <s v="Actual"/>
    <n v="2"/>
    <n v="18042.5"/>
    <n v="0.17858263439401073"/>
  </r>
  <r>
    <s v="ORD576"/>
    <s v="Not Mentioned"/>
    <x v="3"/>
    <x v="1"/>
    <x v="0"/>
    <x v="0"/>
    <n v="83357.2"/>
    <n v="48749.01"/>
    <s v="Actual"/>
    <n v="5"/>
    <n v="34608.189999999995"/>
    <n v="0.4151793726276794"/>
  </r>
  <r>
    <s v="ORD757"/>
    <d v="2023-06-25T00:00:00"/>
    <x v="0"/>
    <x v="1"/>
    <x v="0"/>
    <x v="0"/>
    <n v="61137.53"/>
    <n v="38201.17"/>
    <s v="Actual"/>
    <n v="4"/>
    <n v="22936.36"/>
    <n v="0.3751600694368909"/>
  </r>
  <r>
    <s v="ORD5223"/>
    <d v="2023-02-15T00:00:00"/>
    <x v="1"/>
    <x v="3"/>
    <x v="3"/>
    <x v="0"/>
    <n v="136094.6"/>
    <n v="108875.68000000001"/>
    <s v="Estimated"/>
    <n v="2"/>
    <n v="27218.92"/>
    <n v="0.19999999999999998"/>
  </r>
  <r>
    <s v="ORD1540"/>
    <d v="2023-03-20T00:00:00"/>
    <x v="5"/>
    <x v="3"/>
    <x v="0"/>
    <x v="0"/>
    <n v="39081.339999999997"/>
    <n v="28542.61"/>
    <s v="Actual"/>
    <n v="3"/>
    <n v="10538.729999999996"/>
    <n v="0.26966142921404429"/>
  </r>
  <r>
    <s v="ORD3480"/>
    <d v="2023-04-05T00:00:00"/>
    <x v="2"/>
    <x v="1"/>
    <x v="0"/>
    <x v="0"/>
    <n v="14552.27"/>
    <n v="10007.85"/>
    <s v="Actual"/>
    <n v="1"/>
    <n v="4544.42"/>
    <n v="0.31228255110714687"/>
  </r>
  <r>
    <s v="ORD880"/>
    <d v="2023-01-15T00:00:00"/>
    <x v="4"/>
    <x v="1"/>
    <x v="1"/>
    <x v="0"/>
    <n v="47562.17"/>
    <n v="38051.83"/>
    <s v="Actual"/>
    <n v="5"/>
    <n v="9510.3399999999965"/>
    <n v="0.19995597341332402"/>
  </r>
  <r>
    <s v="ORD372"/>
    <d v="2023-03-20T00:00:00"/>
    <x v="5"/>
    <x v="0"/>
    <x v="3"/>
    <x v="0"/>
    <n v="211414.22"/>
    <n v="141285.93"/>
    <s v="Actual"/>
    <n v="3"/>
    <n v="70128.290000000008"/>
    <n v="0.33171037407039133"/>
  </r>
  <r>
    <s v="ORD734"/>
    <d v="2023-03-20T00:00:00"/>
    <x v="5"/>
    <x v="0"/>
    <x v="3"/>
    <x v="0"/>
    <n v="328039.11"/>
    <n v="239446.43"/>
    <s v="Actual"/>
    <n v="5"/>
    <n v="88592.68"/>
    <n v="0.27006743189859284"/>
  </r>
  <r>
    <s v="ORD1689"/>
    <d v="2023-04-05T00:00:00"/>
    <x v="2"/>
    <x v="1"/>
    <x v="2"/>
    <x v="0"/>
    <n v="79441.36"/>
    <n v="55081.66"/>
    <s v="Actual"/>
    <n v="4"/>
    <n v="24359.699999999997"/>
    <n v="0.3066374996601266"/>
  </r>
  <r>
    <s v="ORD1459"/>
    <d v="2023-01-15T00:00:00"/>
    <x v="4"/>
    <x v="2"/>
    <x v="1"/>
    <x v="0"/>
    <n v="8918.1299999999992"/>
    <n v="6846.58"/>
    <s v="Actual"/>
    <n v="1"/>
    <n v="2071.5499999999993"/>
    <n v="0.23228524365534023"/>
  </r>
  <r>
    <s v="ORD6378"/>
    <d v="2023-06-25T00:00:00"/>
    <x v="0"/>
    <x v="3"/>
    <x v="2"/>
    <x v="0"/>
    <n v="35495.32"/>
    <n v="29101.68"/>
    <s v="Actual"/>
    <n v="2"/>
    <n v="6393.6399999999994"/>
    <n v="0.18012628143653867"/>
  </r>
  <r>
    <s v="ORD753"/>
    <d v="2023-01-15T00:00:00"/>
    <x v="4"/>
    <x v="0"/>
    <x v="3"/>
    <x v="0"/>
    <n v="338643.91"/>
    <n v="270915.12799999997"/>
    <s v="Estimated"/>
    <n v="5"/>
    <n v="67728.782000000007"/>
    <n v="0.20000000000000004"/>
  </r>
  <r>
    <s v="ORD4475"/>
    <d v="2023-06-25T00:00:00"/>
    <x v="0"/>
    <x v="2"/>
    <x v="3"/>
    <x v="0"/>
    <n v="126109.41"/>
    <n v="83348.2"/>
    <s v="Actual"/>
    <n v="2"/>
    <n v="42761.210000000006"/>
    <n v="0.33908024785779273"/>
  </r>
  <r>
    <s v="ORD9377"/>
    <d v="2023-03-20T00:00:00"/>
    <x v="5"/>
    <x v="1"/>
    <x v="3"/>
    <x v="0"/>
    <n v="336936.97"/>
    <n v="230916.12"/>
    <s v="Actual"/>
    <n v="5"/>
    <n v="106020.84999999998"/>
    <n v="0.31466078062018538"/>
  </r>
  <r>
    <s v="ORD3368"/>
    <d v="2023-06-25T00:00:00"/>
    <x v="0"/>
    <x v="2"/>
    <x v="1"/>
    <x v="0"/>
    <n v="25762.89"/>
    <n v="20610.312000000002"/>
    <s v="Estimated"/>
    <n v="3"/>
    <n v="5152.5779999999977"/>
    <n v="0.19999999999999993"/>
  </r>
  <r>
    <s v="ORD7356"/>
    <s v="Not Mentioned"/>
    <x v="3"/>
    <x v="3"/>
    <x v="0"/>
    <x v="0"/>
    <n v="71812.33"/>
    <n v="46342.31"/>
    <s v="Actual"/>
    <n v="5"/>
    <n v="25470.020000000004"/>
    <n v="0.35467474735884497"/>
  </r>
  <r>
    <s v="ORD8702"/>
    <d v="2023-03-20T00:00:00"/>
    <x v="5"/>
    <x v="2"/>
    <x v="1"/>
    <x v="0"/>
    <n v="8527.11"/>
    <n v="6844.72"/>
    <s v="Actual"/>
    <n v="1"/>
    <n v="1682.3900000000003"/>
    <n v="0.19729896764554464"/>
  </r>
  <r>
    <s v="ORD7711"/>
    <d v="2023-02-15T00:00:00"/>
    <x v="1"/>
    <x v="1"/>
    <x v="0"/>
    <x v="0"/>
    <n v="14479.44"/>
    <n v="9959.64"/>
    <s v="Actual"/>
    <n v="1"/>
    <n v="4519.8000000000011"/>
    <n v="0.31215295619167599"/>
  </r>
  <r>
    <s v="ORD4844"/>
    <d v="2023-02-15T00:00:00"/>
    <x v="1"/>
    <x v="0"/>
    <x v="1"/>
    <x v="0"/>
    <n v="55138.78"/>
    <n v="30943.08"/>
    <s v="Actual"/>
    <n v="5"/>
    <n v="24195.699999999997"/>
    <n v="0.4388145693466558"/>
  </r>
  <r>
    <s v="ORD2510"/>
    <d v="2023-06-25T00:00:00"/>
    <x v="0"/>
    <x v="0"/>
    <x v="0"/>
    <x v="0"/>
    <n v="88300.32"/>
    <n v="44523.18"/>
    <s v="Actual"/>
    <n v="5"/>
    <n v="43777.140000000007"/>
    <n v="0.49577555324827821"/>
  </r>
  <r>
    <s v="ORD6696"/>
    <d v="2023-01-15T00:00:00"/>
    <x v="4"/>
    <x v="0"/>
    <x v="3"/>
    <x v="0"/>
    <n v="350247.39"/>
    <n v="224017.64"/>
    <s v="Actual"/>
    <n v="5"/>
    <n v="126229.75"/>
    <n v="0.36040168636231662"/>
  </r>
  <r>
    <s v="ORD8906"/>
    <d v="2023-03-20T00:00:00"/>
    <x v="5"/>
    <x v="1"/>
    <x v="3"/>
    <x v="0"/>
    <n v="49496"/>
    <n v="40137.93"/>
    <s v="Actual"/>
    <n v="1"/>
    <n v="9358.07"/>
    <n v="0.18906719734928074"/>
  </r>
  <r>
    <s v="ORD9651"/>
    <d v="2023-02-15T00:00:00"/>
    <x v="1"/>
    <x v="0"/>
    <x v="0"/>
    <x v="0"/>
    <n v="32723.040000000001"/>
    <n v="21681.17"/>
    <s v="Actual"/>
    <n v="2"/>
    <n v="11041.870000000003"/>
    <n v="0.33743411370092763"/>
  </r>
  <r>
    <s v="ORD3236"/>
    <d v="2023-04-05T00:00:00"/>
    <x v="2"/>
    <x v="3"/>
    <x v="2"/>
    <x v="0"/>
    <n v="17334.41"/>
    <n v="12505.64"/>
    <s v="Actual"/>
    <n v="1"/>
    <n v="4828.7700000000004"/>
    <n v="0.27856558140715493"/>
  </r>
  <r>
    <s v="ORD2717"/>
    <d v="2023-02-15T00:00:00"/>
    <x v="1"/>
    <x v="0"/>
    <x v="3"/>
    <x v="0"/>
    <n v="50068.29"/>
    <n v="40341.760000000002"/>
    <s v="Actual"/>
    <n v="1"/>
    <n v="9726.5299999999988"/>
    <n v="0.194265272490832"/>
  </r>
  <r>
    <s v="ORD6755"/>
    <d v="2023-06-25T00:00:00"/>
    <x v="0"/>
    <x v="2"/>
    <x v="0"/>
    <x v="0"/>
    <n v="72833.16"/>
    <n v="53942.37"/>
    <s v="Actual"/>
    <n v="5"/>
    <n v="18890.79"/>
    <n v="0.25937073168320585"/>
  </r>
  <r>
    <s v="ORD9013"/>
    <d v="2023-03-20T00:00:00"/>
    <x v="5"/>
    <x v="0"/>
    <x v="0"/>
    <x v="0"/>
    <n v="50293.48"/>
    <n v="32214.86"/>
    <s v="Actual"/>
    <n v="3"/>
    <n v="18078.620000000003"/>
    <n v="0.35946249891636056"/>
  </r>
  <r>
    <s v="ORD3655"/>
    <d v="2023-01-15T00:00:00"/>
    <x v="4"/>
    <x v="2"/>
    <x v="2"/>
    <x v="0"/>
    <n v="82247.210000000006"/>
    <n v="73696"/>
    <s v="Actual"/>
    <n v="5"/>
    <n v="8551.2100000000064"/>
    <n v="0.10396960577750912"/>
  </r>
  <r>
    <s v="ORD133"/>
    <d v="2023-03-20T00:00:00"/>
    <x v="5"/>
    <x v="2"/>
    <x v="0"/>
    <x v="0"/>
    <n v="50550.49"/>
    <n v="43342.54"/>
    <s v="Actual"/>
    <n v="4"/>
    <n v="7207.9499999999971"/>
    <n v="0.14258912228150503"/>
  </r>
  <r>
    <s v="ORD2569"/>
    <d v="2023-03-20T00:00:00"/>
    <x v="5"/>
    <x v="1"/>
    <x v="0"/>
    <x v="0"/>
    <n v="32429.99"/>
    <n v="20859.32"/>
    <s v="Actual"/>
    <n v="2"/>
    <n v="11570.670000000002"/>
    <n v="0.35678919419956656"/>
  </r>
  <r>
    <s v="ORD2732"/>
    <s v="Not Mentioned"/>
    <x v="3"/>
    <x v="0"/>
    <x v="0"/>
    <x v="0"/>
    <n v="15435.16"/>
    <n v="10413.09"/>
    <s v="Actual"/>
    <n v="1"/>
    <n v="5022.07"/>
    <n v="0.32536559387787362"/>
  </r>
  <r>
    <s v="ORD145"/>
    <d v="2023-03-20T00:00:00"/>
    <x v="5"/>
    <x v="2"/>
    <x v="0"/>
    <x v="0"/>
    <n v="26644.43"/>
    <n v="20822.13"/>
    <s v="Actual"/>
    <n v="2"/>
    <n v="5822.2999999999993"/>
    <n v="0.21851846708674194"/>
  </r>
  <r>
    <s v="ORD4403"/>
    <d v="2023-06-25T00:00:00"/>
    <x v="0"/>
    <x v="2"/>
    <x v="3"/>
    <x v="0"/>
    <n v="147116.34"/>
    <n v="117693.072"/>
    <s v="Estimated"/>
    <n v="3"/>
    <n v="29423.267999999996"/>
    <n v="0.19999999999999998"/>
  </r>
  <r>
    <s v="ORD8384"/>
    <d v="2023-02-15T00:00:00"/>
    <x v="1"/>
    <x v="2"/>
    <x v="1"/>
    <x v="0"/>
    <n v="44293.04"/>
    <n v="29871.72"/>
    <s v="Actual"/>
    <n v="4"/>
    <n v="14421.32"/>
    <n v="0.3255888509797476"/>
  </r>
  <r>
    <s v="ORD9892"/>
    <d v="2023-06-25T00:00:00"/>
    <x v="0"/>
    <x v="3"/>
    <x v="2"/>
    <x v="0"/>
    <n v="68665.36"/>
    <n v="57938.77"/>
    <s v="Actual"/>
    <n v="4"/>
    <n v="10726.590000000004"/>
    <n v="0.15621544837163898"/>
  </r>
  <r>
    <s v="ORD4337"/>
    <d v="2023-04-05T00:00:00"/>
    <x v="2"/>
    <x v="2"/>
    <x v="1"/>
    <x v="0"/>
    <n v="11014.23"/>
    <n v="6264.04"/>
    <s v="Actual"/>
    <n v="1"/>
    <n v="4750.1899999999996"/>
    <n v="0.43127753823916876"/>
  </r>
  <r>
    <s v="ORD6096"/>
    <d v="2023-06-25T00:00:00"/>
    <x v="0"/>
    <x v="2"/>
    <x v="1"/>
    <x v="0"/>
    <n v="51571.93"/>
    <n v="31850.29"/>
    <s v="Actual"/>
    <n v="5"/>
    <n v="19721.64"/>
    <n v="0.38241035384946809"/>
  </r>
  <r>
    <s v="ORD167"/>
    <d v="2023-03-20T00:00:00"/>
    <x v="5"/>
    <x v="2"/>
    <x v="2"/>
    <x v="0"/>
    <n v="19123.62"/>
    <n v="12978.92"/>
    <s v="Actual"/>
    <s v="Unknown"/>
    <n v="6144.6999999999989"/>
    <n v="0.32131468832783749"/>
  </r>
  <r>
    <s v="ORD8483"/>
    <d v="2023-06-25T00:00:00"/>
    <x v="0"/>
    <x v="2"/>
    <x v="2"/>
    <x v="0"/>
    <n v="20131.28"/>
    <n v="14235.34"/>
    <s v="Actual"/>
    <n v="1"/>
    <n v="5895.9399999999987"/>
    <n v="0.29287457131389555"/>
  </r>
  <r>
    <s v="ORD3340"/>
    <d v="2023-04-05T00:00:00"/>
    <x v="2"/>
    <x v="3"/>
    <x v="2"/>
    <x v="0"/>
    <n v="103728.35"/>
    <n v="72452.639999999999"/>
    <s v="Actual"/>
    <n v="5"/>
    <n v="31275.710000000006"/>
    <n v="0.3015155451715949"/>
  </r>
  <r>
    <s v="ORD4176"/>
    <d v="2023-06-25T00:00:00"/>
    <x v="0"/>
    <x v="1"/>
    <x v="0"/>
    <x v="0"/>
    <n v="83931.71"/>
    <n v="45193.41"/>
    <s v="Actual"/>
    <n v="5"/>
    <n v="38738.300000000003"/>
    <n v="0.46154546356794113"/>
  </r>
  <r>
    <s v="ORD3448"/>
    <d v="2023-01-15T00:00:00"/>
    <x v="4"/>
    <x v="0"/>
    <x v="2"/>
    <x v="0"/>
    <n v="80664.78"/>
    <n v="59032.53"/>
    <s v="Actual"/>
    <n v="4"/>
    <n v="21632.25"/>
    <n v="0.26817466061396311"/>
  </r>
  <r>
    <s v="ORD4530"/>
    <d v="2023-01-15T00:00:00"/>
    <x v="4"/>
    <x v="0"/>
    <x v="1"/>
    <x v="0"/>
    <n v="41800.81"/>
    <n v="29619.360000000001"/>
    <s v="Actual"/>
    <n v="4"/>
    <n v="12181.449999999997"/>
    <n v="0.29141660173570794"/>
  </r>
  <r>
    <s v="ORD3725"/>
    <d v="2023-02-15T00:00:00"/>
    <x v="1"/>
    <x v="0"/>
    <x v="0"/>
    <x v="0"/>
    <n v="48452.160000000003"/>
    <n v="26402.75"/>
    <s v="Actual"/>
    <n v="3"/>
    <n v="22049.410000000003"/>
    <n v="0.455075893417342"/>
  </r>
  <r>
    <s v="ORD3038"/>
    <s v="Not Mentioned"/>
    <x v="3"/>
    <x v="3"/>
    <x v="0"/>
    <x v="0"/>
    <n v="81079.600000000006"/>
    <n v="47319.81"/>
    <s v="Actual"/>
    <n v="5"/>
    <n v="33759.790000000008"/>
    <n v="0.41637834917784505"/>
  </r>
  <r>
    <s v="ORD1574"/>
    <d v="2023-03-20T00:00:00"/>
    <x v="5"/>
    <x v="2"/>
    <x v="0"/>
    <x v="0"/>
    <n v="58760.4"/>
    <n v="35870.720000000001"/>
    <s v="Actual"/>
    <n v="4"/>
    <n v="22889.68"/>
    <n v="0.38954261713671112"/>
  </r>
  <r>
    <s v="ORD8986"/>
    <d v="2023-02-15T00:00:00"/>
    <x v="1"/>
    <x v="3"/>
    <x v="1"/>
    <x v="0"/>
    <n v="54717.08"/>
    <n v="43773.664000000004"/>
    <s v="Estimated"/>
    <n v="5"/>
    <n v="10943.415999999997"/>
    <n v="0.19999999999999996"/>
  </r>
  <r>
    <s v="ORD6694"/>
    <d v="2023-03-20T00:00:00"/>
    <x v="5"/>
    <x v="1"/>
    <x v="1"/>
    <x v="0"/>
    <n v="8430.35"/>
    <n v="7674.76"/>
    <s v="Actual"/>
    <n v="1"/>
    <n v="755.59000000000015"/>
    <n v="8.9627358294732729E-2"/>
  </r>
  <r>
    <s v="ORD627"/>
    <d v="2023-06-25T00:00:00"/>
    <x v="0"/>
    <x v="3"/>
    <x v="0"/>
    <x v="0"/>
    <n v="61029.48"/>
    <n v="38729.870000000003"/>
    <s v="Actual"/>
    <n v="4"/>
    <n v="22299.61"/>
    <n v="0.36539079146668135"/>
  </r>
  <r>
    <s v="ORD9092"/>
    <d v="2023-02-15T00:00:00"/>
    <x v="1"/>
    <x v="1"/>
    <x v="3"/>
    <x v="0"/>
    <n v="130927.92"/>
    <n v="85442.240000000005"/>
    <s v="Actual"/>
    <n v="2"/>
    <n v="45485.679999999993"/>
    <n v="0.34741008640479426"/>
  </r>
  <r>
    <s v="ORD4284"/>
    <s v="Not Mentioned"/>
    <x v="3"/>
    <x v="2"/>
    <x v="3"/>
    <x v="0"/>
    <n v="230598.76"/>
    <n v="163832.17000000001"/>
    <s v="Actual"/>
    <n v="4"/>
    <n v="66766.59"/>
    <n v="0.28953577200501857"/>
  </r>
  <r>
    <s v="ORD574"/>
    <d v="2023-03-20T00:00:00"/>
    <x v="5"/>
    <x v="1"/>
    <x v="1"/>
    <x v="0"/>
    <n v="11168.79"/>
    <n v="6734.55"/>
    <s v="Actual"/>
    <n v="1"/>
    <n v="4434.2400000000007"/>
    <n v="0.39702062622719203"/>
  </r>
  <r>
    <s v="ORD5380"/>
    <d v="2023-01-15T00:00:00"/>
    <x v="4"/>
    <x v="2"/>
    <x v="0"/>
    <x v="0"/>
    <n v="77985.289999999994"/>
    <n v="51260.68"/>
    <s v="Actual"/>
    <n v="5"/>
    <n v="26724.609999999993"/>
    <n v="0.34268783253867485"/>
  </r>
  <r>
    <s v="ORD824"/>
    <d v="2023-02-15T00:00:00"/>
    <x v="1"/>
    <x v="2"/>
    <x v="2"/>
    <x v="0"/>
    <n v="54005.21"/>
    <n v="36063.56"/>
    <s v="Actual"/>
    <n v="3"/>
    <n v="17941.650000000001"/>
    <n v="0.33222072463008667"/>
  </r>
  <r>
    <s v="ORD2547"/>
    <d v="2023-04-05T00:00:00"/>
    <x v="2"/>
    <x v="2"/>
    <x v="1"/>
    <x v="0"/>
    <n v="8889.77"/>
    <n v="6227.93"/>
    <s v="Actual"/>
    <n v="1"/>
    <n v="2661.84"/>
    <n v="0.29942731926697769"/>
  </r>
  <r>
    <s v="ORD376"/>
    <d v="2023-02-15T00:00:00"/>
    <x v="1"/>
    <x v="2"/>
    <x v="3"/>
    <x v="0"/>
    <n v="106939.22"/>
    <n v="90984.13"/>
    <s v="Actual"/>
    <n v="2"/>
    <n v="15955.089999999997"/>
    <n v="0.14919774054832266"/>
  </r>
  <r>
    <s v="ORD2549"/>
    <s v="Not Mentioned"/>
    <x v="3"/>
    <x v="1"/>
    <x v="1"/>
    <x v="0"/>
    <n v="10380.39"/>
    <n v="6432.22"/>
    <s v="Actual"/>
    <n v="1"/>
    <n v="3948.1699999999992"/>
    <n v="0.38034890789267062"/>
  </r>
  <r>
    <s v="ORD3581"/>
    <d v="2023-02-15T00:00:00"/>
    <x v="1"/>
    <x v="2"/>
    <x v="2"/>
    <x v="0"/>
    <n v="41543.129999999997"/>
    <n v="29873.06"/>
    <s v="Actual"/>
    <n v="2"/>
    <n v="11670.069999999996"/>
    <n v="0.28091455795458831"/>
  </r>
  <r>
    <s v="ORD2459"/>
    <d v="2023-04-05T00:00:00"/>
    <x v="2"/>
    <x v="2"/>
    <x v="0"/>
    <x v="0"/>
    <n v="63542.44"/>
    <n v="37822.57"/>
    <s v="Actual"/>
    <n v="4"/>
    <n v="25719.870000000003"/>
    <n v="0.40476679837916207"/>
  </r>
  <r>
    <s v="ORD880"/>
    <s v="Not Mentioned"/>
    <x v="3"/>
    <x v="1"/>
    <x v="1"/>
    <x v="0"/>
    <n v="27401.31"/>
    <n v="21364.79"/>
    <s v="Actual"/>
    <n v="3"/>
    <n v="6036.52"/>
    <n v="0.22030041629396552"/>
  </r>
  <r>
    <s v="ORD1738"/>
    <d v="2023-02-15T00:00:00"/>
    <x v="1"/>
    <x v="2"/>
    <x v="3"/>
    <x v="0"/>
    <n v="191186.54"/>
    <n v="152949.23200000002"/>
    <s v="Estimated"/>
    <n v="3"/>
    <n v="38237.30799999999"/>
    <n v="0.19999999999999993"/>
  </r>
  <r>
    <s v="ORD5000"/>
    <d v="2023-02-15T00:00:00"/>
    <x v="1"/>
    <x v="1"/>
    <x v="0"/>
    <x v="0"/>
    <n v="42021.11"/>
    <n v="33616.887999999999"/>
    <s v="Estimated"/>
    <n v="3"/>
    <n v="8404.2220000000016"/>
    <n v="0.20000000000000004"/>
  </r>
  <r>
    <s v="ORD3931"/>
    <d v="2023-06-25T00:00:00"/>
    <x v="0"/>
    <x v="1"/>
    <x v="3"/>
    <x v="0"/>
    <n v="334221.11"/>
    <n v="230586.23"/>
    <s v="Actual"/>
    <n v="5"/>
    <n v="103634.87999999998"/>
    <n v="0.31007879783536108"/>
  </r>
  <r>
    <s v="ORD9181"/>
    <d v="2023-03-20T00:00:00"/>
    <x v="5"/>
    <x v="2"/>
    <x v="2"/>
    <x v="0"/>
    <n v="113257.67"/>
    <n v="61829.22"/>
    <s v="Actual"/>
    <s v="Unknown"/>
    <n v="51428.45"/>
    <n v="0.4540835953979982"/>
  </r>
  <r>
    <s v="ORD6321"/>
    <d v="2023-03-20T00:00:00"/>
    <x v="5"/>
    <x v="2"/>
    <x v="3"/>
    <x v="0"/>
    <n v="69814.87"/>
    <n v="45049.32"/>
    <s v="Actual"/>
    <n v="1"/>
    <n v="24765.549999999996"/>
    <n v="0.35473173551708964"/>
  </r>
  <r>
    <s v="ORD759"/>
    <d v="2023-02-15T00:00:00"/>
    <x v="1"/>
    <x v="1"/>
    <x v="1"/>
    <x v="0"/>
    <n v="50019.6"/>
    <n v="40015.68"/>
    <s v="Estimated"/>
    <n v="5"/>
    <n v="10003.919999999998"/>
    <n v="0.19999999999999998"/>
  </r>
  <r>
    <s v="ORD1431"/>
    <s v="Not Mentioned"/>
    <x v="3"/>
    <x v="3"/>
    <x v="3"/>
    <x v="0"/>
    <n v="123307.43"/>
    <n v="86807.69"/>
    <s v="Actual"/>
    <n v="2"/>
    <n v="36499.739999999991"/>
    <n v="0.29600600709949104"/>
  </r>
  <r>
    <s v="ORD8202"/>
    <d v="2023-02-15T00:00:00"/>
    <x v="1"/>
    <x v="0"/>
    <x v="1"/>
    <x v="0"/>
    <n v="22561.77"/>
    <n v="15054.96"/>
    <s v="Actual"/>
    <n v="2"/>
    <n v="7506.8100000000013"/>
    <n v="0.33272256564976954"/>
  </r>
  <r>
    <s v="ORD6333"/>
    <d v="2023-06-25T00:00:00"/>
    <x v="0"/>
    <x v="2"/>
    <x v="1"/>
    <x v="0"/>
    <n v="19360.28"/>
    <n v="15115.01"/>
    <s v="Actual"/>
    <n v="2"/>
    <n v="4245.2699999999986"/>
    <n v="0.21927730384064686"/>
  </r>
  <r>
    <s v="ORD940"/>
    <d v="2023-02-15T00:00:00"/>
    <x v="1"/>
    <x v="1"/>
    <x v="2"/>
    <x v="0"/>
    <n v="85708.01"/>
    <n v="64708.37"/>
    <s v="Actual"/>
    <s v="Unknown"/>
    <n v="20999.639999999992"/>
    <n v="0.24501373908926358"/>
  </r>
  <r>
    <s v="ORD8156"/>
    <d v="2023-03-20T00:00:00"/>
    <x v="5"/>
    <x v="2"/>
    <x v="0"/>
    <x v="0"/>
    <n v="16561.61"/>
    <n v="9941.07"/>
    <s v="Actual"/>
    <n v="1"/>
    <n v="6620.5400000000009"/>
    <n v="0.39975219800490414"/>
  </r>
  <r>
    <s v="ORD7714"/>
    <d v="2023-01-15T00:00:00"/>
    <x v="4"/>
    <x v="1"/>
    <x v="3"/>
    <x v="0"/>
    <n v="274949.90999999997"/>
    <n v="199309.68"/>
    <s v="Actual"/>
    <n v="5"/>
    <n v="75640.229999999981"/>
    <n v="0.27510549103289389"/>
  </r>
  <r>
    <s v="ORD3668"/>
    <d v="2023-03-20T00:00:00"/>
    <x v="5"/>
    <x v="2"/>
    <x v="3"/>
    <x v="0"/>
    <n v="59980.31"/>
    <n v="45037.58"/>
    <s v="Actual"/>
    <n v="1"/>
    <n v="14942.729999999996"/>
    <n v="0.24912725526093474"/>
  </r>
  <r>
    <s v="ORD395"/>
    <d v="2023-04-05T00:00:00"/>
    <x v="2"/>
    <x v="1"/>
    <x v="3"/>
    <x v="0"/>
    <n v="141567.62"/>
    <n v="89610.42"/>
    <s v="Actual"/>
    <s v="Unknown"/>
    <n v="51957.2"/>
    <n v="0.36701330431351464"/>
  </r>
  <r>
    <s v="ORD6493"/>
    <d v="2023-03-20T00:00:00"/>
    <x v="5"/>
    <x v="0"/>
    <x v="1"/>
    <x v="0"/>
    <n v="46031.01"/>
    <n v="27634.49"/>
    <s v="Actual"/>
    <n v="4"/>
    <n v="18396.52"/>
    <n v="0.39965492827552557"/>
  </r>
  <r>
    <s v="ORD5194"/>
    <d v="2023-06-25T00:00:00"/>
    <x v="0"/>
    <x v="2"/>
    <x v="2"/>
    <x v="0"/>
    <n v="16341.19"/>
    <n v="13398.29"/>
    <s v="Actual"/>
    <n v="1"/>
    <n v="2942.8999999999996"/>
    <n v="0.18009092361082635"/>
  </r>
  <r>
    <s v="ORD7633"/>
    <d v="2023-04-05T00:00:00"/>
    <x v="2"/>
    <x v="1"/>
    <x v="1"/>
    <x v="0"/>
    <n v="8580.6"/>
    <n v="6788.21"/>
    <s v="Actual"/>
    <n v="1"/>
    <n v="1792.3900000000003"/>
    <n v="0.20888865580495539"/>
  </r>
  <r>
    <s v="ORD732"/>
    <d v="2023-02-15T00:00:00"/>
    <x v="1"/>
    <x v="2"/>
    <x v="0"/>
    <x v="0"/>
    <n v="28794.07"/>
    <n v="23035.256000000001"/>
    <s v="Estimated"/>
    <n v="2"/>
    <n v="5758.8139999999985"/>
    <n v="0.19999999999999996"/>
  </r>
  <r>
    <s v="ORD7326"/>
    <s v="Not Mentioned"/>
    <x v="3"/>
    <x v="1"/>
    <x v="2"/>
    <x v="0"/>
    <n v="20932.62"/>
    <n v="12745.57"/>
    <s v="Actual"/>
    <n v="1"/>
    <n v="8187.0499999999993"/>
    <n v="0.3911144424348218"/>
  </r>
  <r>
    <s v="ORD5942"/>
    <d v="2023-03-20T00:00:00"/>
    <x v="5"/>
    <x v="3"/>
    <x v="1"/>
    <x v="0"/>
    <n v="8904.4500000000007"/>
    <n v="5983.16"/>
    <s v="Actual"/>
    <n v="1"/>
    <n v="2921.2900000000009"/>
    <n v="0.32807079606264289"/>
  </r>
  <r>
    <s v="ORD1968"/>
    <d v="2023-06-25T00:00:00"/>
    <x v="0"/>
    <x v="2"/>
    <x v="1"/>
    <x v="0"/>
    <n v="55107.63"/>
    <n v="30981.79"/>
    <s v="Actual"/>
    <n v="5"/>
    <n v="24125.839999999997"/>
    <n v="0.43779491152132649"/>
  </r>
  <r>
    <s v="ORD9982"/>
    <d v="2023-02-15T00:00:00"/>
    <x v="1"/>
    <x v="1"/>
    <x v="2"/>
    <x v="0"/>
    <n v="79045.34"/>
    <n v="57085.15"/>
    <s v="Actual"/>
    <s v="Unknown"/>
    <n v="21960.189999999995"/>
    <n v="0.27781764238094231"/>
  </r>
  <r>
    <s v="ORD6306"/>
    <d v="2023-03-20T00:00:00"/>
    <x v="5"/>
    <x v="3"/>
    <x v="1"/>
    <x v="0"/>
    <n v="31764.58"/>
    <n v="22950.05"/>
    <s v="Actual"/>
    <n v="3"/>
    <n v="8814.5300000000025"/>
    <n v="0.27749556266760028"/>
  </r>
  <r>
    <s v="ORD715"/>
    <d v="2023-02-15T00:00:00"/>
    <x v="1"/>
    <x v="2"/>
    <x v="2"/>
    <x v="0"/>
    <n v="64845.36"/>
    <n v="42347.95"/>
    <s v="Actual"/>
    <n v="3"/>
    <n v="22497.410000000003"/>
    <n v="0.3469393955095631"/>
  </r>
  <r>
    <s v="ORD2371"/>
    <d v="2023-04-05T00:00:00"/>
    <x v="2"/>
    <x v="2"/>
    <x v="2"/>
    <x v="0"/>
    <n v="91143.57"/>
    <n v="72914.856000000014"/>
    <s v="Estimated"/>
    <n v="4"/>
    <n v="18228.713999999993"/>
    <n v="0.1999999999999999"/>
  </r>
  <r>
    <s v="ORD5342"/>
    <d v="2023-06-25T00:00:00"/>
    <x v="0"/>
    <x v="1"/>
    <x v="1"/>
    <x v="0"/>
    <n v="10196.629999999999"/>
    <n v="7034.11"/>
    <s v="Actual"/>
    <n v="1"/>
    <n v="3162.5199999999995"/>
    <n v="0.31015345266033972"/>
  </r>
  <r>
    <s v="ORD5514"/>
    <d v="2023-06-25T00:00:00"/>
    <x v="0"/>
    <x v="2"/>
    <x v="3"/>
    <x v="0"/>
    <n v="207222.26"/>
    <n v="179085.1"/>
    <s v="Actual"/>
    <n v="4"/>
    <n v="28137.160000000003"/>
    <n v="0.13578251680104253"/>
  </r>
  <r>
    <s v="ORD4635"/>
    <d v="2023-01-15T00:00:00"/>
    <x v="4"/>
    <x v="0"/>
    <x v="2"/>
    <x v="0"/>
    <n v="62315.71"/>
    <n v="49852.567999999999"/>
    <s v="Estimated"/>
    <n v="3"/>
    <n v="12463.142"/>
    <n v="0.2"/>
  </r>
  <r>
    <s v="ORD7822"/>
    <s v="Not Mentioned"/>
    <x v="3"/>
    <x v="2"/>
    <x v="1"/>
    <x v="0"/>
    <n v="42280.36"/>
    <n v="26016.080000000002"/>
    <s v="Actual"/>
    <n v="4"/>
    <n v="16264.279999999999"/>
    <n v="0.38467695166266319"/>
  </r>
  <r>
    <s v="ORD2412"/>
    <d v="2023-03-20T00:00:00"/>
    <x v="5"/>
    <x v="2"/>
    <x v="2"/>
    <x v="0"/>
    <n v="64000.66"/>
    <n v="55304.93"/>
    <s v="Actual"/>
    <n v="4"/>
    <n v="8695.7300000000032"/>
    <n v="0.13586938009701779"/>
  </r>
  <r>
    <s v="ORD5290"/>
    <d v="2023-02-15T00:00:00"/>
    <x v="1"/>
    <x v="1"/>
    <x v="0"/>
    <x v="0"/>
    <n v="48894.45"/>
    <n v="39115.56"/>
    <s v="Estimated"/>
    <n v="4"/>
    <n v="9778.89"/>
    <n v="0.2"/>
  </r>
  <r>
    <s v="ORD264"/>
    <d v="2023-03-20T00:00:00"/>
    <x v="5"/>
    <x v="2"/>
    <x v="0"/>
    <x v="0"/>
    <n v="15527.46"/>
    <n v="9227.2999999999993"/>
    <s v="Actual"/>
    <n v="1"/>
    <n v="6300.16"/>
    <n v="0.40574311574462274"/>
  </r>
  <r>
    <s v="ORD7437"/>
    <s v="Not Mentioned"/>
    <x v="3"/>
    <x v="1"/>
    <x v="3"/>
    <x v="0"/>
    <n v="301537.48"/>
    <n v="243322.89"/>
    <s v="Actual"/>
    <n v="5"/>
    <n v="58214.589999999967"/>
    <n v="0.19305921771316775"/>
  </r>
  <r>
    <s v="ORD188"/>
    <d v="2023-02-15T00:00:00"/>
    <x v="1"/>
    <x v="1"/>
    <x v="2"/>
    <x v="0"/>
    <n v="49055.98"/>
    <n v="39244.784000000007"/>
    <s v="Estimated"/>
    <n v="3"/>
    <n v="9811.1959999999963"/>
    <n v="0.1999999999999999"/>
  </r>
  <r>
    <s v="ORD937"/>
    <d v="2023-03-20T00:00:00"/>
    <x v="5"/>
    <x v="2"/>
    <x v="0"/>
    <x v="0"/>
    <n v="31979.83"/>
    <n v="18049.13"/>
    <s v="Actual"/>
    <n v="2"/>
    <n v="13930.7"/>
    <n v="0.43560894476299594"/>
  </r>
  <r>
    <s v="ORD9369"/>
    <d v="2023-02-15T00:00:00"/>
    <x v="1"/>
    <x v="2"/>
    <x v="2"/>
    <x v="0"/>
    <n v="16001.96"/>
    <n v="14709.97"/>
    <s v="Actual"/>
    <n v="1"/>
    <n v="1291.9899999999998"/>
    <n v="8.0739484413159382E-2"/>
  </r>
  <r>
    <s v="ORD8051"/>
    <d v="2023-04-05T00:00:00"/>
    <x v="2"/>
    <x v="2"/>
    <x v="0"/>
    <x v="0"/>
    <n v="77628.820000000007"/>
    <n v="62103.056000000011"/>
    <s v="Estimated"/>
    <n v="5"/>
    <n v="15525.763999999996"/>
    <n v="0.19999999999999993"/>
  </r>
  <r>
    <s v="ORD8685"/>
    <d v="2023-03-20T00:00:00"/>
    <x v="5"/>
    <x v="2"/>
    <x v="3"/>
    <x v="0"/>
    <n v="244261.31"/>
    <n v="241251.48"/>
    <s v="Actual"/>
    <n v="5"/>
    <n v="3009.8299999999872"/>
    <n v="1.2322172512707752E-2"/>
  </r>
  <r>
    <s v="ORD165"/>
    <d v="2023-04-05T00:00:00"/>
    <x v="2"/>
    <x v="2"/>
    <x v="3"/>
    <x v="0"/>
    <n v="128197.07"/>
    <n v="97915.69"/>
    <s v="Actual"/>
    <n v="2"/>
    <n v="30281.380000000005"/>
    <n v="0.23620961071887214"/>
  </r>
  <r>
    <s v="ORD8755"/>
    <d v="2023-04-05T00:00:00"/>
    <x v="2"/>
    <x v="3"/>
    <x v="3"/>
    <x v="0"/>
    <n v="176185.99"/>
    <n v="137832.17000000001"/>
    <s v="Actual"/>
    <n v="3"/>
    <n v="38353.819999999978"/>
    <n v="0.21768938608569263"/>
  </r>
  <r>
    <s v="ORD8720"/>
    <d v="2023-01-15T00:00:00"/>
    <x v="4"/>
    <x v="1"/>
    <x v="0"/>
    <x v="0"/>
    <n v="51566.96"/>
    <n v="29772.97"/>
    <s v="Actual"/>
    <n v="3"/>
    <n v="21793.989999999998"/>
    <n v="0.42263476458569593"/>
  </r>
  <r>
    <s v="ORD286"/>
    <d v="2023-01-15T00:00:00"/>
    <x v="4"/>
    <x v="2"/>
    <x v="3"/>
    <x v="0"/>
    <n v="135374.43"/>
    <n v="80784.66"/>
    <s v="Actual"/>
    <n v="2"/>
    <n v="54589.76999999999"/>
    <n v="0.40325022975165986"/>
  </r>
  <r>
    <s v="ORD7456"/>
    <s v="Not Mentioned"/>
    <x v="3"/>
    <x v="0"/>
    <x v="3"/>
    <x v="0"/>
    <n v="57545.43"/>
    <n v="41287.03"/>
    <s v="Actual"/>
    <n v="1"/>
    <n v="16258.400000000001"/>
    <n v="0.28253155810982733"/>
  </r>
  <r>
    <s v="ORD9391"/>
    <d v="2023-03-20T00:00:00"/>
    <x v="5"/>
    <x v="1"/>
    <x v="1"/>
    <x v="0"/>
    <n v="39587.86"/>
    <n v="29818.65"/>
    <s v="Actual"/>
    <n v="4"/>
    <n v="9769.2099999999991"/>
    <n v="0.24677287431045777"/>
  </r>
  <r>
    <s v="ORD9207"/>
    <d v="2023-06-25T00:00:00"/>
    <x v="0"/>
    <x v="2"/>
    <x v="3"/>
    <x v="0"/>
    <n v="196310.43"/>
    <n v="157048.34400000001"/>
    <s v="Estimated"/>
    <n v="4"/>
    <n v="39262.085999999981"/>
    <n v="0.1999999999999999"/>
  </r>
  <r>
    <s v="ORD2971"/>
    <s v="Not Mentioned"/>
    <x v="3"/>
    <x v="2"/>
    <x v="2"/>
    <x v="0"/>
    <n v="21588.23"/>
    <n v="13484.64"/>
    <s v="Actual"/>
    <n v="1"/>
    <n v="8103.59"/>
    <n v="0.37537074600372522"/>
  </r>
  <r>
    <s v="ORD5387"/>
    <s v="Not Mentioned"/>
    <x v="3"/>
    <x v="1"/>
    <x v="1"/>
    <x v="0"/>
    <n v="10320.69"/>
    <n v="6545.66"/>
    <s v="Actual"/>
    <n v="1"/>
    <n v="3775.0300000000007"/>
    <n v="0.36577302486558561"/>
  </r>
  <r>
    <s v="ORD475"/>
    <d v="2023-02-15T00:00:00"/>
    <x v="1"/>
    <x v="2"/>
    <x v="1"/>
    <x v="0"/>
    <n v="21898.78"/>
    <n v="12662.91"/>
    <s v="Actual"/>
    <n v="2"/>
    <n v="9235.869999999999"/>
    <n v="0.42175271864460029"/>
  </r>
  <r>
    <s v="ORD4894"/>
    <d v="2023-06-25T00:00:00"/>
    <x v="0"/>
    <x v="3"/>
    <x v="1"/>
    <x v="0"/>
    <n v="27943.56"/>
    <n v="20369.060000000001"/>
    <s v="Actual"/>
    <n v="3"/>
    <n v="7574.5"/>
    <n v="0.27106424521428191"/>
  </r>
  <r>
    <s v="ORD7487"/>
    <d v="2023-06-25T00:00:00"/>
    <x v="0"/>
    <x v="0"/>
    <x v="0"/>
    <x v="0"/>
    <n v="75246.679999999993"/>
    <n v="44153.69"/>
    <s v="Actual"/>
    <n v="5"/>
    <n v="31092.989999999991"/>
    <n v="0.41321411124052243"/>
  </r>
  <r>
    <s v="ORD3306"/>
    <d v="2023-01-15T00:00:00"/>
    <x v="4"/>
    <x v="1"/>
    <x v="3"/>
    <x v="0"/>
    <n v="312870.98"/>
    <n v="243363.34"/>
    <s v="Actual"/>
    <n v="5"/>
    <n v="69507.639999999985"/>
    <n v="0.22216071301978851"/>
  </r>
  <r>
    <s v="ORD7767"/>
    <d v="2023-03-20T00:00:00"/>
    <x v="5"/>
    <x v="0"/>
    <x v="0"/>
    <x v="0"/>
    <n v="87185.57"/>
    <n v="54543.99"/>
    <s v="Actual"/>
    <n v="5"/>
    <n v="32641.580000000009"/>
    <n v="0.37439200087812702"/>
  </r>
  <r>
    <s v="ORD7041"/>
    <d v="2023-03-20T00:00:00"/>
    <x v="5"/>
    <x v="2"/>
    <x v="0"/>
    <x v="0"/>
    <n v="65817.039999999994"/>
    <n v="46801.36"/>
    <s v="Actual"/>
    <n v="5"/>
    <n v="19015.679999999993"/>
    <n v="0.28891727734945227"/>
  </r>
  <r>
    <s v="ORD7828"/>
    <s v="Not Mentioned"/>
    <x v="3"/>
    <x v="0"/>
    <x v="0"/>
    <x v="0"/>
    <n v="66402.78"/>
    <n v="49202.61"/>
    <s v="Actual"/>
    <n v="5"/>
    <n v="17200.169999999998"/>
    <n v="0.25902785997815148"/>
  </r>
  <r>
    <s v="ORD502"/>
    <d v="2023-06-25T00:00:00"/>
    <x v="0"/>
    <x v="1"/>
    <x v="1"/>
    <x v="0"/>
    <n v="10408.799999999999"/>
    <n v="6041.54"/>
    <s v="Actual"/>
    <n v="1"/>
    <n v="4367.2599999999993"/>
    <n v="0.419573822150488"/>
  </r>
  <r>
    <s v="ORD3532"/>
    <s v="Not Mentioned"/>
    <x v="3"/>
    <x v="3"/>
    <x v="3"/>
    <x v="0"/>
    <n v="49686.63"/>
    <n v="43928.98"/>
    <s v="Actual"/>
    <n v="1"/>
    <n v="5757.6499999999942"/>
    <n v="0.11587926168468247"/>
  </r>
  <r>
    <s v="ORD7444"/>
    <d v="2023-02-15T00:00:00"/>
    <x v="1"/>
    <x v="3"/>
    <x v="0"/>
    <x v="0"/>
    <n v="30726.46"/>
    <n v="21017.87"/>
    <s v="Actual"/>
    <n v="2"/>
    <n v="9708.59"/>
    <n v="0.31596838685614942"/>
  </r>
  <r>
    <s v="ORD2378"/>
    <d v="2023-06-25T00:00:00"/>
    <x v="0"/>
    <x v="2"/>
    <x v="0"/>
    <x v="0"/>
    <n v="58487.31"/>
    <n v="39988.5"/>
    <s v="Actual"/>
    <n v="4"/>
    <n v="18498.809999999998"/>
    <n v="0.31628758443498256"/>
  </r>
  <r>
    <s v="ORD5794"/>
    <d v="2023-02-15T00:00:00"/>
    <x v="1"/>
    <x v="1"/>
    <x v="0"/>
    <x v="0"/>
    <n v="50959.54"/>
    <n v="36576.910000000003"/>
    <s v="Actual"/>
    <n v="4"/>
    <n v="14382.629999999997"/>
    <n v="0.2822362603744068"/>
  </r>
  <r>
    <s v="ORD5521"/>
    <d v="2023-02-15T00:00:00"/>
    <x v="1"/>
    <x v="2"/>
    <x v="1"/>
    <x v="0"/>
    <n v="8241.19"/>
    <n v="6431.19"/>
    <s v="Actual"/>
    <n v="1"/>
    <n v="1810.0000000000009"/>
    <n v="0.21962847598465765"/>
  </r>
  <r>
    <s v="ORD1052"/>
    <s v="Not Mentioned"/>
    <x v="3"/>
    <x v="1"/>
    <x v="0"/>
    <x v="0"/>
    <n v="45978.92"/>
    <n v="32537.14"/>
    <s v="Actual"/>
    <n v="3"/>
    <n v="13441.779999999999"/>
    <n v="0.29234657969347688"/>
  </r>
  <r>
    <s v="ORD9857"/>
    <d v="2023-04-05T00:00:00"/>
    <x v="2"/>
    <x v="3"/>
    <x v="3"/>
    <x v="0"/>
    <n v="271761.24"/>
    <n v="171296.96"/>
    <s v="Actual"/>
    <n v="4"/>
    <n v="100464.28"/>
    <n v="0.3696784721765326"/>
  </r>
  <r>
    <s v="ORD3828"/>
    <s v="Not Mentioned"/>
    <x v="3"/>
    <x v="1"/>
    <x v="0"/>
    <x v="0"/>
    <n v="31937.919999999998"/>
    <n v="20931.490000000002"/>
    <s v="Actual"/>
    <n v="2"/>
    <n v="11006.429999999997"/>
    <n v="0.34461949932869756"/>
  </r>
  <r>
    <s v="ORD6776"/>
    <s v="Not Mentioned"/>
    <x v="3"/>
    <x v="3"/>
    <x v="2"/>
    <x v="0"/>
    <n v="89865.74"/>
    <n v="63593.75"/>
    <s v="Actual"/>
    <n v="5"/>
    <n v="26271.990000000005"/>
    <n v="0.29234711693243726"/>
  </r>
  <r>
    <s v="ORD7770"/>
    <d v="2023-01-15T00:00:00"/>
    <x v="4"/>
    <x v="3"/>
    <x v="3"/>
    <x v="0"/>
    <n v="49719.4"/>
    <n v="39775.520000000004"/>
    <s v="Estimated"/>
    <n v="1"/>
    <n v="9943.8799999999974"/>
    <n v="0.19999999999999993"/>
  </r>
  <r>
    <s v="ORD6450"/>
    <d v="2023-06-25T00:00:00"/>
    <x v="0"/>
    <x v="0"/>
    <x v="0"/>
    <x v="0"/>
    <n v="89169.95"/>
    <n v="44345.440000000002"/>
    <s v="Actual"/>
    <n v="5"/>
    <n v="44824.509999999995"/>
    <n v="0.50268627491660578"/>
  </r>
  <r>
    <s v="ORD2441"/>
    <d v="2023-06-25T00:00:00"/>
    <x v="0"/>
    <x v="1"/>
    <x v="1"/>
    <x v="0"/>
    <n v="17329.45"/>
    <n v="15294.88"/>
    <s v="Actual"/>
    <n v="2"/>
    <n v="2034.5700000000015"/>
    <n v="0.11740534177368592"/>
  </r>
  <r>
    <s v="ORD9801"/>
    <d v="2023-01-15T00:00:00"/>
    <x v="4"/>
    <x v="0"/>
    <x v="3"/>
    <x v="0"/>
    <n v="271309.31"/>
    <n v="197928.76"/>
    <s v="Actual"/>
    <n v="4"/>
    <n v="73380.549999999988"/>
    <n v="0.27046823420840216"/>
  </r>
  <r>
    <s v="ORD7174"/>
    <s v="Not Mentioned"/>
    <x v="3"/>
    <x v="1"/>
    <x v="1"/>
    <x v="0"/>
    <n v="29415.97"/>
    <n v="22566.93"/>
    <s v="Actual"/>
    <n v="3"/>
    <n v="6849.0400000000009"/>
    <n v="0.2328340693847594"/>
  </r>
  <r>
    <s v="ORD9054"/>
    <s v="Not Mentioned"/>
    <x v="3"/>
    <x v="3"/>
    <x v="0"/>
    <x v="0"/>
    <n v="39190.76"/>
    <n v="31405.48"/>
    <s v="Actual"/>
    <n v="3"/>
    <n v="7785.2800000000025"/>
    <n v="0.19865090648918271"/>
  </r>
  <r>
    <s v="ORD9300"/>
    <s v="Not Mentioned"/>
    <x v="3"/>
    <x v="1"/>
    <x v="3"/>
    <x v="0"/>
    <n v="280308.58"/>
    <n v="157996.17000000001"/>
    <s v="Actual"/>
    <n v="4"/>
    <n v="122312.41"/>
    <n v="0.43634914778562967"/>
  </r>
  <r>
    <s v="ORD748"/>
    <d v="2023-03-20T00:00:00"/>
    <x v="5"/>
    <x v="2"/>
    <x v="0"/>
    <x v="0"/>
    <n v="62070.96"/>
    <n v="52960.06"/>
    <s v="Actual"/>
    <n v="5"/>
    <n v="9110.9000000000015"/>
    <n v="0.14678200562710811"/>
  </r>
  <r>
    <s v="ORD8008"/>
    <d v="2023-04-05T00:00:00"/>
    <x v="2"/>
    <x v="1"/>
    <x v="0"/>
    <x v="0"/>
    <n v="24161.52"/>
    <n v="19329.216"/>
    <s v="Estimated"/>
    <n v="2"/>
    <n v="4832.3040000000001"/>
    <n v="0.2"/>
  </r>
  <r>
    <s v="ORD3383"/>
    <d v="2023-06-25T00:00:00"/>
    <x v="0"/>
    <x v="2"/>
    <x v="0"/>
    <x v="0"/>
    <n v="35161.629999999997"/>
    <n v="19226.86"/>
    <s v="Actual"/>
    <n v="2"/>
    <n v="15934.769999999997"/>
    <n v="0.45318632839262568"/>
  </r>
  <r>
    <s v="ORD5960"/>
    <d v="2023-01-15T00:00:00"/>
    <x v="4"/>
    <x v="2"/>
    <x v="1"/>
    <x v="0"/>
    <n v="33307.440000000002"/>
    <n v="30549.74"/>
    <s v="Actual"/>
    <n v="4"/>
    <n v="2757.7000000000007"/>
    <n v="8.2795315401003516E-2"/>
  </r>
  <r>
    <s v="ORD9934"/>
    <s v="Not Mentioned"/>
    <x v="3"/>
    <x v="3"/>
    <x v="3"/>
    <x v="0"/>
    <n v="269134.02"/>
    <n v="158496.71"/>
    <s v="Actual"/>
    <n v="4"/>
    <n v="110637.31000000003"/>
    <n v="0.41108630562572512"/>
  </r>
  <r>
    <s v="ORD8778"/>
    <s v="Not Mentioned"/>
    <x v="3"/>
    <x v="2"/>
    <x v="2"/>
    <x v="0"/>
    <n v="16839.16"/>
    <n v="13479.9"/>
    <s v="Actual"/>
    <n v="1"/>
    <n v="3359.26"/>
    <n v="0.19949094847961538"/>
  </r>
  <r>
    <s v="ORD1141"/>
    <d v="2023-01-15T00:00:00"/>
    <x v="4"/>
    <x v="3"/>
    <x v="2"/>
    <x v="0"/>
    <n v="23912.77"/>
    <n v="11946.82"/>
    <s v="Actual"/>
    <n v="1"/>
    <n v="11965.95"/>
    <n v="0.50039999548358471"/>
  </r>
  <r>
    <s v="ORD3349"/>
    <s v="Not Mentioned"/>
    <x v="3"/>
    <x v="1"/>
    <x v="2"/>
    <x v="0"/>
    <n v="22490.1"/>
    <n v="17992.079999999998"/>
    <s v="Estimated"/>
    <n v="1"/>
    <n v="4498.0200000000004"/>
    <n v="0.20000000000000004"/>
  </r>
  <r>
    <s v="ORD5032"/>
    <d v="2023-02-15T00:00:00"/>
    <x v="1"/>
    <x v="2"/>
    <x v="0"/>
    <x v="0"/>
    <n v="41513.31"/>
    <n v="33210.648000000001"/>
    <s v="Estimated"/>
    <n v="3"/>
    <n v="8302.6619999999966"/>
    <n v="0.19999999999999993"/>
  </r>
  <r>
    <s v="ORD4323"/>
    <d v="2023-06-25T00:00:00"/>
    <x v="0"/>
    <x v="2"/>
    <x v="0"/>
    <x v="0"/>
    <n v="70354.759999999995"/>
    <n v="39004.480000000003"/>
    <s v="Actual"/>
    <n v="4"/>
    <n v="31350.279999999992"/>
    <n v="0.44560282772622628"/>
  </r>
  <r>
    <s v="ORD9418"/>
    <d v="2023-06-25T00:00:00"/>
    <x v="0"/>
    <x v="0"/>
    <x v="1"/>
    <x v="0"/>
    <n v="29860.43"/>
    <n v="18596.169999999998"/>
    <s v="Actual"/>
    <n v="3"/>
    <n v="11264.260000000002"/>
    <n v="0.37723033459330635"/>
  </r>
  <r>
    <s v="ORD6148"/>
    <d v="2023-06-25T00:00:00"/>
    <x v="0"/>
    <x v="1"/>
    <x v="0"/>
    <x v="0"/>
    <n v="13433.69"/>
    <n v="10884.61"/>
    <s v="Actual"/>
    <n v="1"/>
    <n v="2549.08"/>
    <n v="0.18975277827611028"/>
  </r>
  <r>
    <s v="ORD8172"/>
    <d v="2023-01-15T00:00:00"/>
    <x v="4"/>
    <x v="2"/>
    <x v="0"/>
    <x v="0"/>
    <n v="83890.66"/>
    <n v="49503.18"/>
    <s v="Actual"/>
    <n v="5"/>
    <n v="34387.480000000003"/>
    <n v="0.40990832590898679"/>
  </r>
  <r>
    <s v="ORD3781"/>
    <d v="2023-06-25T00:00:00"/>
    <x v="0"/>
    <x v="1"/>
    <x v="0"/>
    <x v="0"/>
    <n v="30398.13"/>
    <n v="18401.099999999999"/>
    <s v="Actual"/>
    <n v="2"/>
    <n v="11997.030000000002"/>
    <n v="0.39466342173021834"/>
  </r>
  <r>
    <s v="ORD8573"/>
    <d v="2023-03-20T00:00:00"/>
    <x v="5"/>
    <x v="1"/>
    <x v="3"/>
    <x v="0"/>
    <n v="197086.41"/>
    <n v="125776.48"/>
    <s v="Actual"/>
    <n v="3"/>
    <n v="71309.930000000008"/>
    <n v="0.36182063491846039"/>
  </r>
  <r>
    <s v="ORD2794"/>
    <d v="2023-03-20T00:00:00"/>
    <x v="5"/>
    <x v="2"/>
    <x v="3"/>
    <x v="0"/>
    <n v="204698.53"/>
    <n v="127505.28"/>
    <s v="Actual"/>
    <n v="3"/>
    <n v="77193.25"/>
    <n v="0.37710700707034878"/>
  </r>
  <r>
    <s v="ORD192"/>
    <d v="2023-01-15T00:00:00"/>
    <x v="4"/>
    <x v="1"/>
    <x v="1"/>
    <x v="0"/>
    <n v="52424.800000000003"/>
    <n v="33609.11"/>
    <s v="Actual"/>
    <n v="5"/>
    <n v="18815.690000000002"/>
    <n v="0.35890818849094325"/>
  </r>
  <r>
    <s v="ORD5235"/>
    <s v="Not Mentioned"/>
    <x v="3"/>
    <x v="1"/>
    <x v="2"/>
    <x v="0"/>
    <n v="42627.01"/>
    <n v="30162.52"/>
    <s v="Actual"/>
    <n v="2"/>
    <n v="12464.490000000002"/>
    <n v="0.29240826414988996"/>
  </r>
  <r>
    <s v="ORD555"/>
    <d v="2023-01-15T00:00:00"/>
    <x v="4"/>
    <x v="3"/>
    <x v="0"/>
    <x v="0"/>
    <n v="53856.83"/>
    <n v="37783.5"/>
    <s v="Actual"/>
    <n v="4"/>
    <n v="16073.330000000002"/>
    <n v="0.29844552677905478"/>
  </r>
  <r>
    <s v="ORD3153"/>
    <d v="2023-01-15T00:00:00"/>
    <x v="4"/>
    <x v="3"/>
    <x v="3"/>
    <x v="0"/>
    <n v="133480.67000000001"/>
    <n v="88219.73"/>
    <s v="Actual"/>
    <n v="2"/>
    <n v="45260.940000000017"/>
    <n v="0.33908235552009153"/>
  </r>
  <r>
    <s v="ORD9906"/>
    <d v="2023-02-15T00:00:00"/>
    <x v="1"/>
    <x v="3"/>
    <x v="2"/>
    <x v="0"/>
    <n v="16715.59"/>
    <n v="14213.97"/>
    <s v="Actual"/>
    <n v="1"/>
    <n v="2501.6200000000008"/>
    <n v="0.14965789421731454"/>
  </r>
  <r>
    <s v="ORD6096"/>
    <d v="2023-02-15T00:00:00"/>
    <x v="1"/>
    <x v="0"/>
    <x v="1"/>
    <x v="0"/>
    <n v="9395.56"/>
    <n v="7516.4480000000003"/>
    <s v="Estimated"/>
    <n v="1"/>
    <n v="1879.1119999999992"/>
    <n v="0.19999999999999993"/>
  </r>
  <r>
    <s v="ORD744"/>
    <d v="2023-06-25T00:00:00"/>
    <x v="0"/>
    <x v="2"/>
    <x v="3"/>
    <x v="0"/>
    <n v="55591.42"/>
    <n v="40113.18"/>
    <s v="Actual"/>
    <n v="1"/>
    <n v="15478.239999999998"/>
    <n v="0.27842857764741391"/>
  </r>
  <r>
    <s v="ORD7386"/>
    <s v="Not Mentioned"/>
    <x v="3"/>
    <x v="0"/>
    <x v="1"/>
    <x v="0"/>
    <n v="11052.2"/>
    <n v="6303.61"/>
    <s v="Actual"/>
    <n v="1"/>
    <n v="4748.5900000000011"/>
    <n v="0.42965111018620733"/>
  </r>
  <r>
    <s v="ORD200"/>
    <d v="2023-04-05T00:00:00"/>
    <x v="2"/>
    <x v="2"/>
    <x v="2"/>
    <x v="0"/>
    <n v="43445.66"/>
    <n v="28403.07"/>
    <s v="Actual"/>
    <n v="2"/>
    <n v="15042.590000000004"/>
    <n v="0.34623918706724682"/>
  </r>
  <r>
    <s v="ORD8605"/>
    <d v="2023-06-25T00:00:00"/>
    <x v="0"/>
    <x v="3"/>
    <x v="0"/>
    <x v="0"/>
    <n v="15462.41"/>
    <n v="8513.3700000000008"/>
    <s v="Actual"/>
    <n v="1"/>
    <n v="6949.0399999999991"/>
    <n v="0.44941506531000014"/>
  </r>
  <r>
    <s v="ORD1566"/>
    <d v="2023-06-25T00:00:00"/>
    <x v="0"/>
    <x v="0"/>
    <x v="3"/>
    <x v="0"/>
    <n v="168053.65"/>
    <n v="135877.18"/>
    <s v="Actual"/>
    <n v="3"/>
    <n v="32176.47"/>
    <n v="0.19146546355880995"/>
  </r>
  <r>
    <s v="ORD2203"/>
    <d v="2023-02-15T00:00:00"/>
    <x v="1"/>
    <x v="2"/>
    <x v="2"/>
    <x v="0"/>
    <n v="107260.28"/>
    <n v="67422.83"/>
    <s v="Actual"/>
    <n v="5"/>
    <n v="39837.449999999997"/>
    <n v="0.37140915537419816"/>
  </r>
  <r>
    <s v="ORD2528"/>
    <d v="2023-01-15T00:00:00"/>
    <x v="4"/>
    <x v="1"/>
    <x v="0"/>
    <x v="0"/>
    <n v="56130.52"/>
    <n v="34416.31"/>
    <s v="Actual"/>
    <n v="4"/>
    <n v="21714.21"/>
    <n v="0.38685210826480854"/>
  </r>
  <r>
    <s v="ORD7464"/>
    <d v="2023-04-05T00:00:00"/>
    <x v="2"/>
    <x v="1"/>
    <x v="3"/>
    <x v="0"/>
    <n v="67667.13"/>
    <n v="42498.57"/>
    <s v="Actual"/>
    <n v="1"/>
    <n v="25168.560000000005"/>
    <n v="0.37194661573499577"/>
  </r>
  <r>
    <s v="ORD1141"/>
    <d v="2023-04-05T00:00:00"/>
    <x v="2"/>
    <x v="2"/>
    <x v="2"/>
    <x v="0"/>
    <n v="41399.599999999999"/>
    <n v="26221.15"/>
    <s v="Actual"/>
    <n v="2"/>
    <n v="15178.449999999997"/>
    <n v="0.36663276939873807"/>
  </r>
  <r>
    <s v="ORD931"/>
    <s v="Not Mentioned"/>
    <x v="3"/>
    <x v="2"/>
    <x v="2"/>
    <x v="0"/>
    <n v="78006.399999999994"/>
    <n v="47988.51"/>
    <s v="Actual"/>
    <n v="4"/>
    <n v="30017.889999999992"/>
    <n v="0.38481316917586245"/>
  </r>
  <r>
    <s v="ORD2146"/>
    <d v="2023-03-20T00:00:00"/>
    <x v="5"/>
    <x v="2"/>
    <x v="3"/>
    <x v="0"/>
    <n v="118216.43"/>
    <n v="92660.5"/>
    <s v="Actual"/>
    <n v="2"/>
    <n v="25555.929999999993"/>
    <n v="0.21617917238745912"/>
  </r>
  <r>
    <s v="ORD3087"/>
    <d v="2023-02-15T00:00:00"/>
    <x v="1"/>
    <x v="1"/>
    <x v="2"/>
    <x v="0"/>
    <n v="82560.539999999994"/>
    <n v="52073.07"/>
    <s v="Actual"/>
    <s v="Unknown"/>
    <n v="30487.469999999994"/>
    <n v="0.36927411085247258"/>
  </r>
  <r>
    <s v="ORD6307"/>
    <d v="2023-06-25T00:00:00"/>
    <x v="0"/>
    <x v="0"/>
    <x v="3"/>
    <x v="0"/>
    <n v="241798.7"/>
    <n v="181004.19"/>
    <s v="Actual"/>
    <n v="4"/>
    <n v="60794.510000000009"/>
    <n v="0.2514261242926451"/>
  </r>
  <r>
    <s v="ORD3367"/>
    <d v="2023-02-15T00:00:00"/>
    <x v="1"/>
    <x v="1"/>
    <x v="3"/>
    <x v="0"/>
    <n v="55645.4"/>
    <n v="44516.320000000007"/>
    <s v="Estimated"/>
    <n v="1"/>
    <n v="11129.079999999994"/>
    <n v="0.1999999999999999"/>
  </r>
  <r>
    <s v="ORD8958"/>
    <d v="2023-03-20T00:00:00"/>
    <x v="5"/>
    <x v="1"/>
    <x v="1"/>
    <x v="0"/>
    <n v="59582.64"/>
    <n v="35787.440000000002"/>
    <s v="Actual"/>
    <n v="5"/>
    <n v="23795.199999999997"/>
    <n v="0.39936464715225772"/>
  </r>
  <r>
    <s v="ORD4995"/>
    <d v="2023-03-20T00:00:00"/>
    <x v="5"/>
    <x v="3"/>
    <x v="2"/>
    <x v="0"/>
    <n v="81107.360000000001"/>
    <n v="48635"/>
    <s v="Actual"/>
    <n v="4"/>
    <n v="32472.36"/>
    <n v="0.40036267978639672"/>
  </r>
  <r>
    <s v="ORD2455"/>
    <d v="2023-06-25T00:00:00"/>
    <x v="0"/>
    <x v="2"/>
    <x v="0"/>
    <x v="0"/>
    <n v="16460.14"/>
    <n v="9705.86"/>
    <s v="Actual"/>
    <n v="1"/>
    <n v="6754.2799999999988"/>
    <n v="0.4103415888321727"/>
  </r>
  <r>
    <s v="ORD9047"/>
    <d v="2023-01-15T00:00:00"/>
    <x v="4"/>
    <x v="1"/>
    <x v="1"/>
    <x v="0"/>
    <n v="55834.03"/>
    <n v="36890.089999999997"/>
    <s v="Actual"/>
    <n v="5"/>
    <n v="18943.940000000002"/>
    <n v="0.33929021422956579"/>
  </r>
  <r>
    <s v="ORD818"/>
    <s v="Not Mentioned"/>
    <x v="3"/>
    <x v="0"/>
    <x v="1"/>
    <x v="0"/>
    <n v="30834.69"/>
    <n v="19522.400000000001"/>
    <s v="Actual"/>
    <s v="Unknown"/>
    <n v="11312.289999999997"/>
    <n v="0.36686893884777172"/>
  </r>
  <r>
    <s v="ORD1331"/>
    <d v="2023-04-05T00:00:00"/>
    <x v="2"/>
    <x v="1"/>
    <x v="0"/>
    <x v="0"/>
    <n v="60650.13"/>
    <n v="48520.103999999999"/>
    <s v="Estimated"/>
    <n v="4"/>
    <n v="12130.025999999998"/>
    <n v="0.19999999999999998"/>
  </r>
  <r>
    <s v="ORD188"/>
    <d v="2023-03-20T00:00:00"/>
    <x v="5"/>
    <x v="3"/>
    <x v="3"/>
    <x v="0"/>
    <n v="203241.03"/>
    <n v="164589.1"/>
    <s v="Actual"/>
    <n v="4"/>
    <n v="38651.929999999993"/>
    <n v="0.19017779038021995"/>
  </r>
  <r>
    <s v="ORD5583"/>
    <d v="2023-01-15T00:00:00"/>
    <x v="4"/>
    <x v="2"/>
    <x v="2"/>
    <x v="0"/>
    <n v="22881.919999999998"/>
    <n v="15060.38"/>
    <s v="Actual"/>
    <n v="1"/>
    <n v="7821.5399999999991"/>
    <n v="0.34182184012530414"/>
  </r>
  <r>
    <s v="ORD6941"/>
    <d v="2023-02-15T00:00:00"/>
    <x v="1"/>
    <x v="1"/>
    <x v="1"/>
    <x v="0"/>
    <n v="34113.85"/>
    <n v="25460.63"/>
    <s v="Actual"/>
    <n v="4"/>
    <n v="8653.2199999999975"/>
    <n v="0.2536570923539852"/>
  </r>
  <r>
    <s v="ORD387"/>
    <s v="Not Mentioned"/>
    <x v="3"/>
    <x v="2"/>
    <x v="2"/>
    <x v="0"/>
    <n v="46663.23"/>
    <n v="24208.75"/>
    <s v="Actual"/>
    <n v="2"/>
    <n v="22454.480000000003"/>
    <n v="0.48120286572532595"/>
  </r>
  <r>
    <s v="ORD6513"/>
    <d v="2023-06-25T00:00:00"/>
    <x v="0"/>
    <x v="2"/>
    <x v="1"/>
    <x v="0"/>
    <n v="8936.58"/>
    <n v="6434.54"/>
    <s v="Actual"/>
    <n v="1"/>
    <n v="2502.04"/>
    <n v="0.27997735151478531"/>
  </r>
  <r>
    <s v="ORD3486"/>
    <d v="2023-01-15T00:00:00"/>
    <x v="4"/>
    <x v="2"/>
    <x v="3"/>
    <x v="0"/>
    <n v="298267.92"/>
    <n v="201771.29"/>
    <s v="Actual"/>
    <s v="Unknown"/>
    <n v="96496.629999999976"/>
    <n v="0.32352332761766661"/>
  </r>
  <r>
    <s v="ORD941"/>
    <d v="2023-03-20T00:00:00"/>
    <x v="5"/>
    <x v="0"/>
    <x v="1"/>
    <x v="0"/>
    <n v="33808.559999999998"/>
    <n v="21481.65"/>
    <s v="Actual"/>
    <n v="3"/>
    <n v="12326.909999999996"/>
    <n v="0.36460914040704473"/>
  </r>
  <r>
    <s v="ORD5418"/>
    <d v="2023-04-05T00:00:00"/>
    <x v="2"/>
    <x v="2"/>
    <x v="2"/>
    <x v="0"/>
    <n v="110343.55"/>
    <n v="66279.240000000005"/>
    <s v="Actual"/>
    <n v="5"/>
    <n v="44064.31"/>
    <n v="0.39933743295371588"/>
  </r>
  <r>
    <s v="ORD156"/>
    <d v="2023-02-15T00:00:00"/>
    <x v="1"/>
    <x v="2"/>
    <x v="0"/>
    <x v="0"/>
    <n v="33851.370000000003"/>
    <n v="17814.900000000001"/>
    <s v="Actual"/>
    <n v="2"/>
    <n v="16036.470000000001"/>
    <n v="0.47373178692620121"/>
  </r>
  <r>
    <s v="ORD4411"/>
    <s v="Not Mentioned"/>
    <x v="3"/>
    <x v="1"/>
    <x v="3"/>
    <x v="0"/>
    <n v="276503.03999999998"/>
    <n v="221202.432"/>
    <s v="Estimated"/>
    <n v="4"/>
    <n v="55300.607999999978"/>
    <n v="0.19999999999999993"/>
  </r>
  <r>
    <s v="ORD6435"/>
    <s v="Not Mentioned"/>
    <x v="3"/>
    <x v="2"/>
    <x v="0"/>
    <x v="0"/>
    <n v="53341.5"/>
    <n v="34049.769999999997"/>
    <s v="Actual"/>
    <s v="Unknown"/>
    <n v="19291.730000000003"/>
    <n v="0.3616645576146153"/>
  </r>
  <r>
    <s v="ORD256"/>
    <s v="Not Mentioned"/>
    <x v="3"/>
    <x v="1"/>
    <x v="0"/>
    <x v="0"/>
    <n v="13088.45"/>
    <n v="10917.17"/>
    <s v="Actual"/>
    <n v="1"/>
    <n v="2171.2800000000007"/>
    <n v="0.16589282917381359"/>
  </r>
  <r>
    <s v="ORD1337"/>
    <d v="2023-01-15T00:00:00"/>
    <x v="4"/>
    <x v="1"/>
    <x v="2"/>
    <x v="0"/>
    <n v="113100.09"/>
    <n v="68318.22"/>
    <s v="Actual"/>
    <n v="5"/>
    <n v="44781.869999999995"/>
    <n v="0.39594902179122932"/>
  </r>
  <r>
    <s v="ORD6083"/>
    <d v="2023-02-15T00:00:00"/>
    <x v="1"/>
    <x v="2"/>
    <x v="1"/>
    <x v="0"/>
    <n v="33736.629999999997"/>
    <n v="22674.3"/>
    <s v="Actual"/>
    <n v="3"/>
    <n v="11062.329999999998"/>
    <n v="0.32790263876385989"/>
  </r>
  <r>
    <s v="ORD3046"/>
    <d v="2023-03-20T00:00:00"/>
    <x v="5"/>
    <x v="2"/>
    <x v="1"/>
    <x v="0"/>
    <n v="49516"/>
    <n v="29991.08"/>
    <s v="Actual"/>
    <n v="5"/>
    <n v="19524.919999999998"/>
    <n v="0.39431537280878903"/>
  </r>
  <r>
    <s v="ORD7041"/>
    <d v="2023-06-25T00:00:00"/>
    <x v="0"/>
    <x v="2"/>
    <x v="0"/>
    <x v="0"/>
    <n v="65380.79"/>
    <n v="45457.62"/>
    <s v="Actual"/>
    <n v="5"/>
    <n v="19923.169999999998"/>
    <n v="0.30472513409519825"/>
  </r>
  <r>
    <s v="ORD6825"/>
    <d v="2023-06-25T00:00:00"/>
    <x v="0"/>
    <x v="2"/>
    <x v="2"/>
    <x v="0"/>
    <n v="44973.38"/>
    <n v="25531.98"/>
    <s v="Actual"/>
    <n v="2"/>
    <n v="19441.399999999998"/>
    <n v="0.43228683278864072"/>
  </r>
  <r>
    <s v="ORD4438"/>
    <s v="Not Mentioned"/>
    <x v="3"/>
    <x v="1"/>
    <x v="3"/>
    <x v="0"/>
    <n v="103537.95"/>
    <n v="82583.08"/>
    <s v="Actual"/>
    <n v="2"/>
    <n v="20954.869999999995"/>
    <n v="0.20238830303284927"/>
  </r>
  <r>
    <s v="ORD658"/>
    <d v="2023-03-20T00:00:00"/>
    <x v="5"/>
    <x v="3"/>
    <x v="1"/>
    <x v="0"/>
    <n v="43530.09"/>
    <n v="30562.55"/>
    <s v="Actual"/>
    <n v="5"/>
    <n v="12967.539999999997"/>
    <n v="0.29789830436831161"/>
  </r>
  <r>
    <s v="ORD7346"/>
    <s v="Not Mentioned"/>
    <x v="3"/>
    <x v="2"/>
    <x v="2"/>
    <x v="0"/>
    <n v="17032.23"/>
    <n v="14703.81"/>
    <s v="Actual"/>
    <n v="1"/>
    <n v="2328.42"/>
    <n v="0.13670670252808939"/>
  </r>
  <r>
    <s v="ORD7040"/>
    <d v="2023-03-20T00:00:00"/>
    <x v="5"/>
    <x v="2"/>
    <x v="0"/>
    <x v="0"/>
    <n v="32542.2"/>
    <n v="20205.810000000001"/>
    <s v="Actual"/>
    <n v="2"/>
    <n v="12336.39"/>
    <n v="0.37908899828530335"/>
  </r>
  <r>
    <s v="ORD6029"/>
    <d v="2023-01-15T00:00:00"/>
    <x v="4"/>
    <x v="1"/>
    <x v="1"/>
    <x v="0"/>
    <n v="41186.49"/>
    <n v="24644.26"/>
    <s v="Actual"/>
    <n v="4"/>
    <n v="16542.23"/>
    <n v="0.40164214042031743"/>
  </r>
  <r>
    <s v="ORD578"/>
    <d v="2023-06-25T00:00:00"/>
    <x v="0"/>
    <x v="1"/>
    <x v="3"/>
    <x v="0"/>
    <n v="178978.77"/>
    <n v="146114.71"/>
    <s v="Actual"/>
    <n v="3"/>
    <n v="32864.06"/>
    <n v="0.18361987849173397"/>
  </r>
  <r>
    <s v="ORD4932"/>
    <d v="2023-02-15T00:00:00"/>
    <x v="1"/>
    <x v="1"/>
    <x v="2"/>
    <x v="0"/>
    <n v="47835.33"/>
    <n v="30568.05"/>
    <s v="Actual"/>
    <n v="2"/>
    <n v="17267.280000000002"/>
    <n v="0.36097336424772236"/>
  </r>
  <r>
    <s v="ORD4800"/>
    <d v="2023-04-05T00:00:00"/>
    <x v="2"/>
    <x v="1"/>
    <x v="3"/>
    <x v="0"/>
    <n v="164582.48000000001"/>
    <n v="117876.09"/>
    <s v="Actual"/>
    <n v="3"/>
    <n v="46706.390000000014"/>
    <n v="0.28378713214189027"/>
  </r>
  <r>
    <s v="ORD2069"/>
    <d v="2023-04-05T00:00:00"/>
    <x v="2"/>
    <x v="0"/>
    <x v="0"/>
    <x v="0"/>
    <n v="28572.31"/>
    <n v="21092.38"/>
    <s v="Actual"/>
    <n v="2"/>
    <n v="7479.93"/>
    <n v="0.26178947379473344"/>
  </r>
  <r>
    <s v="ORD6273"/>
    <d v="2023-02-15T00:00:00"/>
    <x v="1"/>
    <x v="0"/>
    <x v="2"/>
    <x v="0"/>
    <n v="67272.289999999994"/>
    <n v="48742.720000000001"/>
    <s v="Actual"/>
    <n v="4"/>
    <n v="18529.569999999992"/>
    <n v="0.27544134442279272"/>
  </r>
  <r>
    <s v="ORD7310"/>
    <s v="Not Mentioned"/>
    <x v="3"/>
    <x v="1"/>
    <x v="2"/>
    <x v="0"/>
    <n v="40086.800000000003"/>
    <n v="23930.400000000001"/>
    <s v="Actual"/>
    <n v="2"/>
    <n v="16156.400000000001"/>
    <n v="0.40303541315345698"/>
  </r>
  <r>
    <s v="ORD6884"/>
    <d v="2023-06-25T00:00:00"/>
    <x v="0"/>
    <x v="0"/>
    <x v="3"/>
    <x v="0"/>
    <n v="210981.31"/>
    <n v="124381.52"/>
    <s v="Actual"/>
    <n v="3"/>
    <n v="86599.79"/>
    <n v="0.41046190299984392"/>
  </r>
  <r>
    <s v="ORD968"/>
    <d v="2023-02-15T00:00:00"/>
    <x v="1"/>
    <x v="2"/>
    <x v="2"/>
    <x v="0"/>
    <n v="16583.66"/>
    <n v="14547.49"/>
    <s v="Actual"/>
    <n v="1"/>
    <n v="2036.17"/>
    <n v="0.12278170198858394"/>
  </r>
  <r>
    <s v="ORD7830"/>
    <s v="Not Mentioned"/>
    <x v="3"/>
    <x v="1"/>
    <x v="3"/>
    <x v="0"/>
    <n v="307921.13"/>
    <n v="238690.05"/>
    <s v="Actual"/>
    <n v="5"/>
    <n v="69231.080000000016"/>
    <n v="0.22483380728045527"/>
  </r>
  <r>
    <s v="ORD1864"/>
    <d v="2023-01-15T00:00:00"/>
    <x v="4"/>
    <x v="1"/>
    <x v="3"/>
    <x v="0"/>
    <n v="54516.53"/>
    <n v="43033.14"/>
    <s v="Actual"/>
    <n v="1"/>
    <n v="11483.39"/>
    <n v="0.21064051582153157"/>
  </r>
  <r>
    <s v="ORD1607"/>
    <d v="2023-02-15T00:00:00"/>
    <x v="1"/>
    <x v="3"/>
    <x v="0"/>
    <x v="0"/>
    <n v="15401.2"/>
    <n v="9716.1299999999992"/>
    <s v="Actual"/>
    <n v="1"/>
    <n v="5685.0700000000015"/>
    <n v="0.36913162610705669"/>
  </r>
  <r>
    <s v="ORD9207"/>
    <s v="Not Mentioned"/>
    <x v="3"/>
    <x v="1"/>
    <x v="2"/>
    <x v="0"/>
    <n v="70848.570000000007"/>
    <n v="59182.58"/>
    <s v="Actual"/>
    <n v="4"/>
    <n v="11665.990000000005"/>
    <n v="0.16466090988145568"/>
  </r>
  <r>
    <s v="ORD9705"/>
    <d v="2023-02-15T00:00:00"/>
    <x v="1"/>
    <x v="3"/>
    <x v="2"/>
    <x v="0"/>
    <n v="18435.79"/>
    <n v="12517.43"/>
    <s v="Actual"/>
    <n v="1"/>
    <n v="5918.3600000000006"/>
    <n v="0.32102557037154361"/>
  </r>
  <r>
    <s v="ORD5454"/>
    <s v="Not Mentioned"/>
    <x v="3"/>
    <x v="3"/>
    <x v="3"/>
    <x v="0"/>
    <n v="131227.22"/>
    <n v="94473.56"/>
    <s v="Actual"/>
    <n v="2"/>
    <n v="36753.660000000003"/>
    <n v="0.28007649632446685"/>
  </r>
  <r>
    <s v="ORD8767"/>
    <s v="Not Mentioned"/>
    <x v="3"/>
    <x v="2"/>
    <x v="2"/>
    <x v="0"/>
    <n v="42466.33"/>
    <n v="28694.39"/>
    <s v="Actual"/>
    <n v="2"/>
    <n v="13771.940000000002"/>
    <n v="0.32430257100154408"/>
  </r>
  <r>
    <s v="ORD2339"/>
    <d v="2023-04-05T00:00:00"/>
    <x v="2"/>
    <x v="0"/>
    <x v="1"/>
    <x v="0"/>
    <n v="42693.09"/>
    <n v="37557.480000000003"/>
    <s v="Actual"/>
    <n v="5"/>
    <n v="5135.6099999999933"/>
    <n v="0.12029136330961272"/>
  </r>
  <r>
    <s v="ORD8604"/>
    <d v="2023-03-20T00:00:00"/>
    <x v="5"/>
    <x v="1"/>
    <x v="1"/>
    <x v="0"/>
    <n v="30291.58"/>
    <n v="22289.68"/>
    <s v="Actual"/>
    <n v="3"/>
    <n v="8001.9000000000015"/>
    <n v="0.26416251644846522"/>
  </r>
  <r>
    <s v="ORD3985"/>
    <d v="2023-01-15T00:00:00"/>
    <x v="4"/>
    <x v="2"/>
    <x v="2"/>
    <x v="0"/>
    <n v="79498.44"/>
    <n v="47742.43"/>
    <s v="Actual"/>
    <n v="4"/>
    <n v="31756.010000000002"/>
    <n v="0.39945450501921798"/>
  </r>
  <r>
    <s v="ORD4981"/>
    <s v="Not Mentioned"/>
    <x v="3"/>
    <x v="2"/>
    <x v="0"/>
    <x v="0"/>
    <n v="17310.580000000002"/>
    <n v="8752.27"/>
    <s v="Actual"/>
    <n v="1"/>
    <n v="8558.3100000000013"/>
    <n v="0.49439764583277973"/>
  </r>
  <r>
    <s v="ORD5197"/>
    <d v="2023-04-05T00:00:00"/>
    <x v="2"/>
    <x v="3"/>
    <x v="1"/>
    <x v="0"/>
    <n v="48874.239999999998"/>
    <n v="39099.392"/>
    <s v="Estimated"/>
    <n v="5"/>
    <n v="9774.8479999999981"/>
    <n v="0.19999999999999998"/>
  </r>
  <r>
    <s v="ORD2070"/>
    <d v="2023-03-20T00:00:00"/>
    <x v="5"/>
    <x v="1"/>
    <x v="1"/>
    <x v="0"/>
    <n v="29726.43"/>
    <n v="18688.52"/>
    <s v="Actual"/>
    <s v="Unknown"/>
    <n v="11037.91"/>
    <n v="0.37131636728661999"/>
  </r>
  <r>
    <s v="ORD3612"/>
    <s v="Not Mentioned"/>
    <x v="3"/>
    <x v="0"/>
    <x v="1"/>
    <x v="0"/>
    <n v="10355.77"/>
    <n v="7227.3"/>
    <s v="Actual"/>
    <n v="1"/>
    <n v="3128.4700000000003"/>
    <n v="0.30209921618575925"/>
  </r>
  <r>
    <s v="ORD6930"/>
    <d v="2023-03-20T00:00:00"/>
    <x v="5"/>
    <x v="0"/>
    <x v="2"/>
    <x v="0"/>
    <n v="18608.89"/>
    <n v="12206.2"/>
    <s v="Actual"/>
    <n v="1"/>
    <n v="6402.6899999999987"/>
    <n v="0.34406619631799634"/>
  </r>
  <r>
    <s v="ORD736"/>
    <d v="2023-03-20T00:00:00"/>
    <x v="5"/>
    <x v="1"/>
    <x v="1"/>
    <x v="0"/>
    <n v="33772.99"/>
    <n v="30066.05"/>
    <s v="Actual"/>
    <n v="4"/>
    <n v="3706.9399999999987"/>
    <n v="0.1097604920381642"/>
  </r>
  <r>
    <s v="ORD5582"/>
    <d v="2023-01-15T00:00:00"/>
    <x v="4"/>
    <x v="2"/>
    <x v="1"/>
    <x v="0"/>
    <n v="20352.03"/>
    <n v="12859.62"/>
    <s v="Actual"/>
    <n v="2"/>
    <n v="7492.409999999998"/>
    <n v="0.36814067196245281"/>
  </r>
  <r>
    <s v="ORD8369"/>
    <s v="Not Mentioned"/>
    <x v="3"/>
    <x v="2"/>
    <x v="3"/>
    <x v="0"/>
    <n v="108877.13"/>
    <n v="97515.99"/>
    <s v="Actual"/>
    <n v="2"/>
    <n v="11361.14"/>
    <n v="0.10434826854822495"/>
  </r>
  <r>
    <s v="ORD9050"/>
    <d v="2023-06-25T00:00:00"/>
    <x v="0"/>
    <x v="0"/>
    <x v="3"/>
    <x v="0"/>
    <n v="60140.31"/>
    <n v="40341.57"/>
    <s v="Actual"/>
    <n v="1"/>
    <n v="19798.739999999998"/>
    <n v="0.32920914441578369"/>
  </r>
  <r>
    <s v="ORD4091"/>
    <s v="Not Mentioned"/>
    <x v="3"/>
    <x v="1"/>
    <x v="3"/>
    <x v="0"/>
    <n v="57801.11"/>
    <n v="40301.199999999997"/>
    <s v="Actual"/>
    <n v="1"/>
    <n v="17499.910000000003"/>
    <n v="0.30276079473214274"/>
  </r>
  <r>
    <s v="ORD5948"/>
    <d v="2023-02-15T00:00:00"/>
    <x v="1"/>
    <x v="2"/>
    <x v="2"/>
    <x v="0"/>
    <n v="67388.210000000006"/>
    <n v="61271.55"/>
    <s v="Actual"/>
    <n v="4"/>
    <n v="6116.6600000000035"/>
    <n v="9.0767509628167944E-2"/>
  </r>
  <r>
    <s v="ORD8671"/>
    <d v="2023-01-15T00:00:00"/>
    <x v="4"/>
    <x v="1"/>
    <x v="3"/>
    <x v="0"/>
    <n v="65482.11"/>
    <n v="43713.9"/>
    <s v="Actual"/>
    <n v="1"/>
    <n v="21768.21"/>
    <n v="0.3324298804665885"/>
  </r>
  <r>
    <s v="ORD1888"/>
    <d v="2023-06-25T00:00:00"/>
    <x v="0"/>
    <x v="3"/>
    <x v="0"/>
    <x v="0"/>
    <n v="27345.39"/>
    <n v="18382.16"/>
    <s v="Actual"/>
    <n v="2"/>
    <n v="8963.23"/>
    <n v="0.32777846649837505"/>
  </r>
  <r>
    <s v="ORD4464"/>
    <d v="2023-06-25T00:00:00"/>
    <x v="0"/>
    <x v="2"/>
    <x v="2"/>
    <x v="0"/>
    <n v="16116.72"/>
    <n v="12939.69"/>
    <s v="Actual"/>
    <n v="1"/>
    <n v="3177.0299999999988"/>
    <n v="0.19712633836165169"/>
  </r>
  <r>
    <s v="ORD3611"/>
    <d v="2023-01-15T00:00:00"/>
    <x v="4"/>
    <x v="3"/>
    <x v="1"/>
    <x v="0"/>
    <n v="19295.7"/>
    <n v="15048.03"/>
    <s v="Actual"/>
    <n v="2"/>
    <n v="4247.67"/>
    <n v="0.22013557424711205"/>
  </r>
  <r>
    <s v="ORD7146"/>
    <d v="2023-02-15T00:00:00"/>
    <x v="1"/>
    <x v="1"/>
    <x v="2"/>
    <x v="0"/>
    <n v="50607.99"/>
    <n v="42326.73"/>
    <s v="Actual"/>
    <n v="3"/>
    <n v="8281.2599999999948"/>
    <n v="0.16363542594756272"/>
  </r>
  <r>
    <s v="ORD8747"/>
    <d v="2023-06-25T00:00:00"/>
    <x v="0"/>
    <x v="2"/>
    <x v="0"/>
    <x v="0"/>
    <n v="27066.080000000002"/>
    <n v="18835.86"/>
    <s v="Actual"/>
    <n v="2"/>
    <n v="8230.2200000000012"/>
    <n v="0.30407875835732401"/>
  </r>
  <r>
    <s v="ORD9733"/>
    <s v="Not Mentioned"/>
    <x v="3"/>
    <x v="2"/>
    <x v="0"/>
    <x v="0"/>
    <n v="13593.83"/>
    <n v="8526.9699999999993"/>
    <s v="Actual"/>
    <n v="1"/>
    <n v="5066.8600000000006"/>
    <n v="0.37273233518441828"/>
  </r>
  <r>
    <s v="ORD6208"/>
    <d v="2023-02-15T00:00:00"/>
    <x v="1"/>
    <x v="1"/>
    <x v="0"/>
    <x v="0"/>
    <n v="75344.66"/>
    <n v="45171.76"/>
    <s v="Actual"/>
    <n v="5"/>
    <n v="30172.9"/>
    <n v="0.40046500972995297"/>
  </r>
  <r>
    <s v="ORD6809"/>
    <d v="2023-04-05T00:00:00"/>
    <x v="2"/>
    <x v="1"/>
    <x v="1"/>
    <x v="0"/>
    <n v="9886.41"/>
    <n v="5968.18"/>
    <s v="Actual"/>
    <s v="Unknown"/>
    <n v="3918.2299999999996"/>
    <n v="0.39632485401677653"/>
  </r>
  <r>
    <s v="ORD5930"/>
    <d v="2023-04-05T00:00:00"/>
    <x v="2"/>
    <x v="1"/>
    <x v="1"/>
    <x v="0"/>
    <n v="45130.81"/>
    <n v="27063.02"/>
    <s v="Actual"/>
    <s v="Unknown"/>
    <n v="18067.789999999997"/>
    <n v="0.40034269271923101"/>
  </r>
  <r>
    <s v="ORD2403"/>
    <d v="2023-02-15T00:00:00"/>
    <x v="1"/>
    <x v="2"/>
    <x v="3"/>
    <x v="0"/>
    <n v="138866.01999999999"/>
    <n v="81401.41"/>
    <s v="Actual"/>
    <n v="2"/>
    <n v="57464.609999999986"/>
    <n v="0.41381332884747463"/>
  </r>
  <r>
    <s v="ORD2188"/>
    <d v="2023-02-15T00:00:00"/>
    <x v="1"/>
    <x v="2"/>
    <x v="3"/>
    <x v="0"/>
    <n v="204076.92"/>
    <n v="162665.54999999999"/>
    <s v="Actual"/>
    <n v="4"/>
    <n v="41411.370000000024"/>
    <n v="0.20292039883785007"/>
  </r>
  <r>
    <s v="ORD1164"/>
    <d v="2023-03-20T00:00:00"/>
    <x v="5"/>
    <x v="0"/>
    <x v="1"/>
    <x v="0"/>
    <n v="18796.41"/>
    <n v="13560.39"/>
    <s v="Actual"/>
    <n v="2"/>
    <n v="5236.0200000000004"/>
    <n v="0.27856489616900248"/>
  </r>
  <r>
    <s v="ORD7924"/>
    <d v="2023-02-15T00:00:00"/>
    <x v="1"/>
    <x v="2"/>
    <x v="2"/>
    <x v="0"/>
    <n v="84474.87"/>
    <n v="48921.99"/>
    <s v="Actual"/>
    <n v="4"/>
    <n v="35552.879999999997"/>
    <n v="0.42086930704954029"/>
  </r>
  <r>
    <s v="ORD7840"/>
    <s v="Not Mentioned"/>
    <x v="3"/>
    <x v="0"/>
    <x v="2"/>
    <x v="0"/>
    <n v="66929.740000000005"/>
    <n v="61006.53"/>
    <s v="Actual"/>
    <n v="4"/>
    <n v="5923.2100000000064"/>
    <n v="8.8498924394447162E-2"/>
  </r>
  <r>
    <s v="ORD7865"/>
    <d v="2023-01-15T00:00:00"/>
    <x v="4"/>
    <x v="2"/>
    <x v="1"/>
    <x v="0"/>
    <n v="51040.87"/>
    <n v="31858.1"/>
    <s v="Actual"/>
    <n v="5"/>
    <n v="19182.770000000004"/>
    <n v="0.37583156399959489"/>
  </r>
  <r>
    <s v="ORD395"/>
    <d v="2023-02-15T00:00:00"/>
    <x v="1"/>
    <x v="3"/>
    <x v="1"/>
    <x v="0"/>
    <n v="21966.67"/>
    <n v="12250.71"/>
    <s v="Actual"/>
    <n v="2"/>
    <n v="9715.9599999999991"/>
    <n v="0.44230463697956951"/>
  </r>
  <r>
    <s v="ORD7865"/>
    <d v="2023-04-05T00:00:00"/>
    <x v="2"/>
    <x v="1"/>
    <x v="3"/>
    <x v="0"/>
    <n v="100213.27"/>
    <n v="76597.539999999994"/>
    <s v="Actual"/>
    <n v="2"/>
    <n v="23615.73000000001"/>
    <n v="0.23565471918040404"/>
  </r>
  <r>
    <s v="ORD2935"/>
    <d v="2023-03-20T00:00:00"/>
    <x v="5"/>
    <x v="1"/>
    <x v="3"/>
    <x v="0"/>
    <n v="198189.36"/>
    <n v="197458.7"/>
    <s v="Actual"/>
    <n v="4"/>
    <n v="730.65999999997439"/>
    <n v="3.6866762171287827E-3"/>
  </r>
  <r>
    <s v="ORD5149"/>
    <d v="2023-01-15T00:00:00"/>
    <x v="4"/>
    <x v="2"/>
    <x v="1"/>
    <x v="0"/>
    <n v="50026.23"/>
    <n v="31382.799999999999"/>
    <s v="Actual"/>
    <n v="5"/>
    <n v="18643.430000000004"/>
    <n v="0.37267309569399898"/>
  </r>
  <r>
    <s v="ORD370"/>
    <d v="2023-01-15T00:00:00"/>
    <x v="4"/>
    <x v="0"/>
    <x v="2"/>
    <x v="0"/>
    <n v="19385.150000000001"/>
    <n v="15119.18"/>
    <s v="Actual"/>
    <n v="1"/>
    <n v="4265.9700000000012"/>
    <n v="0.22006381173217648"/>
  </r>
  <r>
    <s v="ORD522"/>
    <d v="2023-04-05T00:00:00"/>
    <x v="2"/>
    <x v="3"/>
    <x v="0"/>
    <x v="0"/>
    <n v="60785.26"/>
    <n v="36035.35"/>
    <s v="Actual"/>
    <n v="4"/>
    <n v="24749.910000000003"/>
    <n v="0.40716959999842073"/>
  </r>
  <r>
    <s v="ORD3949"/>
    <s v="Not Mentioned"/>
    <x v="3"/>
    <x v="2"/>
    <x v="1"/>
    <x v="0"/>
    <n v="47269.21"/>
    <n v="37815.368000000002"/>
    <s v="Estimated"/>
    <n v="4"/>
    <n v="9453.8419999999969"/>
    <n v="0.19999999999999993"/>
  </r>
  <r>
    <s v="ORD9159"/>
    <d v="2023-01-15T00:00:00"/>
    <x v="4"/>
    <x v="3"/>
    <x v="1"/>
    <x v="0"/>
    <n v="29893.7"/>
    <n v="18722.03"/>
    <s v="Actual"/>
    <s v="Unknown"/>
    <n v="11171.670000000002"/>
    <n v="0.37371319040466727"/>
  </r>
  <r>
    <s v="ORD2337"/>
    <d v="2023-06-25T00:00:00"/>
    <x v="0"/>
    <x v="2"/>
    <x v="3"/>
    <x v="0"/>
    <n v="214635.95"/>
    <n v="148202.93"/>
    <s v="Actual"/>
    <n v="3"/>
    <n v="66433.020000000019"/>
    <n v="0.30951487856531029"/>
  </r>
  <r>
    <s v="ORD708"/>
    <d v="2023-03-20T00:00:00"/>
    <x v="5"/>
    <x v="3"/>
    <x v="2"/>
    <x v="0"/>
    <n v="74714.929999999993"/>
    <n v="48635.55"/>
    <s v="Actual"/>
    <n v="4"/>
    <n v="26079.37999999999"/>
    <n v="0.34905178924747693"/>
  </r>
  <r>
    <s v="ORD4892"/>
    <d v="2023-01-15T00:00:00"/>
    <x v="4"/>
    <x v="2"/>
    <x v="3"/>
    <x v="0"/>
    <n v="136029.99"/>
    <n v="79009.990000000005"/>
    <s v="Actual"/>
    <n v="2"/>
    <n v="57019.999999999985"/>
    <n v="0.41917227223202758"/>
  </r>
  <r>
    <s v="ORD282"/>
    <d v="2023-01-15T00:00:00"/>
    <x v="4"/>
    <x v="2"/>
    <x v="0"/>
    <x v="0"/>
    <n v="30961.1"/>
    <n v="21129.85"/>
    <s v="Actual"/>
    <n v="2"/>
    <n v="9831.25"/>
    <n v="0.31753555267739197"/>
  </r>
  <r>
    <s v="ORD705"/>
    <d v="2023-04-05T00:00:00"/>
    <x v="2"/>
    <x v="2"/>
    <x v="1"/>
    <x v="0"/>
    <n v="53807.5"/>
    <n v="35471.550000000003"/>
    <s v="Actual"/>
    <n v="5"/>
    <n v="18335.949999999997"/>
    <n v="0.34076940946894013"/>
  </r>
  <r>
    <s v="ORD6731"/>
    <d v="2023-04-05T00:00:00"/>
    <x v="2"/>
    <x v="1"/>
    <x v="3"/>
    <x v="0"/>
    <n v="67487.149999999994"/>
    <n v="47716.29"/>
    <s v="Actual"/>
    <n v="1"/>
    <n v="19770.859999999993"/>
    <n v="0.29295740003837761"/>
  </r>
  <r>
    <s v="ORD8135"/>
    <d v="2023-02-15T00:00:00"/>
    <x v="1"/>
    <x v="3"/>
    <x v="2"/>
    <x v="0"/>
    <n v="43665.64"/>
    <n v="26439.14"/>
    <s v="Actual"/>
    <n v="2"/>
    <n v="17226.5"/>
    <n v="0.39450927548525566"/>
  </r>
  <r>
    <s v="ORD5317"/>
    <d v="2023-01-15T00:00:00"/>
    <x v="4"/>
    <x v="1"/>
    <x v="3"/>
    <x v="0"/>
    <n v="187666.41"/>
    <n v="125923.32"/>
    <s v="Actual"/>
    <n v="3"/>
    <n v="61743.09"/>
    <n v="0.32900448194218662"/>
  </r>
  <r>
    <s v="ORD2312"/>
    <d v="2023-06-25T00:00:00"/>
    <x v="0"/>
    <x v="1"/>
    <x v="2"/>
    <x v="0"/>
    <n v="56382.23"/>
    <n v="45105.784000000007"/>
    <s v="Estimated"/>
    <n v="3"/>
    <n v="11276.445999999996"/>
    <n v="0.19999999999999993"/>
  </r>
  <r>
    <s v="ORD7521"/>
    <d v="2023-03-20T00:00:00"/>
    <x v="5"/>
    <x v="0"/>
    <x v="1"/>
    <x v="0"/>
    <n v="51684.18"/>
    <n v="31000.59"/>
    <s v="Actual"/>
    <s v="Unknown"/>
    <n v="20683.59"/>
    <n v="0.40019189624368617"/>
  </r>
  <r>
    <s v="ORD7363"/>
    <d v="2023-04-05T00:00:00"/>
    <x v="2"/>
    <x v="0"/>
    <x v="3"/>
    <x v="0"/>
    <n v="184964.4"/>
    <n v="130030.87"/>
    <s v="Actual"/>
    <n v="3"/>
    <n v="54933.53"/>
    <n v="0.29699515149942368"/>
  </r>
  <r>
    <s v="ORD6401"/>
    <d v="2023-03-20T00:00:00"/>
    <x v="5"/>
    <x v="2"/>
    <x v="3"/>
    <x v="0"/>
    <n v="267640.28000000003"/>
    <n v="173317.94"/>
    <s v="Actual"/>
    <n v="4"/>
    <n v="94322.340000000026"/>
    <n v="0.35242206442169322"/>
  </r>
  <r>
    <s v="ORD306"/>
    <s v="Not Mentioned"/>
    <x v="3"/>
    <x v="0"/>
    <x v="1"/>
    <x v="0"/>
    <n v="56941.65"/>
    <n v="34934.06"/>
    <s v="Actual"/>
    <n v="5"/>
    <n v="22007.590000000004"/>
    <n v="0.38649371769170726"/>
  </r>
  <r>
    <s v="ORD985"/>
    <d v="2023-01-15T00:00:00"/>
    <x v="4"/>
    <x v="2"/>
    <x v="3"/>
    <x v="0"/>
    <n v="206042.15"/>
    <n v="148351.24"/>
    <s v="Actual"/>
    <n v="3"/>
    <n v="57690.91"/>
    <n v="0.27999567078871973"/>
  </r>
  <r>
    <s v="ORD7837"/>
    <d v="2023-04-05T00:00:00"/>
    <x v="2"/>
    <x v="0"/>
    <x v="1"/>
    <x v="0"/>
    <n v="22049.19"/>
    <n v="12999.67"/>
    <s v="Actual"/>
    <n v="2"/>
    <n v="9049.5199999999986"/>
    <n v="0.41042414710018821"/>
  </r>
  <r>
    <s v="ORD785"/>
    <d v="2023-01-15T00:00:00"/>
    <x v="4"/>
    <x v="2"/>
    <x v="0"/>
    <x v="0"/>
    <n v="28415.26"/>
    <n v="18357.310000000001"/>
    <s v="Actual"/>
    <n v="2"/>
    <n v="10057.949999999997"/>
    <n v="0.35396297623178524"/>
  </r>
  <r>
    <s v="ORD7010"/>
    <d v="2023-04-05T00:00:00"/>
    <x v="2"/>
    <x v="0"/>
    <x v="2"/>
    <x v="0"/>
    <n v="114365.5"/>
    <n v="75892.960000000006"/>
    <s v="Actual"/>
    <n v="5"/>
    <n v="38472.539999999994"/>
    <n v="0.33639987583668146"/>
  </r>
  <r>
    <s v="ORD9672"/>
    <d v="2023-01-15T00:00:00"/>
    <x v="4"/>
    <x v="1"/>
    <x v="1"/>
    <x v="0"/>
    <n v="40656.730000000003"/>
    <n v="36063.96"/>
    <s v="Actual"/>
    <n v="5"/>
    <n v="4592.7700000000041"/>
    <n v="0.11296456945750442"/>
  </r>
  <r>
    <s v="ORD1764"/>
    <d v="2023-03-20T00:00:00"/>
    <x v="5"/>
    <x v="0"/>
    <x v="1"/>
    <x v="0"/>
    <n v="25407.47"/>
    <n v="19878.53"/>
    <s v="Actual"/>
    <n v="3"/>
    <n v="5528.9400000000023"/>
    <n v="0.21761080501128219"/>
  </r>
  <r>
    <s v="ORD3456"/>
    <d v="2023-04-05T00:00:00"/>
    <x v="2"/>
    <x v="1"/>
    <x v="1"/>
    <x v="0"/>
    <n v="45320.85"/>
    <n v="26694.37"/>
    <s v="Actual"/>
    <n v="4"/>
    <n v="18626.48"/>
    <n v="0.41099140903138404"/>
  </r>
  <r>
    <s v="ORD571"/>
    <d v="2023-06-25T00:00:00"/>
    <x v="0"/>
    <x v="0"/>
    <x v="0"/>
    <x v="0"/>
    <n v="73987.44"/>
    <n v="50553.81"/>
    <s v="Actual"/>
    <n v="5"/>
    <n v="23433.630000000005"/>
    <n v="0.31672443322812632"/>
  </r>
  <r>
    <s v="ORD2491"/>
    <d v="2023-02-15T00:00:00"/>
    <x v="1"/>
    <x v="2"/>
    <x v="0"/>
    <x v="0"/>
    <n v="16197.63"/>
    <n v="10662.8"/>
    <s v="Actual"/>
    <n v="1"/>
    <n v="5534.83"/>
    <n v="0.34170616318560187"/>
  </r>
  <r>
    <s v="ORD8226"/>
    <d v="2023-03-20T00:00:00"/>
    <x v="5"/>
    <x v="0"/>
    <x v="2"/>
    <x v="0"/>
    <n v="65540.81"/>
    <n v="39576.639999999999"/>
    <s v="Actual"/>
    <n v="3"/>
    <n v="25964.17"/>
    <n v="0.39615271767315663"/>
  </r>
  <r>
    <s v="ORD6961"/>
    <d v="2023-06-25T00:00:00"/>
    <x v="0"/>
    <x v="2"/>
    <x v="0"/>
    <x v="0"/>
    <n v="71124.149999999994"/>
    <n v="38526.15"/>
    <s v="Actual"/>
    <n v="4"/>
    <n v="32597.999999999993"/>
    <n v="0.45832533675270631"/>
  </r>
  <r>
    <s v="ORD2008"/>
    <d v="2023-01-15T00:00:00"/>
    <x v="4"/>
    <x v="0"/>
    <x v="3"/>
    <x v="0"/>
    <n v="340438.62"/>
    <n v="233423.63"/>
    <s v="Actual"/>
    <n v="5"/>
    <n v="107014.98999999999"/>
    <n v="0.31434444775977527"/>
  </r>
  <r>
    <s v="ORD2224"/>
    <d v="2023-04-05T00:00:00"/>
    <x v="2"/>
    <x v="2"/>
    <x v="1"/>
    <x v="0"/>
    <n v="34081.660000000003"/>
    <n v="20636.5"/>
    <s v="Actual"/>
    <n v="3"/>
    <n v="13445.160000000003"/>
    <n v="0.39449839004320802"/>
  </r>
  <r>
    <s v="ORD4686"/>
    <d v="2023-01-15T00:00:00"/>
    <x v="4"/>
    <x v="0"/>
    <x v="0"/>
    <x v="0"/>
    <n v="65786.289999999994"/>
    <n v="52850.77"/>
    <s v="Actual"/>
    <n v="5"/>
    <n v="12935.519999999997"/>
    <n v="0.19662941929085828"/>
  </r>
  <r>
    <s v="ORD671"/>
    <d v="2023-03-20T00:00:00"/>
    <x v="5"/>
    <x v="2"/>
    <x v="1"/>
    <x v="0"/>
    <n v="19243.509999999998"/>
    <n v="15290.3"/>
    <s v="Actual"/>
    <n v="2"/>
    <n v="3953.2099999999991"/>
    <n v="0.20543081797447552"/>
  </r>
  <r>
    <s v="ORD8969"/>
    <d v="2023-01-15T00:00:00"/>
    <x v="4"/>
    <x v="0"/>
    <x v="2"/>
    <x v="0"/>
    <n v="106618.33"/>
    <n v="85294.664000000004"/>
    <s v="Estimated"/>
    <n v="5"/>
    <n v="21323.665999999997"/>
    <n v="0.19999999999999998"/>
  </r>
  <r>
    <s v="ORD9990"/>
    <d v="2023-04-05T00:00:00"/>
    <x v="2"/>
    <x v="0"/>
    <x v="1"/>
    <x v="0"/>
    <n v="43085.77"/>
    <n v="34121.379999999997"/>
    <s v="Actual"/>
    <n v="5"/>
    <n v="8964.39"/>
    <n v="0.20805918056007819"/>
  </r>
  <r>
    <s v="ORD399"/>
    <d v="2023-06-25T00:00:00"/>
    <x v="0"/>
    <x v="1"/>
    <x v="0"/>
    <x v="0"/>
    <n v="45736.85"/>
    <n v="26045.64"/>
    <s v="Actual"/>
    <n v="3"/>
    <n v="19691.21"/>
    <n v="0.43053271049492914"/>
  </r>
  <r>
    <s v="ORD9234"/>
    <d v="2023-03-20T00:00:00"/>
    <x v="5"/>
    <x v="0"/>
    <x v="0"/>
    <x v="0"/>
    <n v="61066.879999999997"/>
    <n v="35783.78"/>
    <s v="Actual"/>
    <n v="4"/>
    <n v="25283.1"/>
    <n v="0.41402311694980976"/>
  </r>
  <r>
    <s v="ORD5307"/>
    <s v="Not Mentioned"/>
    <x v="3"/>
    <x v="3"/>
    <x v="2"/>
    <x v="0"/>
    <n v="67222.69"/>
    <n v="38501.56"/>
    <s v="Actual"/>
    <n v="3"/>
    <n v="28721.130000000005"/>
    <n v="0.42725350621940306"/>
  </r>
  <r>
    <s v="ORD673"/>
    <d v="2023-02-15T00:00:00"/>
    <x v="1"/>
    <x v="3"/>
    <x v="3"/>
    <x v="0"/>
    <n v="277785.58"/>
    <n v="222228.46400000004"/>
    <s v="Estimated"/>
    <n v="4"/>
    <n v="55557.11599999998"/>
    <n v="0.19999999999999993"/>
  </r>
  <r>
    <s v="ORD8837"/>
    <d v="2023-04-05T00:00:00"/>
    <x v="2"/>
    <x v="1"/>
    <x v="3"/>
    <x v="0"/>
    <n v="66333.77"/>
    <n v="53067.016000000003"/>
    <s v="Estimated"/>
    <n v="1"/>
    <n v="13266.754000000001"/>
    <n v="0.2"/>
  </r>
  <r>
    <s v="ORD230"/>
    <d v="2023-04-05T00:00:00"/>
    <x v="2"/>
    <x v="2"/>
    <x v="2"/>
    <x v="0"/>
    <n v="116172.29"/>
    <n v="73348.460000000006"/>
    <s v="Actual"/>
    <n v="5"/>
    <n v="42823.829999999987"/>
    <n v="0.36862344712323386"/>
  </r>
  <r>
    <s v="ORD1881"/>
    <s v="Not Mentioned"/>
    <x v="3"/>
    <x v="2"/>
    <x v="3"/>
    <x v="0"/>
    <n v="216640.59"/>
    <n v="190695.32"/>
    <s v="Actual"/>
    <n v="4"/>
    <n v="25945.26999999999"/>
    <n v="0.11976181379491253"/>
  </r>
  <r>
    <s v="ORD2011"/>
    <d v="2023-01-15T00:00:00"/>
    <x v="4"/>
    <x v="2"/>
    <x v="3"/>
    <x v="0"/>
    <n v="159974.57999999999"/>
    <n v="136091.62"/>
    <s v="Actual"/>
    <n v="3"/>
    <n v="23882.959999999992"/>
    <n v="0.14929221880126201"/>
  </r>
  <r>
    <s v="ORD3462"/>
    <d v="2023-03-20T00:00:00"/>
    <x v="5"/>
    <x v="1"/>
    <x v="2"/>
    <x v="0"/>
    <n v="64090.41"/>
    <n v="42472.94"/>
    <s v="Actual"/>
    <n v="3"/>
    <n v="21617.47"/>
    <n v="0.33729648476269697"/>
  </r>
  <r>
    <s v="ORD4359"/>
    <d v="2023-01-15T00:00:00"/>
    <x v="4"/>
    <x v="2"/>
    <x v="3"/>
    <x v="0"/>
    <n v="333838.06"/>
    <n v="233175.95"/>
    <s v="Actual"/>
    <n v="5"/>
    <n v="100662.10999999999"/>
    <n v="0.30152975966850509"/>
  </r>
  <r>
    <s v="ORD7753"/>
    <d v="2023-06-25T00:00:00"/>
    <x v="0"/>
    <x v="2"/>
    <x v="3"/>
    <x v="0"/>
    <n v="194225.86"/>
    <n v="190134.83"/>
    <s v="Actual"/>
    <n v="4"/>
    <n v="4091.0299999999988"/>
    <n v="2.1063261092009063E-2"/>
  </r>
  <r>
    <s v="ORD2153"/>
    <d v="2023-06-25T00:00:00"/>
    <x v="0"/>
    <x v="2"/>
    <x v="3"/>
    <x v="0"/>
    <n v="209782.09"/>
    <n v="122652.81"/>
    <s v="Actual"/>
    <n v="3"/>
    <n v="87129.279999999999"/>
    <n v="0.41533230982683028"/>
  </r>
  <r>
    <s v="ORD1883"/>
    <s v="Not Mentioned"/>
    <x v="3"/>
    <x v="2"/>
    <x v="1"/>
    <x v="0"/>
    <n v="55326.96"/>
    <n v="32976.879999999997"/>
    <s v="Actual"/>
    <n v="5"/>
    <n v="22350.080000000002"/>
    <n v="0.40396363725749618"/>
  </r>
  <r>
    <s v="ORD607"/>
    <d v="2023-03-20T00:00:00"/>
    <x v="5"/>
    <x v="2"/>
    <x v="2"/>
    <x v="0"/>
    <n v="32566.07"/>
    <n v="25773.66"/>
    <s v="Actual"/>
    <n v="2"/>
    <n v="6792.41"/>
    <n v="0.20857321746222371"/>
  </r>
  <r>
    <s v="ORD9553"/>
    <d v="2023-01-15T00:00:00"/>
    <x v="4"/>
    <x v="2"/>
    <x v="3"/>
    <x v="0"/>
    <n v="141568.07"/>
    <n v="88550.49"/>
    <s v="Actual"/>
    <n v="2"/>
    <n v="53017.58"/>
    <n v="0.37450238602532337"/>
  </r>
  <r>
    <s v="ORD8751"/>
    <d v="2023-01-15T00:00:00"/>
    <x v="4"/>
    <x v="2"/>
    <x v="0"/>
    <x v="0"/>
    <n v="31887.19"/>
    <n v="25509.752"/>
    <s v="Estimated"/>
    <n v="2"/>
    <n v="6377.4379999999983"/>
    <n v="0.19999999999999996"/>
  </r>
  <r>
    <s v="ORD3455"/>
    <d v="2023-04-05T00:00:00"/>
    <x v="2"/>
    <x v="0"/>
    <x v="2"/>
    <x v="0"/>
    <n v="47756.83"/>
    <n v="29933.42"/>
    <s v="Actual"/>
    <n v="2"/>
    <n v="17823.410000000003"/>
    <n v="0.37321174793218065"/>
  </r>
  <r>
    <s v="ORD6963"/>
    <d v="2023-03-20T00:00:00"/>
    <x v="5"/>
    <x v="0"/>
    <x v="1"/>
    <x v="0"/>
    <n v="21434.3"/>
    <n v="12929.9"/>
    <s v="Actual"/>
    <n v="2"/>
    <n v="8504.4"/>
    <n v="0.3967659312410482"/>
  </r>
  <r>
    <s v="ORD7319"/>
    <d v="2023-06-25T00:00:00"/>
    <x v="0"/>
    <x v="1"/>
    <x v="1"/>
    <x v="0"/>
    <n v="19517.169999999998"/>
    <n v="14522.9"/>
    <s v="Actual"/>
    <n v="2"/>
    <n v="4994.2699999999986"/>
    <n v="0.25589109486672501"/>
  </r>
  <r>
    <s v="ORD4281"/>
    <d v="2023-03-20T00:00:00"/>
    <x v="5"/>
    <x v="1"/>
    <x v="3"/>
    <x v="0"/>
    <n v="122341.08"/>
    <n v="85524.02"/>
    <s v="Actual"/>
    <n v="2"/>
    <n v="36817.06"/>
    <n v="0.30093783706993593"/>
  </r>
  <r>
    <s v="ORD453"/>
    <d v="2023-01-15T00:00:00"/>
    <x v="4"/>
    <x v="2"/>
    <x v="0"/>
    <x v="0"/>
    <n v="43058.59"/>
    <n v="25743.97"/>
    <s v="Actual"/>
    <n v="3"/>
    <n v="17314.619999999995"/>
    <n v="0.40211767268737775"/>
  </r>
  <r>
    <s v="ORD9359"/>
    <d v="2023-06-25T00:00:00"/>
    <x v="0"/>
    <x v="2"/>
    <x v="2"/>
    <x v="0"/>
    <n v="104238.43"/>
    <n v="69070.52"/>
    <s v="Actual"/>
    <n v="5"/>
    <n v="35167.909999999989"/>
    <n v="0.33737950581181997"/>
  </r>
  <r>
    <s v="ORD2216"/>
    <s v="Not Mentioned"/>
    <x v="3"/>
    <x v="0"/>
    <x v="0"/>
    <x v="0"/>
    <n v="49091.58"/>
    <n v="26880.35"/>
    <s v="Actual"/>
    <n v="3"/>
    <n v="22211.230000000003"/>
    <n v="0.45244479806924126"/>
  </r>
  <r>
    <s v="ORD3215"/>
    <d v="2023-06-25T00:00:00"/>
    <x v="0"/>
    <x v="1"/>
    <x v="2"/>
    <x v="0"/>
    <n v="21221.48"/>
    <n v="13096.02"/>
    <s v="Actual"/>
    <n v="1"/>
    <n v="8125.4599999999991"/>
    <n v="0.38288846960720929"/>
  </r>
  <r>
    <s v="ORD4664"/>
    <d v="2023-06-25T00:00:00"/>
    <x v="0"/>
    <x v="1"/>
    <x v="1"/>
    <x v="0"/>
    <n v="31198.94"/>
    <n v="21513.18"/>
    <s v="Actual"/>
    <n v="3"/>
    <n v="9685.7599999999984"/>
    <n v="0.310451573034212"/>
  </r>
  <r>
    <s v="ORD1830"/>
    <d v="2023-04-05T00:00:00"/>
    <x v="2"/>
    <x v="3"/>
    <x v="3"/>
    <x v="0"/>
    <n v="200015.53"/>
    <n v="187935.83"/>
    <s v="Actual"/>
    <n v="4"/>
    <n v="12079.700000000012"/>
    <n v="6.0393810420620898E-2"/>
  </r>
  <r>
    <s v="ORD313"/>
    <d v="2023-06-25T00:00:00"/>
    <x v="0"/>
    <x v="0"/>
    <x v="2"/>
    <x v="0"/>
    <n v="85949.37"/>
    <n v="72870.03"/>
    <s v="Actual"/>
    <s v="Unknown"/>
    <n v="13079.339999999997"/>
    <n v="0.15217493740791815"/>
  </r>
  <r>
    <s v="ORD9323"/>
    <s v="Not Mentioned"/>
    <x v="3"/>
    <x v="2"/>
    <x v="0"/>
    <x v="0"/>
    <n v="25205.91"/>
    <n v="20164.728000000003"/>
    <s v="Estimated"/>
    <n v="2"/>
    <n v="5041.1819999999971"/>
    <n v="0.19999999999999987"/>
  </r>
  <r>
    <s v="ORD3389"/>
    <d v="2023-03-20T00:00:00"/>
    <x v="5"/>
    <x v="3"/>
    <x v="2"/>
    <x v="0"/>
    <n v="16963.72"/>
    <n v="15206.35"/>
    <s v="Actual"/>
    <n v="1"/>
    <n v="1757.3700000000008"/>
    <n v="0.10359579148913096"/>
  </r>
  <r>
    <s v="ORD4520"/>
    <d v="2023-02-15T00:00:00"/>
    <x v="1"/>
    <x v="2"/>
    <x v="2"/>
    <x v="0"/>
    <n v="21438.47"/>
    <n v="14951.57"/>
    <s v="Actual"/>
    <n v="1"/>
    <n v="6486.9000000000015"/>
    <n v="0.30258222718318989"/>
  </r>
  <r>
    <s v="ORD8973"/>
    <d v="2023-01-15T00:00:00"/>
    <x v="4"/>
    <x v="2"/>
    <x v="2"/>
    <x v="0"/>
    <n v="23051.18"/>
    <n v="12426.02"/>
    <s v="Actual"/>
    <n v="1"/>
    <n v="10625.16"/>
    <n v="0.46093779147097891"/>
  </r>
  <r>
    <s v="ORD7521"/>
    <d v="2023-06-25T00:00:00"/>
    <x v="0"/>
    <x v="3"/>
    <x v="1"/>
    <x v="0"/>
    <n v="18766.11"/>
    <n v="13396.21"/>
    <s v="Actual"/>
    <n v="2"/>
    <n v="5369.9000000000015"/>
    <n v="0.28614880761116723"/>
  </r>
  <r>
    <s v="ORD8648"/>
    <d v="2023-02-15T00:00:00"/>
    <x v="1"/>
    <x v="2"/>
    <x v="3"/>
    <x v="0"/>
    <n v="274631.44"/>
    <n v="171705.67"/>
    <s v="Actual"/>
    <s v="Unknown"/>
    <n v="102925.76999999999"/>
    <n v="0.37477781130958637"/>
  </r>
  <r>
    <s v="ORD3884"/>
    <d v="2023-04-05T00:00:00"/>
    <x v="2"/>
    <x v="0"/>
    <x v="1"/>
    <x v="0"/>
    <n v="9081.31"/>
    <n v="6252.7"/>
    <s v="Actual"/>
    <n v="1"/>
    <n v="2828.6099999999997"/>
    <n v="0.31147598749519617"/>
  </r>
  <r>
    <s v="ORD3078"/>
    <d v="2023-04-05T00:00:00"/>
    <x v="2"/>
    <x v="3"/>
    <x v="3"/>
    <x v="0"/>
    <n v="278968.03999999998"/>
    <n v="199322.37"/>
    <s v="Actual"/>
    <n v="5"/>
    <n v="79645.669999999984"/>
    <n v="0.28550105596325653"/>
  </r>
  <r>
    <s v="ORD2753"/>
    <d v="2023-02-15T00:00:00"/>
    <x v="1"/>
    <x v="1"/>
    <x v="0"/>
    <x v="0"/>
    <n v="29962.66"/>
    <n v="17010.87"/>
    <s v="Actual"/>
    <n v="2"/>
    <n v="12951.79"/>
    <n v="0.43226435837138627"/>
  </r>
  <r>
    <s v="ORD5566"/>
    <s v="Not Mentioned"/>
    <x v="3"/>
    <x v="1"/>
    <x v="0"/>
    <x v="0"/>
    <n v="75602.8"/>
    <n v="43560.59"/>
    <s v="Actual"/>
    <n v="5"/>
    <n v="32042.210000000006"/>
    <n v="0.4238230594634062"/>
  </r>
  <r>
    <s v="ORD7661"/>
    <d v="2023-04-05T00:00:00"/>
    <x v="2"/>
    <x v="0"/>
    <x v="3"/>
    <x v="0"/>
    <n v="211515.36"/>
    <n v="129121.1"/>
    <s v="Actual"/>
    <n v="3"/>
    <n v="82394.25999999998"/>
    <n v="0.38954267907541079"/>
  </r>
  <r>
    <s v="ORD7475"/>
    <d v="2023-01-15T00:00:00"/>
    <x v="4"/>
    <x v="1"/>
    <x v="0"/>
    <x v="0"/>
    <n v="50841.54"/>
    <n v="31644.23"/>
    <s v="Actual"/>
    <n v="3"/>
    <n v="19197.310000000001"/>
    <n v="0.37759104071198474"/>
  </r>
  <r>
    <s v="ORD6014"/>
    <d v="2023-04-05T00:00:00"/>
    <x v="2"/>
    <x v="2"/>
    <x v="1"/>
    <x v="0"/>
    <n v="38377.910000000003"/>
    <n v="23986.39"/>
    <s v="Actual"/>
    <n v="4"/>
    <n v="14391.520000000004"/>
    <n v="0.37499488638125428"/>
  </r>
  <r>
    <s v="ORD2791"/>
    <d v="2023-02-15T00:00:00"/>
    <x v="1"/>
    <x v="1"/>
    <x v="0"/>
    <x v="0"/>
    <n v="27886.45"/>
    <n v="18634.64"/>
    <s v="Actual"/>
    <n v="2"/>
    <n v="9251.8100000000013"/>
    <n v="0.3317672202808174"/>
  </r>
  <r>
    <s v="ORD2960"/>
    <d v="2023-03-20T00:00:00"/>
    <x v="5"/>
    <x v="0"/>
    <x v="2"/>
    <x v="0"/>
    <n v="90968.5"/>
    <n v="63316.18"/>
    <s v="Actual"/>
    <n v="5"/>
    <n v="27652.32"/>
    <n v="0.30397687111472654"/>
  </r>
  <r>
    <s v="ORD2758"/>
    <d v="2023-03-20T00:00:00"/>
    <x v="5"/>
    <x v="3"/>
    <x v="2"/>
    <x v="0"/>
    <n v="58013.760000000002"/>
    <n v="38434.81"/>
    <s v="Actual"/>
    <n v="3"/>
    <n v="19578.950000000004"/>
    <n v="0.33748803732080118"/>
  </r>
  <r>
    <s v="ORD372"/>
    <d v="2023-02-15T00:00:00"/>
    <x v="1"/>
    <x v="1"/>
    <x v="3"/>
    <x v="0"/>
    <n v="70246.100000000006"/>
    <n v="44126.59"/>
    <s v="Actual"/>
    <n v="1"/>
    <n v="26119.510000000009"/>
    <n v="0.37182861397287548"/>
  </r>
  <r>
    <s v="ORD6839"/>
    <d v="2023-04-05T00:00:00"/>
    <x v="2"/>
    <x v="2"/>
    <x v="3"/>
    <x v="0"/>
    <n v="118273.59"/>
    <n v="95314.68"/>
    <s v="Actual"/>
    <n v="2"/>
    <n v="22958.910000000003"/>
    <n v="0.19411696220601746"/>
  </r>
  <r>
    <s v="ORD2176"/>
    <d v="2023-01-15T00:00:00"/>
    <x v="4"/>
    <x v="2"/>
    <x v="2"/>
    <x v="0"/>
    <n v="66866.600000000006"/>
    <n v="39100.629999999997"/>
    <s v="Actual"/>
    <n v="3"/>
    <n v="27765.970000000008"/>
    <n v="0.41524423254659287"/>
  </r>
  <r>
    <s v="ORD613"/>
    <s v="Not Mentioned"/>
    <x v="3"/>
    <x v="2"/>
    <x v="1"/>
    <x v="0"/>
    <n v="56853.279999999999"/>
    <n v="32067.33"/>
    <s v="Actual"/>
    <n v="5"/>
    <n v="24785.949999999997"/>
    <n v="0.43596341319269527"/>
  </r>
  <r>
    <s v="ORD4388"/>
    <d v="2023-06-25T00:00:00"/>
    <x v="0"/>
    <x v="3"/>
    <x v="0"/>
    <x v="0"/>
    <n v="75275.070000000007"/>
    <n v="52859.48"/>
    <s v="Actual"/>
    <n v="5"/>
    <n v="22415.590000000004"/>
    <n v="0.29778238665204831"/>
  </r>
  <r>
    <s v="ORD6650"/>
    <d v="2023-06-25T00:00:00"/>
    <x v="0"/>
    <x v="2"/>
    <x v="1"/>
    <x v="0"/>
    <n v="11201.6"/>
    <n v="6271.77"/>
    <s v="Actual"/>
    <n v="1"/>
    <n v="4929.83"/>
    <n v="0.44010052135409228"/>
  </r>
  <r>
    <s v="ORD5495"/>
    <d v="2023-01-15T00:00:00"/>
    <x v="4"/>
    <x v="1"/>
    <x v="3"/>
    <x v="0"/>
    <n v="70996.42"/>
    <n v="48272.08"/>
    <s v="Actual"/>
    <s v="Unknown"/>
    <n v="22724.339999999997"/>
    <n v="0.32007726586777191"/>
  </r>
  <r>
    <s v="ORD1805"/>
    <d v="2023-01-15T00:00:00"/>
    <x v="4"/>
    <x v="1"/>
    <x v="1"/>
    <x v="0"/>
    <n v="11982.74"/>
    <n v="7293.35"/>
    <s v="Actual"/>
    <n v="1"/>
    <n v="4689.3899999999994"/>
    <n v="0.39134538511225309"/>
  </r>
  <r>
    <s v="ORD8248"/>
    <s v="Not Mentioned"/>
    <x v="3"/>
    <x v="0"/>
    <x v="2"/>
    <x v="0"/>
    <n v="18944.099999999999"/>
    <n v="14089.15"/>
    <s v="Actual"/>
    <n v="1"/>
    <n v="4854.9499999999989"/>
    <n v="0.25627768012204322"/>
  </r>
  <r>
    <s v="ORD6745"/>
    <d v="2023-04-05T00:00:00"/>
    <x v="2"/>
    <x v="1"/>
    <x v="0"/>
    <x v="0"/>
    <n v="65912.91"/>
    <n v="48760.34"/>
    <s v="Actual"/>
    <n v="5"/>
    <n v="17152.570000000007"/>
    <n v="0.26023081062571818"/>
  </r>
  <r>
    <s v="ORD150"/>
    <d v="2023-03-20T00:00:00"/>
    <x v="5"/>
    <x v="1"/>
    <x v="3"/>
    <x v="0"/>
    <n v="196381.67"/>
    <n v="181450.2"/>
    <s v="Actual"/>
    <s v="Unknown"/>
    <n v="14931.470000000001"/>
    <n v="7.6032910810871504E-2"/>
  </r>
  <r>
    <s v="ORD279"/>
    <s v="Not Mentioned"/>
    <x v="3"/>
    <x v="2"/>
    <x v="3"/>
    <x v="0"/>
    <n v="68231.08"/>
    <n v="39125.53"/>
    <s v="Actual"/>
    <n v="1"/>
    <n v="29105.550000000003"/>
    <n v="0.42657319802060883"/>
  </r>
  <r>
    <s v="ORD209"/>
    <s v="Not Mentioned"/>
    <x v="3"/>
    <x v="1"/>
    <x v="2"/>
    <x v="0"/>
    <n v="20199.52"/>
    <n v="14296.71"/>
    <s v="Actual"/>
    <n v="1"/>
    <n v="5902.8100000000013"/>
    <n v="0.29222526079827643"/>
  </r>
  <r>
    <s v="ORD7098"/>
    <d v="2023-01-15T00:00:00"/>
    <x v="4"/>
    <x v="1"/>
    <x v="3"/>
    <x v="0"/>
    <n v="56600.29"/>
    <n v="45601.24"/>
    <s v="Actual"/>
    <n v="1"/>
    <n v="10999.050000000003"/>
    <n v="0.19432850962424403"/>
  </r>
  <r>
    <s v="ORD4121"/>
    <d v="2023-03-20T00:00:00"/>
    <x v="5"/>
    <x v="0"/>
    <x v="2"/>
    <x v="0"/>
    <n v="52417.53"/>
    <n v="36083.17"/>
    <s v="Actual"/>
    <n v="3"/>
    <n v="16334.36"/>
    <n v="0.3116201774482697"/>
  </r>
  <r>
    <s v="ORD9963"/>
    <d v="2023-02-15T00:00:00"/>
    <x v="1"/>
    <x v="0"/>
    <x v="3"/>
    <x v="0"/>
    <n v="212251.91"/>
    <n v="192703.58"/>
    <s v="Actual"/>
    <s v="Unknown"/>
    <n v="19548.330000000016"/>
    <n v="9.2099665911133693E-2"/>
  </r>
  <r>
    <s v="ORD315"/>
    <d v="2023-01-15T00:00:00"/>
    <x v="4"/>
    <x v="3"/>
    <x v="3"/>
    <x v="0"/>
    <n v="227511"/>
    <n v="182008.80000000002"/>
    <s v="Estimated"/>
    <n v="4"/>
    <n v="45502.199999999983"/>
    <n v="0.19999999999999993"/>
  </r>
  <r>
    <s v="ORD2501"/>
    <d v="2023-02-15T00:00:00"/>
    <x v="1"/>
    <x v="0"/>
    <x v="2"/>
    <x v="0"/>
    <n v="58612.14"/>
    <n v="39327.230000000003"/>
    <s v="Actual"/>
    <n v="3"/>
    <n v="19284.909999999996"/>
    <n v="0.32902586392511851"/>
  </r>
  <r>
    <s v="ORD365"/>
    <s v="Not Mentioned"/>
    <x v="3"/>
    <x v="0"/>
    <x v="3"/>
    <x v="0"/>
    <n v="98388.18"/>
    <n v="79368.08"/>
    <s v="Actual"/>
    <n v="2"/>
    <n v="19020.099999999991"/>
    <n v="0.19331692079272117"/>
  </r>
  <r>
    <s v="ORD2210"/>
    <d v="2023-03-20T00:00:00"/>
    <x v="5"/>
    <x v="2"/>
    <x v="2"/>
    <x v="0"/>
    <n v="104892.14"/>
    <n v="69650.850000000006"/>
    <s v="Actual"/>
    <n v="5"/>
    <n v="35241.289999999994"/>
    <n v="0.33597646115333324"/>
  </r>
  <r>
    <s v="ORD689"/>
    <d v="2023-03-20T00:00:00"/>
    <x v="5"/>
    <x v="2"/>
    <x v="3"/>
    <x v="0"/>
    <n v="59841.5"/>
    <n v="40105.96"/>
    <s v="Actual"/>
    <n v="1"/>
    <n v="19735.54"/>
    <n v="0.32979688009157526"/>
  </r>
  <r>
    <s v="ORD5886"/>
    <d v="2023-01-15T00:00:00"/>
    <x v="4"/>
    <x v="2"/>
    <x v="3"/>
    <x v="0"/>
    <n v="192553.24"/>
    <n v="186385.66"/>
    <s v="Actual"/>
    <n v="4"/>
    <n v="6167.5799999999872"/>
    <n v="3.2030517897283825E-2"/>
  </r>
  <r>
    <s v="ORD4924"/>
    <s v="Not Mentioned"/>
    <x v="3"/>
    <x v="2"/>
    <x v="0"/>
    <x v="0"/>
    <n v="16171.27"/>
    <n v="9355.2800000000007"/>
    <s v="Actual"/>
    <n v="1"/>
    <n v="6815.99"/>
    <n v="0.42148761352695241"/>
  </r>
  <r>
    <s v="ORD8936"/>
    <d v="2023-01-15T00:00:00"/>
    <x v="4"/>
    <x v="1"/>
    <x v="0"/>
    <x v="0"/>
    <n v="29677.05"/>
    <n v="17890.43"/>
    <s v="Actual"/>
    <n v="2"/>
    <n v="11786.619999999999"/>
    <n v="0.39716279077603733"/>
  </r>
  <r>
    <s v="ORD7964"/>
    <d v="2023-04-05T00:00:00"/>
    <x v="2"/>
    <x v="3"/>
    <x v="2"/>
    <x v="0"/>
    <n v="32046.94"/>
    <n v="25637.552"/>
    <s v="Estimated"/>
    <n v="2"/>
    <n v="6409.387999999999"/>
    <n v="0.19999999999999998"/>
  </r>
  <r>
    <s v="ORD743"/>
    <d v="2023-02-15T00:00:00"/>
    <x v="1"/>
    <x v="0"/>
    <x v="0"/>
    <x v="0"/>
    <n v="56006.43"/>
    <n v="40594.97"/>
    <s v="Actual"/>
    <n v="4"/>
    <n v="15411.46"/>
    <n v="0.27517304709477108"/>
  </r>
  <r>
    <s v="ORD3442"/>
    <d v="2023-02-15T00:00:00"/>
    <x v="1"/>
    <x v="2"/>
    <x v="0"/>
    <x v="0"/>
    <n v="24856.87"/>
    <n v="21460.97"/>
    <s v="Actual"/>
    <n v="2"/>
    <n v="3395.8999999999978"/>
    <n v="0.13661816632584867"/>
  </r>
  <r>
    <s v="ORD918"/>
    <d v="2023-03-20T00:00:00"/>
    <x v="5"/>
    <x v="2"/>
    <x v="3"/>
    <x v="0"/>
    <n v="266026.59999999998"/>
    <n v="156697.79999999999"/>
    <s v="Actual"/>
    <n v="4"/>
    <n v="109328.79999999999"/>
    <n v="0.41096942937285219"/>
  </r>
  <r>
    <s v="ORD487"/>
    <d v="2023-02-15T00:00:00"/>
    <x v="1"/>
    <x v="0"/>
    <x v="0"/>
    <x v="0"/>
    <n v="16171.9"/>
    <n v="9395.41"/>
    <s v="Actual"/>
    <n v="1"/>
    <n v="6776.49"/>
    <n v="0.41902868555951989"/>
  </r>
  <r>
    <s v="ORD2908"/>
    <s v="Not Mentioned"/>
    <x v="3"/>
    <x v="1"/>
    <x v="0"/>
    <x v="0"/>
    <n v="32296.12"/>
    <n v="18585.38"/>
    <s v="Actual"/>
    <n v="2"/>
    <n v="13710.739999999998"/>
    <n v="0.42453211097803695"/>
  </r>
  <r>
    <s v="ORD1768"/>
    <d v="2023-01-15T00:00:00"/>
    <x v="4"/>
    <x v="3"/>
    <x v="1"/>
    <x v="0"/>
    <n v="17972.310000000001"/>
    <n v="12651.13"/>
    <s v="Actual"/>
    <n v="2"/>
    <n v="5321.1800000000021"/>
    <n v="0.29607657557653977"/>
  </r>
  <r>
    <s v="ORD6997"/>
    <d v="2023-02-15T00:00:00"/>
    <x v="1"/>
    <x v="2"/>
    <x v="2"/>
    <x v="0"/>
    <n v="90672.25"/>
    <n v="67819.960000000006"/>
    <s v="Actual"/>
    <n v="5"/>
    <n v="22852.289999999994"/>
    <n v="0.25203179583610191"/>
  </r>
  <r>
    <s v="ORD7988"/>
    <d v="2023-01-15T00:00:00"/>
    <x v="4"/>
    <x v="1"/>
    <x v="2"/>
    <x v="0"/>
    <n v="37857.47"/>
    <n v="28758.93"/>
    <s v="Actual"/>
    <n v="2"/>
    <n v="9098.5400000000009"/>
    <n v="0.24033671558083519"/>
  </r>
  <r>
    <s v="ORD3674"/>
    <s v="Not Mentioned"/>
    <x v="3"/>
    <x v="2"/>
    <x v="0"/>
    <x v="0"/>
    <n v="68602.789999999994"/>
    <n v="35764.71"/>
    <s v="Actual"/>
    <n v="4"/>
    <n v="32838.079999999994"/>
    <n v="0.47866974506430421"/>
  </r>
  <r>
    <s v="ORD7394"/>
    <d v="2023-02-15T00:00:00"/>
    <x v="1"/>
    <x v="2"/>
    <x v="1"/>
    <x v="0"/>
    <n v="8313.42"/>
    <n v="6492.96"/>
    <s v="Actual"/>
    <n v="1"/>
    <n v="1820.46"/>
    <n v="0.21897847095419215"/>
  </r>
  <r>
    <s v="ORD3177"/>
    <d v="2023-03-20T00:00:00"/>
    <x v="5"/>
    <x v="2"/>
    <x v="0"/>
    <x v="0"/>
    <n v="15860.53"/>
    <n v="9581.4"/>
    <s v="Actual"/>
    <n v="1"/>
    <n v="6279.130000000001"/>
    <n v="0.39589660622942618"/>
  </r>
  <r>
    <s v="ORD6906"/>
    <d v="2023-02-15T00:00:00"/>
    <x v="1"/>
    <x v="2"/>
    <x v="2"/>
    <x v="0"/>
    <n v="19022.3"/>
    <n v="14743.72"/>
    <s v="Actual"/>
    <n v="1"/>
    <n v="4278.58"/>
    <n v="0.22492443079964042"/>
  </r>
  <r>
    <s v="ORD4942"/>
    <d v="2023-01-15T00:00:00"/>
    <x v="4"/>
    <x v="2"/>
    <x v="0"/>
    <x v="0"/>
    <n v="71482.880000000005"/>
    <n v="38545.75"/>
    <s v="Actual"/>
    <n v="4"/>
    <n v="32937.130000000005"/>
    <n v="0.46076948774307924"/>
  </r>
  <r>
    <s v="ORD8490"/>
    <d v="2023-01-15T00:00:00"/>
    <x v="4"/>
    <x v="1"/>
    <x v="0"/>
    <x v="0"/>
    <n v="25379.43"/>
    <n v="18847.759999999998"/>
    <s v="Actual"/>
    <n v="2"/>
    <n v="6531.6700000000019"/>
    <n v="0.2573607839104346"/>
  </r>
  <r>
    <s v="ORD7282"/>
    <d v="2023-04-05T00:00:00"/>
    <x v="2"/>
    <x v="3"/>
    <x v="3"/>
    <x v="0"/>
    <n v="255583.73"/>
    <n v="196049.79"/>
    <s v="Actual"/>
    <n v="4"/>
    <n v="59533.94"/>
    <n v="0.23293321527156677"/>
  </r>
  <r>
    <s v="ORD649"/>
    <d v="2023-01-15T00:00:00"/>
    <x v="4"/>
    <x v="0"/>
    <x v="3"/>
    <x v="0"/>
    <n v="102776.66"/>
    <n v="96180.33"/>
    <s v="Actual"/>
    <n v="2"/>
    <n v="6596.3300000000017"/>
    <n v="6.4181206122090384E-2"/>
  </r>
  <r>
    <s v="ORD6183"/>
    <d v="2023-02-15T00:00:00"/>
    <x v="1"/>
    <x v="3"/>
    <x v="2"/>
    <x v="0"/>
    <n v="71802.14"/>
    <n v="39361.01"/>
    <s v="Actual"/>
    <n v="3"/>
    <n v="32441.129999999997"/>
    <n v="0.45181285683128664"/>
  </r>
  <r>
    <s v="ORD5493"/>
    <d v="2023-02-15T00:00:00"/>
    <x v="1"/>
    <x v="1"/>
    <x v="2"/>
    <x v="0"/>
    <n v="49784.800000000003"/>
    <n v="44695.8"/>
    <s v="Actual"/>
    <n v="3"/>
    <n v="5089"/>
    <n v="0.10221995468496407"/>
  </r>
  <r>
    <s v="ORD8496"/>
    <d v="2023-06-25T00:00:00"/>
    <x v="0"/>
    <x v="2"/>
    <x v="2"/>
    <x v="0"/>
    <n v="21050.43"/>
    <n v="14360.67"/>
    <s v="Actual"/>
    <n v="1"/>
    <n v="6689.76"/>
    <n v="0.31779683360387412"/>
  </r>
  <r>
    <s v="ORD8811"/>
    <d v="2023-03-20T00:00:00"/>
    <x v="5"/>
    <x v="2"/>
    <x v="3"/>
    <x v="0"/>
    <n v="248775.63"/>
    <n v="223436.85"/>
    <s v="Actual"/>
    <n v="5"/>
    <n v="25338.78"/>
    <n v="0.10185394767164291"/>
  </r>
  <r>
    <s v="ORD5090"/>
    <d v="2023-02-15T00:00:00"/>
    <x v="1"/>
    <x v="1"/>
    <x v="3"/>
    <x v="0"/>
    <n v="66548.59"/>
    <n v="45145.66"/>
    <s v="Actual"/>
    <n v="1"/>
    <n v="21402.929999999993"/>
    <n v="0.3216135758849285"/>
  </r>
  <r>
    <s v="ORD1165"/>
    <d v="2023-04-05T00:00:00"/>
    <x v="2"/>
    <x v="2"/>
    <x v="2"/>
    <x v="0"/>
    <n v="45599.41"/>
    <n v="25544.66"/>
    <s v="Actual"/>
    <n v="2"/>
    <n v="20054.750000000004"/>
    <n v="0.43980283955428373"/>
  </r>
  <r>
    <s v="ORD192"/>
    <s v="Not Mentioned"/>
    <x v="3"/>
    <x v="0"/>
    <x v="0"/>
    <x v="0"/>
    <n v="49123"/>
    <n v="39298.400000000001"/>
    <s v="Estimated"/>
    <n v="4"/>
    <n v="9824.5999999999985"/>
    <n v="0.19999999999999998"/>
  </r>
  <r>
    <s v="ORD2130"/>
    <d v="2023-01-15T00:00:00"/>
    <x v="4"/>
    <x v="3"/>
    <x v="0"/>
    <x v="0"/>
    <n v="27411.33"/>
    <n v="18318.73"/>
    <s v="Actual"/>
    <n v="2"/>
    <n v="9092.6000000000022"/>
    <n v="0.33170955221800624"/>
  </r>
  <r>
    <s v="ORD3760"/>
    <s v="Not Mentioned"/>
    <x v="3"/>
    <x v="3"/>
    <x v="0"/>
    <x v="0"/>
    <n v="31895.89"/>
    <n v="18924.43"/>
    <s v="Actual"/>
    <n v="2"/>
    <n v="12971.46"/>
    <n v="0.40668123698695974"/>
  </r>
  <r>
    <s v="ORD5921"/>
    <d v="2023-01-15T00:00:00"/>
    <x v="4"/>
    <x v="3"/>
    <x v="0"/>
    <x v="0"/>
    <n v="24924.04"/>
    <n v="20768.48"/>
    <s v="Actual"/>
    <n v="2"/>
    <n v="4155.5600000000013"/>
    <n v="0.16672898936127534"/>
  </r>
  <r>
    <s v="ORD3294"/>
    <d v="2023-01-15T00:00:00"/>
    <x v="4"/>
    <x v="2"/>
    <x v="0"/>
    <x v="0"/>
    <n v="14713.78"/>
    <n v="11771.024000000001"/>
    <s v="Estimated"/>
    <n v="1"/>
    <n v="2942.7559999999994"/>
    <n v="0.19999999999999996"/>
  </r>
  <r>
    <s v="ORD9526"/>
    <d v="2023-01-15T00:00:00"/>
    <x v="4"/>
    <x v="1"/>
    <x v="2"/>
    <x v="0"/>
    <n v="60235.39"/>
    <n v="42633.87"/>
    <s v="Actual"/>
    <n v="3"/>
    <n v="17601.519999999997"/>
    <n v="0.29221226923242294"/>
  </r>
  <r>
    <s v="ORD930"/>
    <d v="2023-02-15T00:00:00"/>
    <x v="1"/>
    <x v="2"/>
    <x v="3"/>
    <x v="0"/>
    <n v="319156.87"/>
    <n v="233988.55"/>
    <s v="Actual"/>
    <n v="5"/>
    <n v="85168.320000000007"/>
    <n v="0.26685410218492245"/>
  </r>
  <r>
    <s v="ORD7879"/>
    <d v="2023-04-05T00:00:00"/>
    <x v="2"/>
    <x v="1"/>
    <x v="1"/>
    <x v="0"/>
    <n v="19895.759999999998"/>
    <n v="15215.68"/>
    <s v="Actual"/>
    <n v="2"/>
    <n v="4680.0799999999981"/>
    <n v="0.23523001885828934"/>
  </r>
  <r>
    <s v="ORD5364"/>
    <d v="2023-06-25T00:00:00"/>
    <x v="0"/>
    <x v="2"/>
    <x v="1"/>
    <x v="0"/>
    <n v="24036.43"/>
    <n v="21234.32"/>
    <s v="Actual"/>
    <n v="3"/>
    <n v="2802.1100000000006"/>
    <n v="0.11657762820851518"/>
  </r>
  <r>
    <s v="ORD9003"/>
    <d v="2023-04-05T00:00:00"/>
    <x v="2"/>
    <x v="2"/>
    <x v="0"/>
    <x v="0"/>
    <n v="85168.34"/>
    <n v="49684.12"/>
    <s v="Actual"/>
    <n v="5"/>
    <n v="35484.219999999994"/>
    <n v="0.41663627587434482"/>
  </r>
  <r>
    <s v="ORD4469"/>
    <d v="2023-02-15T00:00:00"/>
    <x v="1"/>
    <x v="1"/>
    <x v="2"/>
    <x v="0"/>
    <n v="39968"/>
    <n v="28109.55"/>
    <s v="Actual"/>
    <n v="2"/>
    <n v="11858.45"/>
    <n v="0.29669860888710969"/>
  </r>
  <r>
    <s v="ORD100"/>
    <d v="2023-01-15T00:00:00"/>
    <x v="4"/>
    <x v="1"/>
    <x v="3"/>
    <x v="0"/>
    <n v="101966.8"/>
    <n v="81573.440000000002"/>
    <s v="Estimated"/>
    <n v="2"/>
    <n v="20393.36"/>
    <n v="0.2"/>
  </r>
  <r>
    <s v="ORD4225"/>
    <d v="2023-01-15T00:00:00"/>
    <x v="4"/>
    <x v="1"/>
    <x v="1"/>
    <x v="0"/>
    <n v="36843.43"/>
    <n v="29077.88"/>
    <s v="Actual"/>
    <n v="4"/>
    <n v="7765.5499999999993"/>
    <n v="0.21077163553990491"/>
  </r>
  <r>
    <s v="ORD5002"/>
    <d v="2023-06-25T00:00:00"/>
    <x v="0"/>
    <x v="1"/>
    <x v="1"/>
    <x v="0"/>
    <n v="23368.15"/>
    <n v="13204.46"/>
    <s v="Actual"/>
    <n v="2"/>
    <n v="10163.690000000002"/>
    <n v="0.43493772506595524"/>
  </r>
  <r>
    <s v="ORD7379"/>
    <d v="2023-01-15T00:00:00"/>
    <x v="4"/>
    <x v="2"/>
    <x v="2"/>
    <x v="0"/>
    <n v="57944.63"/>
    <n v="37959.15"/>
    <s v="Actual"/>
    <n v="3"/>
    <n v="19985.479999999996"/>
    <n v="0.34490650816132568"/>
  </r>
  <r>
    <s v="ORD434"/>
    <d v="2023-04-05T00:00:00"/>
    <x v="2"/>
    <x v="0"/>
    <x v="2"/>
    <x v="0"/>
    <n v="86985.61"/>
    <n v="59199.07"/>
    <s v="Actual"/>
    <n v="4"/>
    <n v="27786.54"/>
    <n v="0.31943835307931967"/>
  </r>
  <r>
    <s v="ORD4628"/>
    <d v="2023-06-25T00:00:00"/>
    <x v="0"/>
    <x v="1"/>
    <x v="2"/>
    <x v="0"/>
    <n v="91558.49"/>
    <n v="66665.31"/>
    <s v="Actual"/>
    <n v="5"/>
    <n v="24893.180000000008"/>
    <n v="0.27188281501802841"/>
  </r>
  <r>
    <s v="ORD5854"/>
    <s v="Not Mentioned"/>
    <x v="3"/>
    <x v="1"/>
    <x v="2"/>
    <x v="0"/>
    <n v="64343.99"/>
    <n v="40499.58"/>
    <s v="Actual"/>
    <n v="3"/>
    <n v="23844.409999999996"/>
    <n v="0.37057711217473455"/>
  </r>
  <r>
    <s v="ORD5210"/>
    <d v="2023-02-15T00:00:00"/>
    <x v="1"/>
    <x v="3"/>
    <x v="0"/>
    <x v="0"/>
    <n v="54312.61"/>
    <n v="37670.800000000003"/>
    <s v="Actual"/>
    <n v="4"/>
    <n v="16641.809999999998"/>
    <n v="0.3064078489323197"/>
  </r>
  <r>
    <s v="ORD5500"/>
    <s v="Not Mentioned"/>
    <x v="3"/>
    <x v="0"/>
    <x v="2"/>
    <x v="0"/>
    <n v="21627.66"/>
    <n v="13251.17"/>
    <s v="Actual"/>
    <n v="1"/>
    <n v="8376.49"/>
    <n v="0.3873044980363109"/>
  </r>
  <r>
    <s v="ORD748"/>
    <d v="2023-03-20T00:00:00"/>
    <x v="5"/>
    <x v="1"/>
    <x v="3"/>
    <x v="0"/>
    <n v="188412.23"/>
    <n v="123386.97"/>
    <s v="Actual"/>
    <n v="3"/>
    <n v="65025.260000000009"/>
    <n v="0.34512228850536936"/>
  </r>
  <r>
    <s v="ORD893"/>
    <s v="Not Mentioned"/>
    <x v="3"/>
    <x v="2"/>
    <x v="0"/>
    <x v="0"/>
    <n v="34569.85"/>
    <n v="21364.880000000001"/>
    <s v="Actual"/>
    <n v="2"/>
    <n v="13204.969999999998"/>
    <n v="0.38197938376938279"/>
  </r>
  <r>
    <s v="ORD8856"/>
    <d v="2023-03-20T00:00:00"/>
    <x v="5"/>
    <x v="3"/>
    <x v="3"/>
    <x v="0"/>
    <n v="67127.55"/>
    <n v="42082.44"/>
    <s v="Actual"/>
    <n v="1"/>
    <n v="25045.11"/>
    <n v="0.37309733484984925"/>
  </r>
  <r>
    <s v="ORD6561"/>
    <d v="2023-06-25T00:00:00"/>
    <x v="0"/>
    <x v="3"/>
    <x v="1"/>
    <x v="0"/>
    <n v="9984.19"/>
    <n v="6535.7"/>
    <s v="Actual"/>
    <n v="1"/>
    <n v="3448.4900000000007"/>
    <n v="0.34539506960504562"/>
  </r>
  <r>
    <s v="ORD6862"/>
    <d v="2023-03-20T00:00:00"/>
    <x v="5"/>
    <x v="2"/>
    <x v="2"/>
    <x v="0"/>
    <n v="53907.15"/>
    <n v="38101.49"/>
    <s v="Actual"/>
    <n v="3"/>
    <n v="15805.660000000003"/>
    <n v="0.29320155118569619"/>
  </r>
  <r>
    <s v="ORD2709"/>
    <d v="2023-02-15T00:00:00"/>
    <x v="1"/>
    <x v="2"/>
    <x v="3"/>
    <x v="0"/>
    <n v="177062.23"/>
    <n v="139718.54"/>
    <s v="Actual"/>
    <n v="3"/>
    <n v="37343.69"/>
    <n v="0.21090714829469842"/>
  </r>
  <r>
    <s v="ORD1284"/>
    <s v="Not Mentioned"/>
    <x v="3"/>
    <x v="1"/>
    <x v="3"/>
    <x v="0"/>
    <n v="54596.81"/>
    <n v="48592.78"/>
    <s v="Actual"/>
    <n v="1"/>
    <n v="6004.0299999999988"/>
    <n v="0.10997034442122167"/>
  </r>
  <r>
    <s v="ORD4465"/>
    <s v="Not Mentioned"/>
    <x v="3"/>
    <x v="1"/>
    <x v="2"/>
    <x v="0"/>
    <n v="69869.64"/>
    <n v="44993.66"/>
    <s v="Actual"/>
    <n v="3"/>
    <n v="24875.979999999996"/>
    <n v="0.35603418022477284"/>
  </r>
  <r>
    <s v="ORD1937"/>
    <d v="2023-03-20T00:00:00"/>
    <x v="5"/>
    <x v="3"/>
    <x v="1"/>
    <x v="0"/>
    <n v="40446.01"/>
    <n v="32874.53"/>
    <s v="Actual"/>
    <n v="5"/>
    <n v="7571.4800000000032"/>
    <n v="0.18719967680371941"/>
  </r>
  <r>
    <s v="ORD314"/>
    <d v="2023-06-25T00:00:00"/>
    <x v="0"/>
    <x v="3"/>
    <x v="2"/>
    <x v="0"/>
    <n v="65651.45"/>
    <n v="52521.16"/>
    <s v="Estimated"/>
    <n v="3"/>
    <n v="13130.289999999994"/>
    <n v="0.1999999999999999"/>
  </r>
  <r>
    <s v="ORD2685"/>
    <d v="2023-01-15T00:00:00"/>
    <x v="4"/>
    <x v="2"/>
    <x v="1"/>
    <x v="0"/>
    <n v="46107.43"/>
    <n v="35784.1"/>
    <s v="Actual"/>
    <n v="5"/>
    <n v="10323.330000000002"/>
    <n v="0.22389731980290381"/>
  </r>
  <r>
    <s v="ORD7342"/>
    <d v="2023-03-20T00:00:00"/>
    <x v="5"/>
    <x v="1"/>
    <x v="2"/>
    <x v="0"/>
    <n v="84884.25"/>
    <n v="71403.460000000006"/>
    <s v="Actual"/>
    <n v="5"/>
    <n v="13480.789999999994"/>
    <n v="0.1588137964345564"/>
  </r>
  <r>
    <s v="ORD9132"/>
    <s v="Not Mentioned"/>
    <x v="3"/>
    <x v="2"/>
    <x v="2"/>
    <x v="0"/>
    <n v="100479.83"/>
    <n v="76931.72"/>
    <s v="Actual"/>
    <n v="5"/>
    <n v="23548.11"/>
    <n v="0.23435658678960744"/>
  </r>
  <r>
    <s v="ORD9197"/>
    <d v="2023-06-25T00:00:00"/>
    <x v="0"/>
    <x v="0"/>
    <x v="3"/>
    <x v="0"/>
    <n v="283418.44"/>
    <n v="226734.75200000001"/>
    <s v="Estimated"/>
    <n v="4"/>
    <n v="56683.687999999995"/>
    <n v="0.19999999999999998"/>
  </r>
  <r>
    <s v="ORD5566"/>
    <s v="Not Mentioned"/>
    <x v="3"/>
    <x v="2"/>
    <x v="1"/>
    <x v="0"/>
    <n v="46696.67"/>
    <n v="37357.336000000003"/>
    <s v="Estimated"/>
    <n v="5"/>
    <n v="9339.3339999999953"/>
    <n v="0.1999999999999999"/>
  </r>
  <r>
    <s v="ORD8967"/>
    <d v="2023-03-20T00:00:00"/>
    <x v="5"/>
    <x v="2"/>
    <x v="3"/>
    <x v="0"/>
    <n v="97241.62"/>
    <n v="78811.78"/>
    <s v="Actual"/>
    <n v="2"/>
    <n v="18429.839999999997"/>
    <n v="0.18952625429317196"/>
  </r>
  <r>
    <s v="ORD2500"/>
    <s v="Not Mentioned"/>
    <x v="3"/>
    <x v="2"/>
    <x v="0"/>
    <x v="0"/>
    <n v="12416.38"/>
    <n v="9188.6"/>
    <s v="Actual"/>
    <n v="1"/>
    <n v="3227.7799999999988"/>
    <n v="0.25996143803588478"/>
  </r>
  <r>
    <s v="ORD5778"/>
    <d v="2023-06-25T00:00:00"/>
    <x v="0"/>
    <x v="3"/>
    <x v="3"/>
    <x v="0"/>
    <n v="104290.03"/>
    <n v="96432.65"/>
    <s v="Actual"/>
    <n v="2"/>
    <n v="7857.3800000000047"/>
    <n v="7.534162182137645E-2"/>
  </r>
  <r>
    <s v="ORD6496"/>
    <d v="2023-03-20T00:00:00"/>
    <x v="5"/>
    <x v="1"/>
    <x v="1"/>
    <x v="0"/>
    <n v="33924.01"/>
    <n v="21828.14"/>
    <s v="Actual"/>
    <n v="3"/>
    <n v="12095.870000000003"/>
    <n v="0.35655778901138169"/>
  </r>
  <r>
    <s v="ORD915"/>
    <s v="Not Mentioned"/>
    <x v="3"/>
    <x v="3"/>
    <x v="0"/>
    <x v="0"/>
    <n v="81839.289999999994"/>
    <n v="65471.432000000001"/>
    <s v="Estimated"/>
    <n v="5"/>
    <n v="16367.857999999993"/>
    <n v="0.19999999999999993"/>
  </r>
  <r>
    <s v="ORD677"/>
    <s v="Not Mentioned"/>
    <x v="3"/>
    <x v="1"/>
    <x v="1"/>
    <x v="0"/>
    <n v="36956.160000000003"/>
    <n v="25986.54"/>
    <s v="Actual"/>
    <n v="4"/>
    <n v="10969.620000000003"/>
    <n v="0.29682791718620122"/>
  </r>
  <r>
    <s v="ORD2533"/>
    <d v="2023-06-25T00:00:00"/>
    <x v="0"/>
    <x v="1"/>
    <x v="3"/>
    <x v="0"/>
    <n v="351538.76"/>
    <n v="195021.71"/>
    <s v="Actual"/>
    <n v="5"/>
    <n v="156517.05000000002"/>
    <n v="0.44523411870713775"/>
  </r>
  <r>
    <s v="ORD7173"/>
    <d v="2023-02-15T00:00:00"/>
    <x v="1"/>
    <x v="2"/>
    <x v="0"/>
    <x v="0"/>
    <n v="48762.63"/>
    <n v="40518.54"/>
    <s v="Actual"/>
    <n v="4"/>
    <n v="8244.0899999999965"/>
    <n v="0.16906573743048717"/>
  </r>
  <r>
    <s v="ORD609"/>
    <d v="2023-06-25T00:00:00"/>
    <x v="0"/>
    <x v="2"/>
    <x v="3"/>
    <x v="0"/>
    <n v="60072.53"/>
    <n v="40468.800000000003"/>
    <s v="Actual"/>
    <n v="1"/>
    <n v="19603.729999999996"/>
    <n v="0.32633434949385343"/>
  </r>
  <r>
    <s v="ORD3068"/>
    <d v="2023-06-25T00:00:00"/>
    <x v="0"/>
    <x v="2"/>
    <x v="1"/>
    <x v="0"/>
    <n v="33564.78"/>
    <n v="20355.080000000002"/>
    <s v="Actual"/>
    <n v="3"/>
    <n v="13209.699999999997"/>
    <n v="0.39355836683571283"/>
  </r>
  <r>
    <s v="ORD7276"/>
    <d v="2023-01-15T00:00:00"/>
    <x v="4"/>
    <x v="1"/>
    <x v="3"/>
    <x v="0"/>
    <n v="140045.66"/>
    <n v="82633.81"/>
    <s v="Actual"/>
    <n v="2"/>
    <n v="57411.850000000006"/>
    <n v="0.40995094028618956"/>
  </r>
  <r>
    <s v="ORD2554"/>
    <d v="2023-02-15T00:00:00"/>
    <x v="1"/>
    <x v="2"/>
    <x v="2"/>
    <x v="0"/>
    <n v="44060.95"/>
    <n v="24317.25"/>
    <s v="Actual"/>
    <n v="2"/>
    <n v="19743.699999999997"/>
    <n v="0.44809973457222324"/>
  </r>
  <r>
    <s v="ORD693"/>
    <d v="2023-04-05T00:00:00"/>
    <x v="2"/>
    <x v="0"/>
    <x v="3"/>
    <x v="0"/>
    <n v="119946.39"/>
    <n v="81761.47"/>
    <s v="Actual"/>
    <s v="Unknown"/>
    <n v="38184.92"/>
    <n v="0.31834988947979176"/>
  </r>
  <r>
    <s v="ORD1140"/>
    <d v="2023-04-05T00:00:00"/>
    <x v="2"/>
    <x v="0"/>
    <x v="1"/>
    <x v="0"/>
    <n v="22884.18"/>
    <n v="14876.33"/>
    <s v="Actual"/>
    <n v="2"/>
    <n v="8007.85"/>
    <n v="0.34992951462538752"/>
  </r>
  <r>
    <s v="ORD158"/>
    <d v="2023-04-05T00:00:00"/>
    <x v="2"/>
    <x v="2"/>
    <x v="2"/>
    <x v="0"/>
    <n v="64172"/>
    <n v="41605.39"/>
    <s v="Actual"/>
    <s v="Unknown"/>
    <n v="22566.61"/>
    <n v="0.35165819983793556"/>
  </r>
  <r>
    <s v="ORD4945"/>
    <d v="2023-01-15T00:00:00"/>
    <x v="4"/>
    <x v="2"/>
    <x v="0"/>
    <x v="0"/>
    <n v="16061.6"/>
    <n v="10378.93"/>
    <s v="Actual"/>
    <n v="1"/>
    <n v="5682.67"/>
    <n v="0.35380472680181302"/>
  </r>
  <r>
    <s v="ORD3781"/>
    <d v="2023-02-15T00:00:00"/>
    <x v="1"/>
    <x v="1"/>
    <x v="2"/>
    <x v="0"/>
    <n v="67509.69"/>
    <n v="41176.04"/>
    <s v="Actual"/>
    <n v="3"/>
    <n v="26333.65"/>
    <n v="0.39007215112378685"/>
  </r>
  <r>
    <s v="ORD1467"/>
    <d v="2023-02-15T00:00:00"/>
    <x v="1"/>
    <x v="1"/>
    <x v="1"/>
    <x v="0"/>
    <n v="52653.77"/>
    <n v="42123.016000000003"/>
    <s v="Estimated"/>
    <n v="5"/>
    <n v="10530.753999999994"/>
    <n v="0.1999999999999999"/>
  </r>
  <r>
    <s v="ORD644"/>
    <d v="2023-03-20T00:00:00"/>
    <x v="5"/>
    <x v="1"/>
    <x v="1"/>
    <x v="0"/>
    <n v="8156.76"/>
    <n v="6122.68"/>
    <s v="Actual"/>
    <n v="1"/>
    <n v="2034.08"/>
    <n v="0.24937352576268026"/>
  </r>
  <r>
    <s v="ORD2750"/>
    <d v="2023-06-25T00:00:00"/>
    <x v="0"/>
    <x v="0"/>
    <x v="0"/>
    <x v="0"/>
    <n v="44733.86"/>
    <n v="27928.32"/>
    <s v="Actual"/>
    <n v="3"/>
    <n v="16805.54"/>
    <n v="0.37567828933161596"/>
  </r>
  <r>
    <s v="ORD6826"/>
    <d v="2023-06-25T00:00:00"/>
    <x v="0"/>
    <x v="3"/>
    <x v="1"/>
    <x v="0"/>
    <n v="45462.8"/>
    <n v="36370.240000000005"/>
    <s v="Estimated"/>
    <n v="5"/>
    <n v="9092.5599999999977"/>
    <n v="0.19999999999999993"/>
  </r>
  <r>
    <s v="ORD9982"/>
    <d v="2023-06-25T00:00:00"/>
    <x v="0"/>
    <x v="1"/>
    <x v="2"/>
    <x v="0"/>
    <n v="64293.599999999999"/>
    <n v="41629.65"/>
    <s v="Actual"/>
    <n v="3"/>
    <n v="22663.949999999997"/>
    <n v="0.35250709246332446"/>
  </r>
  <r>
    <s v="ORD1161"/>
    <d v="2023-04-05T00:00:00"/>
    <x v="2"/>
    <x v="3"/>
    <x v="0"/>
    <x v="0"/>
    <n v="17585.939999999999"/>
    <n v="14068.752"/>
    <s v="Estimated"/>
    <n v="1"/>
    <n v="3517.1879999999983"/>
    <n v="0.19999999999999993"/>
  </r>
  <r>
    <s v="ORD9395"/>
    <s v="Not Mentioned"/>
    <x v="3"/>
    <x v="0"/>
    <x v="2"/>
    <x v="0"/>
    <n v="54580.18"/>
    <n v="38432.25"/>
    <s v="Actual"/>
    <s v="Unknown"/>
    <n v="16147.93"/>
    <n v="0.29585703088557053"/>
  </r>
  <r>
    <s v="ORD479"/>
    <d v="2023-04-05T00:00:00"/>
    <x v="2"/>
    <x v="0"/>
    <x v="1"/>
    <x v="0"/>
    <n v="54113.2"/>
    <n v="29833.98"/>
    <s v="Actual"/>
    <n v="5"/>
    <n v="24279.219999999998"/>
    <n v="0.44867463021961368"/>
  </r>
  <r>
    <s v="ORD3824"/>
    <s v="Not Mentioned"/>
    <x v="3"/>
    <x v="1"/>
    <x v="3"/>
    <x v="0"/>
    <n v="52011.32"/>
    <n v="48558.89"/>
    <s v="Actual"/>
    <n v="1"/>
    <n v="3452.4300000000003"/>
    <n v="6.6378434540788428E-2"/>
  </r>
  <r>
    <s v="ORD8832"/>
    <d v="2023-01-15T00:00:00"/>
    <x v="4"/>
    <x v="2"/>
    <x v="1"/>
    <x v="0"/>
    <n v="44406.22"/>
    <n v="32503.87"/>
    <s v="Actual"/>
    <n v="5"/>
    <n v="11902.350000000002"/>
    <n v="0.26803339712319585"/>
  </r>
  <r>
    <s v="ORD5589"/>
    <s v="Not Mentioned"/>
    <x v="3"/>
    <x v="1"/>
    <x v="1"/>
    <x v="0"/>
    <n v="16556.86"/>
    <n v="13245.488000000001"/>
    <s v="Estimated"/>
    <n v="2"/>
    <n v="3311.3719999999994"/>
    <n v="0.19999999999999996"/>
  </r>
  <r>
    <s v="ORD3300"/>
    <d v="2023-02-15T00:00:00"/>
    <x v="1"/>
    <x v="2"/>
    <x v="1"/>
    <x v="0"/>
    <n v="9016.42"/>
    <n v="6685.19"/>
    <s v="Actual"/>
    <n v="1"/>
    <n v="2331.2300000000005"/>
    <n v="0.25855383844142138"/>
  </r>
  <r>
    <s v="ORD8861"/>
    <d v="2023-02-15T00:00:00"/>
    <x v="1"/>
    <x v="3"/>
    <x v="1"/>
    <x v="0"/>
    <n v="58969.599999999999"/>
    <n v="38159.22"/>
    <s v="Actual"/>
    <n v="5"/>
    <n v="20810.379999999997"/>
    <n v="0.35290013837638373"/>
  </r>
  <r>
    <s v="ORD4781"/>
    <d v="2023-01-15T00:00:00"/>
    <x v="4"/>
    <x v="1"/>
    <x v="2"/>
    <x v="0"/>
    <n v="67094.61"/>
    <n v="41309.599999999999"/>
    <s v="Actual"/>
    <n v="3"/>
    <n v="25785.010000000002"/>
    <n v="0.3843082179030477"/>
  </r>
  <r>
    <s v="ORD3175"/>
    <d v="2023-04-05T00:00:00"/>
    <x v="2"/>
    <x v="1"/>
    <x v="3"/>
    <x v="0"/>
    <n v="128190.82"/>
    <n v="92082.15"/>
    <s v="Actual"/>
    <n v="2"/>
    <n v="36108.670000000013"/>
    <n v="0.28167906251009245"/>
  </r>
  <r>
    <s v="ORD7307"/>
    <s v="Not Mentioned"/>
    <x v="3"/>
    <x v="0"/>
    <x v="1"/>
    <x v="0"/>
    <n v="43579.53"/>
    <n v="29897.68"/>
    <s v="Actual"/>
    <n v="5"/>
    <n v="13681.849999999999"/>
    <n v="0.31395129777673136"/>
  </r>
  <r>
    <s v="ORD2545"/>
    <d v="2023-04-05T00:00:00"/>
    <x v="2"/>
    <x v="1"/>
    <x v="3"/>
    <x v="0"/>
    <n v="241950.79"/>
    <n v="186512.42"/>
    <s v="Actual"/>
    <n v="4"/>
    <n v="55438.369999999995"/>
    <n v="0.22913076663233872"/>
  </r>
  <r>
    <s v="ORD4258"/>
    <d v="2023-02-15T00:00:00"/>
    <x v="1"/>
    <x v="2"/>
    <x v="2"/>
    <x v="0"/>
    <n v="19962.86"/>
    <n v="12783.41"/>
    <s v="Actual"/>
    <s v="Unknown"/>
    <n v="7179.4500000000007"/>
    <n v="0.35964035213391271"/>
  </r>
  <r>
    <s v="ORD6887"/>
    <s v="Not Mentioned"/>
    <x v="3"/>
    <x v="1"/>
    <x v="2"/>
    <x v="0"/>
    <n v="22590.53"/>
    <n v="12632.23"/>
    <s v="Actual"/>
    <n v="1"/>
    <n v="9958.2999999999993"/>
    <n v="0.44081745758067648"/>
  </r>
  <r>
    <s v="ORD2544"/>
    <d v="2023-02-15T00:00:00"/>
    <x v="1"/>
    <x v="2"/>
    <x v="0"/>
    <x v="0"/>
    <n v="34030.33"/>
    <n v="19948.96"/>
    <s v="Actual"/>
    <n v="2"/>
    <n v="14081.370000000003"/>
    <n v="0.41378881721099975"/>
  </r>
  <r>
    <s v="ORD2204"/>
    <d v="2023-01-15T00:00:00"/>
    <x v="4"/>
    <x v="0"/>
    <x v="0"/>
    <x v="0"/>
    <n v="40118.699999999997"/>
    <n v="28040.91"/>
    <s v="Actual"/>
    <s v="Unknown"/>
    <n v="12077.789999999997"/>
    <n v="0.30105138002976162"/>
  </r>
  <r>
    <s v="ORD466"/>
    <d v="2023-03-20T00:00:00"/>
    <x v="5"/>
    <x v="3"/>
    <x v="0"/>
    <x v="0"/>
    <n v="50837.65"/>
    <n v="39674.980000000003"/>
    <s v="Actual"/>
    <n v="4"/>
    <n v="11162.669999999998"/>
    <n v="0.21957486233136264"/>
  </r>
  <r>
    <s v="ORD8778"/>
    <d v="2023-03-20T00:00:00"/>
    <x v="5"/>
    <x v="1"/>
    <x v="2"/>
    <x v="0"/>
    <n v="118519.9"/>
    <n v="73422.38"/>
    <s v="Actual"/>
    <n v="5"/>
    <n v="45097.51999999999"/>
    <n v="0.3805058897282228"/>
  </r>
  <r>
    <s v="ORD7314"/>
    <s v="Not Mentioned"/>
    <x v="3"/>
    <x v="0"/>
    <x v="0"/>
    <x v="0"/>
    <n v="17956.080000000002"/>
    <n v="9370.93"/>
    <s v="Actual"/>
    <n v="1"/>
    <n v="8585.1500000000015"/>
    <n v="0.47811938908715046"/>
  </r>
  <r>
    <s v="ORD4128"/>
    <s v="Not Mentioned"/>
    <x v="3"/>
    <x v="2"/>
    <x v="0"/>
    <x v="0"/>
    <n v="17565.8"/>
    <n v="8696.58"/>
    <s v="Actual"/>
    <n v="1"/>
    <n v="8869.2199999999993"/>
    <n v="0.50491409443350144"/>
  </r>
  <r>
    <s v="ORD8679"/>
    <s v="Not Mentioned"/>
    <x v="3"/>
    <x v="2"/>
    <x v="2"/>
    <x v="0"/>
    <n v="34519.040000000001"/>
    <n v="24251.91"/>
    <s v="Actual"/>
    <n v="2"/>
    <n v="10267.130000000001"/>
    <n v="0.29743382202981311"/>
  </r>
  <r>
    <s v="ORD3304"/>
    <d v="2023-03-20T00:00:00"/>
    <x v="5"/>
    <x v="3"/>
    <x v="0"/>
    <x v="0"/>
    <n v="49369.21"/>
    <n v="41806.68"/>
    <s v="Actual"/>
    <n v="4"/>
    <n v="7562.5299999999988"/>
    <n v="0.15318312770246878"/>
  </r>
  <r>
    <s v="ORD2958"/>
    <d v="2023-04-05T00:00:00"/>
    <x v="2"/>
    <x v="1"/>
    <x v="2"/>
    <x v="0"/>
    <n v="92945.51"/>
    <n v="61811.519999999997"/>
    <s v="Actual"/>
    <n v="5"/>
    <n v="31133.989999999998"/>
    <n v="0.33497034983185309"/>
  </r>
  <r>
    <s v="ORD3407"/>
    <s v="Not Mentioned"/>
    <x v="3"/>
    <x v="1"/>
    <x v="0"/>
    <x v="0"/>
    <n v="37290.6"/>
    <n v="31876.04"/>
    <s v="Actual"/>
    <n v="3"/>
    <n v="5414.5599999999977"/>
    <n v="0.14519905820769841"/>
  </r>
  <r>
    <s v="ORD2296"/>
    <s v="Not Mentioned"/>
    <x v="3"/>
    <x v="2"/>
    <x v="1"/>
    <x v="0"/>
    <n v="22045.41"/>
    <n v="13440.29"/>
    <s v="Actual"/>
    <n v="2"/>
    <n v="8605.119999999999"/>
    <n v="0.39033612892661096"/>
  </r>
  <r>
    <s v="ORD5204"/>
    <d v="2023-04-05T00:00:00"/>
    <x v="2"/>
    <x v="2"/>
    <x v="1"/>
    <x v="0"/>
    <n v="59298.9"/>
    <n v="47439.12"/>
    <s v="Estimated"/>
    <n v="5"/>
    <n v="11859.779999999999"/>
    <n v="0.19999999999999998"/>
  </r>
  <r>
    <s v="ORD7082"/>
    <d v="2023-01-15T00:00:00"/>
    <x v="4"/>
    <x v="2"/>
    <x v="0"/>
    <x v="0"/>
    <n v="31398.560000000001"/>
    <n v="18379.25"/>
    <s v="Actual"/>
    <n v="2"/>
    <n v="13019.310000000001"/>
    <n v="0.41464672265224906"/>
  </r>
  <r>
    <s v="ORD6102"/>
    <d v="2023-02-15T00:00:00"/>
    <x v="1"/>
    <x v="2"/>
    <x v="1"/>
    <x v="0"/>
    <n v="16615.03"/>
    <n v="13519.48"/>
    <s v="Actual"/>
    <n v="2"/>
    <n v="3095.5499999999993"/>
    <n v="0.18631022634325664"/>
  </r>
  <r>
    <s v="ORD735"/>
    <s v="Not Mentioned"/>
    <x v="3"/>
    <x v="0"/>
    <x v="1"/>
    <x v="0"/>
    <n v="22554.28"/>
    <n v="12785.29"/>
    <s v="Actual"/>
    <s v="Unknown"/>
    <n v="9768.989999999998"/>
    <n v="0.43313242541992025"/>
  </r>
  <r>
    <s v="ORD4777"/>
    <s v="Not Mentioned"/>
    <x v="3"/>
    <x v="1"/>
    <x v="2"/>
    <x v="0"/>
    <n v="93511.7"/>
    <n v="57655.040000000001"/>
    <s v="Actual"/>
    <n v="4"/>
    <n v="35856.659999999996"/>
    <n v="0.38344570786329407"/>
  </r>
  <r>
    <s v="ORD9220"/>
    <s v="Not Mentioned"/>
    <x v="3"/>
    <x v="2"/>
    <x v="1"/>
    <x v="0"/>
    <n v="46586.49"/>
    <n v="24445.53"/>
    <s v="Actual"/>
    <n v="4"/>
    <n v="22140.959999999999"/>
    <n v="0.47526568324851259"/>
  </r>
  <r>
    <s v="ORD3751"/>
    <s v="Not Mentioned"/>
    <x v="3"/>
    <x v="2"/>
    <x v="2"/>
    <x v="0"/>
    <n v="65698.880000000005"/>
    <n v="43919.68"/>
    <s v="Actual"/>
    <n v="3"/>
    <n v="21779.200000000004"/>
    <n v="0.33150032390202089"/>
  </r>
  <r>
    <s v="ORD3450"/>
    <d v="2023-02-15T00:00:00"/>
    <x v="1"/>
    <x v="3"/>
    <x v="3"/>
    <x v="0"/>
    <n v="116763.58"/>
    <n v="93410.864000000001"/>
    <s v="Estimated"/>
    <n v="2"/>
    <n v="23352.716"/>
    <n v="0.2"/>
  </r>
  <r>
    <s v="ORD8193"/>
    <d v="2023-02-15T00:00:00"/>
    <x v="1"/>
    <x v="1"/>
    <x v="2"/>
    <x v="0"/>
    <n v="44527.51"/>
    <n v="35622.008000000002"/>
    <s v="Estimated"/>
    <n v="2"/>
    <n v="8905.5020000000004"/>
    <n v="0.2"/>
  </r>
  <r>
    <s v="ORD868"/>
    <d v="2023-01-15T00:00:00"/>
    <x v="4"/>
    <x v="2"/>
    <x v="3"/>
    <x v="0"/>
    <n v="196717.78"/>
    <n v="144882.56"/>
    <s v="Actual"/>
    <n v="3"/>
    <n v="51835.22"/>
    <n v="0.26350043193858735"/>
  </r>
  <r>
    <s v="ORD5355"/>
    <s v="Not Mentioned"/>
    <x v="3"/>
    <x v="3"/>
    <x v="2"/>
    <x v="0"/>
    <n v="79850.73"/>
    <n v="55731.65"/>
    <s v="Actual"/>
    <n v="4"/>
    <n v="24119.079999999994"/>
    <n v="0.30205209144612699"/>
  </r>
  <r>
    <s v="ORD1055"/>
    <d v="2023-06-25T00:00:00"/>
    <x v="0"/>
    <x v="3"/>
    <x v="0"/>
    <x v="0"/>
    <n v="79107.59"/>
    <n v="52931.13"/>
    <s v="Actual"/>
    <n v="5"/>
    <n v="26176.46"/>
    <n v="0.33089694680371379"/>
  </r>
  <r>
    <s v="ORD2501"/>
    <d v="2023-02-15T00:00:00"/>
    <x v="1"/>
    <x v="1"/>
    <x v="2"/>
    <x v="0"/>
    <n v="71549.279999999999"/>
    <n v="42631.68"/>
    <s v="Actual"/>
    <s v="Unknown"/>
    <n v="28917.599999999999"/>
    <n v="0.40416339619350466"/>
  </r>
  <r>
    <s v="ORD8004"/>
    <d v="2023-04-05T00:00:00"/>
    <x v="2"/>
    <x v="0"/>
    <x v="3"/>
    <x v="0"/>
    <n v="105030.95"/>
    <n v="88247.35"/>
    <s v="Actual"/>
    <n v="2"/>
    <n v="16783.599999999991"/>
    <n v="0.15979670754191971"/>
  </r>
  <r>
    <s v="ORD739"/>
    <s v="Not Mentioned"/>
    <x v="3"/>
    <x v="0"/>
    <x v="1"/>
    <x v="0"/>
    <n v="57972.08"/>
    <n v="37457.67"/>
    <s v="Actual"/>
    <n v="5"/>
    <n v="20514.410000000003"/>
    <n v="0.35386706842328242"/>
  </r>
  <r>
    <s v="ORD1857"/>
    <d v="2023-03-20T00:00:00"/>
    <x v="5"/>
    <x v="2"/>
    <x v="2"/>
    <x v="0"/>
    <n v="35627.480000000003"/>
    <n v="28501.984000000004"/>
    <s v="Estimated"/>
    <n v="2"/>
    <n v="7125.4959999999992"/>
    <n v="0.19999999999999996"/>
  </r>
  <r>
    <s v="ORD138"/>
    <d v="2023-03-20T00:00:00"/>
    <x v="5"/>
    <x v="1"/>
    <x v="0"/>
    <x v="0"/>
    <n v="39731.1"/>
    <n v="28586.29"/>
    <s v="Actual"/>
    <n v="3"/>
    <n v="11144.809999999998"/>
    <n v="0.28050595125732736"/>
  </r>
  <r>
    <s v="ORD3654"/>
    <s v="Not Mentioned"/>
    <x v="3"/>
    <x v="0"/>
    <x v="3"/>
    <x v="0"/>
    <n v="54018.96"/>
    <n v="43432.17"/>
    <s v="Actual"/>
    <s v="Unknown"/>
    <n v="10586.79"/>
    <n v="0.19598285490872094"/>
  </r>
  <r>
    <s v="ORD7574"/>
    <d v="2023-01-15T00:00:00"/>
    <x v="4"/>
    <x v="3"/>
    <x v="0"/>
    <x v="0"/>
    <n v="28587.27"/>
    <n v="18231.93"/>
    <s v="Actual"/>
    <n v="2"/>
    <n v="10355.34"/>
    <n v="0.36223605821752131"/>
  </r>
  <r>
    <s v="ORD1200"/>
    <s v="Not Mentioned"/>
    <x v="3"/>
    <x v="3"/>
    <x v="0"/>
    <x v="0"/>
    <n v="72537.539999999994"/>
    <n v="46421.26"/>
    <s v="Actual"/>
    <n v="5"/>
    <n v="26116.279999999992"/>
    <n v="0.36003812646527567"/>
  </r>
  <r>
    <s v="ORD5489"/>
    <d v="2023-02-15T00:00:00"/>
    <x v="1"/>
    <x v="2"/>
    <x v="2"/>
    <x v="0"/>
    <n v="60562.99"/>
    <n v="43517.8"/>
    <s v="Actual"/>
    <n v="3"/>
    <n v="17045.189999999995"/>
    <n v="0.28144564857184223"/>
  </r>
  <r>
    <s v="ORD827"/>
    <d v="2023-06-25T00:00:00"/>
    <x v="0"/>
    <x v="2"/>
    <x v="0"/>
    <x v="0"/>
    <n v="83015.13"/>
    <n v="44995.63"/>
    <s v="Actual"/>
    <n v="5"/>
    <n v="38019.500000000007"/>
    <n v="0.45798277976556812"/>
  </r>
  <r>
    <s v="ORD3474"/>
    <d v="2023-02-15T00:00:00"/>
    <x v="1"/>
    <x v="2"/>
    <x v="3"/>
    <x v="0"/>
    <n v="212410.22"/>
    <n v="183269.61"/>
    <s v="Actual"/>
    <n v="4"/>
    <n v="29140.610000000015"/>
    <n v="0.13719024442420905"/>
  </r>
  <r>
    <s v="ORD133"/>
    <s v="Not Mentioned"/>
    <x v="3"/>
    <x v="0"/>
    <x v="0"/>
    <x v="0"/>
    <n v="46309.02"/>
    <n v="27164.98"/>
    <s v="Actual"/>
    <n v="3"/>
    <n v="19144.039999999997"/>
    <n v="0.41339764909730325"/>
  </r>
  <r>
    <s v="ORD7118"/>
    <d v="2023-03-20T00:00:00"/>
    <x v="5"/>
    <x v="2"/>
    <x v="2"/>
    <x v="0"/>
    <n v="35590.080000000002"/>
    <n v="24352.38"/>
    <s v="Actual"/>
    <n v="2"/>
    <n v="11237.7"/>
    <n v="0.31575371564211152"/>
  </r>
  <r>
    <s v="ORD4109"/>
    <d v="2023-06-25T00:00:00"/>
    <x v="0"/>
    <x v="2"/>
    <x v="2"/>
    <x v="0"/>
    <n v="55142.59"/>
    <n v="44114.072"/>
    <s v="Estimated"/>
    <n v="3"/>
    <n v="11028.517999999996"/>
    <n v="0.19999999999999996"/>
  </r>
  <r>
    <s v="ORD7335"/>
    <d v="2023-03-20T00:00:00"/>
    <x v="5"/>
    <x v="3"/>
    <x v="2"/>
    <x v="0"/>
    <n v="104548.75"/>
    <n v="61071.11"/>
    <s v="Actual"/>
    <n v="5"/>
    <n v="43477.64"/>
    <n v="0.41585996963139205"/>
  </r>
  <r>
    <s v="ORD8797"/>
    <d v="2023-01-15T00:00:00"/>
    <x v="4"/>
    <x v="3"/>
    <x v="1"/>
    <x v="0"/>
    <n v="24184.23"/>
    <n v="21440.639999999999"/>
    <s v="Actual"/>
    <n v="3"/>
    <n v="2743.59"/>
    <n v="0.11344541463590117"/>
  </r>
  <r>
    <s v="ORD5738"/>
    <d v="2023-01-15T00:00:00"/>
    <x v="4"/>
    <x v="2"/>
    <x v="2"/>
    <x v="0"/>
    <n v="23063.58"/>
    <n v="12872.95"/>
    <s v="Actual"/>
    <n v="1"/>
    <n v="10190.630000000001"/>
    <n v="0.44184944401519627"/>
  </r>
  <r>
    <s v="ORD3427"/>
    <s v="Not Mentioned"/>
    <x v="3"/>
    <x v="1"/>
    <x v="2"/>
    <x v="0"/>
    <n v="18334.919999999998"/>
    <n v="15062.05"/>
    <s v="Actual"/>
    <n v="1"/>
    <n v="3272.869999999999"/>
    <n v="0.1785047330449219"/>
  </r>
  <r>
    <s v="ORD557"/>
    <d v="2023-06-25T00:00:00"/>
    <x v="0"/>
    <x v="0"/>
    <x v="2"/>
    <x v="0"/>
    <n v="49637.56"/>
    <n v="43945.97"/>
    <s v="Actual"/>
    <n v="3"/>
    <n v="5691.5899999999965"/>
    <n v="0.11466296892917373"/>
  </r>
  <r>
    <s v="ORD220"/>
    <d v="2023-02-15T00:00:00"/>
    <x v="1"/>
    <x v="3"/>
    <x v="1"/>
    <x v="0"/>
    <n v="8698.94"/>
    <n v="6615.84"/>
    <s v="Actual"/>
    <n v="1"/>
    <n v="2083.1000000000004"/>
    <n v="0.23946595792130998"/>
  </r>
  <r>
    <s v="ORD6151"/>
    <d v="2023-01-15T00:00:00"/>
    <x v="4"/>
    <x v="2"/>
    <x v="1"/>
    <x v="0"/>
    <n v="10882.51"/>
    <n v="7218.88"/>
    <s v="Actual"/>
    <n v="1"/>
    <n v="3663.63"/>
    <n v="0.33665303316973749"/>
  </r>
  <r>
    <s v="ORD498"/>
    <d v="2023-04-05T00:00:00"/>
    <x v="2"/>
    <x v="3"/>
    <x v="2"/>
    <x v="0"/>
    <n v="119567.26"/>
    <n v="62914.48"/>
    <s v="Actual"/>
    <n v="5"/>
    <n v="56652.779999999992"/>
    <n v="0.47381515642325495"/>
  </r>
  <r>
    <s v="ORD427"/>
    <d v="2023-04-05T00:00:00"/>
    <x v="2"/>
    <x v="2"/>
    <x v="1"/>
    <x v="0"/>
    <n v="37366.629999999997"/>
    <n v="29473.41"/>
    <s v="Actual"/>
    <n v="4"/>
    <n v="7893.2199999999975"/>
    <n v="0.21123713859130455"/>
  </r>
  <r>
    <s v="ORD4239"/>
    <d v="2023-04-05T00:00:00"/>
    <x v="2"/>
    <x v="2"/>
    <x v="2"/>
    <x v="0"/>
    <n v="54632.14"/>
    <n v="41743.79"/>
    <s v="Actual"/>
    <n v="3"/>
    <n v="12888.349999999999"/>
    <n v="0.23591149824993124"/>
  </r>
  <r>
    <s v="ORD8666"/>
    <s v="Not Mentioned"/>
    <x v="3"/>
    <x v="0"/>
    <x v="2"/>
    <x v="0"/>
    <n v="40382.080000000002"/>
    <n v="25257.86"/>
    <s v="Actual"/>
    <n v="2"/>
    <n v="15124.220000000001"/>
    <n v="0.37452800846315992"/>
  </r>
  <r>
    <s v="ORD6967"/>
    <s v="Not Mentioned"/>
    <x v="3"/>
    <x v="2"/>
    <x v="3"/>
    <x v="0"/>
    <n v="198066.54"/>
    <n v="158453.23200000002"/>
    <s v="Estimated"/>
    <n v="3"/>
    <n v="39613.30799999999"/>
    <n v="0.19999999999999993"/>
  </r>
  <r>
    <s v="ORD9187"/>
    <d v="2023-03-20T00:00:00"/>
    <x v="5"/>
    <x v="1"/>
    <x v="2"/>
    <x v="0"/>
    <n v="64029.56"/>
    <n v="51381.77"/>
    <s v="Actual"/>
    <n v="4"/>
    <n v="12647.79"/>
    <n v="0.19753048435753739"/>
  </r>
  <r>
    <s v="ORD4042"/>
    <d v="2023-03-20T00:00:00"/>
    <x v="5"/>
    <x v="2"/>
    <x v="2"/>
    <x v="0"/>
    <n v="87677.01"/>
    <n v="54714.91"/>
    <s v="Actual"/>
    <n v="4"/>
    <n v="32962.099999999991"/>
    <n v="0.37594917983631049"/>
  </r>
  <r>
    <s v="ORD955"/>
    <d v="2023-03-20T00:00:00"/>
    <x v="5"/>
    <x v="1"/>
    <x v="3"/>
    <x v="0"/>
    <n v="133968.5"/>
    <n v="77003.81"/>
    <s v="Actual"/>
    <n v="2"/>
    <n v="56964.69"/>
    <n v="0.42520958284969979"/>
  </r>
  <r>
    <s v="ORD3693"/>
    <d v="2023-03-20T00:00:00"/>
    <x v="5"/>
    <x v="2"/>
    <x v="2"/>
    <x v="0"/>
    <n v="17676.71"/>
    <n v="14455.99"/>
    <s v="Actual"/>
    <n v="1"/>
    <n v="3220.7199999999993"/>
    <n v="0.18220132592546914"/>
  </r>
  <r>
    <s v="ORD4927"/>
    <d v="2023-01-15T00:00:00"/>
    <x v="4"/>
    <x v="1"/>
    <x v="0"/>
    <x v="0"/>
    <n v="48705.23"/>
    <n v="28373.66"/>
    <s v="Actual"/>
    <n v="3"/>
    <n v="20331.570000000003"/>
    <n v="0.4174412070325918"/>
  </r>
  <r>
    <s v="ORD6448"/>
    <d v="2023-06-25T00:00:00"/>
    <x v="0"/>
    <x v="1"/>
    <x v="0"/>
    <x v="0"/>
    <n v="62654.79"/>
    <n v="42347.48"/>
    <s v="Actual"/>
    <n v="4"/>
    <n v="20307.309999999998"/>
    <n v="0.324114245694543"/>
  </r>
  <r>
    <s v="ORD2962"/>
    <d v="2023-02-15T00:00:00"/>
    <x v="1"/>
    <x v="2"/>
    <x v="0"/>
    <x v="0"/>
    <n v="14011.77"/>
    <n v="11209.416000000001"/>
    <s v="Estimated"/>
    <n v="1"/>
    <n v="2802.3539999999994"/>
    <n v="0.19999999999999996"/>
  </r>
  <r>
    <s v="ORD6815"/>
    <d v="2023-06-25T00:00:00"/>
    <x v="0"/>
    <x v="2"/>
    <x v="1"/>
    <x v="0"/>
    <n v="30903.03"/>
    <n v="18979.54"/>
    <s v="Actual"/>
    <n v="3"/>
    <n v="11923.489999999998"/>
    <n v="0.38583562841572488"/>
  </r>
  <r>
    <s v="ORD9184"/>
    <d v="2023-01-15T00:00:00"/>
    <x v="4"/>
    <x v="0"/>
    <x v="0"/>
    <x v="0"/>
    <n v="15752.56"/>
    <n v="9953.0400000000009"/>
    <s v="Actual"/>
    <n v="1"/>
    <n v="5799.5199999999986"/>
    <n v="0.36816365086055847"/>
  </r>
  <r>
    <s v="ORD220"/>
    <d v="2023-03-20T00:00:00"/>
    <x v="5"/>
    <x v="2"/>
    <x v="2"/>
    <x v="0"/>
    <n v="37689.040000000001"/>
    <n v="24817.08"/>
    <s v="Actual"/>
    <n v="2"/>
    <n v="12871.96"/>
    <n v="0.34153058820283028"/>
  </r>
  <r>
    <s v="ORD623"/>
    <d v="2023-06-25T00:00:00"/>
    <x v="0"/>
    <x v="1"/>
    <x v="1"/>
    <x v="0"/>
    <n v="33416.959999999999"/>
    <n v="19109.509999999998"/>
    <s v="Actual"/>
    <n v="3"/>
    <n v="14307.45"/>
    <n v="0.42814935888842076"/>
  </r>
  <r>
    <s v="ORD9459"/>
    <d v="2023-03-20T00:00:00"/>
    <x v="5"/>
    <x v="3"/>
    <x v="3"/>
    <x v="0"/>
    <n v="280093.74"/>
    <n v="214536.98"/>
    <s v="Actual"/>
    <n v="5"/>
    <n v="65556.75999999998"/>
    <n v="0.23405292813755846"/>
  </r>
  <r>
    <s v="ORD3835"/>
    <d v="2023-06-25T00:00:00"/>
    <x v="0"/>
    <x v="1"/>
    <x v="2"/>
    <x v="0"/>
    <n v="111551.19"/>
    <n v="67161.820000000007"/>
    <s v="Actual"/>
    <n v="5"/>
    <n v="44389.369999999995"/>
    <n v="0.39792825159462658"/>
  </r>
  <r>
    <s v="ORD438"/>
    <d v="2023-01-15T00:00:00"/>
    <x v="4"/>
    <x v="3"/>
    <x v="2"/>
    <x v="0"/>
    <n v="49813.23"/>
    <n v="42222.94"/>
    <s v="Actual"/>
    <n v="3"/>
    <n v="7590.2900000000009"/>
    <n v="0.15237498150591722"/>
  </r>
  <r>
    <s v="ORD2610"/>
    <s v="Not Mentioned"/>
    <x v="3"/>
    <x v="3"/>
    <x v="2"/>
    <x v="0"/>
    <n v="17436.12"/>
    <n v="12155.45"/>
    <s v="Actual"/>
    <n v="1"/>
    <n v="5280.6699999999983"/>
    <n v="0.30285808998791008"/>
  </r>
  <r>
    <s v="ORD989"/>
    <s v="Not Mentioned"/>
    <x v="3"/>
    <x v="2"/>
    <x v="0"/>
    <x v="0"/>
    <n v="68182.16"/>
    <n v="41799.129999999997"/>
    <s v="Actual"/>
    <n v="4"/>
    <n v="26383.030000000006"/>
    <n v="0.3869491667615107"/>
  </r>
  <r>
    <s v="ORD6648"/>
    <d v="2023-02-15T00:00:00"/>
    <x v="1"/>
    <x v="3"/>
    <x v="1"/>
    <x v="0"/>
    <n v="18847.41"/>
    <n v="14674.58"/>
    <s v="Actual"/>
    <n v="2"/>
    <n v="4172.83"/>
    <n v="0.22140071235251951"/>
  </r>
  <r>
    <s v="ORD4818"/>
    <d v="2023-03-20T00:00:00"/>
    <x v="5"/>
    <x v="2"/>
    <x v="0"/>
    <x v="0"/>
    <n v="61901.55"/>
    <n v="49094.42"/>
    <s v="Actual"/>
    <n v="5"/>
    <n v="12807.130000000005"/>
    <n v="0.20689514236719442"/>
  </r>
  <r>
    <s v="ORD3797"/>
    <d v="2023-04-05T00:00:00"/>
    <x v="2"/>
    <x v="3"/>
    <x v="0"/>
    <x v="0"/>
    <n v="74199.64"/>
    <n v="48100.58"/>
    <s v="Actual"/>
    <n v="5"/>
    <n v="26099.059999999998"/>
    <n v="0.3517410596601277"/>
  </r>
  <r>
    <s v="ORD107"/>
    <d v="2023-04-05T00:00:00"/>
    <x v="2"/>
    <x v="1"/>
    <x v="3"/>
    <x v="0"/>
    <n v="311379.44"/>
    <n v="212346.45"/>
    <s v="Actual"/>
    <n v="5"/>
    <n v="99032.989999999991"/>
    <n v="0.31804601485570144"/>
  </r>
  <r>
    <s v="ORD1281"/>
    <d v="2023-03-20T00:00:00"/>
    <x v="5"/>
    <x v="2"/>
    <x v="3"/>
    <x v="0"/>
    <n v="187139.94"/>
    <n v="126727.95"/>
    <s v="Actual"/>
    <n v="3"/>
    <n v="60411.990000000005"/>
    <n v="0.32281719231073819"/>
  </r>
  <r>
    <s v="ORD3870"/>
    <d v="2023-02-15T00:00:00"/>
    <x v="1"/>
    <x v="0"/>
    <x v="3"/>
    <x v="0"/>
    <n v="175314.09"/>
    <n v="128975.51"/>
    <s v="Actual"/>
    <n v="3"/>
    <n v="46338.58"/>
    <n v="0.26431748868559285"/>
  </r>
  <r>
    <s v="ORD6629"/>
    <s v="Not Mentioned"/>
    <x v="3"/>
    <x v="3"/>
    <x v="2"/>
    <x v="0"/>
    <n v="38026.61"/>
    <n v="30421.288"/>
    <s v="Estimated"/>
    <n v="2"/>
    <n v="7605.3220000000001"/>
    <n v="0.2"/>
  </r>
  <r>
    <s v="ORD6342"/>
    <d v="2023-04-05T00:00:00"/>
    <x v="2"/>
    <x v="1"/>
    <x v="2"/>
    <x v="0"/>
    <n v="37599.83"/>
    <n v="25406.62"/>
    <s v="Actual"/>
    <n v="2"/>
    <n v="12193.210000000003"/>
    <n v="0.32428896620011322"/>
  </r>
  <r>
    <s v="ORD6425"/>
    <d v="2023-06-25T00:00:00"/>
    <x v="0"/>
    <x v="2"/>
    <x v="3"/>
    <x v="0"/>
    <n v="119690.31"/>
    <n v="78630.73"/>
    <s v="Actual"/>
    <n v="2"/>
    <n v="41059.58"/>
    <n v="0.34304848905479485"/>
  </r>
  <r>
    <s v="ORD9002"/>
    <d v="2023-06-25T00:00:00"/>
    <x v="0"/>
    <x v="1"/>
    <x v="2"/>
    <x v="0"/>
    <n v="52486.83"/>
    <n v="44240.63"/>
    <s v="Actual"/>
    <n v="3"/>
    <n v="8246.2000000000044"/>
    <n v="0.15710988832817688"/>
  </r>
  <r>
    <s v="ORD997"/>
    <d v="2023-04-05T00:00:00"/>
    <x v="2"/>
    <x v="3"/>
    <x v="2"/>
    <x v="0"/>
    <n v="41173.83"/>
    <n v="28677.06"/>
    <s v="Actual"/>
    <n v="2"/>
    <n v="12496.77"/>
    <n v="0.30351244953408513"/>
  </r>
  <r>
    <s v="ORD7998"/>
    <d v="2023-03-20T00:00:00"/>
    <x v="5"/>
    <x v="3"/>
    <x v="3"/>
    <x v="0"/>
    <n v="243048.09"/>
    <n v="243348.92"/>
    <s v="Actual"/>
    <n v="5"/>
    <n v="-300.8300000000163"/>
    <n v="-1.2377385890998622E-3"/>
  </r>
  <r>
    <s v="ORD4966"/>
    <d v="2023-02-15T00:00:00"/>
    <x v="1"/>
    <x v="1"/>
    <x v="2"/>
    <x v="0"/>
    <n v="64584.82"/>
    <n v="51667.856"/>
    <s v="Estimated"/>
    <n v="4"/>
    <n v="12916.964"/>
    <n v="0.2"/>
  </r>
  <r>
    <s v="ORD5489"/>
    <s v="Not Mentioned"/>
    <x v="3"/>
    <x v="2"/>
    <x v="2"/>
    <x v="0"/>
    <n v="21300.07"/>
    <n v="12018.37"/>
    <s v="Actual"/>
    <n v="1"/>
    <n v="9281.6999999999989"/>
    <n v="0.43575913130801913"/>
  </r>
  <r>
    <s v="ORD9491"/>
    <d v="2023-02-15T00:00:00"/>
    <x v="1"/>
    <x v="1"/>
    <x v="1"/>
    <x v="0"/>
    <n v="41940.5"/>
    <n v="31336.97"/>
    <s v="Actual"/>
    <n v="5"/>
    <n v="10603.529999999999"/>
    <n v="0.2528231661520487"/>
  </r>
  <r>
    <s v="ORD2681"/>
    <d v="2023-03-20T00:00:00"/>
    <x v="5"/>
    <x v="0"/>
    <x v="2"/>
    <x v="0"/>
    <n v="19565.39"/>
    <n v="13098.45"/>
    <s v="Actual"/>
    <n v="1"/>
    <n v="6466.9399999999987"/>
    <n v="0.33052957288354584"/>
  </r>
  <r>
    <s v="ORD7124"/>
    <d v="2023-04-05T00:00:00"/>
    <x v="2"/>
    <x v="2"/>
    <x v="3"/>
    <x v="0"/>
    <n v="252474.25"/>
    <n v="188373.88"/>
    <s v="Actual"/>
    <n v="4"/>
    <n v="64100.369999999995"/>
    <n v="0.25388874310944581"/>
  </r>
  <r>
    <s v="ORD5564"/>
    <d v="2023-03-20T00:00:00"/>
    <x v="5"/>
    <x v="0"/>
    <x v="0"/>
    <x v="0"/>
    <n v="15446.65"/>
    <n v="10608.02"/>
    <s v="Actual"/>
    <n v="1"/>
    <n v="4838.6299999999992"/>
    <n v="0.31324785633130803"/>
  </r>
  <r>
    <s v="ORD3680"/>
    <d v="2023-02-15T00:00:00"/>
    <x v="1"/>
    <x v="3"/>
    <x v="3"/>
    <x v="0"/>
    <n v="203307.87"/>
    <n v="155776.12"/>
    <s v="Actual"/>
    <n v="4"/>
    <n v="47531.75"/>
    <n v="0.23379198257303074"/>
  </r>
  <r>
    <s v="ORD1694"/>
    <d v="2023-04-05T00:00:00"/>
    <x v="2"/>
    <x v="2"/>
    <x v="3"/>
    <x v="0"/>
    <n v="69710.48"/>
    <n v="40774.800000000003"/>
    <s v="Actual"/>
    <n v="1"/>
    <n v="28935.679999999993"/>
    <n v="0.41508364309068013"/>
  </r>
  <r>
    <s v="ORD5237"/>
    <d v="2023-04-05T00:00:00"/>
    <x v="2"/>
    <x v="2"/>
    <x v="3"/>
    <x v="0"/>
    <n v="214628.46"/>
    <n v="172108.34"/>
    <s v="Actual"/>
    <n v="4"/>
    <n v="42520.119999999995"/>
    <n v="0.19811035311905978"/>
  </r>
  <r>
    <s v="ORD1902"/>
    <d v="2023-06-25T00:00:00"/>
    <x v="0"/>
    <x v="2"/>
    <x v="0"/>
    <x v="0"/>
    <n v="61020.91"/>
    <n v="49105.39"/>
    <s v="Actual"/>
    <n v="5"/>
    <n v="11915.520000000004"/>
    <n v="0.19526945763345718"/>
  </r>
  <r>
    <s v="ORD6595"/>
    <d v="2023-04-05T00:00:00"/>
    <x v="2"/>
    <x v="0"/>
    <x v="2"/>
    <x v="0"/>
    <n v="51283.040000000001"/>
    <n v="42690.89"/>
    <s v="Actual"/>
    <n v="3"/>
    <n v="8592.1500000000015"/>
    <n v="0.16754369475756509"/>
  </r>
  <r>
    <s v="ORD3377"/>
    <d v="2023-03-20T00:00:00"/>
    <x v="5"/>
    <x v="2"/>
    <x v="3"/>
    <x v="0"/>
    <n v="222229.46"/>
    <n v="176581.14"/>
    <s v="Actual"/>
    <n v="4"/>
    <n v="45648.319999999978"/>
    <n v="0.20541074977187984"/>
  </r>
  <r>
    <s v="ORD6602"/>
    <d v="2023-03-20T00:00:00"/>
    <x v="5"/>
    <x v="2"/>
    <x v="3"/>
    <x v="0"/>
    <n v="224901.13"/>
    <n v="187021.86"/>
    <s v="Actual"/>
    <n v="4"/>
    <n v="37879.270000000019"/>
    <n v="0.16842632137953251"/>
  </r>
  <r>
    <s v="ORD5180"/>
    <d v="2023-02-15T00:00:00"/>
    <x v="1"/>
    <x v="3"/>
    <x v="0"/>
    <x v="0"/>
    <n v="15255.19"/>
    <n v="10658.39"/>
    <s v="Actual"/>
    <s v="Unknown"/>
    <n v="4596.8000000000011"/>
    <n v="0.3013269582351974"/>
  </r>
  <r>
    <s v="ORD8955"/>
    <s v="Not Mentioned"/>
    <x v="3"/>
    <x v="2"/>
    <x v="0"/>
    <x v="0"/>
    <n v="73648.37"/>
    <n v="43048.45"/>
    <s v="Actual"/>
    <s v="Unknown"/>
    <n v="30599.919999999998"/>
    <n v="0.4154867242818816"/>
  </r>
  <r>
    <s v="ORD661"/>
    <d v="2023-04-05T00:00:00"/>
    <x v="2"/>
    <x v="2"/>
    <x v="0"/>
    <x v="0"/>
    <n v="33878.11"/>
    <n v="17473.099999999999"/>
    <s v="Actual"/>
    <n v="2"/>
    <n v="16405.010000000002"/>
    <n v="0.48423628118569784"/>
  </r>
  <r>
    <s v="ORD352"/>
    <d v="2023-04-05T00:00:00"/>
    <x v="2"/>
    <x v="2"/>
    <x v="0"/>
    <x v="0"/>
    <n v="25769.41"/>
    <n v="19103.349999999999"/>
    <s v="Actual"/>
    <n v="2"/>
    <n v="6666.0600000000013"/>
    <n v="0.25868112618798805"/>
  </r>
  <r>
    <s v="ORD4008"/>
    <d v="2023-03-20T00:00:00"/>
    <x v="5"/>
    <x v="0"/>
    <x v="2"/>
    <x v="0"/>
    <n v="44844.13"/>
    <n v="27607.83"/>
    <s v="Actual"/>
    <n v="2"/>
    <n v="17236.299999999996"/>
    <n v="0.38436022730288216"/>
  </r>
  <r>
    <s v="ORD4458"/>
    <d v="2023-03-20T00:00:00"/>
    <x v="5"/>
    <x v="1"/>
    <x v="1"/>
    <x v="0"/>
    <n v="46489.26"/>
    <n v="37191.408000000003"/>
    <s v="Estimated"/>
    <n v="4"/>
    <n v="9297.851999999999"/>
    <n v="0.19999999999999996"/>
  </r>
  <r>
    <s v="ORD7297"/>
    <d v="2023-02-15T00:00:00"/>
    <x v="1"/>
    <x v="3"/>
    <x v="1"/>
    <x v="0"/>
    <n v="43781.4"/>
    <n v="28714.16"/>
    <s v="Actual"/>
    <n v="4"/>
    <n v="15067.240000000002"/>
    <n v="0.34414705788302796"/>
  </r>
  <r>
    <s v="ORD284"/>
    <s v="Not Mentioned"/>
    <x v="3"/>
    <x v="0"/>
    <x v="0"/>
    <x v="0"/>
    <n v="16447.28"/>
    <n v="9071.76"/>
    <s v="Actual"/>
    <n v="1"/>
    <n v="7375.5199999999986"/>
    <n v="0.44843402678132793"/>
  </r>
  <r>
    <s v="ORD4640"/>
    <d v="2023-01-15T00:00:00"/>
    <x v="4"/>
    <x v="3"/>
    <x v="2"/>
    <x v="0"/>
    <n v="17479.09"/>
    <n v="13983.272000000001"/>
    <s v="Estimated"/>
    <n v="1"/>
    <n v="3495.8179999999993"/>
    <n v="0.19999999999999996"/>
  </r>
  <r>
    <s v="ORD3326"/>
    <d v="2023-04-05T00:00:00"/>
    <x v="2"/>
    <x v="2"/>
    <x v="1"/>
    <x v="0"/>
    <n v="33688.79"/>
    <n v="21971.61"/>
    <s v="Actual"/>
    <n v="3"/>
    <n v="11717.18"/>
    <n v="0.34780649586999118"/>
  </r>
  <r>
    <s v="ORD7970"/>
    <d v="2023-01-15T00:00:00"/>
    <x v="4"/>
    <x v="1"/>
    <x v="0"/>
    <x v="0"/>
    <n v="26639.07"/>
    <n v="17056.560000000001"/>
    <s v="Actual"/>
    <n v="2"/>
    <n v="9582.5099999999984"/>
    <n v="0.35971638649547444"/>
  </r>
  <r>
    <s v="ORD5014"/>
    <d v="2023-03-20T00:00:00"/>
    <x v="5"/>
    <x v="1"/>
    <x v="1"/>
    <x v="0"/>
    <n v="22602.21"/>
    <n v="14800.78"/>
    <s v="Actual"/>
    <n v="2"/>
    <n v="7801.4299999999985"/>
    <n v="0.34516226510593429"/>
  </r>
  <r>
    <s v="ORD165"/>
    <d v="2023-03-20T00:00:00"/>
    <x v="5"/>
    <x v="1"/>
    <x v="3"/>
    <x v="0"/>
    <n v="244643.67"/>
    <n v="192336.63"/>
    <s v="Actual"/>
    <n v="4"/>
    <n v="52307.040000000008"/>
    <n v="0.21380908813213931"/>
  </r>
  <r>
    <s v="ORD7973"/>
    <s v="Not Mentioned"/>
    <x v="3"/>
    <x v="1"/>
    <x v="3"/>
    <x v="0"/>
    <n v="218758.61"/>
    <n v="185350.69"/>
    <s v="Actual"/>
    <n v="4"/>
    <n v="33407.919999999984"/>
    <n v="0.15271590910181768"/>
  </r>
  <r>
    <s v="ORD1069"/>
    <d v="2023-02-15T00:00:00"/>
    <x v="1"/>
    <x v="1"/>
    <x v="0"/>
    <x v="0"/>
    <n v="64064.08"/>
    <n v="49745.94"/>
    <s v="Actual"/>
    <n v="5"/>
    <n v="14318.14"/>
    <n v="0.22349716096758118"/>
  </r>
  <r>
    <s v="ORD2634"/>
    <d v="2023-02-15T00:00:00"/>
    <x v="1"/>
    <x v="0"/>
    <x v="1"/>
    <x v="0"/>
    <n v="11386.32"/>
    <n v="7540.7"/>
    <s v="Actual"/>
    <n v="1"/>
    <n v="3845.62"/>
    <n v="0.33774037617070307"/>
  </r>
  <r>
    <s v="ORD9179"/>
    <d v="2023-06-25T00:00:00"/>
    <x v="0"/>
    <x v="0"/>
    <x v="2"/>
    <x v="0"/>
    <n v="21708.03"/>
    <n v="17366.423999999999"/>
    <s v="Estimated"/>
    <n v="1"/>
    <n v="4341.6059999999998"/>
    <n v="0.2"/>
  </r>
  <r>
    <s v="ORD8719"/>
    <s v="Not Mentioned"/>
    <x v="3"/>
    <x v="1"/>
    <x v="2"/>
    <x v="0"/>
    <n v="55638.58"/>
    <n v="42017.52"/>
    <s v="Actual"/>
    <n v="3"/>
    <n v="13621.060000000005"/>
    <n v="0.24481322132951641"/>
  </r>
  <r>
    <s v="ORD3131"/>
    <d v="2023-02-15T00:00:00"/>
    <x v="1"/>
    <x v="0"/>
    <x v="2"/>
    <x v="0"/>
    <n v="55300.26"/>
    <n v="44240.208000000006"/>
    <s v="Estimated"/>
    <n v="3"/>
    <n v="11060.051999999996"/>
    <n v="0.19999999999999993"/>
  </r>
  <r>
    <s v="ORD6644"/>
    <d v="2023-01-15T00:00:00"/>
    <x v="4"/>
    <x v="0"/>
    <x v="3"/>
    <x v="0"/>
    <n v="54407.09"/>
    <n v="40845.22"/>
    <s v="Actual"/>
    <s v="Unknown"/>
    <n v="13561.869999999995"/>
    <n v="0.24926659374724869"/>
  </r>
  <r>
    <s v="ORD161"/>
    <d v="2023-01-15T00:00:00"/>
    <x v="4"/>
    <x v="1"/>
    <x v="0"/>
    <x v="0"/>
    <n v="28643.72"/>
    <n v="20763.55"/>
    <s v="Actual"/>
    <n v="2"/>
    <n v="7880.1700000000019"/>
    <n v="0.27510986701448004"/>
  </r>
  <r>
    <s v="ORD9141"/>
    <d v="2023-01-15T00:00:00"/>
    <x v="4"/>
    <x v="2"/>
    <x v="0"/>
    <x v="0"/>
    <n v="28906.7"/>
    <n v="21311.45"/>
    <s v="Actual"/>
    <n v="2"/>
    <n v="7595.25"/>
    <n v="0.26275050420836693"/>
  </r>
  <r>
    <s v="ORD7564"/>
    <d v="2023-06-25T00:00:00"/>
    <x v="0"/>
    <x v="1"/>
    <x v="2"/>
    <x v="0"/>
    <n v="59138.16"/>
    <n v="41788.959999999999"/>
    <s v="Actual"/>
    <n v="3"/>
    <n v="17349.200000000004"/>
    <n v="0.29336726066553309"/>
  </r>
  <r>
    <s v="ORD9697"/>
    <d v="2023-01-15T00:00:00"/>
    <x v="4"/>
    <x v="2"/>
    <x v="0"/>
    <x v="0"/>
    <n v="56293.41"/>
    <n v="39399.74"/>
    <s v="Actual"/>
    <n v="4"/>
    <n v="16893.670000000006"/>
    <n v="0.30010031369568846"/>
  </r>
  <r>
    <s v="ORD8828"/>
    <d v="2023-04-05T00:00:00"/>
    <x v="2"/>
    <x v="3"/>
    <x v="2"/>
    <x v="0"/>
    <n v="67054.080000000002"/>
    <n v="56741.08"/>
    <s v="Actual"/>
    <n v="4"/>
    <n v="10313"/>
    <n v="0.15380123029053563"/>
  </r>
  <r>
    <s v="ORD9615"/>
    <d v="2023-04-05T00:00:00"/>
    <x v="2"/>
    <x v="3"/>
    <x v="2"/>
    <x v="0"/>
    <n v="65567.08"/>
    <n v="48813.47"/>
    <s v="Actual"/>
    <n v="4"/>
    <n v="16753.61"/>
    <n v="0.25551862306511136"/>
  </r>
  <r>
    <s v="ORD2342"/>
    <d v="2023-06-25T00:00:00"/>
    <x v="0"/>
    <x v="2"/>
    <x v="2"/>
    <x v="0"/>
    <n v="45683.42"/>
    <n v="27342.17"/>
    <s v="Actual"/>
    <n v="2"/>
    <n v="18341.25"/>
    <n v="0.40148592202597794"/>
  </r>
  <r>
    <s v="ORD138"/>
    <d v="2023-01-15T00:00:00"/>
    <x v="4"/>
    <x v="3"/>
    <x v="3"/>
    <x v="0"/>
    <n v="283618.78000000003"/>
    <n v="222597.44"/>
    <s v="Actual"/>
    <n v="5"/>
    <n v="61021.340000000026"/>
    <n v="0.21515267783043146"/>
  </r>
  <r>
    <s v="ORD108"/>
    <d v="2023-04-05T00:00:00"/>
    <x v="2"/>
    <x v="1"/>
    <x v="1"/>
    <x v="0"/>
    <n v="22238.26"/>
    <n v="12554.81"/>
    <s v="Actual"/>
    <n v="2"/>
    <n v="9683.4499999999989"/>
    <n v="0.43544099223590332"/>
  </r>
  <r>
    <s v="ORD6530"/>
    <d v="2023-01-15T00:00:00"/>
    <x v="4"/>
    <x v="0"/>
    <x v="1"/>
    <x v="0"/>
    <n v="33252.35"/>
    <n v="22456.36"/>
    <s v="Actual"/>
    <n v="3"/>
    <n v="10795.989999999998"/>
    <n v="0.3246684820772065"/>
  </r>
  <r>
    <s v="ORD5674"/>
    <d v="2023-06-25T00:00:00"/>
    <x v="0"/>
    <x v="1"/>
    <x v="2"/>
    <x v="0"/>
    <n v="78048.789999999994"/>
    <n v="62439.031999999999"/>
    <s v="Estimated"/>
    <n v="4"/>
    <n v="15609.757999999994"/>
    <n v="0.19999999999999996"/>
  </r>
  <r>
    <s v="ORD5696"/>
    <d v="2023-04-05T00:00:00"/>
    <x v="2"/>
    <x v="2"/>
    <x v="3"/>
    <x v="0"/>
    <n v="100175.8"/>
    <n v="81401.05"/>
    <s v="Actual"/>
    <n v="2"/>
    <n v="18774.75"/>
    <n v="0.18741801912238285"/>
  </r>
  <r>
    <s v="ORD4881"/>
    <s v="Not Mentioned"/>
    <x v="3"/>
    <x v="1"/>
    <x v="0"/>
    <x v="0"/>
    <n v="34240.6"/>
    <n v="17380.47"/>
    <s v="Actual"/>
    <n v="2"/>
    <n v="16860.129999999997"/>
    <n v="0.49240171025040441"/>
  </r>
  <r>
    <s v="ORD751"/>
    <d v="2023-04-05T00:00:00"/>
    <x v="2"/>
    <x v="2"/>
    <x v="3"/>
    <x v="0"/>
    <n v="208593.2"/>
    <n v="125435.45"/>
    <s v="Actual"/>
    <s v="Unknown"/>
    <n v="83157.750000000015"/>
    <n v="0.3986599275527678"/>
  </r>
  <r>
    <s v="ORD5062"/>
    <d v="2023-02-15T00:00:00"/>
    <x v="1"/>
    <x v="1"/>
    <x v="2"/>
    <x v="0"/>
    <n v="106776.48"/>
    <n v="74900.39"/>
    <s v="Actual"/>
    <n v="5"/>
    <n v="31876.089999999997"/>
    <n v="0.29853100607924138"/>
  </r>
  <r>
    <s v="ORD5075"/>
    <s v="Not Mentioned"/>
    <x v="3"/>
    <x v="1"/>
    <x v="2"/>
    <x v="0"/>
    <n v="74983.289999999994"/>
    <n v="49247.15"/>
    <s v="Actual"/>
    <n v="4"/>
    <n v="25736.139999999992"/>
    <n v="0.34322500386419419"/>
  </r>
  <r>
    <s v="ORD690"/>
    <d v="2023-04-05T00:00:00"/>
    <x v="2"/>
    <x v="1"/>
    <x v="3"/>
    <x v="0"/>
    <n v="158317.10999999999"/>
    <n v="123162.92"/>
    <s v="Actual"/>
    <n v="3"/>
    <n v="35154.189999999988"/>
    <n v="0.22204921502167385"/>
  </r>
  <r>
    <s v="ORD4457"/>
    <d v="2023-06-25T00:00:00"/>
    <x v="0"/>
    <x v="1"/>
    <x v="2"/>
    <x v="0"/>
    <n v="76095.94"/>
    <n v="61185.11"/>
    <s v="Actual"/>
    <n v="4"/>
    <n v="14910.830000000002"/>
    <n v="0.19594777329776072"/>
  </r>
  <r>
    <s v="ORD3006"/>
    <d v="2023-02-15T00:00:00"/>
    <x v="1"/>
    <x v="0"/>
    <x v="3"/>
    <x v="0"/>
    <n v="53473.66"/>
    <n v="45937.46"/>
    <s v="Actual"/>
    <n v="1"/>
    <n v="7536.2000000000044"/>
    <n v="0.14093293782396799"/>
  </r>
  <r>
    <s v="ORD2673"/>
    <d v="2023-03-20T00:00:00"/>
    <x v="5"/>
    <x v="3"/>
    <x v="0"/>
    <x v="0"/>
    <n v="70033.64"/>
    <n v="56026.912000000004"/>
    <s v="Estimated"/>
    <n v="5"/>
    <n v="14006.727999999996"/>
    <n v="0.19999999999999993"/>
  </r>
  <r>
    <s v="ORD4673"/>
    <d v="2023-01-15T00:00:00"/>
    <x v="4"/>
    <x v="1"/>
    <x v="0"/>
    <x v="0"/>
    <n v="16535.900000000001"/>
    <n v="8958.83"/>
    <s v="Actual"/>
    <n v="1"/>
    <n v="7577.0700000000015"/>
    <n v="0.45821938932867284"/>
  </r>
  <r>
    <s v="ORD368"/>
    <s v="Not Mentioned"/>
    <x v="3"/>
    <x v="1"/>
    <x v="1"/>
    <x v="0"/>
    <n v="10380.61"/>
    <n v="7025.44"/>
    <s v="Actual"/>
    <n v="1"/>
    <n v="3355.170000000001"/>
    <n v="0.32321510970935241"/>
  </r>
  <r>
    <s v="ORD3655"/>
    <s v="Not Mentioned"/>
    <x v="3"/>
    <x v="1"/>
    <x v="2"/>
    <x v="0"/>
    <n v="88703.16"/>
    <n v="52617.78"/>
    <s v="Actual"/>
    <n v="4"/>
    <n v="36085.380000000005"/>
    <n v="0.40681053527292604"/>
  </r>
  <r>
    <s v="ORD4266"/>
    <s v="Not Mentioned"/>
    <x v="3"/>
    <x v="1"/>
    <x v="0"/>
    <x v="0"/>
    <n v="63295.86"/>
    <n v="48548.71"/>
    <s v="Actual"/>
    <n v="5"/>
    <n v="14747.150000000001"/>
    <n v="0.23298759192149379"/>
  </r>
  <r>
    <s v="ORD9219"/>
    <d v="2023-06-25T00:00:00"/>
    <x v="0"/>
    <x v="1"/>
    <x v="2"/>
    <x v="0"/>
    <n v="109457.11"/>
    <n v="87565.688000000009"/>
    <s v="Estimated"/>
    <n v="5"/>
    <n v="21891.421999999991"/>
    <n v="0.19999999999999993"/>
  </r>
  <r>
    <s v="ORD4089"/>
    <d v="2023-01-15T00:00:00"/>
    <x v="4"/>
    <x v="2"/>
    <x v="1"/>
    <x v="0"/>
    <n v="16083.34"/>
    <n v="12683.85"/>
    <s v="Actual"/>
    <n v="2"/>
    <n v="3399.49"/>
    <n v="0.21136716627267718"/>
  </r>
  <r>
    <s v="ORD2371"/>
    <d v="2023-04-05T00:00:00"/>
    <x v="2"/>
    <x v="2"/>
    <x v="0"/>
    <x v="0"/>
    <n v="65365.7"/>
    <n v="54333.13"/>
    <s v="Actual"/>
    <n v="5"/>
    <n v="11032.57"/>
    <n v="0.16878225124185928"/>
  </r>
  <r>
    <s v="ORD9622"/>
    <d v="2023-06-25T00:00:00"/>
    <x v="0"/>
    <x v="0"/>
    <x v="3"/>
    <x v="0"/>
    <n v="63351.62"/>
    <n v="38328.42"/>
    <s v="Actual"/>
    <n v="1"/>
    <n v="25023.200000000004"/>
    <n v="0.39498910998645342"/>
  </r>
  <r>
    <s v="ORD389"/>
    <d v="2023-01-15T00:00:00"/>
    <x v="4"/>
    <x v="1"/>
    <x v="3"/>
    <x v="0"/>
    <n v="243122.88"/>
    <n v="166246.23000000001"/>
    <s v="Actual"/>
    <n v="4"/>
    <n v="76876.649999999994"/>
    <n v="0.31620491662487704"/>
  </r>
  <r>
    <s v="ORD3348"/>
    <d v="2023-01-15T00:00:00"/>
    <x v="4"/>
    <x v="2"/>
    <x v="0"/>
    <x v="0"/>
    <n v="57776.57"/>
    <n v="37650.14"/>
    <s v="Actual"/>
    <n v="4"/>
    <n v="20126.43"/>
    <n v="0.3483493395333091"/>
  </r>
  <r>
    <s v="ORD9175"/>
    <d v="2023-03-20T00:00:00"/>
    <x v="5"/>
    <x v="2"/>
    <x v="3"/>
    <x v="0"/>
    <n v="198241.2"/>
    <n v="118196.59"/>
    <s v="Actual"/>
    <n v="3"/>
    <n v="80044.610000000015"/>
    <n v="0.40377383712366555"/>
  </r>
  <r>
    <s v="ORD4627"/>
    <d v="2023-06-25T00:00:00"/>
    <x v="0"/>
    <x v="1"/>
    <x v="1"/>
    <x v="0"/>
    <n v="18813.29"/>
    <n v="14432.29"/>
    <s v="Actual"/>
    <n v="2"/>
    <n v="4381"/>
    <n v="0.23286729753275476"/>
  </r>
  <r>
    <s v="ORD492"/>
    <s v="Not Mentioned"/>
    <x v="3"/>
    <x v="1"/>
    <x v="0"/>
    <x v="0"/>
    <n v="15912.22"/>
    <n v="10138.4"/>
    <s v="Actual"/>
    <n v="1"/>
    <n v="5773.82"/>
    <n v="0.36285446028272611"/>
  </r>
  <r>
    <s v="ORD331"/>
    <d v="2023-06-25T00:00:00"/>
    <x v="0"/>
    <x v="2"/>
    <x v="2"/>
    <x v="0"/>
    <n v="71517.09"/>
    <n v="57213.671999999999"/>
    <s v="Estimated"/>
    <n v="3"/>
    <n v="14303.417999999998"/>
    <n v="0.19999999999999998"/>
  </r>
  <r>
    <s v="ORD2691"/>
    <s v="Not Mentioned"/>
    <x v="3"/>
    <x v="2"/>
    <x v="3"/>
    <x v="0"/>
    <n v="196914.95"/>
    <n v="190497.78"/>
    <s v="Actual"/>
    <n v="4"/>
    <n v="6417.1700000000128"/>
    <n v="3.2588536319868106E-2"/>
  </r>
  <r>
    <s v="ORD1436"/>
    <d v="2023-01-15T00:00:00"/>
    <x v="4"/>
    <x v="1"/>
    <x v="1"/>
    <x v="0"/>
    <n v="16008.13"/>
    <n v="13933.88"/>
    <s v="Actual"/>
    <n v="2"/>
    <n v="2074.25"/>
    <n v="0.12957478481246718"/>
  </r>
  <r>
    <s v="ORD3340"/>
    <d v="2023-06-25T00:00:00"/>
    <x v="0"/>
    <x v="2"/>
    <x v="1"/>
    <x v="0"/>
    <n v="47811.1"/>
    <n v="30423.14"/>
    <s v="Actual"/>
    <n v="5"/>
    <n v="17387.96"/>
    <n v="0.36368040057643519"/>
  </r>
  <r>
    <s v="ORD9067"/>
    <d v="2023-04-05T00:00:00"/>
    <x v="2"/>
    <x v="0"/>
    <x v="1"/>
    <x v="0"/>
    <n v="8720.2999999999993"/>
    <n v="7048.77"/>
    <s v="Actual"/>
    <n v="1"/>
    <n v="1671.5299999999988"/>
    <n v="0.19168262559774307"/>
  </r>
  <r>
    <s v="ORD730"/>
    <d v="2023-02-15T00:00:00"/>
    <x v="1"/>
    <x v="1"/>
    <x v="3"/>
    <x v="0"/>
    <n v="56921.35"/>
    <n v="43659.9"/>
    <s v="Actual"/>
    <n v="1"/>
    <n v="13261.449999999997"/>
    <n v="0.23297848698247664"/>
  </r>
  <r>
    <s v="ORD5493"/>
    <s v="Not Mentioned"/>
    <x v="3"/>
    <x v="2"/>
    <x v="1"/>
    <x v="0"/>
    <n v="53321.77"/>
    <n v="35821.86"/>
    <s v="Actual"/>
    <n v="5"/>
    <n v="17499.909999999996"/>
    <n v="0.32819446916334544"/>
  </r>
  <r>
    <s v="ORD3145"/>
    <d v="2023-01-15T00:00:00"/>
    <x v="4"/>
    <x v="1"/>
    <x v="0"/>
    <x v="0"/>
    <n v="53054.99"/>
    <n v="42182.14"/>
    <s v="Actual"/>
    <n v="4"/>
    <n v="10872.849999999999"/>
    <n v="0.20493548297719025"/>
  </r>
  <r>
    <s v="ORD6606"/>
    <s v="Not Mentioned"/>
    <x v="3"/>
    <x v="1"/>
    <x v="0"/>
    <x v="0"/>
    <n v="14408.22"/>
    <n v="8906.76"/>
    <s v="Actual"/>
    <n v="1"/>
    <n v="5501.4599999999991"/>
    <n v="0.38182787325568318"/>
  </r>
  <r>
    <s v="ORD7022"/>
    <d v="2023-02-15T00:00:00"/>
    <x v="1"/>
    <x v="0"/>
    <x v="0"/>
    <x v="0"/>
    <n v="12531.12"/>
    <n v="10329"/>
    <s v="Actual"/>
    <n v="1"/>
    <n v="2202.1200000000008"/>
    <n v="0.17573209737038673"/>
  </r>
  <r>
    <s v="ORD4544"/>
    <d v="2023-03-20T00:00:00"/>
    <x v="5"/>
    <x v="2"/>
    <x v="1"/>
    <x v="0"/>
    <n v="9435.84"/>
    <n v="7697.28"/>
    <s v="Actual"/>
    <n v="1"/>
    <n v="1738.5600000000004"/>
    <n v="0.18425068674331066"/>
  </r>
  <r>
    <s v="ORD8058"/>
    <d v="2023-06-25T00:00:00"/>
    <x v="0"/>
    <x v="3"/>
    <x v="1"/>
    <x v="0"/>
    <n v="10169.030000000001"/>
    <n v="6165.78"/>
    <s v="Actual"/>
    <n v="1"/>
    <n v="4003.2500000000009"/>
    <n v="0.39367078275902428"/>
  </r>
  <r>
    <s v="ORD6875"/>
    <d v="2023-04-05T00:00:00"/>
    <x v="2"/>
    <x v="2"/>
    <x v="1"/>
    <x v="0"/>
    <n v="11460.68"/>
    <n v="7406.12"/>
    <s v="Actual"/>
    <n v="1"/>
    <n v="4054.5600000000004"/>
    <n v="0.35378005493565828"/>
  </r>
  <r>
    <s v="ORD373"/>
    <d v="2023-04-05T00:00:00"/>
    <x v="2"/>
    <x v="1"/>
    <x v="0"/>
    <x v="0"/>
    <n v="63017.3"/>
    <n v="53516.99"/>
    <s v="Actual"/>
    <s v="Unknown"/>
    <n v="9500.3100000000049"/>
    <n v="0.1507571730302632"/>
  </r>
  <r>
    <s v="ORD9911"/>
    <d v="2023-01-15T00:00:00"/>
    <x v="4"/>
    <x v="2"/>
    <x v="2"/>
    <x v="0"/>
    <n v="19564.7"/>
    <n v="14310.27"/>
    <s v="Actual"/>
    <n v="1"/>
    <n v="5254.43"/>
    <n v="0.26856685765690247"/>
  </r>
  <r>
    <s v="ORD264"/>
    <s v="Not Mentioned"/>
    <x v="3"/>
    <x v="2"/>
    <x v="0"/>
    <x v="0"/>
    <n v="39494.29"/>
    <n v="28823.81"/>
    <s v="Actual"/>
    <n v="3"/>
    <n v="10670.48"/>
    <n v="0.27017779025778155"/>
  </r>
  <r>
    <s v="ORD3342"/>
    <s v="Not Mentioned"/>
    <x v="3"/>
    <x v="1"/>
    <x v="3"/>
    <x v="0"/>
    <n v="268734.81"/>
    <n v="193713.64"/>
    <s v="Actual"/>
    <n v="4"/>
    <n v="75021.169999999984"/>
    <n v="0.2791643181618339"/>
  </r>
  <r>
    <s v="ORD215"/>
    <d v="2023-03-20T00:00:00"/>
    <x v="5"/>
    <x v="3"/>
    <x v="1"/>
    <x v="0"/>
    <n v="20932.34"/>
    <n v="14386.73"/>
    <s v="Actual"/>
    <n v="2"/>
    <n v="6545.6100000000006"/>
    <n v="0.31270321426080411"/>
  </r>
  <r>
    <s v="ORD8158"/>
    <s v="Not Mentioned"/>
    <x v="3"/>
    <x v="3"/>
    <x v="2"/>
    <x v="0"/>
    <n v="66776.149999999994"/>
    <n v="36254.1"/>
    <s v="Actual"/>
    <n v="3"/>
    <n v="30522.049999999996"/>
    <n v="0.45708011018904204"/>
  </r>
  <r>
    <s v="ORD2545"/>
    <d v="2023-04-05T00:00:00"/>
    <x v="2"/>
    <x v="2"/>
    <x v="1"/>
    <x v="0"/>
    <n v="9422.2000000000007"/>
    <n v="6689.76"/>
    <s v="Actual"/>
    <n v="1"/>
    <n v="2732.4400000000005"/>
    <n v="0.29000021226465161"/>
  </r>
  <r>
    <s v="ORD1815"/>
    <d v="2023-04-05T00:00:00"/>
    <x v="2"/>
    <x v="3"/>
    <x v="1"/>
    <x v="0"/>
    <n v="8404.5300000000007"/>
    <n v="7636.08"/>
    <s v="Actual"/>
    <n v="1"/>
    <n v="768.45000000000073"/>
    <n v="9.1432834435715107E-2"/>
  </r>
  <r>
    <s v="ORD8976"/>
    <d v="2023-03-20T00:00:00"/>
    <x v="5"/>
    <x v="0"/>
    <x v="0"/>
    <x v="0"/>
    <n v="36600.129999999997"/>
    <n v="26366.84"/>
    <s v="Actual"/>
    <n v="3"/>
    <n v="10233.289999999997"/>
    <n v="0.27959709432726054"/>
  </r>
  <r>
    <s v="ORD783"/>
    <d v="2023-03-20T00:00:00"/>
    <x v="5"/>
    <x v="0"/>
    <x v="0"/>
    <x v="0"/>
    <n v="29522.22"/>
    <n v="20329.48"/>
    <s v="Actual"/>
    <n v="2"/>
    <n v="9192.7400000000016"/>
    <n v="0.31138376450009525"/>
  </r>
  <r>
    <s v="ORD8806"/>
    <d v="2023-04-05T00:00:00"/>
    <x v="2"/>
    <x v="2"/>
    <x v="2"/>
    <x v="0"/>
    <n v="53662.720000000001"/>
    <n v="41322.67"/>
    <s v="Actual"/>
    <n v="3"/>
    <n v="12340.050000000003"/>
    <n v="0.22995573090592505"/>
  </r>
  <r>
    <s v="ORD7286"/>
    <d v="2023-02-15T00:00:00"/>
    <x v="1"/>
    <x v="1"/>
    <x v="1"/>
    <x v="0"/>
    <n v="29069.16"/>
    <n v="21216.92"/>
    <s v="Actual"/>
    <n v="3"/>
    <n v="7852.2400000000016"/>
    <n v="0.27012270048394937"/>
  </r>
  <r>
    <s v="ORD5899"/>
    <s v="Not Mentioned"/>
    <x v="3"/>
    <x v="0"/>
    <x v="3"/>
    <x v="0"/>
    <n v="183931.33"/>
    <n v="137771.89000000001"/>
    <s v="Actual"/>
    <n v="3"/>
    <n v="46159.439999999973"/>
    <n v="0.25096018171564344"/>
  </r>
  <r>
    <s v="ORD1728"/>
    <d v="2023-03-20T00:00:00"/>
    <x v="5"/>
    <x v="1"/>
    <x v="3"/>
    <x v="0"/>
    <n v="50067.09"/>
    <n v="47203.46"/>
    <s v="Actual"/>
    <n v="1"/>
    <n v="2863.6299999999974"/>
    <n v="5.7195854602294594E-2"/>
  </r>
  <r>
    <s v="ORD3422"/>
    <d v="2023-04-05T00:00:00"/>
    <x v="2"/>
    <x v="3"/>
    <x v="1"/>
    <x v="0"/>
    <n v="34347.19"/>
    <n v="19985.810000000001"/>
    <s v="Actual"/>
    <n v="3"/>
    <n v="14361.380000000001"/>
    <n v="0.41812386981293082"/>
  </r>
  <r>
    <s v="ORD620"/>
    <d v="2023-04-05T00:00:00"/>
    <x v="2"/>
    <x v="2"/>
    <x v="2"/>
    <x v="0"/>
    <n v="84106.4"/>
    <n v="67285.119999999995"/>
    <s v="Estimated"/>
    <n v="5"/>
    <n v="16821.28"/>
    <n v="0.2"/>
  </r>
  <r>
    <s v="ORD394"/>
    <d v="2023-04-05T00:00:00"/>
    <x v="2"/>
    <x v="2"/>
    <x v="1"/>
    <x v="0"/>
    <n v="35490.67"/>
    <n v="24520.46"/>
    <s v="Actual"/>
    <n v="4"/>
    <n v="10970.21"/>
    <n v="0.30910123702933756"/>
  </r>
  <r>
    <s v="ORD4633"/>
    <d v="2023-03-20T00:00:00"/>
    <x v="5"/>
    <x v="1"/>
    <x v="0"/>
    <x v="0"/>
    <n v="61448.33"/>
    <n v="34270.18"/>
    <s v="Actual"/>
    <n v="4"/>
    <n v="27178.15"/>
    <n v="0.44229273602716301"/>
  </r>
  <r>
    <s v="ORD9892"/>
    <d v="2023-01-15T00:00:00"/>
    <x v="4"/>
    <x v="2"/>
    <x v="1"/>
    <x v="0"/>
    <n v="11969.98"/>
    <n v="5986.21"/>
    <s v="Actual"/>
    <n v="1"/>
    <n v="5983.7699999999995"/>
    <n v="0.49989807835936234"/>
  </r>
  <r>
    <s v="ORD6475"/>
    <d v="2023-01-15T00:00:00"/>
    <x v="4"/>
    <x v="3"/>
    <x v="0"/>
    <x v="0"/>
    <n v="89133.27"/>
    <n v="47645.279999999999"/>
    <s v="Actual"/>
    <n v="5"/>
    <n v="41487.990000000005"/>
    <n v="0.46546020358054857"/>
  </r>
  <r>
    <s v="ORD6022"/>
    <d v="2023-03-20T00:00:00"/>
    <x v="5"/>
    <x v="0"/>
    <x v="3"/>
    <x v="0"/>
    <n v="283449.18"/>
    <n v="175492.4"/>
    <s v="Actual"/>
    <n v="4"/>
    <n v="107956.78"/>
    <n v="0.38086820360531648"/>
  </r>
  <r>
    <s v="ORD4021"/>
    <s v="Not Mentioned"/>
    <x v="3"/>
    <x v="2"/>
    <x v="3"/>
    <x v="0"/>
    <n v="199515.32"/>
    <n v="133549.17000000001"/>
    <s v="Actual"/>
    <n v="3"/>
    <n v="65966.149999999994"/>
    <n v="0.33063200359751821"/>
  </r>
  <r>
    <s v="ORD7791"/>
    <d v="2023-04-05T00:00:00"/>
    <x v="2"/>
    <x v="2"/>
    <x v="0"/>
    <x v="0"/>
    <n v="52008.32"/>
    <n v="40703.1"/>
    <s v="Actual"/>
    <n v="4"/>
    <n v="11305.220000000001"/>
    <n v="0.21737329719552567"/>
  </r>
  <r>
    <s v="ORD7750"/>
    <d v="2023-06-25T00:00:00"/>
    <x v="0"/>
    <x v="2"/>
    <x v="1"/>
    <x v="0"/>
    <n v="32002.33"/>
    <n v="25601.864000000001"/>
    <s v="Estimated"/>
    <n v="4"/>
    <n v="6400.4660000000003"/>
    <n v="0.2"/>
  </r>
  <r>
    <s v="ORD1747"/>
    <d v="2023-02-15T00:00:00"/>
    <x v="1"/>
    <x v="0"/>
    <x v="3"/>
    <x v="0"/>
    <n v="176802.4"/>
    <n v="134464.72"/>
    <s v="Actual"/>
    <n v="3"/>
    <n v="42337.679999999993"/>
    <n v="0.2394632652045447"/>
  </r>
  <r>
    <s v="ORD5059"/>
    <d v="2023-02-15T00:00:00"/>
    <x v="1"/>
    <x v="2"/>
    <x v="2"/>
    <x v="0"/>
    <n v="65255.15"/>
    <n v="54830.54"/>
    <s v="Actual"/>
    <n v="4"/>
    <n v="10424.61"/>
    <n v="0.15975152918965016"/>
  </r>
  <r>
    <s v="ORD9168"/>
    <d v="2023-01-15T00:00:00"/>
    <x v="4"/>
    <x v="1"/>
    <x v="2"/>
    <x v="0"/>
    <n v="18951.330000000002"/>
    <n v="15161.064000000002"/>
    <s v="Estimated"/>
    <n v="1"/>
    <n v="3790.2659999999996"/>
    <n v="0.19999999999999996"/>
  </r>
  <r>
    <s v="ORD8454"/>
    <d v="2023-03-20T00:00:00"/>
    <x v="5"/>
    <x v="0"/>
    <x v="3"/>
    <x v="0"/>
    <n v="297022.58"/>
    <n v="194199.44"/>
    <s v="Actual"/>
    <n v="5"/>
    <n v="102823.14000000001"/>
    <n v="0.34617953961614639"/>
  </r>
  <r>
    <s v="ORD9587"/>
    <d v="2023-03-20T00:00:00"/>
    <x v="5"/>
    <x v="1"/>
    <x v="3"/>
    <x v="0"/>
    <n v="204659.95"/>
    <n v="145094.79999999999"/>
    <s v="Actual"/>
    <n v="3"/>
    <n v="59565.150000000023"/>
    <n v="0.29104448623191798"/>
  </r>
  <r>
    <s v="ORD6848"/>
    <d v="2023-01-15T00:00:00"/>
    <x v="4"/>
    <x v="3"/>
    <x v="0"/>
    <x v="0"/>
    <n v="62559.839999999997"/>
    <n v="42021.41"/>
    <s v="Actual"/>
    <n v="4"/>
    <n v="20538.429999999993"/>
    <n v="0.32830055191957003"/>
  </r>
  <r>
    <s v="ORD2462"/>
    <d v="2023-02-15T00:00:00"/>
    <x v="1"/>
    <x v="2"/>
    <x v="0"/>
    <x v="0"/>
    <n v="37375.25"/>
    <n v="30157.26"/>
    <s v="Actual"/>
    <n v="3"/>
    <n v="7217.9900000000016"/>
    <n v="0.19312218647366911"/>
  </r>
  <r>
    <s v="ORD4197"/>
    <d v="2023-03-20T00:00:00"/>
    <x v="5"/>
    <x v="1"/>
    <x v="0"/>
    <x v="0"/>
    <n v="14187.23"/>
    <n v="8946.66"/>
    <s v="Actual"/>
    <n v="1"/>
    <n v="5240.57"/>
    <n v="0.36938641299252917"/>
  </r>
  <r>
    <s v="ORD1783"/>
    <d v="2023-01-15T00:00:00"/>
    <x v="4"/>
    <x v="1"/>
    <x v="3"/>
    <x v="0"/>
    <n v="196092.23"/>
    <n v="139912.38"/>
    <s v="Actual"/>
    <n v="3"/>
    <n v="56179.850000000006"/>
    <n v="0.28649707334145774"/>
  </r>
  <r>
    <s v="ORD6562"/>
    <d v="2023-06-25T00:00:00"/>
    <x v="0"/>
    <x v="0"/>
    <x v="2"/>
    <x v="0"/>
    <n v="98049.27"/>
    <n v="62635.87"/>
    <s v="Actual"/>
    <s v="Unknown"/>
    <n v="35413.4"/>
    <n v="0.36117963958324217"/>
  </r>
  <r>
    <s v="ORD691"/>
    <d v="2023-04-05T00:00:00"/>
    <x v="2"/>
    <x v="1"/>
    <x v="0"/>
    <x v="0"/>
    <n v="80679.320000000007"/>
    <n v="54773.279999999999"/>
    <s v="Actual"/>
    <n v="5"/>
    <n v="25906.040000000008"/>
    <n v="0.32109888878587484"/>
  </r>
  <r>
    <s v="ORD9203"/>
    <d v="2023-02-15T00:00:00"/>
    <x v="1"/>
    <x v="1"/>
    <x v="3"/>
    <x v="0"/>
    <n v="235582.67"/>
    <n v="175295.23"/>
    <s v="Actual"/>
    <n v="4"/>
    <n v="60287.44"/>
    <n v="0.25590778812380383"/>
  </r>
  <r>
    <s v="ORD4828"/>
    <d v="2023-04-05T00:00:00"/>
    <x v="2"/>
    <x v="2"/>
    <x v="1"/>
    <x v="0"/>
    <n v="45380.76"/>
    <n v="24718.32"/>
    <s v="Actual"/>
    <n v="4"/>
    <n v="20662.440000000002"/>
    <n v="0.45531278012972903"/>
  </r>
  <r>
    <s v="ORD9386"/>
    <d v="2023-03-20T00:00:00"/>
    <x v="5"/>
    <x v="2"/>
    <x v="1"/>
    <x v="0"/>
    <n v="59162.46"/>
    <n v="37191.86"/>
    <s v="Actual"/>
    <n v="5"/>
    <n v="21970.6"/>
    <n v="0.37136048771467578"/>
  </r>
  <r>
    <s v="ORD786"/>
    <d v="2023-01-15T00:00:00"/>
    <x v="4"/>
    <x v="0"/>
    <x v="0"/>
    <x v="0"/>
    <n v="49955.58"/>
    <n v="35414.480000000003"/>
    <s v="Actual"/>
    <n v="4"/>
    <n v="14541.099999999999"/>
    <n v="0.29108059600148767"/>
  </r>
  <r>
    <s v="ORD8044"/>
    <d v="2023-06-25T00:00:00"/>
    <x v="0"/>
    <x v="3"/>
    <x v="1"/>
    <x v="0"/>
    <n v="20729.22"/>
    <n v="14495.72"/>
    <s v="Actual"/>
    <n v="2"/>
    <n v="6233.5000000000018"/>
    <n v="0.30071078410089724"/>
  </r>
  <r>
    <s v="ORD6568"/>
    <d v="2023-02-15T00:00:00"/>
    <x v="1"/>
    <x v="0"/>
    <x v="0"/>
    <x v="0"/>
    <n v="68763.23"/>
    <n v="37970.92"/>
    <s v="Actual"/>
    <n v="4"/>
    <n v="30792.309999999998"/>
    <n v="0.44780197207141081"/>
  </r>
  <r>
    <s v="ORD6405"/>
    <d v="2023-06-25T00:00:00"/>
    <x v="0"/>
    <x v="2"/>
    <x v="1"/>
    <x v="0"/>
    <n v="42050.3"/>
    <n v="30302.71"/>
    <s v="Actual"/>
    <n v="4"/>
    <n v="11747.590000000004"/>
    <n v="0.27936994504200929"/>
  </r>
  <r>
    <s v="ORD648"/>
    <s v="Not Mentioned"/>
    <x v="3"/>
    <x v="2"/>
    <x v="0"/>
    <x v="0"/>
    <n v="44229.2"/>
    <n v="30667.56"/>
    <s v="Actual"/>
    <n v="3"/>
    <n v="13561.639999999996"/>
    <n v="0.3066218697150298"/>
  </r>
  <r>
    <s v="ORD4641"/>
    <d v="2023-01-15T00:00:00"/>
    <x v="4"/>
    <x v="2"/>
    <x v="1"/>
    <x v="0"/>
    <n v="22316.93"/>
    <n v="17853.544000000002"/>
    <s v="Estimated"/>
    <n v="2"/>
    <n v="4463.3859999999986"/>
    <n v="0.19999999999999993"/>
  </r>
  <r>
    <s v="ORD9402"/>
    <d v="2023-06-25T00:00:00"/>
    <x v="0"/>
    <x v="2"/>
    <x v="1"/>
    <x v="0"/>
    <n v="42260.15"/>
    <n v="35402.21"/>
    <s v="Actual"/>
    <n v="5"/>
    <n v="6857.9400000000023"/>
    <n v="0.16227912111054982"/>
  </r>
  <r>
    <s v="ORD9691"/>
    <d v="2023-01-15T00:00:00"/>
    <x v="4"/>
    <x v="1"/>
    <x v="0"/>
    <x v="0"/>
    <n v="89084.32"/>
    <n v="43458.36"/>
    <s v="Actual"/>
    <n v="5"/>
    <n v="45625.960000000006"/>
    <n v="0.51216600182838012"/>
  </r>
  <r>
    <s v="ORD5180"/>
    <d v="2023-03-20T00:00:00"/>
    <x v="5"/>
    <x v="0"/>
    <x v="2"/>
    <x v="0"/>
    <n v="65887.78"/>
    <n v="43076.09"/>
    <s v="Actual"/>
    <n v="3"/>
    <n v="22811.690000000002"/>
    <n v="0.34622034617041281"/>
  </r>
  <r>
    <s v="ORD6382"/>
    <d v="2023-02-15T00:00:00"/>
    <x v="1"/>
    <x v="1"/>
    <x v="1"/>
    <x v="0"/>
    <n v="40204.49"/>
    <n v="28568.05"/>
    <s v="Actual"/>
    <n v="4"/>
    <n v="11636.439999999999"/>
    <n v="0.28943135455766256"/>
  </r>
  <r>
    <s v="ORD8430"/>
    <s v="Not Mentioned"/>
    <x v="3"/>
    <x v="3"/>
    <x v="2"/>
    <x v="0"/>
    <n v="76762.100000000006"/>
    <n v="59285.440000000002"/>
    <s v="Actual"/>
    <n v="4"/>
    <n v="17476.660000000003"/>
    <n v="0.22767303135271186"/>
  </r>
  <r>
    <s v="ORD6042"/>
    <s v="Not Mentioned"/>
    <x v="3"/>
    <x v="3"/>
    <x v="1"/>
    <x v="0"/>
    <n v="35372.65"/>
    <n v="19623.98"/>
    <s v="Actual"/>
    <n v="3"/>
    <n v="15748.670000000002"/>
    <n v="0.44522166136831709"/>
  </r>
  <r>
    <s v="ORD1356"/>
    <d v="2023-04-05T00:00:00"/>
    <x v="2"/>
    <x v="1"/>
    <x v="1"/>
    <x v="0"/>
    <n v="40915.35"/>
    <n v="30673.94"/>
    <s v="Actual"/>
    <n v="5"/>
    <n v="10241.41"/>
    <n v="0.25030728076382092"/>
  </r>
  <r>
    <s v="ORD7017"/>
    <s v="Not Mentioned"/>
    <x v="3"/>
    <x v="1"/>
    <x v="0"/>
    <x v="0"/>
    <n v="16371.59"/>
    <n v="9103.5"/>
    <s v="Actual"/>
    <n v="1"/>
    <n v="7268.09"/>
    <n v="0.44394527348901358"/>
  </r>
  <r>
    <s v="ORD8330"/>
    <s v="Not Mentioned"/>
    <x v="3"/>
    <x v="2"/>
    <x v="2"/>
    <x v="0"/>
    <n v="20639.919999999998"/>
    <n v="16511.935999999998"/>
    <s v="Estimated"/>
    <n v="1"/>
    <n v="4127.9840000000004"/>
    <n v="0.20000000000000004"/>
  </r>
  <r>
    <s v="ORD9425"/>
    <d v="2023-03-20T00:00:00"/>
    <x v="5"/>
    <x v="2"/>
    <x v="1"/>
    <x v="0"/>
    <n v="20232.95"/>
    <n v="16186.36"/>
    <s v="Estimated"/>
    <n v="2"/>
    <n v="4046.59"/>
    <n v="0.2"/>
  </r>
  <r>
    <s v="ORD8409"/>
    <d v="2023-01-15T00:00:00"/>
    <x v="4"/>
    <x v="1"/>
    <x v="3"/>
    <x v="0"/>
    <n v="240905.96"/>
    <n v="169047.33"/>
    <s v="Actual"/>
    <n v="4"/>
    <n v="71858.63"/>
    <n v="0.29828498223954281"/>
  </r>
  <r>
    <s v="ORD6252"/>
    <d v="2023-01-15T00:00:00"/>
    <x v="4"/>
    <x v="1"/>
    <x v="3"/>
    <x v="0"/>
    <n v="191936.85"/>
    <n v="153549.48000000001"/>
    <s v="Estimated"/>
    <n v="3"/>
    <n v="38387.369999999995"/>
    <n v="0.19999999999999998"/>
  </r>
  <r>
    <s v="ORD448"/>
    <s v="Not Mentioned"/>
    <x v="3"/>
    <x v="0"/>
    <x v="3"/>
    <x v="0"/>
    <n v="109571.06"/>
    <n v="98736.320000000007"/>
    <s v="Actual"/>
    <n v="2"/>
    <n v="10834.739999999991"/>
    <n v="9.8883227012680083E-2"/>
  </r>
  <r>
    <s v="ORD291"/>
    <d v="2023-02-15T00:00:00"/>
    <x v="1"/>
    <x v="1"/>
    <x v="2"/>
    <x v="0"/>
    <n v="16647.189999999999"/>
    <n v="14170.17"/>
    <s v="Actual"/>
    <n v="1"/>
    <n v="2477.0199999999986"/>
    <n v="0.14879508193274654"/>
  </r>
  <r>
    <s v="ORD6851"/>
    <d v="2023-03-20T00:00:00"/>
    <x v="5"/>
    <x v="1"/>
    <x v="3"/>
    <x v="0"/>
    <n v="248188.09"/>
    <n v="187738.17"/>
    <s v="Actual"/>
    <n v="4"/>
    <n v="60449.919999999984"/>
    <n v="0.24356495108206033"/>
  </r>
  <r>
    <s v="ORD855"/>
    <d v="2023-06-25T00:00:00"/>
    <x v="0"/>
    <x v="1"/>
    <x v="2"/>
    <x v="0"/>
    <n v="79342.429999999993"/>
    <n v="49411.03"/>
    <s v="Actual"/>
    <n v="4"/>
    <n v="29931.399999999994"/>
    <n v="0.37724329844699739"/>
  </r>
  <r>
    <s v="ORD123"/>
    <s v="Not Mentioned"/>
    <x v="3"/>
    <x v="1"/>
    <x v="3"/>
    <x v="0"/>
    <n v="338653.95"/>
    <n v="230606.63"/>
    <s v="Actual"/>
    <n v="5"/>
    <n v="108047.32"/>
    <n v="0.31904934225630621"/>
  </r>
  <r>
    <s v="ORD8008"/>
    <d v="2023-04-05T00:00:00"/>
    <x v="2"/>
    <x v="2"/>
    <x v="0"/>
    <x v="0"/>
    <n v="51796.7"/>
    <n v="36405.879999999997"/>
    <s v="Actual"/>
    <n v="4"/>
    <n v="15390.82"/>
    <n v="0.29713900692515161"/>
  </r>
  <r>
    <s v="ORD981"/>
    <d v="2023-01-15T00:00:00"/>
    <x v="4"/>
    <x v="3"/>
    <x v="1"/>
    <x v="0"/>
    <n v="11081.66"/>
    <n v="6246.56"/>
    <s v="Actual"/>
    <n v="1"/>
    <n v="4835.0999999999995"/>
    <n v="0.436315497858624"/>
  </r>
  <r>
    <s v="ORD1096"/>
    <s v="Not Mentioned"/>
    <x v="3"/>
    <x v="0"/>
    <x v="0"/>
    <x v="0"/>
    <n v="30208.98"/>
    <n v="20448.27"/>
    <s v="Actual"/>
    <n v="2"/>
    <n v="9760.7099999999991"/>
    <n v="0.32310624191879367"/>
  </r>
  <r>
    <s v="ORD4793"/>
    <d v="2023-04-05T00:00:00"/>
    <x v="2"/>
    <x v="0"/>
    <x v="0"/>
    <x v="0"/>
    <n v="79203.33"/>
    <n v="49788.88"/>
    <s v="Actual"/>
    <n v="5"/>
    <n v="29414.450000000004"/>
    <n v="0.37137895591006093"/>
  </r>
  <r>
    <s v="ORD1316"/>
    <s v="Not Mentioned"/>
    <x v="3"/>
    <x v="0"/>
    <x v="1"/>
    <x v="0"/>
    <n v="31181.39"/>
    <n v="18004.63"/>
    <s v="Actual"/>
    <n v="3"/>
    <n v="13176.759999999998"/>
    <n v="0.42258411186929123"/>
  </r>
  <r>
    <s v="ORD4051"/>
    <d v="2023-04-05T00:00:00"/>
    <x v="2"/>
    <x v="1"/>
    <x v="1"/>
    <x v="0"/>
    <n v="10327.4"/>
    <n v="8261.92"/>
    <s v="Estimated"/>
    <n v="1"/>
    <n v="2065.4799999999996"/>
    <n v="0.19999999999999996"/>
  </r>
  <r>
    <s v="ORD8399"/>
    <d v="2023-04-05T00:00:00"/>
    <x v="2"/>
    <x v="3"/>
    <x v="0"/>
    <x v="0"/>
    <n v="84815.79"/>
    <n v="44355.11"/>
    <s v="Actual"/>
    <n v="5"/>
    <n v="40460.679999999993"/>
    <n v="0.47704183383777943"/>
  </r>
  <r>
    <s v="ORD8900"/>
    <d v="2023-02-15T00:00:00"/>
    <x v="1"/>
    <x v="2"/>
    <x v="2"/>
    <x v="0"/>
    <n v="43483.79"/>
    <n v="29995.89"/>
    <s v="Actual"/>
    <n v="2"/>
    <n v="13487.900000000001"/>
    <n v="0.31018225412274325"/>
  </r>
  <r>
    <s v="ORD6963"/>
    <d v="2023-02-15T00:00:00"/>
    <x v="1"/>
    <x v="2"/>
    <x v="1"/>
    <x v="0"/>
    <n v="22245.81"/>
    <n v="14232.35"/>
    <s v="Actual"/>
    <n v="2"/>
    <n v="8013.4600000000009"/>
    <n v="0.36022334093476482"/>
  </r>
  <r>
    <s v="ORD6596"/>
    <s v="Not Mentioned"/>
    <x v="3"/>
    <x v="2"/>
    <x v="3"/>
    <x v="0"/>
    <n v="165547.41"/>
    <n v="143045.82"/>
    <s v="Actual"/>
    <n v="3"/>
    <n v="22501.589999999997"/>
    <n v="0.1359223318564754"/>
  </r>
  <r>
    <s v="ORD1580"/>
    <s v="Not Mentioned"/>
    <x v="3"/>
    <x v="1"/>
    <x v="3"/>
    <x v="0"/>
    <n v="108586.69"/>
    <n v="89345.99"/>
    <s v="Actual"/>
    <n v="2"/>
    <n v="19240.699999999997"/>
    <n v="0.17719206654148861"/>
  </r>
  <r>
    <s v="ORD437"/>
    <d v="2023-04-05T00:00:00"/>
    <x v="2"/>
    <x v="0"/>
    <x v="0"/>
    <x v="0"/>
    <n v="63341.29"/>
    <n v="38313.199999999997"/>
    <s v="Actual"/>
    <n v="4"/>
    <n v="25028.090000000004"/>
    <n v="0.39513072752386325"/>
  </r>
  <r>
    <s v="ORD5286"/>
    <d v="2023-04-05T00:00:00"/>
    <x v="2"/>
    <x v="1"/>
    <x v="1"/>
    <x v="0"/>
    <n v="21712.59"/>
    <n v="14753.53"/>
    <s v="Actual"/>
    <n v="2"/>
    <n v="6959.0599999999995"/>
    <n v="0.32050805546459449"/>
  </r>
  <r>
    <s v="ORD1838"/>
    <d v="2023-04-05T00:00:00"/>
    <x v="2"/>
    <x v="3"/>
    <x v="2"/>
    <x v="0"/>
    <n v="80209.440000000002"/>
    <n v="49892.63"/>
    <s v="Actual"/>
    <s v="Unknown"/>
    <n v="30316.810000000005"/>
    <n v="0.37797059797450278"/>
  </r>
  <r>
    <s v="ORD1947"/>
    <d v="2023-04-05T00:00:00"/>
    <x v="2"/>
    <x v="0"/>
    <x v="0"/>
    <x v="0"/>
    <n v="67903.929999999993"/>
    <n v="43592.74"/>
    <s v="Actual"/>
    <n v="5"/>
    <n v="24311.189999999995"/>
    <n v="0.35802331323091313"/>
  </r>
  <r>
    <s v="ORD866"/>
    <d v="2023-04-05T00:00:00"/>
    <x v="2"/>
    <x v="1"/>
    <x v="1"/>
    <x v="0"/>
    <n v="9794.5499999999993"/>
    <n v="6779.56"/>
    <s v="Actual"/>
    <n v="1"/>
    <n v="3014.9899999999989"/>
    <n v="0.3078232282238591"/>
  </r>
  <r>
    <s v="ORD1841"/>
    <s v="Not Mentioned"/>
    <x v="3"/>
    <x v="2"/>
    <x v="3"/>
    <x v="0"/>
    <n v="318609.53999999998"/>
    <n v="197217.78"/>
    <s v="Actual"/>
    <n v="5"/>
    <n v="121391.75999999998"/>
    <n v="0.38100478723895082"/>
  </r>
  <r>
    <s v="ORD3725"/>
    <d v="2023-06-25T00:00:00"/>
    <x v="0"/>
    <x v="0"/>
    <x v="2"/>
    <x v="0"/>
    <n v="78852.2"/>
    <n v="56578.54"/>
    <s v="Actual"/>
    <n v="4"/>
    <n v="22273.659999999996"/>
    <n v="0.2824735391022698"/>
  </r>
  <r>
    <s v="ORD3217"/>
    <d v="2023-06-25T00:00:00"/>
    <x v="0"/>
    <x v="0"/>
    <x v="2"/>
    <x v="0"/>
    <n v="56916.72"/>
    <n v="38654.550000000003"/>
    <s v="Actual"/>
    <n v="3"/>
    <n v="18262.169999999998"/>
    <n v="0.32085773741002638"/>
  </r>
  <r>
    <s v="ORD334"/>
    <d v="2023-02-15T00:00:00"/>
    <x v="1"/>
    <x v="1"/>
    <x v="0"/>
    <x v="0"/>
    <n v="25931.31"/>
    <n v="18906.689999999999"/>
    <s v="Actual"/>
    <n v="2"/>
    <n v="7024.6200000000026"/>
    <n v="0.27089337175792516"/>
  </r>
  <r>
    <s v="ORD5261"/>
    <d v="2023-06-25T00:00:00"/>
    <x v="0"/>
    <x v="3"/>
    <x v="3"/>
    <x v="0"/>
    <n v="291507.95"/>
    <n v="224038.01"/>
    <s v="Actual"/>
    <n v="5"/>
    <n v="67469.94"/>
    <n v="0.23145145784188734"/>
  </r>
  <r>
    <s v="ORD2192"/>
    <s v="Not Mentioned"/>
    <x v="3"/>
    <x v="2"/>
    <x v="0"/>
    <x v="0"/>
    <n v="17813.78"/>
    <n v="14251.023999999999"/>
    <s v="Estimated"/>
    <n v="1"/>
    <n v="3562.7559999999994"/>
    <n v="0.19999999999999998"/>
  </r>
  <r>
    <s v="ORD2883"/>
    <s v="Not Mentioned"/>
    <x v="3"/>
    <x v="1"/>
    <x v="3"/>
    <x v="0"/>
    <n v="243492.43"/>
    <n v="220473"/>
    <s v="Actual"/>
    <n v="5"/>
    <n v="23019.429999999993"/>
    <n v="9.4538585860759583E-2"/>
  </r>
  <r>
    <s v="ORD9711"/>
    <d v="2023-06-25T00:00:00"/>
    <x v="0"/>
    <x v="3"/>
    <x v="2"/>
    <x v="0"/>
    <n v="43244.72"/>
    <n v="23931.67"/>
    <s v="Actual"/>
    <n v="2"/>
    <n v="19313.050000000003"/>
    <n v="0.44659902989312922"/>
  </r>
  <r>
    <s v="ORD9616"/>
    <d v="2023-03-20T00:00:00"/>
    <x v="5"/>
    <x v="1"/>
    <x v="0"/>
    <x v="0"/>
    <n v="15279.37"/>
    <n v="10847.1"/>
    <s v="Actual"/>
    <n v="1"/>
    <n v="4432.2700000000004"/>
    <n v="0.29008198636462107"/>
  </r>
  <r>
    <s v="ORD2819"/>
    <d v="2023-03-20T00:00:00"/>
    <x v="5"/>
    <x v="2"/>
    <x v="0"/>
    <x v="0"/>
    <n v="70319.350000000006"/>
    <n v="47283.32"/>
    <s v="Actual"/>
    <n v="5"/>
    <n v="23036.030000000006"/>
    <n v="0.32759162307387657"/>
  </r>
  <r>
    <s v="ORD5564"/>
    <d v="2023-02-15T00:00:00"/>
    <x v="1"/>
    <x v="3"/>
    <x v="3"/>
    <x v="0"/>
    <n v="203548.75"/>
    <n v="189824.5"/>
    <s v="Actual"/>
    <n v="4"/>
    <n v="13724.25"/>
    <n v="6.7424879789239681E-2"/>
  </r>
  <r>
    <s v="ORD3377"/>
    <d v="2023-06-25T00:00:00"/>
    <x v="0"/>
    <x v="2"/>
    <x v="1"/>
    <x v="0"/>
    <n v="9592.77"/>
    <n v="6758.45"/>
    <s v="Actual"/>
    <n v="1"/>
    <n v="2834.3200000000006"/>
    <n v="0.29546418813335468"/>
  </r>
  <r>
    <s v="ORD1710"/>
    <d v="2023-01-15T00:00:00"/>
    <x v="4"/>
    <x v="1"/>
    <x v="1"/>
    <x v="0"/>
    <n v="34343.15"/>
    <n v="21273.13"/>
    <s v="Actual"/>
    <n v="3"/>
    <n v="13070.02"/>
    <n v="0.38057138031892823"/>
  </r>
  <r>
    <s v="ORD920"/>
    <d v="2023-03-20T00:00:00"/>
    <x v="5"/>
    <x v="0"/>
    <x v="0"/>
    <x v="0"/>
    <n v="38409.279999999999"/>
    <n v="29070.04"/>
    <s v="Actual"/>
    <n v="3"/>
    <n v="9339.239999999998"/>
    <n v="0.24315061360171286"/>
  </r>
  <r>
    <s v="ORD205"/>
    <d v="2023-06-25T00:00:00"/>
    <x v="0"/>
    <x v="1"/>
    <x v="1"/>
    <x v="0"/>
    <n v="8852.4"/>
    <n v="7105.72"/>
    <s v="Actual"/>
    <n v="1"/>
    <n v="1746.6799999999994"/>
    <n v="0.19731146355790513"/>
  </r>
  <r>
    <s v="ORD3754"/>
    <d v="2023-06-25T00:00:00"/>
    <x v="0"/>
    <x v="2"/>
    <x v="2"/>
    <x v="0"/>
    <n v="34913.699999999997"/>
    <n v="27930.959999999999"/>
    <s v="Estimated"/>
    <n v="2"/>
    <n v="6982.739999999998"/>
    <n v="0.19999999999999996"/>
  </r>
  <r>
    <s v="ORD4498"/>
    <d v="2023-03-20T00:00:00"/>
    <x v="5"/>
    <x v="0"/>
    <x v="3"/>
    <x v="0"/>
    <n v="279094.26"/>
    <n v="196774.04"/>
    <s v="Actual"/>
    <n v="5"/>
    <n v="82320.22"/>
    <n v="0.29495490161639298"/>
  </r>
  <r>
    <s v="ORD3167"/>
    <d v="2023-04-05T00:00:00"/>
    <x v="2"/>
    <x v="1"/>
    <x v="0"/>
    <x v="0"/>
    <n v="33894.94"/>
    <n v="19952.580000000002"/>
    <s v="Actual"/>
    <n v="2"/>
    <n v="13942.36"/>
    <n v="0.41134045376684542"/>
  </r>
  <r>
    <s v="ORD7134"/>
    <d v="2023-06-25T00:00:00"/>
    <x v="0"/>
    <x v="2"/>
    <x v="1"/>
    <x v="0"/>
    <n v="55628.7"/>
    <n v="44502.96"/>
    <s v="Estimated"/>
    <n v="5"/>
    <n v="11125.739999999998"/>
    <n v="0.19999999999999998"/>
  </r>
  <r>
    <s v="ORD2896"/>
    <d v="2023-01-15T00:00:00"/>
    <x v="4"/>
    <x v="1"/>
    <x v="3"/>
    <x v="0"/>
    <n v="138957.23000000001"/>
    <n v="91833.48"/>
    <s v="Actual"/>
    <n v="2"/>
    <n v="47123.750000000015"/>
    <n v="0.33912413193613611"/>
  </r>
  <r>
    <s v="ORD9048"/>
    <d v="2023-04-05T00:00:00"/>
    <x v="2"/>
    <x v="3"/>
    <x v="1"/>
    <x v="0"/>
    <n v="23864.92"/>
    <n v="13528.25"/>
    <s v="Actual"/>
    <n v="2"/>
    <n v="10336.669999999998"/>
    <n v="0.43313239684021565"/>
  </r>
  <r>
    <s v="ORD1354"/>
    <d v="2023-04-05T00:00:00"/>
    <x v="2"/>
    <x v="2"/>
    <x v="1"/>
    <x v="0"/>
    <n v="10254.780000000001"/>
    <n v="6872.43"/>
    <s v="Actual"/>
    <n v="1"/>
    <n v="3382.3500000000004"/>
    <n v="0.32983155172514672"/>
  </r>
  <r>
    <s v="ORD2992"/>
    <d v="2023-04-05T00:00:00"/>
    <x v="2"/>
    <x v="1"/>
    <x v="3"/>
    <x v="0"/>
    <n v="181908.38"/>
    <n v="145526.704"/>
    <s v="Estimated"/>
    <n v="3"/>
    <n v="36381.676000000007"/>
    <n v="0.20000000000000004"/>
  </r>
  <r>
    <s v="ORD2668"/>
    <d v="2023-02-15T00:00:00"/>
    <x v="1"/>
    <x v="0"/>
    <x v="1"/>
    <x v="0"/>
    <n v="18244.849999999999"/>
    <n v="13734.66"/>
    <s v="Actual"/>
    <n v="2"/>
    <n v="4510.1899999999987"/>
    <n v="0.24720345741400993"/>
  </r>
  <r>
    <s v="ORD6691"/>
    <d v="2023-01-15T00:00:00"/>
    <x v="4"/>
    <x v="3"/>
    <x v="3"/>
    <x v="0"/>
    <n v="170290.29"/>
    <n v="122954.68"/>
    <s v="Actual"/>
    <n v="3"/>
    <n v="47335.610000000015"/>
    <n v="0.27797010622273305"/>
  </r>
  <r>
    <s v="ORD2057"/>
    <d v="2023-02-15T00:00:00"/>
    <x v="1"/>
    <x v="1"/>
    <x v="0"/>
    <x v="0"/>
    <n v="50656.2"/>
    <n v="40275.47"/>
    <s v="Actual"/>
    <n v="4"/>
    <n v="10380.729999999996"/>
    <n v="0.20492516217165907"/>
  </r>
  <r>
    <s v="ORD9798"/>
    <d v="2023-01-15T00:00:00"/>
    <x v="4"/>
    <x v="2"/>
    <x v="1"/>
    <x v="0"/>
    <n v="16960.21"/>
    <n v="14187.96"/>
    <s v="Actual"/>
    <n v="2"/>
    <n v="2772.25"/>
    <n v="0.163456112866527"/>
  </r>
  <r>
    <s v="ORD9567"/>
    <d v="2023-01-15T00:00:00"/>
    <x v="4"/>
    <x v="1"/>
    <x v="1"/>
    <x v="0"/>
    <n v="39727.85"/>
    <n v="27321.93"/>
    <s v="Actual"/>
    <n v="4"/>
    <n v="12405.919999999998"/>
    <n v="0.31227262487146923"/>
  </r>
  <r>
    <s v="ORD252"/>
    <d v="2023-01-15T00:00:00"/>
    <x v="4"/>
    <x v="1"/>
    <x v="2"/>
    <x v="0"/>
    <n v="87976.9"/>
    <n v="55530.22"/>
    <s v="Actual"/>
    <n v="4"/>
    <n v="32446.679999999993"/>
    <n v="0.36880908511211458"/>
  </r>
  <r>
    <s v="ORD6021"/>
    <d v="2023-02-15T00:00:00"/>
    <x v="1"/>
    <x v="0"/>
    <x v="1"/>
    <x v="0"/>
    <n v="25624.03"/>
    <n v="20499.224000000002"/>
    <s v="Estimated"/>
    <s v="Unknown"/>
    <n v="5124.8059999999969"/>
    <n v="0.1999999999999999"/>
  </r>
  <r>
    <s v="ORD9092"/>
    <d v="2023-03-20T00:00:00"/>
    <x v="5"/>
    <x v="1"/>
    <x v="0"/>
    <x v="0"/>
    <n v="29948.79"/>
    <n v="20347.060000000001"/>
    <s v="Actual"/>
    <n v="2"/>
    <n v="9601.73"/>
    <n v="0.3206049392980484"/>
  </r>
  <r>
    <s v="ORD318"/>
    <d v="2023-01-15T00:00:00"/>
    <x v="4"/>
    <x v="2"/>
    <x v="1"/>
    <x v="0"/>
    <n v="42037.95"/>
    <n v="28079.65"/>
    <s v="Actual"/>
    <n v="4"/>
    <n v="13958.299999999996"/>
    <n v="0.33204045392318121"/>
  </r>
  <r>
    <s v="ORD273"/>
    <d v="2023-03-20T00:00:00"/>
    <x v="5"/>
    <x v="2"/>
    <x v="0"/>
    <x v="0"/>
    <n v="58124.26"/>
    <n v="35313.660000000003"/>
    <s v="Actual"/>
    <n v="4"/>
    <n v="22810.6"/>
    <n v="0.39244542640198771"/>
  </r>
  <r>
    <s v="ORD389"/>
    <d v="2023-04-05T00:00:00"/>
    <x v="2"/>
    <x v="2"/>
    <x v="3"/>
    <x v="0"/>
    <n v="322847.71000000002"/>
    <n v="242609.14"/>
    <s v="Actual"/>
    <n v="5"/>
    <n v="80238.570000000007"/>
    <n v="0.24853380561379854"/>
  </r>
  <r>
    <s v="ORD6225"/>
    <s v="Not Mentioned"/>
    <x v="3"/>
    <x v="1"/>
    <x v="0"/>
    <x v="0"/>
    <n v="27816.84"/>
    <n v="18229.04"/>
    <s v="Actual"/>
    <n v="2"/>
    <n v="9587.7999999999993"/>
    <n v="0.34467610267737092"/>
  </r>
  <r>
    <s v="ORD4456"/>
    <d v="2023-01-15T00:00:00"/>
    <x v="4"/>
    <x v="3"/>
    <x v="1"/>
    <x v="0"/>
    <n v="32717.46"/>
    <n v="30143.63"/>
    <s v="Actual"/>
    <n v="4"/>
    <n v="2573.8299999999981"/>
    <n v="7.866839296204528E-2"/>
  </r>
  <r>
    <s v="ORD137"/>
    <d v="2023-02-15T00:00:00"/>
    <x v="1"/>
    <x v="1"/>
    <x v="2"/>
    <x v="0"/>
    <n v="16985.689999999999"/>
    <n v="13588.552"/>
    <s v="Estimated"/>
    <n v="1"/>
    <n v="3397.137999999999"/>
    <n v="0.19999999999999996"/>
  </r>
  <r>
    <s v="ORD9705"/>
    <d v="2023-02-15T00:00:00"/>
    <x v="1"/>
    <x v="3"/>
    <x v="2"/>
    <x v="0"/>
    <n v="92459.17"/>
    <n v="54753.17"/>
    <s v="Actual"/>
    <n v="4"/>
    <n v="37706"/>
    <n v="0.40781244304918596"/>
  </r>
  <r>
    <s v="ORD1862"/>
    <d v="2023-01-15T00:00:00"/>
    <x v="4"/>
    <x v="1"/>
    <x v="0"/>
    <x v="0"/>
    <n v="70490.789999999994"/>
    <n v="38053.89"/>
    <s v="Actual"/>
    <n v="4"/>
    <n v="32436.899999999994"/>
    <n v="0.46015798659654683"/>
  </r>
  <r>
    <s v="ORD3316"/>
    <d v="2023-01-15T00:00:00"/>
    <x v="4"/>
    <x v="1"/>
    <x v="1"/>
    <x v="0"/>
    <n v="51947.45"/>
    <n v="29757.13"/>
    <s v="Actual"/>
    <n v="5"/>
    <n v="22190.319999999996"/>
    <n v="0.4271686098162662"/>
  </r>
  <r>
    <s v="ORD7968"/>
    <s v="Not Mentioned"/>
    <x v="3"/>
    <x v="2"/>
    <x v="2"/>
    <x v="0"/>
    <n v="68994.97"/>
    <n v="41934.839999999997"/>
    <s v="Actual"/>
    <n v="3"/>
    <n v="27060.130000000005"/>
    <n v="0.39220438823293935"/>
  </r>
  <r>
    <s v="ORD4141"/>
    <d v="2023-06-25T00:00:00"/>
    <x v="0"/>
    <x v="2"/>
    <x v="0"/>
    <x v="0"/>
    <n v="30766.87"/>
    <n v="18195.78"/>
    <s v="Actual"/>
    <n v="2"/>
    <n v="12571.09"/>
    <n v="0.40859177420387582"/>
  </r>
  <r>
    <s v="ORD9933"/>
    <d v="2023-03-20T00:00:00"/>
    <x v="5"/>
    <x v="1"/>
    <x v="0"/>
    <x v="0"/>
    <n v="55168.51"/>
    <n v="40238.47"/>
    <s v="Actual"/>
    <n v="4"/>
    <n v="14930.04"/>
    <n v="0.27062612348965015"/>
  </r>
  <r>
    <s v="ORD4481"/>
    <d v="2023-02-15T00:00:00"/>
    <x v="1"/>
    <x v="1"/>
    <x v="2"/>
    <x v="0"/>
    <n v="61130.06"/>
    <n v="37055.769999999997"/>
    <s v="Actual"/>
    <n v="3"/>
    <n v="24074.29"/>
    <n v="0.39382081417881809"/>
  </r>
  <r>
    <s v="ORD8857"/>
    <d v="2023-02-15T00:00:00"/>
    <x v="1"/>
    <x v="2"/>
    <x v="3"/>
    <x v="0"/>
    <n v="223791.29"/>
    <n v="186838.46"/>
    <s v="Actual"/>
    <n v="4"/>
    <n v="36952.830000000016"/>
    <n v="0.16512184187329193"/>
  </r>
  <r>
    <s v="ORD8153"/>
    <d v="2023-02-15T00:00:00"/>
    <x v="1"/>
    <x v="3"/>
    <x v="0"/>
    <x v="0"/>
    <n v="25712.01"/>
    <n v="19297.09"/>
    <s v="Actual"/>
    <n v="2"/>
    <n v="6414.9199999999983"/>
    <n v="0.24949119108152176"/>
  </r>
  <r>
    <s v="ORD8519"/>
    <d v="2023-04-05T00:00:00"/>
    <x v="2"/>
    <x v="1"/>
    <x v="3"/>
    <x v="0"/>
    <n v="280685.40000000002"/>
    <n v="196791.6"/>
    <s v="Actual"/>
    <n v="5"/>
    <n v="83893.800000000017"/>
    <n v="0.29888907652482105"/>
  </r>
  <r>
    <s v="ORD230"/>
    <d v="2023-01-15T00:00:00"/>
    <x v="4"/>
    <x v="1"/>
    <x v="0"/>
    <x v="0"/>
    <n v="42523.95"/>
    <n v="30537.11"/>
    <s v="Actual"/>
    <n v="3"/>
    <n v="11986.839999999997"/>
    <n v="0.28188444394276629"/>
  </r>
  <r>
    <s v="ORD8549"/>
    <d v="2023-04-05T00:00:00"/>
    <x v="2"/>
    <x v="1"/>
    <x v="2"/>
    <x v="0"/>
    <n v="65341.7"/>
    <n v="42746.28"/>
    <s v="Actual"/>
    <n v="3"/>
    <n v="22595.42"/>
    <n v="0.34580398122485334"/>
  </r>
  <r>
    <s v="ORD7094"/>
    <d v="2023-02-15T00:00:00"/>
    <x v="1"/>
    <x v="1"/>
    <x v="1"/>
    <x v="0"/>
    <n v="9395.9599999999991"/>
    <n v="6180.02"/>
    <s v="Actual"/>
    <n v="1"/>
    <n v="3215.9399999999987"/>
    <n v="0.34226837917573072"/>
  </r>
  <r>
    <s v="ORD8637"/>
    <d v="2023-03-20T00:00:00"/>
    <x v="5"/>
    <x v="2"/>
    <x v="0"/>
    <x v="0"/>
    <n v="69856.460000000006"/>
    <n v="47182.57"/>
    <s v="Actual"/>
    <n v="5"/>
    <n v="22673.890000000007"/>
    <n v="0.32457828524376992"/>
  </r>
  <r>
    <s v="ORD8294"/>
    <s v="Not Mentioned"/>
    <x v="3"/>
    <x v="0"/>
    <x v="3"/>
    <x v="0"/>
    <n v="143450.14000000001"/>
    <n v="84224.21"/>
    <s v="Actual"/>
    <n v="2"/>
    <n v="59225.930000000008"/>
    <n v="0.41286770441632192"/>
  </r>
  <r>
    <s v="ORD8599"/>
    <d v="2023-01-15T00:00:00"/>
    <x v="4"/>
    <x v="1"/>
    <x v="3"/>
    <x v="0"/>
    <n v="290034.12"/>
    <n v="232027.296"/>
    <s v="Estimated"/>
    <n v="5"/>
    <n v="58006.823999999993"/>
    <n v="0.19999999999999998"/>
  </r>
  <r>
    <s v="ORD2631"/>
    <d v="2023-06-25T00:00:00"/>
    <x v="0"/>
    <x v="1"/>
    <x v="3"/>
    <x v="0"/>
    <n v="137026.19"/>
    <n v="93236.45"/>
    <s v="Actual"/>
    <n v="2"/>
    <n v="43789.740000000005"/>
    <n v="0.31957204677441592"/>
  </r>
  <r>
    <s v="ORD2777"/>
    <d v="2023-03-20T00:00:00"/>
    <x v="5"/>
    <x v="2"/>
    <x v="2"/>
    <x v="0"/>
    <n v="46058.26"/>
    <n v="24012.76"/>
    <s v="Actual"/>
    <n v="2"/>
    <n v="22045.500000000004"/>
    <n v="0.4786437872381632"/>
  </r>
  <r>
    <s v="ORD2521"/>
    <d v="2023-02-15T00:00:00"/>
    <x v="1"/>
    <x v="3"/>
    <x v="1"/>
    <x v="0"/>
    <n v="25717.23"/>
    <n v="19801.96"/>
    <s v="Actual"/>
    <s v="Unknown"/>
    <n v="5915.27"/>
    <n v="0.23001194141048631"/>
  </r>
  <r>
    <s v="ORD1525"/>
    <d v="2023-04-05T00:00:00"/>
    <x v="2"/>
    <x v="0"/>
    <x v="1"/>
    <x v="0"/>
    <n v="48111.02"/>
    <n v="36071.480000000003"/>
    <s v="Actual"/>
    <n v="5"/>
    <n v="12039.539999999994"/>
    <n v="0.25024495427450916"/>
  </r>
  <r>
    <s v="ORD8459"/>
    <d v="2023-02-15T00:00:00"/>
    <x v="1"/>
    <x v="1"/>
    <x v="0"/>
    <x v="0"/>
    <n v="86125.19"/>
    <n v="68900.152000000002"/>
    <s v="Estimated"/>
    <n v="5"/>
    <n v="17225.038"/>
    <n v="0.2"/>
  </r>
  <r>
    <s v="ORD1954"/>
    <d v="2023-01-15T00:00:00"/>
    <x v="4"/>
    <x v="3"/>
    <x v="0"/>
    <x v="0"/>
    <n v="27309.79"/>
    <n v="18539.41"/>
    <s v="Actual"/>
    <n v="2"/>
    <n v="8770.380000000001"/>
    <n v="0.32114417576993454"/>
  </r>
  <r>
    <s v="ORD4571"/>
    <s v="Not Mentioned"/>
    <x v="3"/>
    <x v="1"/>
    <x v="2"/>
    <x v="0"/>
    <n v="21462.39"/>
    <n v="13323.06"/>
    <s v="Actual"/>
    <n v="1"/>
    <n v="8139.33"/>
    <n v="0.37923688834281738"/>
  </r>
  <r>
    <s v="ORD5652"/>
    <d v="2023-04-05T00:00:00"/>
    <x v="2"/>
    <x v="2"/>
    <x v="0"/>
    <x v="0"/>
    <n v="35507.160000000003"/>
    <n v="18052.22"/>
    <s v="Actual"/>
    <n v="2"/>
    <n v="17454.940000000002"/>
    <n v="0.49158930198866935"/>
  </r>
  <r>
    <s v="ORD7574"/>
    <d v="2023-06-25T00:00:00"/>
    <x v="0"/>
    <x v="2"/>
    <x v="3"/>
    <x v="0"/>
    <n v="146044.12"/>
    <n v="117372.82"/>
    <s v="Actual"/>
    <n v="3"/>
    <n v="28671.299999999988"/>
    <n v="0.19631944100180129"/>
  </r>
  <r>
    <s v="ORD449"/>
    <s v="Not Mentioned"/>
    <x v="3"/>
    <x v="0"/>
    <x v="0"/>
    <x v="0"/>
    <n v="50500.98"/>
    <n v="27549.84"/>
    <s v="Actual"/>
    <n v="3"/>
    <n v="22951.140000000003"/>
    <n v="0.45446920039967542"/>
  </r>
  <r>
    <s v="ORD8711"/>
    <d v="2023-02-15T00:00:00"/>
    <x v="1"/>
    <x v="2"/>
    <x v="2"/>
    <x v="0"/>
    <n v="113109.82"/>
    <n v="66260.149999999994"/>
    <s v="Actual"/>
    <n v="5"/>
    <n v="46849.670000000013"/>
    <n v="0.4141963093920582"/>
  </r>
  <r>
    <s v="ORD346"/>
    <s v="Not Mentioned"/>
    <x v="3"/>
    <x v="2"/>
    <x v="3"/>
    <x v="0"/>
    <n v="156200.95999999999"/>
    <n v="125384.17"/>
    <s v="Actual"/>
    <n v="3"/>
    <n v="30816.789999999994"/>
    <n v="0.19728937645453648"/>
  </r>
  <r>
    <s v="ORD1339"/>
    <d v="2023-04-05T00:00:00"/>
    <x v="2"/>
    <x v="2"/>
    <x v="3"/>
    <x v="0"/>
    <n v="115953.43"/>
    <n v="85011"/>
    <s v="Actual"/>
    <n v="2"/>
    <n v="30942.429999999993"/>
    <n v="0.26685221817069144"/>
  </r>
  <r>
    <s v="ORD8290"/>
    <d v="2023-01-15T00:00:00"/>
    <x v="4"/>
    <x v="1"/>
    <x v="3"/>
    <x v="0"/>
    <n v="147562.81"/>
    <n v="118102.09"/>
    <s v="Actual"/>
    <n v="3"/>
    <n v="29460.720000000001"/>
    <n v="0.19964867841700765"/>
  </r>
  <r>
    <s v="ORD7130"/>
    <d v="2023-06-25T00:00:00"/>
    <x v="0"/>
    <x v="2"/>
    <x v="0"/>
    <x v="0"/>
    <n v="83002.149999999994"/>
    <n v="66401.72"/>
    <s v="Estimated"/>
    <n v="5"/>
    <n v="16600.429999999993"/>
    <n v="0.19999999999999993"/>
  </r>
  <r>
    <s v="ORD4845"/>
    <s v="Not Mentioned"/>
    <x v="3"/>
    <x v="3"/>
    <x v="3"/>
    <x v="0"/>
    <n v="99780.15"/>
    <n v="77280.44"/>
    <s v="Actual"/>
    <n v="2"/>
    <n v="22499.709999999992"/>
    <n v="0.22549284602197925"/>
  </r>
  <r>
    <s v="ORD2625"/>
    <s v="Not Mentioned"/>
    <x v="3"/>
    <x v="2"/>
    <x v="2"/>
    <x v="0"/>
    <n v="43310.71"/>
    <n v="34648.567999999999"/>
    <s v="Estimated"/>
    <n v="2"/>
    <n v="8662.1419999999998"/>
    <n v="0.2"/>
  </r>
  <r>
    <s v="ORD393"/>
    <d v="2023-06-25T00:00:00"/>
    <x v="0"/>
    <x v="0"/>
    <x v="1"/>
    <x v="0"/>
    <n v="34372.199999999997"/>
    <n v="19149.169999999998"/>
    <s v="Actual"/>
    <n v="3"/>
    <n v="15223.029999999999"/>
    <n v="0.44288785704726497"/>
  </r>
  <r>
    <s v="ORD2794"/>
    <d v="2023-02-15T00:00:00"/>
    <x v="1"/>
    <x v="1"/>
    <x v="0"/>
    <x v="0"/>
    <n v="61743.9"/>
    <n v="42801.8"/>
    <s v="Actual"/>
    <n v="4"/>
    <n v="18942.099999999999"/>
    <n v="0.30678496175330677"/>
  </r>
  <r>
    <s v="ORD315"/>
    <d v="2023-04-05T00:00:00"/>
    <x v="2"/>
    <x v="3"/>
    <x v="0"/>
    <x v="0"/>
    <n v="13704.12"/>
    <n v="10614.99"/>
    <s v="Actual"/>
    <s v="Unknown"/>
    <n v="3089.130000000001"/>
    <n v="0.22541615222283523"/>
  </r>
  <r>
    <s v="ORD7588"/>
    <d v="2023-04-05T00:00:00"/>
    <x v="2"/>
    <x v="2"/>
    <x v="2"/>
    <x v="0"/>
    <n v="39035.33"/>
    <n v="27465.84"/>
    <s v="Actual"/>
    <s v="Unknown"/>
    <n v="11569.490000000002"/>
    <n v="0.29638509524576839"/>
  </r>
  <r>
    <s v="ORD3435"/>
    <d v="2023-03-20T00:00:00"/>
    <x v="5"/>
    <x v="2"/>
    <x v="3"/>
    <x v="0"/>
    <n v="48215.17"/>
    <n v="48996.02"/>
    <s v="Actual"/>
    <n v="1"/>
    <n v="-780.84999999999854"/>
    <n v="-1.6195110377086683E-2"/>
  </r>
  <r>
    <s v="ORD8159"/>
    <d v="2023-06-25T00:00:00"/>
    <x v="0"/>
    <x v="2"/>
    <x v="0"/>
    <x v="0"/>
    <n v="53348.61"/>
    <n v="31452.67"/>
    <s v="Actual"/>
    <n v="3"/>
    <n v="21895.940000000002"/>
    <n v="0.41043131208104583"/>
  </r>
  <r>
    <s v="ORD2208"/>
    <d v="2023-01-15T00:00:00"/>
    <x v="4"/>
    <x v="1"/>
    <x v="3"/>
    <x v="0"/>
    <n v="200860.27"/>
    <n v="172467.61"/>
    <s v="Actual"/>
    <n v="4"/>
    <n v="28392.660000000003"/>
    <n v="0.14135528146009166"/>
  </r>
  <r>
    <s v="ORD542"/>
    <d v="2023-06-25T00:00:00"/>
    <x v="0"/>
    <x v="3"/>
    <x v="3"/>
    <x v="0"/>
    <n v="142995.99"/>
    <n v="86908.34"/>
    <s v="Actual"/>
    <n v="2"/>
    <n v="56087.649999999994"/>
    <n v="0.39223232763380284"/>
  </r>
  <r>
    <s v="ORD9733"/>
    <d v="2023-02-15T00:00:00"/>
    <x v="1"/>
    <x v="3"/>
    <x v="1"/>
    <x v="0"/>
    <n v="54169.25"/>
    <n v="38421.949999999997"/>
    <s v="Actual"/>
    <n v="5"/>
    <n v="15747.300000000003"/>
    <n v="0.29070552019826751"/>
  </r>
  <r>
    <s v="ORD9760"/>
    <d v="2023-03-20T00:00:00"/>
    <x v="5"/>
    <x v="1"/>
    <x v="0"/>
    <x v="0"/>
    <n v="53575.03"/>
    <n v="42645.02"/>
    <s v="Actual"/>
    <n v="4"/>
    <n v="10930.010000000002"/>
    <n v="0.20401313821009531"/>
  </r>
  <r>
    <s v="ORD9343"/>
    <d v="2023-02-15T00:00:00"/>
    <x v="1"/>
    <x v="1"/>
    <x v="3"/>
    <x v="0"/>
    <n v="122335.78"/>
    <n v="82029.42"/>
    <s v="Actual"/>
    <n v="2"/>
    <n v="40306.36"/>
    <n v="0.32947319255249774"/>
  </r>
  <r>
    <s v="ORD6361"/>
    <d v="2023-06-25T00:00:00"/>
    <x v="0"/>
    <x v="2"/>
    <x v="1"/>
    <x v="0"/>
    <n v="40111.699999999997"/>
    <n v="26226.59"/>
    <s v="Actual"/>
    <n v="4"/>
    <n v="13885.109999999997"/>
    <n v="0.34616109514181642"/>
  </r>
  <r>
    <s v="ORD702"/>
    <d v="2023-01-15T00:00:00"/>
    <x v="4"/>
    <x v="3"/>
    <x v="2"/>
    <x v="0"/>
    <n v="17873.27"/>
    <n v="12694.93"/>
    <s v="Actual"/>
    <n v="1"/>
    <n v="5178.34"/>
    <n v="0.28972538321191366"/>
  </r>
  <r>
    <s v="ORD7637"/>
    <d v="2023-01-15T00:00:00"/>
    <x v="4"/>
    <x v="2"/>
    <x v="1"/>
    <x v="0"/>
    <n v="46879.44"/>
    <n v="32466.09"/>
    <s v="Actual"/>
    <n v="5"/>
    <n v="14413.350000000002"/>
    <n v="0.30745567779819899"/>
  </r>
  <r>
    <s v="ORD4486"/>
    <d v="2023-06-25T00:00:00"/>
    <x v="0"/>
    <x v="1"/>
    <x v="0"/>
    <x v="0"/>
    <n v="15281.78"/>
    <n v="9092.42"/>
    <s v="Actual"/>
    <n v="1"/>
    <n v="6189.3600000000006"/>
    <n v="0.40501564608311336"/>
  </r>
  <r>
    <s v="ORD2505"/>
    <d v="2023-02-15T00:00:00"/>
    <x v="1"/>
    <x v="3"/>
    <x v="1"/>
    <x v="0"/>
    <n v="9709.2099999999991"/>
    <n v="7294.13"/>
    <s v="Actual"/>
    <n v="1"/>
    <n v="2415.079999999999"/>
    <n v="0.2487411437181809"/>
  </r>
  <r>
    <s v="ORD8547"/>
    <d v="2023-06-25T00:00:00"/>
    <x v="0"/>
    <x v="2"/>
    <x v="1"/>
    <x v="0"/>
    <n v="22190.95"/>
    <n v="12802.26"/>
    <s v="Actual"/>
    <n v="2"/>
    <n v="9388.69"/>
    <n v="0.42308643839042492"/>
  </r>
  <r>
    <s v="ORD6797"/>
    <d v="2023-06-25T00:00:00"/>
    <x v="0"/>
    <x v="1"/>
    <x v="0"/>
    <x v="0"/>
    <n v="40052.11"/>
    <n v="32899.96"/>
    <s v="Actual"/>
    <n v="3"/>
    <n v="7152.1500000000015"/>
    <n v="0.1785711164780083"/>
  </r>
  <r>
    <s v="ORD4289"/>
    <s v="Not Mentioned"/>
    <x v="3"/>
    <x v="0"/>
    <x v="3"/>
    <x v="0"/>
    <n v="198176.93"/>
    <n v="144096.95999999999"/>
    <s v="Actual"/>
    <n v="3"/>
    <n v="54079.97"/>
    <n v="0.272887313371945"/>
  </r>
  <r>
    <s v="ORD592"/>
    <d v="2023-01-15T00:00:00"/>
    <x v="4"/>
    <x v="0"/>
    <x v="0"/>
    <x v="0"/>
    <n v="68857.87"/>
    <n v="47186.63"/>
    <s v="Actual"/>
    <n v="5"/>
    <n v="21671.239999999998"/>
    <n v="0.31472422832713237"/>
  </r>
  <r>
    <s v="ORD2146"/>
    <d v="2023-03-20T00:00:00"/>
    <x v="5"/>
    <x v="3"/>
    <x v="1"/>
    <x v="0"/>
    <n v="26303.49"/>
    <n v="21538.73"/>
    <s v="Actual"/>
    <n v="3"/>
    <n v="4764.760000000002"/>
    <n v="0.18114554380426331"/>
  </r>
  <r>
    <s v="ORD3177"/>
    <d v="2023-04-05T00:00:00"/>
    <x v="2"/>
    <x v="1"/>
    <x v="3"/>
    <x v="0"/>
    <n v="103278.07"/>
    <n v="86165.86"/>
    <s v="Actual"/>
    <n v="2"/>
    <n v="17112.210000000006"/>
    <n v="0.16569064468381337"/>
  </r>
  <r>
    <s v="ORD6003"/>
    <d v="2023-03-20T00:00:00"/>
    <x v="5"/>
    <x v="1"/>
    <x v="2"/>
    <x v="0"/>
    <n v="83296.58"/>
    <n v="58102.04"/>
    <s v="Actual"/>
    <n v="4"/>
    <n v="25194.54"/>
    <n v="0.30246788043398659"/>
  </r>
  <r>
    <s v="ORD631"/>
    <d v="2023-02-15T00:00:00"/>
    <x v="1"/>
    <x v="2"/>
    <x v="0"/>
    <x v="0"/>
    <n v="35192.93"/>
    <n v="17288.38"/>
    <s v="Actual"/>
    <n v="2"/>
    <n v="17904.55"/>
    <n v="0.50875417306828385"/>
  </r>
  <r>
    <s v="ORD978"/>
    <d v="2023-03-20T00:00:00"/>
    <x v="5"/>
    <x v="1"/>
    <x v="2"/>
    <x v="0"/>
    <n v="41387.47"/>
    <n v="24667.01"/>
    <s v="Actual"/>
    <n v="2"/>
    <n v="16720.460000000003"/>
    <n v="0.4039981182710613"/>
  </r>
  <r>
    <s v="ORD604"/>
    <d v="2023-01-15T00:00:00"/>
    <x v="4"/>
    <x v="2"/>
    <x v="0"/>
    <x v="0"/>
    <n v="37669.57"/>
    <n v="30135.656000000003"/>
    <s v="Estimated"/>
    <n v="3"/>
    <n v="7533.913999999997"/>
    <n v="0.19999999999999993"/>
  </r>
  <r>
    <s v="ORD9899"/>
    <s v="Not Mentioned"/>
    <x v="3"/>
    <x v="1"/>
    <x v="0"/>
    <x v="0"/>
    <n v="61185.99"/>
    <n v="39348.75"/>
    <s v="Actual"/>
    <n v="4"/>
    <n v="21837.239999999998"/>
    <n v="0.35689934901764275"/>
  </r>
  <r>
    <s v="ORD9868"/>
    <d v="2023-01-15T00:00:00"/>
    <x v="4"/>
    <x v="2"/>
    <x v="0"/>
    <x v="0"/>
    <n v="63431.81"/>
    <n v="37961.660000000003"/>
    <s v="Actual"/>
    <n v="4"/>
    <n v="25470.149999999994"/>
    <n v="0.40153591707378355"/>
  </r>
  <r>
    <s v="ORD3112"/>
    <d v="2023-02-15T00:00:00"/>
    <x v="1"/>
    <x v="0"/>
    <x v="3"/>
    <x v="0"/>
    <n v="71077.210000000006"/>
    <n v="44286.03"/>
    <s v="Actual"/>
    <s v="Unknown"/>
    <n v="26791.180000000008"/>
    <n v="0.37693066455478491"/>
  </r>
  <r>
    <s v="ORD8166"/>
    <s v="Not Mentioned"/>
    <x v="3"/>
    <x v="2"/>
    <x v="3"/>
    <x v="0"/>
    <n v="112675.15"/>
    <n v="79572.11"/>
    <s v="Actual"/>
    <n v="2"/>
    <n v="33103.039999999994"/>
    <n v="0.29379184318813861"/>
  </r>
  <r>
    <s v="ORD609"/>
    <d v="2023-06-25T00:00:00"/>
    <x v="0"/>
    <x v="0"/>
    <x v="1"/>
    <x v="0"/>
    <n v="10544.25"/>
    <n v="6073.82"/>
    <s v="Actual"/>
    <n v="1"/>
    <n v="4470.43"/>
    <n v="0.42396851364487759"/>
  </r>
  <r>
    <s v="ORD4563"/>
    <d v="2023-02-15T00:00:00"/>
    <x v="1"/>
    <x v="3"/>
    <x v="1"/>
    <x v="0"/>
    <n v="54435.06"/>
    <n v="37811.11"/>
    <s v="Actual"/>
    <n v="5"/>
    <n v="16623.949999999997"/>
    <n v="0.30539049649251782"/>
  </r>
  <r>
    <s v="ORD124"/>
    <d v="2023-04-05T00:00:00"/>
    <x v="2"/>
    <x v="1"/>
    <x v="2"/>
    <x v="0"/>
    <n v="71508.27"/>
    <n v="36629.120000000003"/>
    <s v="Actual"/>
    <n v="3"/>
    <n v="34879.15"/>
    <n v="0.48776386283712359"/>
  </r>
  <r>
    <s v="ORD2682"/>
    <d v="2023-02-15T00:00:00"/>
    <x v="1"/>
    <x v="2"/>
    <x v="1"/>
    <x v="0"/>
    <n v="9951.8799999999992"/>
    <n v="6753.14"/>
    <s v="Actual"/>
    <n v="1"/>
    <n v="3198.7399999999989"/>
    <n v="0.32142067629432824"/>
  </r>
  <r>
    <s v="ORD126"/>
    <d v="2023-02-15T00:00:00"/>
    <x v="1"/>
    <x v="0"/>
    <x v="0"/>
    <x v="0"/>
    <n v="79709.47"/>
    <n v="49255.69"/>
    <s v="Actual"/>
    <n v="5"/>
    <n v="30453.78"/>
    <n v="0.38205974773135487"/>
  </r>
  <r>
    <s v="ORD537"/>
    <d v="2023-03-20T00:00:00"/>
    <x v="5"/>
    <x v="2"/>
    <x v="0"/>
    <x v="0"/>
    <n v="16973.169999999998"/>
    <n v="13578.536"/>
    <s v="Estimated"/>
    <n v="1"/>
    <n v="3394.6339999999982"/>
    <n v="0.19999999999999993"/>
  </r>
  <r>
    <s v="ORD948"/>
    <d v="2023-03-20T00:00:00"/>
    <x v="5"/>
    <x v="1"/>
    <x v="0"/>
    <x v="0"/>
    <n v="32151.22"/>
    <n v="17546.41"/>
    <s v="Actual"/>
    <n v="2"/>
    <n v="14604.810000000001"/>
    <n v="0.45425367995366894"/>
  </r>
  <r>
    <s v="ORD1818"/>
    <d v="2023-02-15T00:00:00"/>
    <x v="1"/>
    <x v="1"/>
    <x v="2"/>
    <x v="0"/>
    <n v="51815.35"/>
    <n v="38949.18"/>
    <s v="Actual"/>
    <n v="3"/>
    <n v="12866.169999999998"/>
    <n v="0.24830807859061066"/>
  </r>
  <r>
    <s v="ORD5340"/>
    <d v="2023-02-15T00:00:00"/>
    <x v="1"/>
    <x v="2"/>
    <x v="0"/>
    <x v="0"/>
    <n v="64400.47"/>
    <n v="36614.67"/>
    <s v="Actual"/>
    <n v="4"/>
    <n v="27785.800000000003"/>
    <n v="0.43145337293345842"/>
  </r>
  <r>
    <s v="ORD2915"/>
    <s v="Not Mentioned"/>
    <x v="3"/>
    <x v="1"/>
    <x v="3"/>
    <x v="0"/>
    <n v="48556.23"/>
    <n v="47156.97"/>
    <s v="Actual"/>
    <n v="1"/>
    <n v="1399.260000000002"/>
    <n v="2.8817311393409289E-2"/>
  </r>
  <r>
    <s v="ORD2213"/>
    <d v="2023-02-15T00:00:00"/>
    <x v="1"/>
    <x v="2"/>
    <x v="2"/>
    <x v="0"/>
    <n v="115561.65"/>
    <n v="60261.52"/>
    <s v="Actual"/>
    <n v="5"/>
    <n v="55300.13"/>
    <n v="0.47853357926267059"/>
  </r>
  <r>
    <s v="ORD9186"/>
    <d v="2023-01-15T00:00:00"/>
    <x v="4"/>
    <x v="2"/>
    <x v="2"/>
    <x v="0"/>
    <n v="75168.23"/>
    <n v="53160.4"/>
    <s v="Actual"/>
    <n v="4"/>
    <n v="22007.829999999994"/>
    <n v="0.29278100601810092"/>
  </r>
  <r>
    <s v="ORD576"/>
    <d v="2023-03-20T00:00:00"/>
    <x v="5"/>
    <x v="2"/>
    <x v="0"/>
    <x v="0"/>
    <n v="63997.59"/>
    <n v="36995.279999999999"/>
    <s v="Actual"/>
    <n v="4"/>
    <n v="27002.309999999998"/>
    <n v="0.42192698193791356"/>
  </r>
  <r>
    <s v="ORD1647"/>
    <d v="2023-02-15T00:00:00"/>
    <x v="1"/>
    <x v="2"/>
    <x v="3"/>
    <x v="0"/>
    <n v="339777.07"/>
    <n v="221905.25"/>
    <s v="Actual"/>
    <n v="5"/>
    <n v="117871.82"/>
    <n v="0.3469092837842177"/>
  </r>
  <r>
    <s v="ORD7080"/>
    <d v="2023-04-05T00:00:00"/>
    <x v="2"/>
    <x v="1"/>
    <x v="0"/>
    <x v="0"/>
    <n v="87253.33"/>
    <n v="44506.239999999998"/>
    <s v="Actual"/>
    <n v="5"/>
    <n v="42747.090000000004"/>
    <n v="0.48991929591684358"/>
  </r>
  <r>
    <s v="ORD1441"/>
    <s v="Not Mentioned"/>
    <x v="3"/>
    <x v="2"/>
    <x v="3"/>
    <x v="0"/>
    <n v="63725.83"/>
    <n v="45867.8"/>
    <s v="Actual"/>
    <n v="1"/>
    <n v="17858.03"/>
    <n v="0.28023220725410714"/>
  </r>
  <r>
    <s v="ORD6255"/>
    <d v="2023-06-25T00:00:00"/>
    <x v="0"/>
    <x v="1"/>
    <x v="2"/>
    <x v="0"/>
    <n v="61565.84"/>
    <n v="39088.18"/>
    <s v="Actual"/>
    <n v="3"/>
    <n v="22477.659999999996"/>
    <n v="0.36509954221366908"/>
  </r>
  <r>
    <s v="ORD1903"/>
    <d v="2023-03-20T00:00:00"/>
    <x v="5"/>
    <x v="1"/>
    <x v="2"/>
    <x v="0"/>
    <n v="20174"/>
    <n v="12989.73"/>
    <s v="Actual"/>
    <n v="1"/>
    <n v="7184.27"/>
    <n v="0.35611529691682364"/>
  </r>
  <r>
    <s v="ORD9088"/>
    <d v="2023-02-15T00:00:00"/>
    <x v="1"/>
    <x v="0"/>
    <x v="2"/>
    <x v="0"/>
    <n v="54290.85"/>
    <n v="37212.5"/>
    <s v="Actual"/>
    <n v="3"/>
    <n v="17078.349999999999"/>
    <n v="0.31457142409816752"/>
  </r>
  <r>
    <s v="ORD769"/>
    <d v="2023-06-25T00:00:00"/>
    <x v="0"/>
    <x v="1"/>
    <x v="2"/>
    <x v="0"/>
    <n v="57578.27"/>
    <n v="41181.83"/>
    <s v="Actual"/>
    <n v="3"/>
    <n v="16396.439999999995"/>
    <n v="0.28476784731462051"/>
  </r>
  <r>
    <s v="ORD3319"/>
    <d v="2023-04-05T00:00:00"/>
    <x v="2"/>
    <x v="2"/>
    <x v="2"/>
    <x v="0"/>
    <n v="33437.81"/>
    <n v="29942.52"/>
    <s v="Actual"/>
    <n v="2"/>
    <n v="3495.2899999999972"/>
    <n v="0.10453106827271276"/>
  </r>
  <r>
    <s v="ORD7063"/>
    <d v="2023-01-15T00:00:00"/>
    <x v="4"/>
    <x v="3"/>
    <x v="0"/>
    <x v="0"/>
    <n v="78509.75"/>
    <n v="43060.22"/>
    <s v="Actual"/>
    <n v="5"/>
    <n v="35449.53"/>
    <n v="0.45153028763943331"/>
  </r>
  <r>
    <s v="ORD7989"/>
    <d v="2023-06-25T00:00:00"/>
    <x v="0"/>
    <x v="2"/>
    <x v="0"/>
    <x v="0"/>
    <n v="82523.38"/>
    <n v="46512.23"/>
    <s v="Actual"/>
    <n v="5"/>
    <n v="36011.15"/>
    <n v="0.43637512181396348"/>
  </r>
  <r>
    <s v="ORD145"/>
    <d v="2023-02-15T00:00:00"/>
    <x v="1"/>
    <x v="1"/>
    <x v="2"/>
    <x v="0"/>
    <n v="67881.990000000005"/>
    <n v="57310.36"/>
    <s v="Actual"/>
    <n v="4"/>
    <n v="10571.630000000005"/>
    <n v="0.1557354167136232"/>
  </r>
  <r>
    <s v="ORD7343"/>
    <d v="2023-06-25T00:00:00"/>
    <x v="0"/>
    <x v="1"/>
    <x v="1"/>
    <x v="0"/>
    <n v="45224.03"/>
    <n v="27345.3"/>
    <s v="Actual"/>
    <n v="4"/>
    <n v="17878.73"/>
    <n v="0.39533694807826725"/>
  </r>
  <r>
    <s v="ORD8824"/>
    <d v="2023-01-15T00:00:00"/>
    <x v="4"/>
    <x v="3"/>
    <x v="3"/>
    <x v="0"/>
    <n v="164485.65"/>
    <n v="131588.51999999999"/>
    <s v="Estimated"/>
    <n v="3"/>
    <n v="32897.130000000005"/>
    <n v="0.20000000000000004"/>
  </r>
  <r>
    <s v="ORD4744"/>
    <d v="2023-01-15T00:00:00"/>
    <x v="4"/>
    <x v="3"/>
    <x v="1"/>
    <x v="0"/>
    <n v="18964.580000000002"/>
    <n v="14392.22"/>
    <s v="Actual"/>
    <n v="2"/>
    <n v="4572.3600000000024"/>
    <n v="0.24109998745028902"/>
  </r>
  <r>
    <s v="ORD1163"/>
    <d v="2023-01-15T00:00:00"/>
    <x v="4"/>
    <x v="2"/>
    <x v="1"/>
    <x v="0"/>
    <n v="48270.79"/>
    <n v="38616.632000000005"/>
    <s v="Estimated"/>
    <n v="5"/>
    <n v="9654.1579999999958"/>
    <n v="0.1999999999999999"/>
  </r>
  <r>
    <s v="ORD6109"/>
    <d v="2023-02-15T00:00:00"/>
    <x v="1"/>
    <x v="2"/>
    <x v="3"/>
    <x v="0"/>
    <n v="244255.8"/>
    <n v="192327.27"/>
    <s v="Actual"/>
    <n v="4"/>
    <n v="51928.53"/>
    <n v="0.21259896387311991"/>
  </r>
  <r>
    <s v="ORD8083"/>
    <d v="2023-02-15T00:00:00"/>
    <x v="1"/>
    <x v="2"/>
    <x v="3"/>
    <x v="0"/>
    <n v="227806.09"/>
    <n v="193116.76"/>
    <s v="Actual"/>
    <n v="4"/>
    <n v="34689.329999999987"/>
    <n v="0.15227569201508173"/>
  </r>
  <r>
    <s v="ORD672"/>
    <d v="2023-03-20T00:00:00"/>
    <x v="5"/>
    <x v="3"/>
    <x v="0"/>
    <x v="0"/>
    <n v="51416.6"/>
    <n v="26964.880000000001"/>
    <s v="Actual"/>
    <n v="3"/>
    <n v="24451.719999999998"/>
    <n v="0.4755608110999171"/>
  </r>
  <r>
    <s v="ORD3878"/>
    <d v="2023-03-20T00:00:00"/>
    <x v="5"/>
    <x v="0"/>
    <x v="0"/>
    <x v="0"/>
    <n v="34188.68"/>
    <n v="17390.23"/>
    <s v="Actual"/>
    <n v="2"/>
    <n v="16798.45"/>
    <n v="0.4913453809857532"/>
  </r>
  <r>
    <s v="ORD7772"/>
    <s v="Not Mentioned"/>
    <x v="3"/>
    <x v="1"/>
    <x v="3"/>
    <x v="0"/>
    <n v="337776.98"/>
    <n v="196128.52"/>
    <s v="Actual"/>
    <n v="5"/>
    <n v="141648.46"/>
    <n v="0.41935498387131059"/>
  </r>
  <r>
    <s v="ORD3414"/>
    <s v="Not Mentioned"/>
    <x v="3"/>
    <x v="2"/>
    <x v="3"/>
    <x v="0"/>
    <n v="123256.6"/>
    <n v="90364.94"/>
    <s v="Actual"/>
    <n v="2"/>
    <n v="32891.660000000003"/>
    <n v="0.26685516231990825"/>
  </r>
  <r>
    <s v="ORD5249"/>
    <d v="2023-02-15T00:00:00"/>
    <x v="1"/>
    <x v="3"/>
    <x v="0"/>
    <x v="0"/>
    <n v="25164.43"/>
    <n v="21737.15"/>
    <s v="Actual"/>
    <n v="2"/>
    <n v="3427.2799999999988"/>
    <n v="0.13619541551308728"/>
  </r>
  <r>
    <s v="ORD7231"/>
    <d v="2023-06-25T00:00:00"/>
    <x v="0"/>
    <x v="2"/>
    <x v="3"/>
    <x v="0"/>
    <n v="53775.62"/>
    <n v="46836.97"/>
    <s v="Actual"/>
    <n v="1"/>
    <n v="6938.6500000000015"/>
    <n v="0.12902966065291299"/>
  </r>
  <r>
    <s v="ORD9585"/>
    <d v="2023-04-05T00:00:00"/>
    <x v="2"/>
    <x v="3"/>
    <x v="1"/>
    <x v="0"/>
    <n v="18405.689999999999"/>
    <n v="13626.53"/>
    <s v="Actual"/>
    <n v="2"/>
    <n v="4779.159999999998"/>
    <n v="0.25965666052182768"/>
  </r>
  <r>
    <s v="ORD129"/>
    <d v="2023-02-15T00:00:00"/>
    <x v="1"/>
    <x v="3"/>
    <x v="0"/>
    <x v="0"/>
    <n v="16377.46"/>
    <n v="8641.27"/>
    <s v="Actual"/>
    <n v="1"/>
    <n v="7736.1899999999987"/>
    <n v="0.47236812057547378"/>
  </r>
  <r>
    <s v="ORD6298"/>
    <d v="2023-01-15T00:00:00"/>
    <x v="4"/>
    <x v="0"/>
    <x v="3"/>
    <x v="0"/>
    <n v="120084.96"/>
    <n v="79525.490000000005"/>
    <s v="Actual"/>
    <n v="2"/>
    <n v="40559.47"/>
    <n v="0.33775645176548336"/>
  </r>
  <r>
    <s v="ORD1360"/>
    <d v="2023-01-15T00:00:00"/>
    <x v="4"/>
    <x v="3"/>
    <x v="3"/>
    <x v="0"/>
    <n v="323209.63"/>
    <n v="258567.70400000003"/>
    <s v="Estimated"/>
    <n v="5"/>
    <n v="64641.925999999978"/>
    <n v="0.19999999999999993"/>
  </r>
  <r>
    <s v="ORD1817"/>
    <d v="2023-06-25T00:00:00"/>
    <x v="0"/>
    <x v="1"/>
    <x v="1"/>
    <x v="0"/>
    <n v="58575.24"/>
    <n v="33872.199999999997"/>
    <s v="Actual"/>
    <n v="5"/>
    <n v="24703.040000000001"/>
    <n v="0.42173177608832679"/>
  </r>
  <r>
    <s v="ORD590"/>
    <d v="2023-03-20T00:00:00"/>
    <x v="5"/>
    <x v="1"/>
    <x v="0"/>
    <x v="0"/>
    <n v="24983.98"/>
    <n v="18851.759999999998"/>
    <s v="Actual"/>
    <n v="2"/>
    <n v="6132.2200000000012"/>
    <n v="0.24544608184924904"/>
  </r>
  <r>
    <s v="ORD568"/>
    <d v="2023-01-15T00:00:00"/>
    <x v="4"/>
    <x v="1"/>
    <x v="1"/>
    <x v="0"/>
    <n v="35792.07"/>
    <n v="29398.1"/>
    <s v="Actual"/>
    <n v="4"/>
    <n v="6393.9700000000012"/>
    <n v="0.17864208468523898"/>
  </r>
  <r>
    <s v="ORD4728"/>
    <d v="2023-06-25T00:00:00"/>
    <x v="0"/>
    <x v="3"/>
    <x v="2"/>
    <x v="0"/>
    <n v="118141.01"/>
    <n v="72369.149999999994"/>
    <s v="Actual"/>
    <n v="5"/>
    <n v="45771.86"/>
    <n v="0.38743413485291855"/>
  </r>
  <r>
    <s v="ORD1614"/>
    <d v="2023-01-15T00:00:00"/>
    <x v="4"/>
    <x v="1"/>
    <x v="3"/>
    <x v="0"/>
    <n v="214983.98"/>
    <n v="170017.45"/>
    <s v="Actual"/>
    <n v="4"/>
    <n v="44966.53"/>
    <n v="0.20916223618150523"/>
  </r>
  <r>
    <s v="ORD9946"/>
    <d v="2023-06-25T00:00:00"/>
    <x v="0"/>
    <x v="1"/>
    <x v="2"/>
    <x v="0"/>
    <n v="34101.360000000001"/>
    <n v="30628.59"/>
    <s v="Actual"/>
    <n v="2"/>
    <n v="3472.7700000000004"/>
    <n v="0.10183670094095955"/>
  </r>
  <r>
    <s v="ORD7184"/>
    <d v="2023-01-15T00:00:00"/>
    <x v="4"/>
    <x v="3"/>
    <x v="1"/>
    <x v="0"/>
    <n v="56361.7"/>
    <n v="31859.95"/>
    <s v="Actual"/>
    <n v="5"/>
    <n v="24501.749999999996"/>
    <n v="0.43472340259431491"/>
  </r>
  <r>
    <s v="ORD9226"/>
    <d v="2023-04-05T00:00:00"/>
    <x v="2"/>
    <x v="1"/>
    <x v="2"/>
    <x v="0"/>
    <n v="19917.439999999999"/>
    <n v="15933.951999999999"/>
    <s v="Estimated"/>
    <n v="1"/>
    <n v="3983.4879999999994"/>
    <n v="0.19999999999999998"/>
  </r>
  <r>
    <s v="ORD6308"/>
    <d v="2023-03-20T00:00:00"/>
    <x v="5"/>
    <x v="3"/>
    <x v="3"/>
    <x v="0"/>
    <n v="117483.06"/>
    <n v="98688.67"/>
    <s v="Actual"/>
    <s v="Unknown"/>
    <n v="18794.39"/>
    <n v="0.15997531899492573"/>
  </r>
  <r>
    <s v="ORD1232"/>
    <d v="2023-06-25T00:00:00"/>
    <x v="0"/>
    <x v="3"/>
    <x v="2"/>
    <x v="0"/>
    <n v="18121.71"/>
    <n v="12141.09"/>
    <s v="Actual"/>
    <n v="1"/>
    <n v="5980.619999999999"/>
    <n v="0.33002514663351301"/>
  </r>
  <r>
    <s v="ORD9250"/>
    <s v="Not Mentioned"/>
    <x v="3"/>
    <x v="2"/>
    <x v="3"/>
    <x v="0"/>
    <n v="273454.84999999998"/>
    <n v="218763.88"/>
    <s v="Estimated"/>
    <n v="4"/>
    <n v="54690.969999999972"/>
    <n v="0.19999999999999993"/>
  </r>
  <r>
    <s v="ORD800"/>
    <d v="2023-06-25T00:00:00"/>
    <x v="0"/>
    <x v="2"/>
    <x v="2"/>
    <x v="0"/>
    <n v="63557.919999999998"/>
    <n v="40904.129999999997"/>
    <s v="Actual"/>
    <n v="3"/>
    <n v="22653.79"/>
    <n v="0.35642749164856247"/>
  </r>
  <r>
    <s v="ORD523"/>
    <d v="2023-03-20T00:00:00"/>
    <x v="5"/>
    <x v="0"/>
    <x v="2"/>
    <x v="0"/>
    <n v="34967.22"/>
    <n v="27973.776000000002"/>
    <s v="Estimated"/>
    <n v="2"/>
    <n v="6993.4439999999995"/>
    <n v="0.19999999999999998"/>
  </r>
  <r>
    <s v="ORD204"/>
    <d v="2023-02-15T00:00:00"/>
    <x v="1"/>
    <x v="1"/>
    <x v="3"/>
    <x v="0"/>
    <n v="119382.93"/>
    <n v="80437.66"/>
    <s v="Actual"/>
    <n v="2"/>
    <n v="38945.26999999999"/>
    <n v="0.32622142880895949"/>
  </r>
  <r>
    <s v="ORD5477"/>
    <d v="2023-03-20T00:00:00"/>
    <x v="5"/>
    <x v="2"/>
    <x v="1"/>
    <x v="0"/>
    <n v="23430.76"/>
    <n v="14787.49"/>
    <s v="Actual"/>
    <n v="2"/>
    <n v="8643.2699999999986"/>
    <n v="0.36888560166208861"/>
  </r>
  <r>
    <s v="ORD5422"/>
    <d v="2023-06-25T00:00:00"/>
    <x v="0"/>
    <x v="2"/>
    <x v="2"/>
    <x v="0"/>
    <n v="84100.52"/>
    <n v="53433.09"/>
    <s v="Actual"/>
    <n v="4"/>
    <n v="30667.430000000008"/>
    <n v="0.36465208538544119"/>
  </r>
  <r>
    <s v="ORD3557"/>
    <s v="Not Mentioned"/>
    <x v="3"/>
    <x v="2"/>
    <x v="0"/>
    <x v="0"/>
    <n v="13362.91"/>
    <n v="9012.25"/>
    <s v="Actual"/>
    <n v="1"/>
    <n v="4350.66"/>
    <n v="0.32557728818049364"/>
  </r>
  <r>
    <s v="ORD9120"/>
    <s v="Not Mentioned"/>
    <x v="3"/>
    <x v="1"/>
    <x v="1"/>
    <x v="0"/>
    <n v="22020.2"/>
    <n v="12813.5"/>
    <s v="Actual"/>
    <n v="2"/>
    <n v="9206.7000000000007"/>
    <n v="0.41810246955068531"/>
  </r>
  <r>
    <s v="ORD2016"/>
    <d v="2023-03-20T00:00:00"/>
    <x v="5"/>
    <x v="1"/>
    <x v="0"/>
    <x v="0"/>
    <n v="14388.89"/>
    <n v="9765.0499999999993"/>
    <s v="Actual"/>
    <n v="1"/>
    <n v="4623.84"/>
    <n v="0.32134792885344182"/>
  </r>
  <r>
    <s v="ORD746"/>
    <s v="Not Mentioned"/>
    <x v="3"/>
    <x v="2"/>
    <x v="3"/>
    <x v="0"/>
    <n v="185555.48"/>
    <n v="148444.38400000002"/>
    <s v="Estimated"/>
    <n v="3"/>
    <n v="37111.09599999999"/>
    <n v="0.19999999999999993"/>
  </r>
  <r>
    <s v="ORD6922"/>
    <d v="2023-06-25T00:00:00"/>
    <x v="0"/>
    <x v="0"/>
    <x v="3"/>
    <x v="0"/>
    <n v="242437.53"/>
    <n v="239006.34"/>
    <s v="Actual"/>
    <n v="5"/>
    <n v="3431.1900000000023"/>
    <n v="1.4152883012790975E-2"/>
  </r>
  <r>
    <s v="ORD363"/>
    <s v="Not Mentioned"/>
    <x v="3"/>
    <x v="1"/>
    <x v="3"/>
    <x v="0"/>
    <n v="209694.69"/>
    <n v="196318.1"/>
    <s v="Actual"/>
    <n v="4"/>
    <n v="13376.589999999997"/>
    <n v="6.3790790315195856E-2"/>
  </r>
  <r>
    <s v="ORD5302"/>
    <d v="2023-03-20T00:00:00"/>
    <x v="5"/>
    <x v="0"/>
    <x v="0"/>
    <x v="0"/>
    <n v="28805.439999999999"/>
    <n v="19024.66"/>
    <s v="Actual"/>
    <n v="2"/>
    <n v="9780.7799999999988"/>
    <n v="0.33954628014708332"/>
  </r>
  <r>
    <s v="ORD7993"/>
    <d v="2023-02-15T00:00:00"/>
    <x v="1"/>
    <x v="2"/>
    <x v="1"/>
    <x v="0"/>
    <n v="18632.48"/>
    <n v="13184.39"/>
    <s v="Actual"/>
    <n v="2"/>
    <n v="5448.09"/>
    <n v="0.29239746936532335"/>
  </r>
  <r>
    <s v="ORD9298"/>
    <d v="2023-02-15T00:00:00"/>
    <x v="1"/>
    <x v="0"/>
    <x v="0"/>
    <x v="0"/>
    <n v="43833.96"/>
    <n v="27269.58"/>
    <s v="Actual"/>
    <s v="Unknown"/>
    <n v="16564.379999999997"/>
    <n v="0.37788919823807837"/>
  </r>
  <r>
    <s v="ORD5373"/>
    <d v="2023-06-25T00:00:00"/>
    <x v="0"/>
    <x v="2"/>
    <x v="0"/>
    <x v="0"/>
    <n v="33749.089999999997"/>
    <n v="17692.25"/>
    <s v="Actual"/>
    <n v="2"/>
    <n v="16056.839999999997"/>
    <n v="0.47577105041943346"/>
  </r>
  <r>
    <s v="ORD2619"/>
    <d v="2023-01-15T00:00:00"/>
    <x v="4"/>
    <x v="2"/>
    <x v="1"/>
    <x v="0"/>
    <n v="38240.89"/>
    <n v="24400.37"/>
    <s v="Actual"/>
    <n v="4"/>
    <n v="13840.52"/>
    <n v="0.36192986094204399"/>
  </r>
  <r>
    <s v="ORD2687"/>
    <d v="2023-02-15T00:00:00"/>
    <x v="1"/>
    <x v="0"/>
    <x v="1"/>
    <x v="0"/>
    <n v="42299.99"/>
    <n v="29986.21"/>
    <s v="Actual"/>
    <n v="5"/>
    <n v="12313.779999999999"/>
    <n v="0.29110597898486501"/>
  </r>
  <r>
    <s v="ORD7190"/>
    <d v="2023-06-25T00:00:00"/>
    <x v="0"/>
    <x v="0"/>
    <x v="1"/>
    <x v="0"/>
    <n v="40052.43"/>
    <n v="25711.37"/>
    <s v="Actual"/>
    <n v="4"/>
    <n v="14341.060000000001"/>
    <n v="0.35805717655582947"/>
  </r>
  <r>
    <s v="ORD1609"/>
    <d v="2023-04-05T00:00:00"/>
    <x v="2"/>
    <x v="1"/>
    <x v="1"/>
    <x v="0"/>
    <n v="20193.29"/>
    <n v="14300.51"/>
    <s v="Actual"/>
    <s v="Unknown"/>
    <n v="5892.7800000000007"/>
    <n v="0.29181871799989006"/>
  </r>
  <r>
    <s v="ORD3995"/>
    <d v="2023-03-20T00:00:00"/>
    <x v="5"/>
    <x v="2"/>
    <x v="0"/>
    <x v="0"/>
    <n v="82420.23"/>
    <n v="54269.5"/>
    <s v="Actual"/>
    <n v="5"/>
    <n v="28150.729999999996"/>
    <n v="0.3415512186753179"/>
  </r>
  <r>
    <s v="ORD1851"/>
    <d v="2023-02-15T00:00:00"/>
    <x v="1"/>
    <x v="1"/>
    <x v="2"/>
    <x v="0"/>
    <n v="94851.55"/>
    <n v="61311.15"/>
    <s v="Actual"/>
    <n v="4"/>
    <n v="33540.400000000001"/>
    <n v="0.35360940332551233"/>
  </r>
  <r>
    <s v="ORD9147"/>
    <d v="2023-02-15T00:00:00"/>
    <x v="1"/>
    <x v="2"/>
    <x v="2"/>
    <x v="0"/>
    <n v="111404.69"/>
    <n v="70830.539999999994"/>
    <s v="Actual"/>
    <n v="5"/>
    <n v="40574.150000000009"/>
    <n v="0.36420504379124441"/>
  </r>
  <r>
    <s v="ORD2339"/>
    <s v="Not Mentioned"/>
    <x v="3"/>
    <x v="2"/>
    <x v="1"/>
    <x v="0"/>
    <n v="42891.69"/>
    <n v="28665.46"/>
    <s v="Actual"/>
    <n v="4"/>
    <n v="14226.230000000003"/>
    <n v="0.33167800103003642"/>
  </r>
  <r>
    <s v="ORD837"/>
    <d v="2023-04-05T00:00:00"/>
    <x v="2"/>
    <x v="0"/>
    <x v="1"/>
    <x v="0"/>
    <n v="18811.669999999998"/>
    <n v="14118.46"/>
    <s v="Actual"/>
    <n v="2"/>
    <n v="4693.2099999999991"/>
    <n v="0.24948396394365835"/>
  </r>
  <r>
    <s v="ORD6720"/>
    <d v="2023-03-20T00:00:00"/>
    <x v="5"/>
    <x v="1"/>
    <x v="2"/>
    <x v="0"/>
    <n v="69471.03"/>
    <n v="36751.57"/>
    <s v="Actual"/>
    <n v="3"/>
    <n v="32719.46"/>
    <n v="0.4709799178161026"/>
  </r>
  <r>
    <s v="ORD925"/>
    <s v="Not Mentioned"/>
    <x v="3"/>
    <x v="0"/>
    <x v="3"/>
    <x v="0"/>
    <n v="67080.91"/>
    <n v="48252.83"/>
    <s v="Actual"/>
    <n v="1"/>
    <n v="18828.080000000002"/>
    <n v="0.28067717030076067"/>
  </r>
  <r>
    <s v="ORD3225"/>
    <d v="2023-01-15T00:00:00"/>
    <x v="4"/>
    <x v="3"/>
    <x v="2"/>
    <x v="0"/>
    <n v="74704.289999999994"/>
    <n v="51673.75"/>
    <s v="Actual"/>
    <n v="4"/>
    <n v="23030.539999999994"/>
    <n v="0.30828939007384976"/>
  </r>
  <r>
    <s v="ORD1047"/>
    <d v="2023-04-05T00:00:00"/>
    <x v="2"/>
    <x v="2"/>
    <x v="1"/>
    <x v="0"/>
    <n v="10953.99"/>
    <n v="6782.56"/>
    <s v="Actual"/>
    <n v="1"/>
    <n v="4171.4299999999994"/>
    <n v="0.38081374914528854"/>
  </r>
  <r>
    <s v="ORD5335"/>
    <d v="2023-02-15T00:00:00"/>
    <x v="1"/>
    <x v="0"/>
    <x v="2"/>
    <x v="0"/>
    <n v="52022.34"/>
    <n v="39544.71"/>
    <s v="Actual"/>
    <n v="3"/>
    <n v="12477.629999999997"/>
    <n v="0.23985137923438274"/>
  </r>
  <r>
    <s v="ORD5200"/>
    <d v="2023-06-25T00:00:00"/>
    <x v="0"/>
    <x v="3"/>
    <x v="1"/>
    <x v="0"/>
    <n v="24868.42"/>
    <n v="21023.05"/>
    <s v="Actual"/>
    <n v="3"/>
    <n v="3845.369999999999"/>
    <n v="0.15462864146576258"/>
  </r>
  <r>
    <s v="ORD4049"/>
    <d v="2023-02-15T00:00:00"/>
    <x v="1"/>
    <x v="1"/>
    <x v="3"/>
    <x v="0"/>
    <n v="244699.42"/>
    <n v="182340.89"/>
    <s v="Actual"/>
    <n v="4"/>
    <n v="62358.53"/>
    <n v="0.25483726115901706"/>
  </r>
  <r>
    <s v="ORD1418"/>
    <d v="2023-06-25T00:00:00"/>
    <x v="0"/>
    <x v="1"/>
    <x v="1"/>
    <x v="0"/>
    <n v="44206"/>
    <n v="26179.81"/>
    <s v="Actual"/>
    <n v="4"/>
    <n v="18026.189999999999"/>
    <n v="0.4077769985974754"/>
  </r>
  <r>
    <s v="ORD7028"/>
    <d v="2023-06-25T00:00:00"/>
    <x v="0"/>
    <x v="2"/>
    <x v="0"/>
    <x v="0"/>
    <n v="62237.760000000002"/>
    <n v="40714.129999999997"/>
    <s v="Actual"/>
    <n v="4"/>
    <n v="21523.630000000005"/>
    <n v="0.3458291236702607"/>
  </r>
  <r>
    <s v="ORD976"/>
    <d v="2023-01-15T00:00:00"/>
    <x v="4"/>
    <x v="0"/>
    <x v="0"/>
    <x v="0"/>
    <n v="67466.95"/>
    <n v="43536.99"/>
    <s v="Actual"/>
    <n v="4"/>
    <n v="23929.96"/>
    <n v="0.35469159343945444"/>
  </r>
  <r>
    <s v="ORD6715"/>
    <s v="Not Mentioned"/>
    <x v="3"/>
    <x v="3"/>
    <x v="3"/>
    <x v="0"/>
    <n v="143849.1"/>
    <n v="115079.28000000001"/>
    <s v="Estimated"/>
    <n v="2"/>
    <n v="28769.819999999992"/>
    <n v="0.19999999999999993"/>
  </r>
  <r>
    <s v="ORD7708"/>
    <d v="2023-01-15T00:00:00"/>
    <x v="4"/>
    <x v="1"/>
    <x v="1"/>
    <x v="0"/>
    <n v="32486.21"/>
    <n v="22941.83"/>
    <s v="Actual"/>
    <n v="3"/>
    <n v="9544.3799999999974"/>
    <n v="0.29379789147456714"/>
  </r>
  <r>
    <s v="ORD5991"/>
    <d v="2023-06-25T00:00:00"/>
    <x v="0"/>
    <x v="1"/>
    <x v="2"/>
    <x v="0"/>
    <n v="41700.660000000003"/>
    <n v="27637.4"/>
    <s v="Actual"/>
    <n v="2"/>
    <n v="14063.260000000002"/>
    <n v="0.33724310358637011"/>
  </r>
  <r>
    <s v="ORD4668"/>
    <d v="2023-04-05T00:00:00"/>
    <x v="2"/>
    <x v="2"/>
    <x v="0"/>
    <x v="0"/>
    <n v="81866.75"/>
    <n v="49976.2"/>
    <s v="Actual"/>
    <n v="5"/>
    <n v="31890.550000000003"/>
    <n v="0.38954215233901435"/>
  </r>
  <r>
    <s v="ORD1427"/>
    <d v="2023-06-25T00:00:00"/>
    <x v="0"/>
    <x v="3"/>
    <x v="0"/>
    <x v="0"/>
    <n v="76466.97"/>
    <n v="51668.77"/>
    <s v="Actual"/>
    <n v="5"/>
    <n v="24798.200000000004"/>
    <n v="0.32429949820164189"/>
  </r>
  <r>
    <s v="ORD7347"/>
    <d v="2023-02-15T00:00:00"/>
    <x v="1"/>
    <x v="2"/>
    <x v="2"/>
    <x v="0"/>
    <n v="90979.41"/>
    <n v="61213.24"/>
    <s v="Actual"/>
    <s v="Unknown"/>
    <n v="29766.170000000006"/>
    <n v="0.32717479702275498"/>
  </r>
  <r>
    <s v="ORD882"/>
    <s v="Not Mentioned"/>
    <x v="3"/>
    <x v="2"/>
    <x v="3"/>
    <x v="0"/>
    <n v="242402.93"/>
    <n v="243561.94"/>
    <s v="Actual"/>
    <n v="5"/>
    <n v="-1159.0100000000093"/>
    <n v="-4.7813365952301375E-3"/>
  </r>
  <r>
    <s v="ORD7956"/>
    <d v="2023-04-05T00:00:00"/>
    <x v="2"/>
    <x v="0"/>
    <x v="1"/>
    <x v="0"/>
    <n v="8249.14"/>
    <n v="7141.08"/>
    <s v="Actual"/>
    <n v="1"/>
    <n v="1108.0599999999995"/>
    <n v="0.13432430532152437"/>
  </r>
  <r>
    <s v="ORD356"/>
    <d v="2023-03-20T00:00:00"/>
    <x v="5"/>
    <x v="3"/>
    <x v="0"/>
    <x v="0"/>
    <n v="12506.87"/>
    <n v="10361.09"/>
    <s v="Actual"/>
    <n v="1"/>
    <n v="2145.7800000000007"/>
    <n v="0.17156810616884965"/>
  </r>
  <r>
    <s v="ORD3486"/>
    <d v="2023-03-20T00:00:00"/>
    <x v="5"/>
    <x v="3"/>
    <x v="1"/>
    <x v="0"/>
    <n v="33783.51"/>
    <n v="27221.31"/>
    <s v="Actual"/>
    <n v="4"/>
    <n v="6562.2000000000007"/>
    <n v="0.19424269414279335"/>
  </r>
  <r>
    <s v="ORD3163"/>
    <d v="2023-02-15T00:00:00"/>
    <x v="1"/>
    <x v="2"/>
    <x v="1"/>
    <x v="0"/>
    <n v="48481.09"/>
    <n v="29809.46"/>
    <s v="Actual"/>
    <n v="5"/>
    <n v="18671.629999999997"/>
    <n v="0.38513222371856737"/>
  </r>
  <r>
    <s v="ORD3439"/>
    <d v="2023-04-05T00:00:00"/>
    <x v="2"/>
    <x v="0"/>
    <x v="3"/>
    <x v="0"/>
    <n v="242636.97"/>
    <n v="174491.34"/>
    <s v="Actual"/>
    <n v="4"/>
    <n v="68145.63"/>
    <n v="0.28085427377369576"/>
  </r>
  <r>
    <s v="ORD8826"/>
    <d v="2023-04-05T00:00:00"/>
    <x v="2"/>
    <x v="1"/>
    <x v="3"/>
    <x v="0"/>
    <n v="180900.53"/>
    <n v="136929.72"/>
    <s v="Actual"/>
    <n v="3"/>
    <n v="43970.81"/>
    <n v="0.24306623092812385"/>
  </r>
  <r>
    <s v="ORD5126"/>
    <d v="2023-04-05T00:00:00"/>
    <x v="2"/>
    <x v="2"/>
    <x v="2"/>
    <x v="0"/>
    <n v="81479.490000000005"/>
    <n v="59198.12"/>
    <s v="Actual"/>
    <n v="4"/>
    <n v="22281.370000000003"/>
    <n v="0.27345986088032709"/>
  </r>
  <r>
    <s v="ORD2510"/>
    <d v="2023-03-20T00:00:00"/>
    <x v="5"/>
    <x v="2"/>
    <x v="2"/>
    <x v="0"/>
    <n v="69985.100000000006"/>
    <n v="43721.68"/>
    <s v="Actual"/>
    <n v="3"/>
    <n v="26263.420000000006"/>
    <n v="0.37527159352490747"/>
  </r>
  <r>
    <s v="ORD8598"/>
    <d v="2023-04-05T00:00:00"/>
    <x v="2"/>
    <x v="1"/>
    <x v="3"/>
    <x v="0"/>
    <n v="208864.98"/>
    <n v="167091.98400000003"/>
    <s v="Estimated"/>
    <n v="3"/>
    <n v="41772.995999999985"/>
    <n v="0.19999999999999993"/>
  </r>
  <r>
    <s v="ORD4757"/>
    <d v="2023-04-05T00:00:00"/>
    <x v="2"/>
    <x v="2"/>
    <x v="0"/>
    <x v="0"/>
    <n v="64378.9"/>
    <n v="51503.12"/>
    <s v="Estimated"/>
    <n v="4"/>
    <n v="12875.779999999999"/>
    <n v="0.19999999999999998"/>
  </r>
  <r>
    <s v="ORD7246"/>
    <d v="2023-03-20T00:00:00"/>
    <x v="5"/>
    <x v="2"/>
    <x v="0"/>
    <x v="0"/>
    <n v="37898.120000000003"/>
    <n v="31943.06"/>
    <s v="Actual"/>
    <n v="3"/>
    <n v="5955.0600000000013"/>
    <n v="0.15713338814695824"/>
  </r>
  <r>
    <s v="ORD2863"/>
    <d v="2023-02-15T00:00:00"/>
    <x v="1"/>
    <x v="2"/>
    <x v="1"/>
    <x v="0"/>
    <n v="19618.43"/>
    <n v="13221.52"/>
    <s v="Actual"/>
    <n v="2"/>
    <n v="6396.91"/>
    <n v="0.32606635699186937"/>
  </r>
  <r>
    <s v="ORD3484"/>
    <d v="2023-06-25T00:00:00"/>
    <x v="0"/>
    <x v="0"/>
    <x v="0"/>
    <x v="0"/>
    <n v="15993.16"/>
    <n v="9750.44"/>
    <s v="Actual"/>
    <n v="1"/>
    <n v="6242.7199999999993"/>
    <n v="0.39033686901150239"/>
  </r>
  <r>
    <s v="ORD2620"/>
    <d v="2023-04-05T00:00:00"/>
    <x v="2"/>
    <x v="2"/>
    <x v="2"/>
    <x v="0"/>
    <n v="18055.68"/>
    <n v="14756.68"/>
    <s v="Actual"/>
    <n v="1"/>
    <n v="3299"/>
    <n v="0.18271258684247838"/>
  </r>
  <r>
    <s v="ORD4866"/>
    <d v="2023-02-15T00:00:00"/>
    <x v="1"/>
    <x v="2"/>
    <x v="0"/>
    <x v="0"/>
    <n v="72704.83"/>
    <n v="53098.02"/>
    <s v="Actual"/>
    <n v="5"/>
    <n v="19606.810000000005"/>
    <n v="0.26967685640692651"/>
  </r>
  <r>
    <s v="ORD622"/>
    <d v="2023-01-15T00:00:00"/>
    <x v="4"/>
    <x v="1"/>
    <x v="0"/>
    <x v="0"/>
    <n v="51275.64"/>
    <n v="42590.44"/>
    <s v="Actual"/>
    <n v="4"/>
    <n v="8685.1999999999971"/>
    <n v="0.16938257620967767"/>
  </r>
  <r>
    <s v="ORD8655"/>
    <d v="2023-03-20T00:00:00"/>
    <x v="5"/>
    <x v="2"/>
    <x v="2"/>
    <x v="0"/>
    <n v="17596.73"/>
    <n v="14077.384"/>
    <s v="Estimated"/>
    <n v="1"/>
    <n v="3519.3459999999995"/>
    <n v="0.19999999999999998"/>
  </r>
  <r>
    <s v="ORD2427"/>
    <d v="2023-02-15T00:00:00"/>
    <x v="1"/>
    <x v="1"/>
    <x v="2"/>
    <x v="0"/>
    <n v="95629.8"/>
    <n v="60497.19"/>
    <s v="Actual"/>
    <n v="5"/>
    <n v="35132.61"/>
    <n v="0.36738140203158431"/>
  </r>
  <r>
    <s v="ORD168"/>
    <d v="2023-04-05T00:00:00"/>
    <x v="2"/>
    <x v="2"/>
    <x v="3"/>
    <x v="0"/>
    <n v="240987.75"/>
    <n v="184814.92"/>
    <s v="Actual"/>
    <n v="4"/>
    <n v="56172.829999999987"/>
    <n v="0.23309413030330375"/>
  </r>
  <r>
    <s v="ORD2172"/>
    <d v="2023-04-05T00:00:00"/>
    <x v="2"/>
    <x v="3"/>
    <x v="0"/>
    <x v="0"/>
    <n v="78349.27"/>
    <n v="62679.416000000005"/>
    <s v="Estimated"/>
    <n v="5"/>
    <n v="15669.853999999999"/>
    <n v="0.19999999999999998"/>
  </r>
  <r>
    <s v="ORD261"/>
    <d v="2023-02-15T00:00:00"/>
    <x v="1"/>
    <x v="3"/>
    <x v="2"/>
    <x v="0"/>
    <n v="18614.97"/>
    <n v="13089.81"/>
    <s v="Actual"/>
    <n v="1"/>
    <n v="5525.1600000000017"/>
    <n v="0.29681272653138852"/>
  </r>
  <r>
    <s v="ORD4730"/>
    <d v="2023-04-05T00:00:00"/>
    <x v="2"/>
    <x v="3"/>
    <x v="1"/>
    <x v="0"/>
    <n v="21029.59"/>
    <n v="14272.86"/>
    <s v="Actual"/>
    <n v="2"/>
    <n v="6756.73"/>
    <n v="0.32129632579617573"/>
  </r>
  <r>
    <s v="ORD476"/>
    <d v="2023-04-05T00:00:00"/>
    <x v="2"/>
    <x v="2"/>
    <x v="0"/>
    <x v="0"/>
    <n v="16093.95"/>
    <n v="8813.06"/>
    <s v="Actual"/>
    <n v="1"/>
    <n v="7280.8900000000012"/>
    <n v="0.45239919348575092"/>
  </r>
  <r>
    <s v="ORD7686"/>
    <s v="Not Mentioned"/>
    <x v="3"/>
    <x v="1"/>
    <x v="0"/>
    <x v="0"/>
    <n v="68815.69"/>
    <n v="40351.33"/>
    <s v="Actual"/>
    <n v="4"/>
    <n v="28464.36"/>
    <n v="0.41363183308922719"/>
  </r>
  <r>
    <s v="ORD2305"/>
    <d v="2023-03-20T00:00:00"/>
    <x v="5"/>
    <x v="0"/>
    <x v="2"/>
    <x v="0"/>
    <n v="65681.59"/>
    <n v="43507.48"/>
    <s v="Actual"/>
    <n v="3"/>
    <n v="22174.109999999993"/>
    <n v="0.33760007941342457"/>
  </r>
  <r>
    <s v="ORD7109"/>
    <d v="2023-03-20T00:00:00"/>
    <x v="5"/>
    <x v="1"/>
    <x v="1"/>
    <x v="0"/>
    <n v="35214.959999999999"/>
    <n v="20237.78"/>
    <s v="Actual"/>
    <n v="3"/>
    <n v="14977.18"/>
    <n v="0.42530731257397425"/>
  </r>
  <r>
    <s v="ORD6009"/>
    <d v="2023-03-20T00:00:00"/>
    <x v="5"/>
    <x v="3"/>
    <x v="3"/>
    <x v="0"/>
    <n v="57996.26"/>
    <n v="43430.23"/>
    <s v="Actual"/>
    <n v="1"/>
    <n v="14566.029999999999"/>
    <n v="0.25115464342011018"/>
  </r>
  <r>
    <s v="ORD906"/>
    <d v="2023-02-15T00:00:00"/>
    <x v="1"/>
    <x v="3"/>
    <x v="2"/>
    <x v="0"/>
    <n v="95976.36"/>
    <n v="64616.77"/>
    <s v="Actual"/>
    <n v="5"/>
    <n v="31359.590000000004"/>
    <n v="0.32674285626168781"/>
  </r>
  <r>
    <s v="ORD761"/>
    <d v="2023-03-20T00:00:00"/>
    <x v="5"/>
    <x v="3"/>
    <x v="1"/>
    <x v="0"/>
    <n v="27025.85"/>
    <n v="20130.62"/>
    <s v="Actual"/>
    <n v="3"/>
    <n v="6895.23"/>
    <n v="0.25513462111274948"/>
  </r>
  <r>
    <s v="ORD5158"/>
    <d v="2023-03-20T00:00:00"/>
    <x v="5"/>
    <x v="3"/>
    <x v="3"/>
    <x v="0"/>
    <n v="268020.13"/>
    <n v="174045.58"/>
    <s v="Actual"/>
    <n v="4"/>
    <n v="93974.550000000017"/>
    <n v="0.3506249698483469"/>
  </r>
  <r>
    <s v="ORD5658"/>
    <s v="Not Mentioned"/>
    <x v="3"/>
    <x v="0"/>
    <x v="0"/>
    <x v="0"/>
    <n v="14155.09"/>
    <n v="9677.11"/>
    <s v="Actual"/>
    <n v="1"/>
    <n v="4477.9799999999996"/>
    <n v="0.3163512206563151"/>
  </r>
  <r>
    <s v="ORD9558"/>
    <d v="2023-03-20T00:00:00"/>
    <x v="5"/>
    <x v="2"/>
    <x v="2"/>
    <x v="0"/>
    <n v="59073.35"/>
    <n v="41284.14"/>
    <s v="Actual"/>
    <n v="3"/>
    <n v="17789.21"/>
    <n v="0.30113765344271148"/>
  </r>
  <r>
    <s v="ORD863"/>
    <d v="2023-01-15T00:00:00"/>
    <x v="4"/>
    <x v="2"/>
    <x v="3"/>
    <x v="0"/>
    <n v="172808.86"/>
    <n v="138247.08799999999"/>
    <s v="Estimated"/>
    <n v="3"/>
    <n v="34561.771999999997"/>
    <n v="0.2"/>
  </r>
  <r>
    <s v="ORD451"/>
    <d v="2023-06-25T00:00:00"/>
    <x v="0"/>
    <x v="2"/>
    <x v="0"/>
    <x v="0"/>
    <n v="65283.87"/>
    <n v="42676.52"/>
    <s v="Actual"/>
    <n v="4"/>
    <n v="22607.350000000006"/>
    <n v="0.3462930429828992"/>
  </r>
  <r>
    <s v="ORD717"/>
    <d v="2023-01-15T00:00:00"/>
    <x v="4"/>
    <x v="2"/>
    <x v="1"/>
    <x v="0"/>
    <n v="59914.559999999998"/>
    <n v="36603.440000000002"/>
    <s v="Actual"/>
    <n v="5"/>
    <n v="23311.119999999995"/>
    <n v="0.38907270620029583"/>
  </r>
  <r>
    <s v="ORD8848"/>
    <d v="2023-03-20T00:00:00"/>
    <x v="5"/>
    <x v="2"/>
    <x v="3"/>
    <x v="0"/>
    <n v="97420.05"/>
    <n v="79547.520000000004"/>
    <s v="Actual"/>
    <n v="2"/>
    <n v="17872.53"/>
    <n v="0.18345843591745228"/>
  </r>
  <r>
    <s v="ORD6386"/>
    <d v="2023-04-05T00:00:00"/>
    <x v="2"/>
    <x v="2"/>
    <x v="2"/>
    <x v="0"/>
    <n v="51276.63"/>
    <n v="41021.304000000004"/>
    <s v="Estimated"/>
    <n v="3"/>
    <n v="10255.325999999994"/>
    <n v="0.1999999999999999"/>
  </r>
  <r>
    <s v="ORD9844"/>
    <d v="2023-02-15T00:00:00"/>
    <x v="1"/>
    <x v="1"/>
    <x v="3"/>
    <x v="0"/>
    <n v="98706.14"/>
    <n v="94738.9"/>
    <s v="Actual"/>
    <n v="2"/>
    <n v="3967.2400000000052"/>
    <n v="4.0192433824278867E-2"/>
  </r>
  <r>
    <s v="ORD1190"/>
    <d v="2023-01-15T00:00:00"/>
    <x v="4"/>
    <x v="2"/>
    <x v="2"/>
    <x v="0"/>
    <n v="85681.72"/>
    <n v="62439.68"/>
    <s v="Actual"/>
    <n v="5"/>
    <n v="23242.04"/>
    <n v="0.27126019412308716"/>
  </r>
  <r>
    <s v="ORD562"/>
    <d v="2023-01-15T00:00:00"/>
    <x v="4"/>
    <x v="2"/>
    <x v="3"/>
    <x v="0"/>
    <n v="136844.32999999999"/>
    <n v="78720.13"/>
    <s v="Actual"/>
    <n v="2"/>
    <n v="58124.199999999983"/>
    <n v="0.42474686382694837"/>
  </r>
  <r>
    <s v="ORD3117"/>
    <d v="2023-02-15T00:00:00"/>
    <x v="1"/>
    <x v="0"/>
    <x v="0"/>
    <x v="0"/>
    <n v="29751.9"/>
    <n v="17255.59"/>
    <s v="Actual"/>
    <n v="2"/>
    <n v="12496.310000000001"/>
    <n v="0.42001720898497241"/>
  </r>
  <r>
    <s v="ORD4311"/>
    <d v="2023-03-20T00:00:00"/>
    <x v="5"/>
    <x v="3"/>
    <x v="1"/>
    <x v="0"/>
    <n v="10512.57"/>
    <n v="6114.58"/>
    <s v="Actual"/>
    <n v="1"/>
    <n v="4397.99"/>
    <n v="0.41835535934600199"/>
  </r>
  <r>
    <s v="ORD641"/>
    <d v="2023-04-05T00:00:00"/>
    <x v="2"/>
    <x v="1"/>
    <x v="0"/>
    <x v="0"/>
    <n v="34779.1"/>
    <n v="20731.23"/>
    <s v="Actual"/>
    <n v="2"/>
    <n v="14047.869999999999"/>
    <n v="0.40391700762814448"/>
  </r>
  <r>
    <s v="ORD4174"/>
    <s v="Not Mentioned"/>
    <x v="3"/>
    <x v="0"/>
    <x v="2"/>
    <x v="0"/>
    <n v="109986.48"/>
    <n v="68552.3"/>
    <s v="Actual"/>
    <n v="5"/>
    <n v="41434.179999999993"/>
    <n v="0.37672066603095211"/>
  </r>
  <r>
    <s v="ORD809"/>
    <d v="2023-04-05T00:00:00"/>
    <x v="2"/>
    <x v="1"/>
    <x v="3"/>
    <x v="0"/>
    <n v="224105.58"/>
    <n v="182058.39"/>
    <s v="Actual"/>
    <n v="4"/>
    <n v="42047.189999999973"/>
    <n v="0.18762223591219807"/>
  </r>
  <r>
    <s v="ORD8707"/>
    <d v="2023-01-15T00:00:00"/>
    <x v="4"/>
    <x v="3"/>
    <x v="2"/>
    <x v="0"/>
    <n v="50158.35"/>
    <n v="44219.14"/>
    <s v="Actual"/>
    <n v="3"/>
    <n v="5939.2099999999991"/>
    <n v="0.1184091980697132"/>
  </r>
  <r>
    <s v="ORD756"/>
    <d v="2023-03-20T00:00:00"/>
    <x v="5"/>
    <x v="1"/>
    <x v="3"/>
    <x v="0"/>
    <n v="51141.84"/>
    <n v="40971.9"/>
    <s v="Actual"/>
    <n v="1"/>
    <n v="10169.939999999995"/>
    <n v="0.19885753035088288"/>
  </r>
  <r>
    <s v="ORD3849"/>
    <s v="Not Mentioned"/>
    <x v="3"/>
    <x v="1"/>
    <x v="1"/>
    <x v="0"/>
    <n v="8921.5"/>
    <n v="7137.2000000000007"/>
    <s v="Estimated"/>
    <n v="1"/>
    <n v="1784.2999999999993"/>
    <n v="0.19999999999999993"/>
  </r>
  <r>
    <s v="ORD5925"/>
    <d v="2023-03-20T00:00:00"/>
    <x v="5"/>
    <x v="2"/>
    <x v="1"/>
    <x v="0"/>
    <n v="45952.86"/>
    <n v="24380.22"/>
    <s v="Actual"/>
    <n v="4"/>
    <n v="21572.639999999999"/>
    <n v="0.4694515205364802"/>
  </r>
  <r>
    <s v="ORD9806"/>
    <d v="2023-03-20T00:00:00"/>
    <x v="5"/>
    <x v="2"/>
    <x v="0"/>
    <x v="0"/>
    <n v="44755.8"/>
    <n v="32791.33"/>
    <s v="Actual"/>
    <n v="3"/>
    <n v="11964.470000000001"/>
    <n v="0.26732781002685685"/>
  </r>
  <r>
    <s v="ORD4191"/>
    <d v="2023-03-20T00:00:00"/>
    <x v="5"/>
    <x v="2"/>
    <x v="1"/>
    <x v="0"/>
    <n v="10243.34"/>
    <n v="6228.54"/>
    <s v="Actual"/>
    <s v="Unknown"/>
    <n v="4014.8"/>
    <n v="0.39194247188905185"/>
  </r>
  <r>
    <s v="ORD8246"/>
    <d v="2023-02-15T00:00:00"/>
    <x v="1"/>
    <x v="1"/>
    <x v="2"/>
    <x v="0"/>
    <n v="22482.11"/>
    <n v="12526.23"/>
    <s v="Actual"/>
    <n v="1"/>
    <n v="9955.880000000001"/>
    <n v="0.44283565910850897"/>
  </r>
  <r>
    <s v="ORD4522"/>
    <d v="2023-06-25T00:00:00"/>
    <x v="0"/>
    <x v="3"/>
    <x v="3"/>
    <x v="0"/>
    <n v="205985.73"/>
    <n v="195895.86"/>
    <s v="Actual"/>
    <n v="4"/>
    <n v="10089.870000000024"/>
    <n v="4.8983344622950453E-2"/>
  </r>
  <r>
    <s v="ORD858"/>
    <d v="2023-04-05T00:00:00"/>
    <x v="2"/>
    <x v="0"/>
    <x v="2"/>
    <x v="0"/>
    <n v="110716.5"/>
    <n v="68887.33"/>
    <s v="Actual"/>
    <n v="5"/>
    <n v="41829.17"/>
    <n v="0.37780430197847653"/>
  </r>
  <r>
    <s v="ORD155"/>
    <d v="2023-06-25T00:00:00"/>
    <x v="0"/>
    <x v="3"/>
    <x v="2"/>
    <x v="0"/>
    <n v="21064.03"/>
    <n v="15094.77"/>
    <s v="Actual"/>
    <n v="1"/>
    <n v="5969.2599999999984"/>
    <n v="0.2833864175089002"/>
  </r>
  <r>
    <s v="ORD8431"/>
    <d v="2023-03-20T00:00:00"/>
    <x v="5"/>
    <x v="2"/>
    <x v="2"/>
    <x v="0"/>
    <n v="83586.460000000006"/>
    <n v="48106.64"/>
    <s v="Actual"/>
    <n v="4"/>
    <n v="35479.820000000007"/>
    <n v="0.42446850841631534"/>
  </r>
  <r>
    <s v="ORD925"/>
    <s v="Not Mentioned"/>
    <x v="3"/>
    <x v="3"/>
    <x v="1"/>
    <x v="0"/>
    <n v="9574.14"/>
    <n v="6911.17"/>
    <s v="Actual"/>
    <n v="1"/>
    <n v="2662.9699999999993"/>
    <n v="0.27814195321981916"/>
  </r>
  <r>
    <s v="ORD2841"/>
    <d v="2023-02-15T00:00:00"/>
    <x v="1"/>
    <x v="3"/>
    <x v="1"/>
    <x v="0"/>
    <n v="40203.26"/>
    <n v="32514.7"/>
    <s v="Actual"/>
    <n v="5"/>
    <n v="7688.5600000000013"/>
    <n v="0.19124220274674245"/>
  </r>
  <r>
    <s v="ORD6597"/>
    <d v="2023-01-15T00:00:00"/>
    <x v="4"/>
    <x v="1"/>
    <x v="1"/>
    <x v="0"/>
    <n v="40586.269999999997"/>
    <n v="31669.39"/>
    <s v="Actual"/>
    <n v="5"/>
    <n v="8916.8799999999974"/>
    <n v="0.21970188440573618"/>
  </r>
  <r>
    <s v="ORD1918"/>
    <d v="2023-01-15T00:00:00"/>
    <x v="4"/>
    <x v="1"/>
    <x v="1"/>
    <x v="0"/>
    <n v="44643.21"/>
    <n v="24669.18"/>
    <s v="Actual"/>
    <n v="4"/>
    <n v="19974.03"/>
    <n v="0.44741473563392953"/>
  </r>
  <r>
    <s v="ORD4843"/>
    <d v="2023-03-20T00:00:00"/>
    <x v="5"/>
    <x v="3"/>
    <x v="0"/>
    <x v="0"/>
    <n v="13172.61"/>
    <n v="10538.088000000002"/>
    <s v="Estimated"/>
    <s v="Unknown"/>
    <n v="2634.521999999999"/>
    <n v="0.19999999999999993"/>
  </r>
  <r>
    <s v="ORD8305"/>
    <d v="2023-03-20T00:00:00"/>
    <x v="5"/>
    <x v="3"/>
    <x v="0"/>
    <x v="0"/>
    <n v="32049.42"/>
    <n v="18573.599999999999"/>
    <s v="Actual"/>
    <n v="2"/>
    <n v="13475.82"/>
    <n v="0.42047001162579545"/>
  </r>
  <r>
    <s v="ORD2013"/>
    <d v="2023-04-05T00:00:00"/>
    <x v="2"/>
    <x v="3"/>
    <x v="1"/>
    <x v="0"/>
    <n v="20285.13"/>
    <n v="13429.64"/>
    <s v="Actual"/>
    <n v="2"/>
    <n v="6855.4900000000016"/>
    <n v="0.3379564242378531"/>
  </r>
  <r>
    <s v="ORD5225"/>
    <d v="2023-03-20T00:00:00"/>
    <x v="5"/>
    <x v="1"/>
    <x v="1"/>
    <x v="0"/>
    <n v="17994.52"/>
    <n v="13631.11"/>
    <s v="Actual"/>
    <n v="2"/>
    <n v="4363.41"/>
    <n v="0.24248549002696376"/>
  </r>
  <r>
    <s v="ORD6264"/>
    <d v="2023-06-25T00:00:00"/>
    <x v="0"/>
    <x v="1"/>
    <x v="1"/>
    <x v="0"/>
    <n v="40237.279999999999"/>
    <n v="27167.7"/>
    <s v="Actual"/>
    <n v="4"/>
    <n v="13069.579999999998"/>
    <n v="0.32481271099835768"/>
  </r>
  <r>
    <s v="ORD3597"/>
    <d v="2023-06-25T00:00:00"/>
    <x v="0"/>
    <x v="1"/>
    <x v="3"/>
    <x v="0"/>
    <n v="55739.53"/>
    <n v="43499.26"/>
    <s v="Actual"/>
    <n v="1"/>
    <n v="12240.269999999997"/>
    <n v="0.21959765358624295"/>
  </r>
  <r>
    <s v="ORD375"/>
    <d v="2023-01-15T00:00:00"/>
    <x v="4"/>
    <x v="3"/>
    <x v="0"/>
    <x v="0"/>
    <n v="12551.36"/>
    <n v="10046.219999999999"/>
    <s v="Actual"/>
    <n v="1"/>
    <n v="2505.1400000000012"/>
    <n v="0.19959112000611895"/>
  </r>
  <r>
    <s v="ORD4341"/>
    <d v="2023-01-15T00:00:00"/>
    <x v="4"/>
    <x v="2"/>
    <x v="1"/>
    <x v="0"/>
    <n v="39145.040000000001"/>
    <n v="24587.06"/>
    <s v="Actual"/>
    <n v="4"/>
    <n v="14557.98"/>
    <n v="0.37189845763345752"/>
  </r>
  <r>
    <s v="ORD9199"/>
    <s v="Not Mentioned"/>
    <x v="3"/>
    <x v="1"/>
    <x v="0"/>
    <x v="0"/>
    <n v="71514.11"/>
    <n v="54873.82"/>
    <s v="Actual"/>
    <n v="5"/>
    <n v="16640.29"/>
    <n v="0.23268540991421136"/>
  </r>
  <r>
    <s v="ORD2232"/>
    <d v="2023-02-15T00:00:00"/>
    <x v="1"/>
    <x v="3"/>
    <x v="3"/>
    <x v="0"/>
    <n v="100374.35"/>
    <n v="89864.65"/>
    <s v="Actual"/>
    <n v="2"/>
    <n v="10509.700000000012"/>
    <n v="0.10470503669513188"/>
  </r>
  <r>
    <s v="ORD8090"/>
    <s v="Not Mentioned"/>
    <x v="3"/>
    <x v="1"/>
    <x v="1"/>
    <x v="0"/>
    <n v="25669.35"/>
    <n v="22733.27"/>
    <s v="Actual"/>
    <n v="3"/>
    <n v="2936.0799999999981"/>
    <n v="0.11438076928321124"/>
  </r>
  <r>
    <s v="ORD1857"/>
    <d v="2023-02-15T00:00:00"/>
    <x v="1"/>
    <x v="1"/>
    <x v="3"/>
    <x v="0"/>
    <n v="261610"/>
    <n v="174911.98"/>
    <s v="Actual"/>
    <n v="4"/>
    <n v="86698.01999999999"/>
    <n v="0.33140178127747405"/>
  </r>
  <r>
    <s v="ORD4133"/>
    <d v="2023-03-20T00:00:00"/>
    <x v="5"/>
    <x v="1"/>
    <x v="3"/>
    <x v="0"/>
    <n v="329944.34000000003"/>
    <n v="227143.38"/>
    <s v="Actual"/>
    <n v="5"/>
    <n v="102800.96000000002"/>
    <n v="0.31157061218264881"/>
  </r>
  <r>
    <s v="ORD3177"/>
    <d v="2023-04-05T00:00:00"/>
    <x v="2"/>
    <x v="0"/>
    <x v="1"/>
    <x v="0"/>
    <n v="46336.03"/>
    <n v="36720.620000000003"/>
    <s v="Actual"/>
    <n v="5"/>
    <n v="9615.4099999999962"/>
    <n v="0.20751475687494153"/>
  </r>
  <r>
    <s v="ORD914"/>
    <d v="2023-03-20T00:00:00"/>
    <x v="5"/>
    <x v="2"/>
    <x v="0"/>
    <x v="0"/>
    <n v="64538.15"/>
    <n v="54804.61"/>
    <s v="Actual"/>
    <n v="5"/>
    <n v="9733.5400000000009"/>
    <n v="0.15081839191238053"/>
  </r>
  <r>
    <s v="ORD5842"/>
    <d v="2023-01-15T00:00:00"/>
    <x v="4"/>
    <x v="2"/>
    <x v="2"/>
    <x v="0"/>
    <n v="42528.09"/>
    <n v="27351.74"/>
    <s v="Actual"/>
    <s v="Unknown"/>
    <n v="15176.349999999995"/>
    <n v="0.35685472825137449"/>
  </r>
  <r>
    <s v="ORD4674"/>
    <d v="2023-02-15T00:00:00"/>
    <x v="1"/>
    <x v="1"/>
    <x v="1"/>
    <x v="0"/>
    <n v="36314.07"/>
    <n v="24787.37"/>
    <s v="Actual"/>
    <n v="4"/>
    <n v="11526.7"/>
    <n v="0.31741691305876762"/>
  </r>
  <r>
    <s v="ORD1815"/>
    <d v="2023-01-15T00:00:00"/>
    <x v="4"/>
    <x v="1"/>
    <x v="2"/>
    <x v="0"/>
    <n v="54652.18"/>
    <n v="42832.13"/>
    <s v="Actual"/>
    <n v="3"/>
    <n v="11820.050000000003"/>
    <n v="0.21627774043048242"/>
  </r>
  <r>
    <s v="ORD8852"/>
    <s v="Not Mentioned"/>
    <x v="3"/>
    <x v="3"/>
    <x v="0"/>
    <x v="0"/>
    <n v="51281.86"/>
    <n v="26307.45"/>
    <s v="Actual"/>
    <n v="3"/>
    <n v="24974.41"/>
    <n v="0.48700281152048697"/>
  </r>
  <r>
    <s v="ORD2817"/>
    <d v="2023-06-25T00:00:00"/>
    <x v="0"/>
    <x v="1"/>
    <x v="3"/>
    <x v="0"/>
    <n v="56874.91"/>
    <n v="45499.928000000007"/>
    <s v="Estimated"/>
    <n v="1"/>
    <n v="11374.981999999996"/>
    <n v="0.19999999999999993"/>
  </r>
  <r>
    <s v="ORD6036"/>
    <d v="2023-03-20T00:00:00"/>
    <x v="5"/>
    <x v="0"/>
    <x v="3"/>
    <x v="0"/>
    <n v="271099.84000000003"/>
    <n v="201152.67"/>
    <s v="Actual"/>
    <n v="5"/>
    <n v="69947.170000000013"/>
    <n v="0.25801258311329139"/>
  </r>
  <r>
    <s v="ORD9341"/>
    <d v="2023-02-15T00:00:00"/>
    <x v="1"/>
    <x v="2"/>
    <x v="2"/>
    <x v="0"/>
    <n v="46547.54"/>
    <n v="27798.99"/>
    <s v="Actual"/>
    <n v="2"/>
    <n v="18748.55"/>
    <n v="0.40278283234731627"/>
  </r>
  <r>
    <s v="ORD1673"/>
    <d v="2023-03-20T00:00:00"/>
    <x v="5"/>
    <x v="3"/>
    <x v="2"/>
    <x v="0"/>
    <n v="32112.7"/>
    <n v="27939.38"/>
    <s v="Actual"/>
    <s v="Unknown"/>
    <n v="4173.32"/>
    <n v="0.1299585522238865"/>
  </r>
  <r>
    <s v="ORD840"/>
    <d v="2023-06-25T00:00:00"/>
    <x v="0"/>
    <x v="0"/>
    <x v="3"/>
    <x v="0"/>
    <n v="98862.34"/>
    <n v="83339.17"/>
    <s v="Actual"/>
    <n v="2"/>
    <n v="15523.169999999998"/>
    <n v="0.15701803133528905"/>
  </r>
  <r>
    <s v="ORD647"/>
    <d v="2023-06-25T00:00:00"/>
    <x v="0"/>
    <x v="3"/>
    <x v="0"/>
    <x v="0"/>
    <n v="44298.62"/>
    <n v="32659.73"/>
    <s v="Actual"/>
    <n v="3"/>
    <n v="11638.890000000003"/>
    <n v="0.26273707849138422"/>
  </r>
  <r>
    <s v="ORD7870"/>
    <d v="2023-02-15T00:00:00"/>
    <x v="1"/>
    <x v="2"/>
    <x v="0"/>
    <x v="0"/>
    <n v="16868.02"/>
    <n v="10472.969999999999"/>
    <s v="Actual"/>
    <n v="1"/>
    <n v="6395.0500000000011"/>
    <n v="0.3791227423254182"/>
  </r>
  <r>
    <s v="ORD3940"/>
    <d v="2023-06-25T00:00:00"/>
    <x v="0"/>
    <x v="2"/>
    <x v="0"/>
    <x v="0"/>
    <n v="28690.22"/>
    <n v="18487.13"/>
    <s v="Actual"/>
    <n v="2"/>
    <n v="10203.09"/>
    <n v="0.35562954902402283"/>
  </r>
  <r>
    <s v="ORD8751"/>
    <d v="2023-02-15T00:00:00"/>
    <x v="1"/>
    <x v="2"/>
    <x v="3"/>
    <x v="0"/>
    <n v="159965.63"/>
    <n v="127244.82"/>
    <s v="Actual"/>
    <n v="3"/>
    <n v="32720.809999999998"/>
    <n v="0.2045490021825313"/>
  </r>
  <r>
    <s v="ORD5202"/>
    <s v="Not Mentioned"/>
    <x v="3"/>
    <x v="1"/>
    <x v="2"/>
    <x v="0"/>
    <n v="80245.31"/>
    <n v="49163.64"/>
    <s v="Actual"/>
    <n v="4"/>
    <n v="31081.67"/>
    <n v="0.38733316626230241"/>
  </r>
  <r>
    <s v="ORD5993"/>
    <s v="Not Mentioned"/>
    <x v="3"/>
    <x v="2"/>
    <x v="2"/>
    <x v="0"/>
    <n v="86988.67"/>
    <n v="55671.43"/>
    <s v="Actual"/>
    <n v="4"/>
    <n v="31317.239999999998"/>
    <n v="0.36001516059505217"/>
  </r>
  <r>
    <s v="ORD2596"/>
    <s v="Not Mentioned"/>
    <x v="3"/>
    <x v="1"/>
    <x v="2"/>
    <x v="0"/>
    <n v="42859.48"/>
    <n v="24443.53"/>
    <s v="Actual"/>
    <n v="2"/>
    <n v="18415.950000000004"/>
    <n v="0.42968206800455822"/>
  </r>
  <r>
    <s v="ORD7905"/>
    <d v="2023-02-15T00:00:00"/>
    <x v="1"/>
    <x v="1"/>
    <x v="0"/>
    <x v="0"/>
    <n v="39272.080000000002"/>
    <n v="25520.31"/>
    <s v="Actual"/>
    <n v="3"/>
    <n v="13751.77"/>
    <n v="0.35016658144921275"/>
  </r>
  <r>
    <s v="ORD3812"/>
    <d v="2023-06-25T00:00:00"/>
    <x v="0"/>
    <x v="2"/>
    <x v="1"/>
    <x v="0"/>
    <n v="30401.29"/>
    <n v="20404.03"/>
    <s v="Actual"/>
    <n v="3"/>
    <n v="9997.260000000002"/>
    <n v="0.32884328263701973"/>
  </r>
  <r>
    <s v="ORD5140"/>
    <d v="2023-04-05T00:00:00"/>
    <x v="2"/>
    <x v="1"/>
    <x v="0"/>
    <x v="0"/>
    <n v="69798.97"/>
    <n v="35612.800000000003"/>
    <s v="Actual"/>
    <n v="4"/>
    <n v="34186.17"/>
    <n v="0.48978043658810433"/>
  </r>
  <r>
    <s v="ORD8978"/>
    <d v="2023-03-20T00:00:00"/>
    <x v="5"/>
    <x v="3"/>
    <x v="0"/>
    <x v="0"/>
    <n v="79858.92"/>
    <n v="48076.33"/>
    <s v="Actual"/>
    <n v="5"/>
    <n v="31782.589999999997"/>
    <n v="0.39798422017227375"/>
  </r>
  <r>
    <s v="ORD2544"/>
    <d v="2023-02-15T00:00:00"/>
    <x v="1"/>
    <x v="2"/>
    <x v="1"/>
    <x v="0"/>
    <n v="10252.799999999999"/>
    <n v="6387.09"/>
    <s v="Actual"/>
    <n v="1"/>
    <n v="3865.7099999999991"/>
    <n v="0.37703944288389507"/>
  </r>
  <r>
    <s v="ORD216"/>
    <d v="2023-03-20T00:00:00"/>
    <x v="5"/>
    <x v="1"/>
    <x v="3"/>
    <x v="0"/>
    <n v="169661.31"/>
    <n v="129381.42"/>
    <s v="Actual"/>
    <n v="3"/>
    <n v="40279.89"/>
    <n v="0.23741352698502682"/>
  </r>
  <r>
    <s v="ORD2418"/>
    <d v="2023-06-25T00:00:00"/>
    <x v="0"/>
    <x v="3"/>
    <x v="3"/>
    <x v="0"/>
    <n v="277437.33"/>
    <n v="194383.16"/>
    <s v="Actual"/>
    <n v="4"/>
    <n v="83054.170000000013"/>
    <n v="0.29936191355359426"/>
  </r>
  <r>
    <s v="ORD8959"/>
    <s v="Not Mentioned"/>
    <x v="3"/>
    <x v="2"/>
    <x v="0"/>
    <x v="0"/>
    <n v="25503.83"/>
    <n v="21031.62"/>
    <s v="Actual"/>
    <n v="2"/>
    <n v="4472.2100000000028"/>
    <n v="0.17535444676348622"/>
  </r>
  <r>
    <s v="ORD7001"/>
    <d v="2023-02-15T00:00:00"/>
    <x v="1"/>
    <x v="2"/>
    <x v="0"/>
    <x v="0"/>
    <n v="70221.56"/>
    <n v="45602.16"/>
    <s v="Actual"/>
    <n v="5"/>
    <n v="24619.399999999994"/>
    <n v="0.35059602777266691"/>
  </r>
  <r>
    <s v="ORD1013"/>
    <d v="2023-04-05T00:00:00"/>
    <x v="2"/>
    <x v="1"/>
    <x v="3"/>
    <x v="0"/>
    <n v="58309.760000000002"/>
    <n v="45305.22"/>
    <s v="Actual"/>
    <n v="1"/>
    <n v="13004.54"/>
    <n v="0.22302509905717327"/>
  </r>
  <r>
    <s v="ORD8540"/>
    <d v="2023-03-20T00:00:00"/>
    <x v="5"/>
    <x v="2"/>
    <x v="1"/>
    <x v="0"/>
    <n v="24919.13"/>
    <n v="18222.419999999998"/>
    <s v="Actual"/>
    <n v="3"/>
    <n v="6696.7100000000028"/>
    <n v="0.26873771275321418"/>
  </r>
  <r>
    <s v="ORD8543"/>
    <s v="Not Mentioned"/>
    <x v="3"/>
    <x v="3"/>
    <x v="1"/>
    <x v="0"/>
    <n v="32590.7"/>
    <n v="20748.53"/>
    <s v="Actual"/>
    <n v="3"/>
    <n v="11842.170000000002"/>
    <n v="0.36336040649633183"/>
  </r>
  <r>
    <s v="ORD1223"/>
    <d v="2023-01-15T00:00:00"/>
    <x v="4"/>
    <x v="1"/>
    <x v="0"/>
    <x v="0"/>
    <n v="78225.61"/>
    <n v="48690.86"/>
    <s v="Actual"/>
    <n v="5"/>
    <n v="29534.75"/>
    <n v="0.37755857704401408"/>
  </r>
  <r>
    <s v="ORD345"/>
    <d v="2023-03-20T00:00:00"/>
    <x v="5"/>
    <x v="2"/>
    <x v="0"/>
    <x v="0"/>
    <n v="41084.199999999997"/>
    <n v="30003.81"/>
    <s v="Actual"/>
    <n v="3"/>
    <n v="11080.389999999996"/>
    <n v="0.26969954386357764"/>
  </r>
  <r>
    <s v="ORD7887"/>
    <d v="2023-04-05T00:00:00"/>
    <x v="2"/>
    <x v="3"/>
    <x v="0"/>
    <x v="0"/>
    <n v="35331.760000000002"/>
    <n v="19799.02"/>
    <s v="Actual"/>
    <n v="2"/>
    <n v="15532.740000000002"/>
    <n v="0.43962542483023775"/>
  </r>
  <r>
    <s v="ORD9624"/>
    <d v="2023-01-15T00:00:00"/>
    <x v="4"/>
    <x v="3"/>
    <x v="3"/>
    <x v="0"/>
    <n v="54428.58"/>
    <n v="41177.910000000003"/>
    <s v="Actual"/>
    <n v="1"/>
    <n v="13250.669999999998"/>
    <n v="0.24345059158258398"/>
  </r>
  <r>
    <s v="ORD175"/>
    <s v="Not Mentioned"/>
    <x v="3"/>
    <x v="1"/>
    <x v="1"/>
    <x v="0"/>
    <n v="9241.36"/>
    <n v="7071.09"/>
    <s v="Actual"/>
    <n v="1"/>
    <n v="2170.2700000000004"/>
    <n v="0.23484313997074027"/>
  </r>
  <r>
    <s v="ORD6678"/>
    <d v="2023-06-25T00:00:00"/>
    <x v="0"/>
    <x v="2"/>
    <x v="0"/>
    <x v="0"/>
    <n v="56521.77"/>
    <n v="37664.75"/>
    <s v="Actual"/>
    <s v="Unknown"/>
    <n v="18857.019999999997"/>
    <n v="0.33362401778995948"/>
  </r>
  <r>
    <s v="ORD4704"/>
    <d v="2023-02-15T00:00:00"/>
    <x v="1"/>
    <x v="2"/>
    <x v="3"/>
    <x v="0"/>
    <n v="55570.19"/>
    <n v="45056.75"/>
    <s v="Actual"/>
    <n v="1"/>
    <n v="10513.440000000002"/>
    <n v="0.18919208302149051"/>
  </r>
  <r>
    <s v="ORD7221"/>
    <d v="2023-01-15T00:00:00"/>
    <x v="4"/>
    <x v="3"/>
    <x v="2"/>
    <x v="0"/>
    <n v="42561.07"/>
    <n v="34048.856"/>
    <s v="Estimated"/>
    <n v="2"/>
    <n v="8512.2139999999999"/>
    <n v="0.2"/>
  </r>
  <r>
    <s v="ORD8457"/>
    <d v="2023-02-15T00:00:00"/>
    <x v="1"/>
    <x v="2"/>
    <x v="2"/>
    <x v="0"/>
    <n v="20799.669999999998"/>
    <n v="15143.51"/>
    <s v="Actual"/>
    <n v="1"/>
    <n v="5656.159999999998"/>
    <n v="0.27193508358546065"/>
  </r>
  <r>
    <s v="ORD444"/>
    <d v="2023-06-25T00:00:00"/>
    <x v="0"/>
    <x v="0"/>
    <x v="1"/>
    <x v="0"/>
    <n v="55026.09"/>
    <n v="44020.872000000003"/>
    <s v="Estimated"/>
    <n v="5"/>
    <n v="11005.217999999993"/>
    <n v="0.1999999999999999"/>
  </r>
  <r>
    <s v="ORD3301"/>
    <d v="2023-04-05T00:00:00"/>
    <x v="2"/>
    <x v="1"/>
    <x v="2"/>
    <x v="0"/>
    <n v="17852.54"/>
    <n v="14522.11"/>
    <s v="Actual"/>
    <n v="1"/>
    <n v="3330.4300000000003"/>
    <n v="0.18655216568622729"/>
  </r>
  <r>
    <s v="ORD9007"/>
    <d v="2023-04-05T00:00:00"/>
    <x v="2"/>
    <x v="1"/>
    <x v="0"/>
    <x v="0"/>
    <n v="69998.720000000001"/>
    <n v="42200.02"/>
    <s v="Actual"/>
    <n v="4"/>
    <n v="27798.700000000004"/>
    <n v="0.3971315475482981"/>
  </r>
  <r>
    <s v="ORD3823"/>
    <d v="2023-03-20T00:00:00"/>
    <x v="5"/>
    <x v="1"/>
    <x v="0"/>
    <x v="0"/>
    <n v="38078.81"/>
    <n v="26646.2"/>
    <s v="Actual"/>
    <n v="3"/>
    <n v="11432.609999999997"/>
    <n v="0.30023548530009203"/>
  </r>
  <r>
    <s v="ORD5326"/>
    <d v="2023-01-15T00:00:00"/>
    <x v="4"/>
    <x v="2"/>
    <x v="0"/>
    <x v="0"/>
    <n v="48587.13"/>
    <n v="40309.85"/>
    <s v="Actual"/>
    <n v="4"/>
    <n v="8277.2799999999988"/>
    <n v="0.17035951701613161"/>
  </r>
  <r>
    <s v="ORD6131"/>
    <d v="2023-01-15T00:00:00"/>
    <x v="4"/>
    <x v="1"/>
    <x v="2"/>
    <x v="0"/>
    <n v="57210.25"/>
    <n v="41956.01"/>
    <s v="Actual"/>
    <n v="3"/>
    <n v="15254.239999999998"/>
    <n v="0.2666347376562766"/>
  </r>
  <r>
    <s v="ORD868"/>
    <d v="2023-03-20T00:00:00"/>
    <x v="5"/>
    <x v="1"/>
    <x v="3"/>
    <x v="0"/>
    <n v="99645.6"/>
    <n v="84846.47"/>
    <s v="Actual"/>
    <n v="2"/>
    <n v="14799.130000000005"/>
    <n v="0.14851764653933544"/>
  </r>
  <r>
    <s v="ORD3659"/>
    <d v="2023-06-25T00:00:00"/>
    <x v="0"/>
    <x v="1"/>
    <x v="0"/>
    <x v="0"/>
    <n v="68655.17"/>
    <n v="34060.080000000002"/>
    <s v="Actual"/>
    <n v="4"/>
    <n v="34595.089999999997"/>
    <n v="0.50389635623944995"/>
  </r>
  <r>
    <s v="ORD277"/>
    <d v="2023-01-15T00:00:00"/>
    <x v="4"/>
    <x v="0"/>
    <x v="3"/>
    <x v="0"/>
    <n v="212251.27"/>
    <n v="120774.15"/>
    <s v="Actual"/>
    <n v="3"/>
    <n v="91477.119999999995"/>
    <n v="0.43098503014846506"/>
  </r>
  <r>
    <s v="ORD9681"/>
    <d v="2023-06-25T00:00:00"/>
    <x v="0"/>
    <x v="0"/>
    <x v="0"/>
    <x v="0"/>
    <n v="14679.15"/>
    <n v="11743.32"/>
    <s v="Estimated"/>
    <n v="1"/>
    <n v="2935.83"/>
    <n v="0.2"/>
  </r>
  <r>
    <s v="ORD2014"/>
    <d v="2023-01-15T00:00:00"/>
    <x v="4"/>
    <x v="1"/>
    <x v="1"/>
    <x v="0"/>
    <n v="10551.67"/>
    <n v="7638.45"/>
    <s v="Actual"/>
    <n v="1"/>
    <n v="2913.2200000000003"/>
    <n v="0.27609089366896428"/>
  </r>
  <r>
    <s v="ORD9839"/>
    <d v="2023-04-05T00:00:00"/>
    <x v="2"/>
    <x v="2"/>
    <x v="0"/>
    <x v="0"/>
    <n v="50723.71"/>
    <n v="39631.29"/>
    <s v="Actual"/>
    <n v="4"/>
    <n v="11092.419999999998"/>
    <n v="0.21868313654502003"/>
  </r>
  <r>
    <s v="ORD3855"/>
    <d v="2023-06-25T00:00:00"/>
    <x v="0"/>
    <x v="2"/>
    <x v="3"/>
    <x v="0"/>
    <n v="311032.78000000003"/>
    <n v="228306.18"/>
    <s v="Actual"/>
    <n v="5"/>
    <n v="82726.600000000035"/>
    <n v="0.26597389509877395"/>
  </r>
  <r>
    <s v="ORD2135"/>
    <d v="2023-02-15T00:00:00"/>
    <x v="1"/>
    <x v="0"/>
    <x v="0"/>
    <x v="0"/>
    <n v="42041.17"/>
    <n v="32225.82"/>
    <s v="Actual"/>
    <n v="3"/>
    <n v="9815.3499999999985"/>
    <n v="0.23346995338141158"/>
  </r>
  <r>
    <s v="ORD396"/>
    <d v="2023-04-05T00:00:00"/>
    <x v="2"/>
    <x v="2"/>
    <x v="0"/>
    <x v="0"/>
    <n v="25424.59"/>
    <n v="21850.54"/>
    <s v="Actual"/>
    <n v="2"/>
    <n v="3574.0499999999993"/>
    <n v="0.14057453827180691"/>
  </r>
  <r>
    <s v="ORD9857"/>
    <d v="2023-04-05T00:00:00"/>
    <x v="2"/>
    <x v="2"/>
    <x v="0"/>
    <x v="0"/>
    <n v="83171.75"/>
    <n v="45701.72"/>
    <s v="Actual"/>
    <n v="5"/>
    <n v="37470.03"/>
    <n v="0.45051390646463491"/>
  </r>
  <r>
    <s v="ORD5914"/>
    <s v="Not Mentioned"/>
    <x v="3"/>
    <x v="2"/>
    <x v="0"/>
    <x v="0"/>
    <n v="65908.539999999994"/>
    <n v="42916.95"/>
    <s v="Actual"/>
    <n v="4"/>
    <n v="22991.589999999997"/>
    <n v="0.34884083306958397"/>
  </r>
  <r>
    <s v="ORD2650"/>
    <d v="2023-02-15T00:00:00"/>
    <x v="1"/>
    <x v="3"/>
    <x v="2"/>
    <x v="0"/>
    <n v="61048.02"/>
    <n v="45400.480000000003"/>
    <s v="Actual"/>
    <n v="3"/>
    <n v="15647.539999999994"/>
    <n v="0.25631527443478092"/>
  </r>
  <r>
    <s v="ORD3872"/>
    <d v="2023-04-05T00:00:00"/>
    <x v="2"/>
    <x v="1"/>
    <x v="1"/>
    <x v="0"/>
    <n v="35183.56"/>
    <n v="29272.76"/>
    <s v="Actual"/>
    <s v="Unknown"/>
    <n v="5910.7999999999993"/>
    <n v="0.16799891767632383"/>
  </r>
  <r>
    <s v="ORD4207"/>
    <d v="2023-01-15T00:00:00"/>
    <x v="4"/>
    <x v="2"/>
    <x v="0"/>
    <x v="0"/>
    <n v="40457.86"/>
    <n v="31371.26"/>
    <s v="Actual"/>
    <n v="3"/>
    <n v="9086.6000000000022"/>
    <n v="0.22459418268786344"/>
  </r>
  <r>
    <s v="ORD284"/>
    <d v="2023-02-15T00:00:00"/>
    <x v="1"/>
    <x v="1"/>
    <x v="2"/>
    <x v="0"/>
    <n v="52251.040000000001"/>
    <n v="41800.832000000002"/>
    <s v="Estimated"/>
    <n v="3"/>
    <n v="10450.207999999999"/>
    <n v="0.19999999999999998"/>
  </r>
  <r>
    <s v="ORD9612"/>
    <d v="2023-06-25T00:00:00"/>
    <x v="0"/>
    <x v="2"/>
    <x v="2"/>
    <x v="0"/>
    <n v="57468.57"/>
    <n v="43369.8"/>
    <s v="Actual"/>
    <n v="3"/>
    <n v="14098.769999999997"/>
    <n v="0.24533009956572779"/>
  </r>
  <r>
    <s v="ORD3638"/>
    <d v="2023-06-25T00:00:00"/>
    <x v="0"/>
    <x v="2"/>
    <x v="1"/>
    <x v="0"/>
    <n v="26045.26"/>
    <n v="21808.99"/>
    <s v="Actual"/>
    <n v="3"/>
    <n v="4236.2699999999968"/>
    <n v="0.16265032485757475"/>
  </r>
  <r>
    <s v="ORD4534"/>
    <d v="2023-06-25T00:00:00"/>
    <x v="0"/>
    <x v="1"/>
    <x v="3"/>
    <x v="0"/>
    <n v="63361.73"/>
    <n v="41263.980000000003"/>
    <s v="Actual"/>
    <n v="1"/>
    <n v="22097.75"/>
    <n v="0.34875547116532329"/>
  </r>
  <r>
    <s v="ORD2612"/>
    <s v="Not Mentioned"/>
    <x v="3"/>
    <x v="0"/>
    <x v="2"/>
    <x v="0"/>
    <n v="118750.26"/>
    <n v="64793.56"/>
    <s v="Actual"/>
    <n v="5"/>
    <n v="53956.7"/>
    <n v="0.45437121569249617"/>
  </r>
  <r>
    <s v="ORD3512"/>
    <d v="2023-02-15T00:00:00"/>
    <x v="1"/>
    <x v="3"/>
    <x v="1"/>
    <x v="0"/>
    <n v="41784.5"/>
    <n v="33427.599999999999"/>
    <s v="Estimated"/>
    <n v="5"/>
    <n v="8356.9000000000015"/>
    <n v="0.20000000000000004"/>
  </r>
  <r>
    <s v="ORD8333"/>
    <d v="2023-04-05T00:00:00"/>
    <x v="2"/>
    <x v="0"/>
    <x v="1"/>
    <x v="0"/>
    <n v="53827.28"/>
    <n v="29944.23"/>
    <s v="Actual"/>
    <n v="5"/>
    <n v="23883.05"/>
    <n v="0.44369787958819396"/>
  </r>
  <r>
    <s v="ORD6708"/>
    <d v="2023-06-25T00:00:00"/>
    <x v="0"/>
    <x v="2"/>
    <x v="2"/>
    <x v="0"/>
    <n v="95320.99"/>
    <n v="49669.88"/>
    <s v="Actual"/>
    <n v="4"/>
    <n v="45651.110000000008"/>
    <n v="0.47891980559580849"/>
  </r>
  <r>
    <s v="ORD5806"/>
    <d v="2023-04-05T00:00:00"/>
    <x v="2"/>
    <x v="3"/>
    <x v="3"/>
    <x v="0"/>
    <n v="128907.41"/>
    <n v="80097.679999999993"/>
    <s v="Actual"/>
    <s v="Unknown"/>
    <n v="48809.73000000001"/>
    <n v="0.37864177086484019"/>
  </r>
  <r>
    <s v="ORD2890"/>
    <d v="2023-02-15T00:00:00"/>
    <x v="1"/>
    <x v="2"/>
    <x v="2"/>
    <x v="0"/>
    <n v="76881.7"/>
    <n v="48376.160000000003"/>
    <s v="Actual"/>
    <n v="4"/>
    <n v="28505.539999999994"/>
    <n v="0.37077145796724054"/>
  </r>
  <r>
    <s v="ORD5808"/>
    <d v="2023-03-20T00:00:00"/>
    <x v="5"/>
    <x v="3"/>
    <x v="3"/>
    <x v="0"/>
    <n v="287407.40000000002"/>
    <n v="190165.31"/>
    <s v="Actual"/>
    <n v="4"/>
    <n v="97242.090000000026"/>
    <n v="0.33834233217377152"/>
  </r>
  <r>
    <s v="ORD1153"/>
    <d v="2023-06-25T00:00:00"/>
    <x v="0"/>
    <x v="0"/>
    <x v="3"/>
    <x v="0"/>
    <n v="54106.59"/>
    <n v="46080.09"/>
    <s v="Actual"/>
    <n v="1"/>
    <n v="8026.5"/>
    <n v="0.14834607022915325"/>
  </r>
  <r>
    <s v="ORD2037"/>
    <s v="Not Mentioned"/>
    <x v="3"/>
    <x v="1"/>
    <x v="2"/>
    <x v="0"/>
    <n v="45035.13"/>
    <n v="27775.46"/>
    <s v="Actual"/>
    <n v="2"/>
    <n v="17259.669999999998"/>
    <n v="0.38324903247753472"/>
  </r>
  <r>
    <s v="ORD866"/>
    <d v="2023-06-25T00:00:00"/>
    <x v="0"/>
    <x v="3"/>
    <x v="1"/>
    <x v="0"/>
    <n v="35116.97"/>
    <n v="27335.86"/>
    <s v="Actual"/>
    <n v="4"/>
    <n v="7781.1100000000006"/>
    <n v="0.22157691850976893"/>
  </r>
  <r>
    <s v="ORD2108"/>
    <d v="2023-03-20T00:00:00"/>
    <x v="5"/>
    <x v="2"/>
    <x v="3"/>
    <x v="0"/>
    <n v="344417.03"/>
    <n v="275533.62400000001"/>
    <s v="Estimated"/>
    <n v="5"/>
    <n v="68883.406000000017"/>
    <n v="0.20000000000000004"/>
  </r>
  <r>
    <s v="ORD2456"/>
    <d v="2023-03-20T00:00:00"/>
    <x v="5"/>
    <x v="2"/>
    <x v="0"/>
    <x v="0"/>
    <n v="71465.2"/>
    <n v="44204.78"/>
    <s v="Actual"/>
    <n v="5"/>
    <n v="27260.42"/>
    <n v="0.38145027230036438"/>
  </r>
  <r>
    <s v="ORD3023"/>
    <d v="2023-06-25T00:00:00"/>
    <x v="0"/>
    <x v="2"/>
    <x v="2"/>
    <x v="0"/>
    <n v="44838.66"/>
    <n v="29125.89"/>
    <s v="Actual"/>
    <n v="2"/>
    <n v="15712.770000000004"/>
    <n v="0.35042907169839604"/>
  </r>
  <r>
    <s v="ORD6234"/>
    <d v="2023-04-05T00:00:00"/>
    <x v="2"/>
    <x v="0"/>
    <x v="2"/>
    <x v="0"/>
    <n v="93686.22"/>
    <n v="50704.83"/>
    <s v="Actual"/>
    <n v="4"/>
    <n v="42981.39"/>
    <n v="0.45878027739831961"/>
  </r>
  <r>
    <s v="ORD4692"/>
    <d v="2023-03-20T00:00:00"/>
    <x v="5"/>
    <x v="3"/>
    <x v="3"/>
    <x v="0"/>
    <n v="272992.36"/>
    <n v="178212.85"/>
    <s v="Actual"/>
    <n v="4"/>
    <n v="94779.50999999998"/>
    <n v="0.34718740846813434"/>
  </r>
  <r>
    <s v="ORD6053"/>
    <s v="Not Mentioned"/>
    <x v="3"/>
    <x v="1"/>
    <x v="3"/>
    <x v="0"/>
    <n v="161205.4"/>
    <n v="133499.46"/>
    <s v="Actual"/>
    <n v="3"/>
    <n v="27705.940000000002"/>
    <n v="0.17186731958110588"/>
  </r>
  <r>
    <s v="ORD6923"/>
    <d v="2023-02-15T00:00:00"/>
    <x v="1"/>
    <x v="2"/>
    <x v="3"/>
    <x v="0"/>
    <n v="53979.55"/>
    <n v="40148.75"/>
    <s v="Actual"/>
    <n v="1"/>
    <n v="13830.800000000003"/>
    <n v="0.25622295850928734"/>
  </r>
  <r>
    <s v="ORD5690"/>
    <d v="2023-03-20T00:00:00"/>
    <x v="5"/>
    <x v="0"/>
    <x v="3"/>
    <x v="0"/>
    <n v="134993.19"/>
    <n v="80435.5"/>
    <s v="Actual"/>
    <n v="2"/>
    <n v="54557.69"/>
    <n v="0.40415142423110384"/>
  </r>
  <r>
    <s v="ORD1215"/>
    <s v="Not Mentioned"/>
    <x v="3"/>
    <x v="0"/>
    <x v="3"/>
    <x v="0"/>
    <n v="60426.239999999998"/>
    <n v="41945.34"/>
    <s v="Actual"/>
    <n v="1"/>
    <n v="18480.900000000001"/>
    <n v="0.3058422963268938"/>
  </r>
  <r>
    <s v="ORD8577"/>
    <d v="2023-01-15T00:00:00"/>
    <x v="4"/>
    <x v="1"/>
    <x v="0"/>
    <x v="0"/>
    <n v="66717.960000000006"/>
    <n v="45269.52"/>
    <s v="Actual"/>
    <n v="5"/>
    <n v="21448.44000000001"/>
    <n v="0.32147925386207865"/>
  </r>
  <r>
    <s v="ORD7520"/>
    <d v="2023-04-05T00:00:00"/>
    <x v="2"/>
    <x v="1"/>
    <x v="3"/>
    <x v="0"/>
    <n v="127144.32000000001"/>
    <n v="91975.31"/>
    <s v="Actual"/>
    <s v="Unknown"/>
    <n v="35169.010000000009"/>
    <n v="0.27660700847666658"/>
  </r>
  <r>
    <s v="ORD4096"/>
    <s v="Not Mentioned"/>
    <x v="3"/>
    <x v="2"/>
    <x v="1"/>
    <x v="0"/>
    <n v="43309.94"/>
    <n v="34647.952000000005"/>
    <s v="Estimated"/>
    <n v="5"/>
    <n v="8661.9879999999976"/>
    <n v="0.19999999999999993"/>
  </r>
  <r>
    <s v="ORD8102"/>
    <d v="2023-03-20T00:00:00"/>
    <x v="5"/>
    <x v="2"/>
    <x v="2"/>
    <x v="0"/>
    <n v="17204.84"/>
    <n v="12402.63"/>
    <s v="Actual"/>
    <n v="1"/>
    <n v="4802.2100000000009"/>
    <n v="0.27911971282499581"/>
  </r>
  <r>
    <s v="ORD1304"/>
    <d v="2023-03-20T00:00:00"/>
    <x v="5"/>
    <x v="2"/>
    <x v="2"/>
    <x v="0"/>
    <n v="88552.19"/>
    <n v="72049.56"/>
    <s v="Actual"/>
    <n v="5"/>
    <n v="16502.630000000005"/>
    <n v="0.18636049543212882"/>
  </r>
  <r>
    <s v="ORD4949"/>
    <s v="Not Mentioned"/>
    <x v="3"/>
    <x v="2"/>
    <x v="2"/>
    <x v="0"/>
    <n v="65751.83"/>
    <n v="40763.56"/>
    <s v="Actual"/>
    <n v="3"/>
    <n v="24988.270000000004"/>
    <n v="0.38003915632462248"/>
  </r>
  <r>
    <s v="ORD1313"/>
    <d v="2023-04-05T00:00:00"/>
    <x v="2"/>
    <x v="2"/>
    <x v="0"/>
    <x v="0"/>
    <n v="55796.93"/>
    <n v="42966.78"/>
    <s v="Actual"/>
    <n v="4"/>
    <n v="12830.150000000001"/>
    <n v="0.22994365460608679"/>
  </r>
  <r>
    <s v="ORD4820"/>
    <d v="2023-02-15T00:00:00"/>
    <x v="1"/>
    <x v="0"/>
    <x v="1"/>
    <x v="0"/>
    <n v="34333.160000000003"/>
    <n v="20969.39"/>
    <s v="Actual"/>
    <n v="3"/>
    <n v="13363.770000000004"/>
    <n v="0.38923798450244612"/>
  </r>
  <r>
    <s v="ORD2249"/>
    <d v="2023-02-15T00:00:00"/>
    <x v="1"/>
    <x v="0"/>
    <x v="3"/>
    <x v="0"/>
    <n v="161006.65"/>
    <n v="120424.24"/>
    <s v="Actual"/>
    <n v="3"/>
    <n v="40582.409999999989"/>
    <n v="0.25205424744878546"/>
  </r>
  <r>
    <s v="ORD3529"/>
    <d v="2023-03-20T00:00:00"/>
    <x v="5"/>
    <x v="2"/>
    <x v="0"/>
    <x v="0"/>
    <n v="36926.720000000001"/>
    <n v="32579.61"/>
    <s v="Actual"/>
    <n v="3"/>
    <n v="4347.1100000000006"/>
    <n v="0.11772261386876497"/>
  </r>
  <r>
    <s v="ORD5471"/>
    <d v="2023-04-05T00:00:00"/>
    <x v="2"/>
    <x v="0"/>
    <x v="2"/>
    <x v="0"/>
    <n v="56750.27"/>
    <n v="39361.06"/>
    <s v="Actual"/>
    <s v="Unknown"/>
    <n v="17389.21"/>
    <n v="0.306416339516975"/>
  </r>
  <r>
    <s v="ORD4931"/>
    <d v="2023-01-15T00:00:00"/>
    <x v="4"/>
    <x v="3"/>
    <x v="3"/>
    <x v="0"/>
    <n v="51506.34"/>
    <n v="41205.072"/>
    <s v="Estimated"/>
    <n v="1"/>
    <n v="10301.267999999996"/>
    <n v="0.19999999999999996"/>
  </r>
  <r>
    <s v="ORD7523"/>
    <d v="2023-03-20T00:00:00"/>
    <x v="5"/>
    <x v="2"/>
    <x v="3"/>
    <x v="0"/>
    <n v="68985.62"/>
    <n v="44484.52"/>
    <s v="Actual"/>
    <s v="Unknown"/>
    <n v="24501.1"/>
    <n v="0.35516242370511419"/>
  </r>
  <r>
    <s v="ORD7684"/>
    <s v="Not Mentioned"/>
    <x v="3"/>
    <x v="1"/>
    <x v="0"/>
    <x v="0"/>
    <n v="17029.240000000002"/>
    <n v="9008.56"/>
    <s v="Actual"/>
    <n v="1"/>
    <n v="8020.6800000000021"/>
    <n v="0.47099459517864573"/>
  </r>
  <r>
    <s v="ORD3861"/>
    <d v="2023-03-20T00:00:00"/>
    <x v="5"/>
    <x v="2"/>
    <x v="1"/>
    <x v="0"/>
    <n v="20612.96"/>
    <n v="14781.53"/>
    <s v="Actual"/>
    <n v="2"/>
    <n v="5831.4299999999985"/>
    <n v="0.28290114568698521"/>
  </r>
  <r>
    <s v="ORD1283"/>
    <d v="2023-03-20T00:00:00"/>
    <x v="5"/>
    <x v="1"/>
    <x v="1"/>
    <x v="0"/>
    <n v="45269.54"/>
    <n v="31894.41"/>
    <s v="Actual"/>
    <n v="5"/>
    <n v="13375.130000000001"/>
    <n v="0.29545539892828604"/>
  </r>
  <r>
    <s v="ORD2747"/>
    <d v="2023-04-05T00:00:00"/>
    <x v="2"/>
    <x v="3"/>
    <x v="2"/>
    <x v="0"/>
    <n v="56270.23"/>
    <n v="41858.83"/>
    <s v="Actual"/>
    <n v="3"/>
    <n v="14411.400000000001"/>
    <n v="0.25611055792734455"/>
  </r>
  <r>
    <s v="ORD719"/>
    <d v="2023-04-05T00:00:00"/>
    <x v="2"/>
    <x v="0"/>
    <x v="2"/>
    <x v="0"/>
    <n v="40966.589999999997"/>
    <n v="25398.7"/>
    <s v="Actual"/>
    <n v="2"/>
    <n v="15567.889999999996"/>
    <n v="0.38001429945719173"/>
  </r>
  <r>
    <s v="ORD8667"/>
    <s v="Not Mentioned"/>
    <x v="3"/>
    <x v="2"/>
    <x v="1"/>
    <x v="0"/>
    <n v="32430.09"/>
    <n v="21313.83"/>
    <s v="Actual"/>
    <n v="3"/>
    <n v="11116.259999999998"/>
    <n v="0.34277610700432831"/>
  </r>
  <r>
    <s v="ORD186"/>
    <s v="Not Mentioned"/>
    <x v="3"/>
    <x v="1"/>
    <x v="3"/>
    <x v="0"/>
    <n v="281561.03999999998"/>
    <n v="176681.36"/>
    <s v="Actual"/>
    <n v="4"/>
    <n v="104879.67999999999"/>
    <n v="0.3724935807880238"/>
  </r>
  <r>
    <s v="ORD1229"/>
    <s v="Not Mentioned"/>
    <x v="3"/>
    <x v="0"/>
    <x v="2"/>
    <x v="0"/>
    <n v="75776.539999999994"/>
    <n v="47996.67"/>
    <s v="Actual"/>
    <n v="4"/>
    <n v="27779.869999999995"/>
    <n v="0.36660251312609415"/>
  </r>
  <r>
    <s v="ORD282"/>
    <s v="Not Mentioned"/>
    <x v="3"/>
    <x v="0"/>
    <x v="0"/>
    <x v="0"/>
    <n v="70491.78"/>
    <n v="56393.423999999999"/>
    <s v="Estimated"/>
    <n v="4"/>
    <n v="14098.356"/>
    <n v="0.2"/>
  </r>
  <r>
    <s v="ORD5094"/>
    <d v="2023-06-25T00:00:00"/>
    <x v="0"/>
    <x v="3"/>
    <x v="2"/>
    <x v="0"/>
    <n v="92166.99"/>
    <n v="68562.16"/>
    <s v="Actual"/>
    <n v="5"/>
    <n v="23604.83"/>
    <n v="0.25610937278086221"/>
  </r>
  <r>
    <s v="ORD9718"/>
    <d v="2023-04-05T00:00:00"/>
    <x v="2"/>
    <x v="0"/>
    <x v="3"/>
    <x v="0"/>
    <n v="106827.62"/>
    <n v="98315.76"/>
    <s v="Actual"/>
    <n v="2"/>
    <n v="8511.86"/>
    <n v="7.9678457687253554E-2"/>
  </r>
  <r>
    <s v="ORD3099"/>
    <d v="2023-03-20T00:00:00"/>
    <x v="5"/>
    <x v="1"/>
    <x v="1"/>
    <x v="0"/>
    <n v="53681.33"/>
    <n v="35040.129999999997"/>
    <s v="Actual"/>
    <n v="5"/>
    <n v="18641.200000000004"/>
    <n v="0.34725667191926884"/>
  </r>
  <r>
    <s v="ORD5103"/>
    <d v="2023-03-20T00:00:00"/>
    <x v="5"/>
    <x v="3"/>
    <x v="0"/>
    <x v="0"/>
    <n v="57666.32"/>
    <n v="46133.056000000004"/>
    <s v="Estimated"/>
    <n v="4"/>
    <n v="11533.263999999996"/>
    <n v="0.19999999999999993"/>
  </r>
  <r>
    <s v="ORD981"/>
    <d v="2023-01-15T00:00:00"/>
    <x v="4"/>
    <x v="2"/>
    <x v="2"/>
    <x v="0"/>
    <n v="52892.35"/>
    <n v="43408.93"/>
    <s v="Actual"/>
    <n v="3"/>
    <n v="9483.4199999999983"/>
    <n v="0.17929662796226672"/>
  </r>
  <r>
    <s v="ORD4823"/>
    <d v="2023-04-05T00:00:00"/>
    <x v="2"/>
    <x v="0"/>
    <x v="0"/>
    <x v="0"/>
    <n v="13503.15"/>
    <n v="10913.29"/>
    <s v="Actual"/>
    <n v="1"/>
    <n v="2589.8599999999988"/>
    <n v="0.19179672891140206"/>
  </r>
  <r>
    <s v="ORD2790"/>
    <d v="2023-02-15T00:00:00"/>
    <x v="1"/>
    <x v="0"/>
    <x v="0"/>
    <x v="0"/>
    <n v="30882.560000000001"/>
    <n v="20608.98"/>
    <s v="Actual"/>
    <n v="2"/>
    <n v="10273.580000000002"/>
    <n v="0.33266607431508272"/>
  </r>
  <r>
    <s v="ORD8090"/>
    <d v="2023-03-20T00:00:00"/>
    <x v="5"/>
    <x v="3"/>
    <x v="0"/>
    <x v="0"/>
    <n v="51092.86"/>
    <n v="37226.75"/>
    <s v="Actual"/>
    <n v="4"/>
    <n v="13866.11"/>
    <n v="0.27139036648173542"/>
  </r>
  <r>
    <s v="ORD1250"/>
    <s v="Not Mentioned"/>
    <x v="3"/>
    <x v="2"/>
    <x v="2"/>
    <x v="0"/>
    <n v="58796.74"/>
    <n v="36782.269999999997"/>
    <s v="Actual"/>
    <n v="3"/>
    <n v="22014.47"/>
    <n v="0.37441650676551119"/>
  </r>
  <r>
    <s v="ORD1027"/>
    <d v="2023-06-25T00:00:00"/>
    <x v="0"/>
    <x v="1"/>
    <x v="3"/>
    <x v="0"/>
    <n v="221938.88"/>
    <n v="192919.35"/>
    <s v="Actual"/>
    <n v="4"/>
    <n v="29019.53"/>
    <n v="0.13075460234817801"/>
  </r>
  <r>
    <s v="ORD520"/>
    <d v="2023-06-25T00:00:00"/>
    <x v="0"/>
    <x v="2"/>
    <x v="3"/>
    <x v="0"/>
    <n v="98455.25"/>
    <n v="76662.34"/>
    <s v="Actual"/>
    <n v="2"/>
    <n v="21792.910000000003"/>
    <n v="0.22134837908592994"/>
  </r>
  <r>
    <s v="ORD9587"/>
    <s v="Not Mentioned"/>
    <x v="3"/>
    <x v="2"/>
    <x v="1"/>
    <x v="0"/>
    <n v="10572.36"/>
    <n v="8457.8880000000008"/>
    <s v="Estimated"/>
    <n v="1"/>
    <n v="2114.4719999999998"/>
    <n v="0.19999999999999996"/>
  </r>
  <r>
    <s v="ORD6187"/>
    <d v="2023-03-20T00:00:00"/>
    <x v="5"/>
    <x v="1"/>
    <x v="2"/>
    <x v="0"/>
    <n v="69964"/>
    <n v="52658.58"/>
    <s v="Actual"/>
    <n v="4"/>
    <n v="17305.419999999998"/>
    <n v="0.24734749299639813"/>
  </r>
  <r>
    <s v="ORD9200"/>
    <d v="2023-04-05T00:00:00"/>
    <x v="2"/>
    <x v="2"/>
    <x v="1"/>
    <x v="0"/>
    <n v="9873.98"/>
    <n v="7899.1840000000002"/>
    <s v="Estimated"/>
    <n v="1"/>
    <n v="1974.7959999999994"/>
    <n v="0.19999999999999996"/>
  </r>
  <r>
    <s v="ORD2735"/>
    <d v="2023-06-25T00:00:00"/>
    <x v="0"/>
    <x v="3"/>
    <x v="3"/>
    <x v="0"/>
    <n v="271561.01"/>
    <n v="217248.80800000002"/>
    <s v="Estimated"/>
    <n v="5"/>
    <n v="54312.20199999999"/>
    <n v="0.19999999999999996"/>
  </r>
  <r>
    <s v="ORD8159"/>
    <d v="2023-06-25T00:00:00"/>
    <x v="0"/>
    <x v="2"/>
    <x v="0"/>
    <x v="0"/>
    <n v="82346.47"/>
    <n v="50751.79"/>
    <s v="Actual"/>
    <s v="Unknown"/>
    <n v="31594.68"/>
    <n v="0.38367983472758455"/>
  </r>
  <r>
    <s v="ORD2924"/>
    <d v="2023-02-15T00:00:00"/>
    <x v="1"/>
    <x v="2"/>
    <x v="2"/>
    <x v="0"/>
    <n v="51396.1"/>
    <n v="41116.880000000005"/>
    <s v="Estimated"/>
    <n v="3"/>
    <n v="10279.219999999994"/>
    <n v="0.1999999999999999"/>
  </r>
  <r>
    <s v="ORD3952"/>
    <s v="Not Mentioned"/>
    <x v="3"/>
    <x v="0"/>
    <x v="1"/>
    <x v="0"/>
    <n v="41705.14"/>
    <n v="35829.870000000003"/>
    <s v="Actual"/>
    <n v="5"/>
    <n v="5875.2699999999968"/>
    <n v="0.14087640036695709"/>
  </r>
  <r>
    <s v="ORD3173"/>
    <d v="2023-02-15T00:00:00"/>
    <x v="1"/>
    <x v="1"/>
    <x v="0"/>
    <x v="0"/>
    <n v="78764.2"/>
    <n v="45547.08"/>
    <s v="Actual"/>
    <n v="5"/>
    <n v="33217.119999999995"/>
    <n v="0.42172865337297905"/>
  </r>
  <r>
    <s v="ORD6262"/>
    <d v="2023-01-15T00:00:00"/>
    <x v="4"/>
    <x v="2"/>
    <x v="1"/>
    <x v="0"/>
    <n v="9972.5499999999993"/>
    <n v="6862.41"/>
    <s v="Actual"/>
    <n v="1"/>
    <n v="3110.1399999999994"/>
    <n v="0.31187008337887495"/>
  </r>
  <r>
    <s v="ORD2617"/>
    <d v="2023-04-05T00:00:00"/>
    <x v="2"/>
    <x v="3"/>
    <x v="3"/>
    <x v="0"/>
    <n v="333789.71000000002"/>
    <n v="215997.19"/>
    <s v="Actual"/>
    <n v="5"/>
    <n v="117792.52000000002"/>
    <n v="0.35289440168781722"/>
  </r>
  <r>
    <s v="ORD4331"/>
    <d v="2023-02-15T00:00:00"/>
    <x v="1"/>
    <x v="1"/>
    <x v="1"/>
    <x v="0"/>
    <n v="32084.15"/>
    <n v="29916.29"/>
    <s v="Actual"/>
    <n v="4"/>
    <n v="2167.8600000000006"/>
    <n v="6.7567942426400587E-2"/>
  </r>
  <r>
    <s v="ORD8271"/>
    <s v="Not Mentioned"/>
    <x v="3"/>
    <x v="2"/>
    <x v="2"/>
    <x v="0"/>
    <n v="67584.36"/>
    <n v="45066.55"/>
    <s v="Actual"/>
    <n v="3"/>
    <n v="22517.809999999998"/>
    <n v="0.33318078324630135"/>
  </r>
  <r>
    <s v="ORD166"/>
    <d v="2023-01-15T00:00:00"/>
    <x v="4"/>
    <x v="1"/>
    <x v="3"/>
    <x v="0"/>
    <n v="291415.99"/>
    <n v="236682.2"/>
    <s v="Actual"/>
    <n v="5"/>
    <n v="54733.789999999979"/>
    <n v="0.18782013299956526"/>
  </r>
  <r>
    <s v="ORD5353"/>
    <d v="2023-01-15T00:00:00"/>
    <x v="4"/>
    <x v="3"/>
    <x v="2"/>
    <x v="0"/>
    <n v="87951.77"/>
    <n v="50038.02"/>
    <s v="Actual"/>
    <n v="4"/>
    <n v="37913.750000000007"/>
    <n v="0.43107432630406423"/>
  </r>
  <r>
    <s v="ORD983"/>
    <d v="2023-01-15T00:00:00"/>
    <x v="4"/>
    <x v="1"/>
    <x v="1"/>
    <x v="0"/>
    <n v="19170.09"/>
    <n v="15336.072"/>
    <s v="Estimated"/>
    <n v="2"/>
    <n v="3834.018"/>
    <n v="0.2"/>
  </r>
  <r>
    <s v="ORD3385"/>
    <d v="2023-02-15T00:00:00"/>
    <x v="1"/>
    <x v="1"/>
    <x v="0"/>
    <x v="0"/>
    <n v="61226.42"/>
    <n v="34821.82"/>
    <s v="Actual"/>
    <n v="4"/>
    <n v="26404.6"/>
    <n v="0.43126153709460718"/>
  </r>
  <r>
    <s v="ORD9699"/>
    <d v="2023-04-05T00:00:00"/>
    <x v="2"/>
    <x v="2"/>
    <x v="3"/>
    <x v="0"/>
    <n v="211152.11"/>
    <n v="179953.68"/>
    <s v="Actual"/>
    <s v="Unknown"/>
    <n v="31198.429999999993"/>
    <n v="0.14775334236536872"/>
  </r>
  <r>
    <s v="ORD531"/>
    <d v="2023-01-15T00:00:00"/>
    <x v="4"/>
    <x v="1"/>
    <x v="0"/>
    <x v="0"/>
    <n v="72470.649999999994"/>
    <n v="51617.919999999998"/>
    <s v="Actual"/>
    <n v="5"/>
    <n v="20852.729999999996"/>
    <n v="0.28774034729921694"/>
  </r>
  <r>
    <s v="ORD2123"/>
    <d v="2023-06-25T00:00:00"/>
    <x v="0"/>
    <x v="1"/>
    <x v="2"/>
    <x v="0"/>
    <n v="36030.67"/>
    <n v="25100.86"/>
    <s v="Actual"/>
    <n v="2"/>
    <n v="10929.809999999998"/>
    <n v="0.30334739820269779"/>
  </r>
  <r>
    <s v="ORD8176"/>
    <d v="2023-06-25T00:00:00"/>
    <x v="0"/>
    <x v="3"/>
    <x v="2"/>
    <x v="0"/>
    <n v="47985.32"/>
    <n v="26543.77"/>
    <s v="Actual"/>
    <n v="2"/>
    <n v="21441.55"/>
    <n v="0.44683561555909179"/>
  </r>
  <r>
    <s v="ORD915"/>
    <d v="2023-02-15T00:00:00"/>
    <x v="1"/>
    <x v="0"/>
    <x v="0"/>
    <x v="0"/>
    <n v="25826.639999999999"/>
    <n v="21013.98"/>
    <s v="Actual"/>
    <n v="2"/>
    <n v="4812.66"/>
    <n v="0.18634479746494317"/>
  </r>
  <r>
    <s v="ORD616"/>
    <d v="2023-04-05T00:00:00"/>
    <x v="2"/>
    <x v="3"/>
    <x v="3"/>
    <x v="0"/>
    <n v="186146.21"/>
    <n v="119103.36"/>
    <s v="Actual"/>
    <n v="3"/>
    <n v="67042.849999999991"/>
    <n v="0.36016231541861632"/>
  </r>
  <r>
    <s v="ORD4704"/>
    <s v="Not Mentioned"/>
    <x v="3"/>
    <x v="2"/>
    <x v="3"/>
    <x v="0"/>
    <n v="60886.400000000001"/>
    <n v="48296.52"/>
    <s v="Actual"/>
    <n v="1"/>
    <n v="12589.880000000005"/>
    <n v="0.2067765543701057"/>
  </r>
  <r>
    <s v="ORD6697"/>
    <d v="2023-01-15T00:00:00"/>
    <x v="4"/>
    <x v="0"/>
    <x v="2"/>
    <x v="0"/>
    <n v="88478.78"/>
    <n v="65053.59"/>
    <s v="Actual"/>
    <n v="5"/>
    <n v="23425.190000000002"/>
    <n v="0.26475489377226952"/>
  </r>
  <r>
    <s v="ORD5400"/>
    <d v="2023-01-15T00:00:00"/>
    <x v="4"/>
    <x v="2"/>
    <x v="3"/>
    <x v="0"/>
    <n v="167906.89"/>
    <n v="144563.07999999999"/>
    <s v="Actual"/>
    <n v="3"/>
    <n v="23343.810000000027"/>
    <n v="0.1390283031268105"/>
  </r>
  <r>
    <s v="ORD8994"/>
    <d v="2023-04-05T00:00:00"/>
    <x v="2"/>
    <x v="2"/>
    <x v="2"/>
    <x v="0"/>
    <n v="109656.3"/>
    <n v="68936.509999999995"/>
    <s v="Actual"/>
    <n v="5"/>
    <n v="40719.790000000008"/>
    <n v="0.3713401783572855"/>
  </r>
  <r>
    <s v="ORD7771"/>
    <d v="2023-01-15T00:00:00"/>
    <x v="4"/>
    <x v="3"/>
    <x v="3"/>
    <x v="0"/>
    <n v="172207.92"/>
    <n v="115154.89"/>
    <s v="Actual"/>
    <n v="3"/>
    <n v="57053.030000000013"/>
    <n v="0.33130317118980362"/>
  </r>
  <r>
    <s v="ORD3158"/>
    <d v="2023-06-25T00:00:00"/>
    <x v="0"/>
    <x v="0"/>
    <x v="3"/>
    <x v="0"/>
    <n v="169136.78"/>
    <n v="120811.74"/>
    <s v="Actual"/>
    <n v="3"/>
    <n v="48325.039999999994"/>
    <n v="0.28571573846918447"/>
  </r>
  <r>
    <s v="ORD2198"/>
    <s v="Not Mentioned"/>
    <x v="3"/>
    <x v="1"/>
    <x v="3"/>
    <x v="0"/>
    <n v="130842.75"/>
    <n v="104674.20000000001"/>
    <s v="Estimated"/>
    <n v="2"/>
    <n v="26168.549999999988"/>
    <n v="0.1999999999999999"/>
  </r>
  <r>
    <s v="ORD3708"/>
    <d v="2023-06-25T00:00:00"/>
    <x v="0"/>
    <x v="3"/>
    <x v="0"/>
    <x v="0"/>
    <n v="61299.48"/>
    <n v="46500.56"/>
    <s v="Actual"/>
    <n v="5"/>
    <n v="14798.920000000006"/>
    <n v="0.24141999246975676"/>
  </r>
  <r>
    <s v="ORD6575"/>
    <d v="2023-03-20T00:00:00"/>
    <x v="5"/>
    <x v="2"/>
    <x v="3"/>
    <x v="0"/>
    <n v="66661.119999999995"/>
    <n v="45566.26"/>
    <s v="Actual"/>
    <n v="1"/>
    <n v="21094.859999999993"/>
    <n v="0.31644922857581742"/>
  </r>
  <r>
    <s v="ORD1965"/>
    <d v="2023-04-05T00:00:00"/>
    <x v="2"/>
    <x v="1"/>
    <x v="2"/>
    <x v="0"/>
    <n v="33253.82"/>
    <n v="25251.75"/>
    <s v="Actual"/>
    <n v="2"/>
    <n v="8002.07"/>
    <n v="0.24063611338486826"/>
  </r>
  <r>
    <s v="ORD9249"/>
    <d v="2023-02-15T00:00:00"/>
    <x v="1"/>
    <x v="0"/>
    <x v="3"/>
    <x v="0"/>
    <n v="124527.28"/>
    <n v="98777.45"/>
    <s v="Actual"/>
    <s v="Unknown"/>
    <n v="25749.83"/>
    <n v="0.20678063473320868"/>
  </r>
  <r>
    <s v="ORD7392"/>
    <d v="2023-06-25T00:00:00"/>
    <x v="0"/>
    <x v="1"/>
    <x v="0"/>
    <x v="0"/>
    <n v="77043.429999999993"/>
    <n v="48943.12"/>
    <s v="Actual"/>
    <n v="5"/>
    <n v="28100.30999999999"/>
    <n v="0.36473337181379378"/>
  </r>
  <r>
    <s v="ORD5058"/>
    <d v="2023-02-15T00:00:00"/>
    <x v="1"/>
    <x v="2"/>
    <x v="2"/>
    <x v="0"/>
    <n v="51976.17"/>
    <n v="38477.300000000003"/>
    <s v="Actual"/>
    <n v="3"/>
    <n v="13498.869999999995"/>
    <n v="0.25971267217265137"/>
  </r>
  <r>
    <s v="ORD7601"/>
    <d v="2023-06-25T00:00:00"/>
    <x v="0"/>
    <x v="2"/>
    <x v="2"/>
    <x v="0"/>
    <n v="23571.52"/>
    <n v="13459.6"/>
    <s v="Actual"/>
    <n v="1"/>
    <n v="10111.92"/>
    <n v="0.42898888149767178"/>
  </r>
  <r>
    <s v="ORD5867"/>
    <d v="2023-02-15T00:00:00"/>
    <x v="1"/>
    <x v="3"/>
    <x v="2"/>
    <x v="0"/>
    <n v="36961.519999999997"/>
    <n v="26877.54"/>
    <s v="Actual"/>
    <n v="2"/>
    <n v="10083.979999999996"/>
    <n v="0.27282373668615351"/>
  </r>
  <r>
    <s v="ORD947"/>
    <d v="2023-02-15T00:00:00"/>
    <x v="1"/>
    <x v="1"/>
    <x v="3"/>
    <x v="0"/>
    <n v="65516.23"/>
    <n v="41011.46"/>
    <s v="Actual"/>
    <n v="1"/>
    <n v="24504.770000000004"/>
    <n v="0.37402594746370482"/>
  </r>
  <r>
    <s v="ORD2393"/>
    <d v="2023-02-15T00:00:00"/>
    <x v="1"/>
    <x v="1"/>
    <x v="3"/>
    <x v="0"/>
    <n v="226164.67"/>
    <n v="187586.83"/>
    <s v="Actual"/>
    <n v="4"/>
    <n v="38577.840000000026"/>
    <n v="0.17057412194398011"/>
  </r>
  <r>
    <s v="ORD7243"/>
    <d v="2023-03-20T00:00:00"/>
    <x v="5"/>
    <x v="3"/>
    <x v="0"/>
    <x v="0"/>
    <n v="76465.039999999994"/>
    <n v="61172.031999999999"/>
    <s v="Estimated"/>
    <n v="5"/>
    <n v="15293.007999999994"/>
    <n v="0.19999999999999996"/>
  </r>
  <r>
    <s v="ORD9604"/>
    <d v="2023-03-20T00:00:00"/>
    <x v="5"/>
    <x v="0"/>
    <x v="0"/>
    <x v="0"/>
    <n v="48161.41"/>
    <n v="31545.599999999999"/>
    <s v="Actual"/>
    <n v="3"/>
    <n v="16615.810000000005"/>
    <n v="0.34500256533187057"/>
  </r>
  <r>
    <s v="ORD5892"/>
    <d v="2023-04-05T00:00:00"/>
    <x v="2"/>
    <x v="3"/>
    <x v="0"/>
    <x v="0"/>
    <n v="17872.400000000001"/>
    <n v="9451.98"/>
    <s v="Actual"/>
    <n v="1"/>
    <n v="8420.4200000000019"/>
    <n v="0.47114097714912384"/>
  </r>
  <r>
    <s v="ORD640"/>
    <d v="2023-03-20T00:00:00"/>
    <x v="5"/>
    <x v="2"/>
    <x v="1"/>
    <x v="0"/>
    <n v="49730.720000000001"/>
    <n v="34611.480000000003"/>
    <s v="Actual"/>
    <n v="5"/>
    <n v="15119.239999999998"/>
    <n v="0.3040221416460489"/>
  </r>
  <r>
    <s v="ORD103"/>
    <d v="2023-06-25T00:00:00"/>
    <x v="0"/>
    <x v="2"/>
    <x v="2"/>
    <x v="0"/>
    <n v="66236.55"/>
    <n v="52989.240000000005"/>
    <s v="Estimated"/>
    <n v="3"/>
    <n v="13247.309999999998"/>
    <n v="0.19999999999999996"/>
  </r>
  <r>
    <s v="ORD7838"/>
    <d v="2023-02-15T00:00:00"/>
    <x v="1"/>
    <x v="0"/>
    <x v="0"/>
    <x v="0"/>
    <n v="29339.35"/>
    <n v="19970.34"/>
    <s v="Actual"/>
    <n v="2"/>
    <n v="9369.0099999999984"/>
    <n v="0.31933256871743915"/>
  </r>
  <r>
    <s v="ORD8531"/>
    <d v="2023-06-25T00:00:00"/>
    <x v="0"/>
    <x v="0"/>
    <x v="2"/>
    <x v="0"/>
    <n v="84297.42"/>
    <n v="54346.95"/>
    <s v="Actual"/>
    <n v="4"/>
    <n v="29950.47"/>
    <n v="0.35529521544075726"/>
  </r>
  <r>
    <s v="ORD9759"/>
    <d v="2023-03-20T00:00:00"/>
    <x v="5"/>
    <x v="1"/>
    <x v="3"/>
    <x v="0"/>
    <n v="271276.42"/>
    <n v="245988.5"/>
    <s v="Actual"/>
    <n v="5"/>
    <n v="25287.919999999984"/>
    <n v="9.321827529278065E-2"/>
  </r>
  <r>
    <s v="ORD9233"/>
    <s v="Not Mentioned"/>
    <x v="3"/>
    <x v="3"/>
    <x v="0"/>
    <x v="0"/>
    <n v="74184.460000000006"/>
    <n v="59347.568000000007"/>
    <s v="Estimated"/>
    <n v="5"/>
    <n v="14836.892"/>
    <n v="0.19999999999999998"/>
  </r>
  <r>
    <s v="ORD2691"/>
    <d v="2023-06-25T00:00:00"/>
    <x v="0"/>
    <x v="2"/>
    <x v="3"/>
    <x v="0"/>
    <n v="110402.44"/>
    <n v="88417.67"/>
    <s v="Actual"/>
    <n v="2"/>
    <n v="21984.770000000004"/>
    <n v="0.19913300829220806"/>
  </r>
  <r>
    <s v="ORD9378"/>
    <d v="2023-02-15T00:00:00"/>
    <x v="1"/>
    <x v="2"/>
    <x v="1"/>
    <x v="0"/>
    <n v="42847.16"/>
    <n v="27523.46"/>
    <s v="Actual"/>
    <n v="4"/>
    <n v="15323.700000000004"/>
    <n v="0.3576363054167418"/>
  </r>
  <r>
    <s v="ORD4503"/>
    <d v="2023-04-05T00:00:00"/>
    <x v="2"/>
    <x v="1"/>
    <x v="3"/>
    <x v="0"/>
    <n v="233665.82"/>
    <n v="166593.82999999999"/>
    <s v="Actual"/>
    <n v="4"/>
    <n v="67071.99000000002"/>
    <n v="0.28704236674409639"/>
  </r>
  <r>
    <s v="ORD2061"/>
    <d v="2023-02-15T00:00:00"/>
    <x v="1"/>
    <x v="1"/>
    <x v="3"/>
    <x v="0"/>
    <n v="51372.42"/>
    <n v="42624.44"/>
    <s v="Actual"/>
    <n v="1"/>
    <n v="8747.9799999999959"/>
    <n v="0.17028553453389964"/>
  </r>
  <r>
    <s v="ORD408"/>
    <d v="2023-06-25T00:00:00"/>
    <x v="0"/>
    <x v="2"/>
    <x v="0"/>
    <x v="0"/>
    <n v="35535.050000000003"/>
    <n v="17506.73"/>
    <s v="Actual"/>
    <n v="2"/>
    <n v="18028.320000000003"/>
    <n v="0.50733909196694538"/>
  </r>
  <r>
    <s v="ORD8777"/>
    <d v="2023-04-05T00:00:00"/>
    <x v="2"/>
    <x v="3"/>
    <x v="3"/>
    <x v="0"/>
    <n v="180790.06"/>
    <n v="121857.13"/>
    <s v="Actual"/>
    <n v="3"/>
    <n v="58932.929999999993"/>
    <n v="0.3259743926187092"/>
  </r>
  <r>
    <s v="ORD6529"/>
    <d v="2023-03-20T00:00:00"/>
    <x v="5"/>
    <x v="3"/>
    <x v="3"/>
    <x v="0"/>
    <n v="202831.78"/>
    <n v="132003.67000000001"/>
    <s v="Actual"/>
    <n v="3"/>
    <n v="70828.109999999986"/>
    <n v="0.34919631430538145"/>
  </r>
  <r>
    <s v="ORD5159"/>
    <d v="2023-02-15T00:00:00"/>
    <x v="1"/>
    <x v="0"/>
    <x v="3"/>
    <x v="0"/>
    <n v="132300.60999999999"/>
    <n v="91845.08"/>
    <s v="Actual"/>
    <n v="2"/>
    <n v="40455.529999999984"/>
    <n v="0.30578490907940625"/>
  </r>
  <r>
    <s v="ORD4018"/>
    <d v="2023-04-05T00:00:00"/>
    <x v="2"/>
    <x v="1"/>
    <x v="2"/>
    <x v="0"/>
    <n v="76317.33"/>
    <n v="61053.864000000001"/>
    <s v="Estimated"/>
    <n v="4"/>
    <n v="15263.466"/>
    <n v="0.2"/>
  </r>
  <r>
    <s v="ORD6765"/>
    <d v="2023-06-25T00:00:00"/>
    <x v="0"/>
    <x v="2"/>
    <x v="3"/>
    <x v="0"/>
    <n v="347192.29"/>
    <n v="213189.62"/>
    <s v="Actual"/>
    <n v="5"/>
    <n v="134002.66999999998"/>
    <n v="0.38596096128747559"/>
  </r>
  <r>
    <s v="ORD1857"/>
    <d v="2023-04-05T00:00:00"/>
    <x v="2"/>
    <x v="2"/>
    <x v="0"/>
    <x v="0"/>
    <n v="33610.769999999997"/>
    <n v="18905.939999999999"/>
    <s v="Actual"/>
    <n v="2"/>
    <n v="14704.829999999998"/>
    <n v="0.43750351449847769"/>
  </r>
  <r>
    <s v="ORD7698"/>
    <d v="2023-04-05T00:00:00"/>
    <x v="2"/>
    <x v="1"/>
    <x v="0"/>
    <x v="0"/>
    <n v="29101.7"/>
    <n v="17325.5"/>
    <s v="Actual"/>
    <n v="2"/>
    <n v="11776.2"/>
    <n v="0.40465677262840316"/>
  </r>
  <r>
    <s v="ORD9924"/>
    <d v="2023-04-05T00:00:00"/>
    <x v="2"/>
    <x v="1"/>
    <x v="1"/>
    <x v="0"/>
    <n v="34285.9"/>
    <n v="27428.720000000001"/>
    <s v="Estimated"/>
    <n v="4"/>
    <n v="6857.18"/>
    <n v="0.2"/>
  </r>
  <r>
    <s v="ORD793"/>
    <d v="2023-02-15T00:00:00"/>
    <x v="1"/>
    <x v="2"/>
    <x v="3"/>
    <x v="0"/>
    <n v="164827.19"/>
    <n v="118529.51"/>
    <s v="Actual"/>
    <n v="3"/>
    <n v="46297.680000000008"/>
    <n v="0.28088618146071659"/>
  </r>
  <r>
    <s v="ORD3839"/>
    <d v="2023-06-25T00:00:00"/>
    <x v="0"/>
    <x v="3"/>
    <x v="3"/>
    <x v="0"/>
    <n v="70476.37"/>
    <n v="38540.71"/>
    <s v="Actual"/>
    <n v="1"/>
    <n v="31935.659999999996"/>
    <n v="0.45313996733940748"/>
  </r>
  <r>
    <s v="ORD134"/>
    <d v="2023-04-05T00:00:00"/>
    <x v="2"/>
    <x v="1"/>
    <x v="0"/>
    <x v="0"/>
    <n v="86723.77"/>
    <n v="50838.16"/>
    <s v="Actual"/>
    <n v="5"/>
    <n v="35885.61"/>
    <n v="0.41379208952747326"/>
  </r>
  <r>
    <s v="ORD3420"/>
    <d v="2023-06-25T00:00:00"/>
    <x v="0"/>
    <x v="1"/>
    <x v="2"/>
    <x v="0"/>
    <n v="84248.97"/>
    <n v="56897.93"/>
    <s v="Actual"/>
    <n v="4"/>
    <n v="27351.040000000001"/>
    <n v="0.32464539329086162"/>
  </r>
  <r>
    <s v="ORD963"/>
    <d v="2023-03-20T00:00:00"/>
    <x v="5"/>
    <x v="1"/>
    <x v="0"/>
    <x v="0"/>
    <n v="30703.64"/>
    <n v="17735.45"/>
    <s v="Actual"/>
    <n v="2"/>
    <n v="12968.189999999999"/>
    <n v="0.42236653373997346"/>
  </r>
  <r>
    <s v="ORD6133"/>
    <d v="2023-02-15T00:00:00"/>
    <x v="1"/>
    <x v="2"/>
    <x v="1"/>
    <x v="0"/>
    <n v="22265.8"/>
    <n v="13639.49"/>
    <s v="Actual"/>
    <n v="2"/>
    <n v="8626.31"/>
    <n v="0.38742421112198977"/>
  </r>
  <r>
    <s v="ORD3998"/>
    <s v="Not Mentioned"/>
    <x v="3"/>
    <x v="1"/>
    <x v="0"/>
    <x v="0"/>
    <n v="17199.52"/>
    <n v="10306.67"/>
    <s v="Actual"/>
    <n v="1"/>
    <n v="6892.85"/>
    <n v="0.40075827697517141"/>
  </r>
  <r>
    <s v="ORD276"/>
    <d v="2023-03-20T00:00:00"/>
    <x v="5"/>
    <x v="1"/>
    <x v="1"/>
    <x v="0"/>
    <n v="10115.23"/>
    <n v="6591.07"/>
    <s v="Actual"/>
    <n v="1"/>
    <n v="3524.16"/>
    <n v="0.34840137100194457"/>
  </r>
  <r>
    <s v="ORD9855"/>
    <d v="2023-06-25T00:00:00"/>
    <x v="0"/>
    <x v="3"/>
    <x v="0"/>
    <x v="0"/>
    <n v="62393.11"/>
    <n v="41990.31"/>
    <s v="Actual"/>
    <n v="4"/>
    <n v="20402.800000000003"/>
    <n v="0.32700405541573424"/>
  </r>
  <r>
    <s v="ORD7359"/>
    <d v="2023-06-25T00:00:00"/>
    <x v="0"/>
    <x v="0"/>
    <x v="2"/>
    <x v="0"/>
    <n v="23172.45"/>
    <n v="13451.42"/>
    <s v="Actual"/>
    <n v="1"/>
    <n v="9721.0300000000007"/>
    <n v="0.41950807963767323"/>
  </r>
  <r>
    <s v="ORD685"/>
    <d v="2023-01-15T00:00:00"/>
    <x v="4"/>
    <x v="1"/>
    <x v="1"/>
    <x v="0"/>
    <n v="58552.41"/>
    <n v="29761.919999999998"/>
    <s v="Actual"/>
    <n v="5"/>
    <n v="28790.490000000005"/>
    <n v="0.49170461130464149"/>
  </r>
  <r>
    <s v="ORD1974"/>
    <d v="2023-01-15T00:00:00"/>
    <x v="4"/>
    <x v="1"/>
    <x v="3"/>
    <x v="0"/>
    <n v="135381.57"/>
    <n v="83142.83"/>
    <s v="Actual"/>
    <n v="2"/>
    <n v="52238.740000000005"/>
    <n v="0.38586300927075967"/>
  </r>
  <r>
    <s v="ORD417"/>
    <d v="2023-06-25T00:00:00"/>
    <x v="0"/>
    <x v="2"/>
    <x v="3"/>
    <x v="0"/>
    <n v="192704.14"/>
    <n v="190734.74"/>
    <s v="Actual"/>
    <n v="4"/>
    <n v="1969.4000000000233"/>
    <n v="1.0219811572289123E-2"/>
  </r>
  <r>
    <s v="ORD1552"/>
    <s v="Not Mentioned"/>
    <x v="3"/>
    <x v="0"/>
    <x v="0"/>
    <x v="0"/>
    <n v="33828.550000000003"/>
    <n v="17131.47"/>
    <s v="Actual"/>
    <n v="2"/>
    <n v="16697.080000000002"/>
    <n v="0.49357953562892881"/>
  </r>
  <r>
    <s v="ORD4264"/>
    <d v="2023-04-05T00:00:00"/>
    <x v="2"/>
    <x v="3"/>
    <x v="3"/>
    <x v="0"/>
    <n v="126140.79"/>
    <n v="77136.23"/>
    <s v="Actual"/>
    <n v="2"/>
    <n v="49004.56"/>
    <n v="0.38849098693610529"/>
  </r>
  <r>
    <s v="ORD8647"/>
    <d v="2023-04-05T00:00:00"/>
    <x v="2"/>
    <x v="1"/>
    <x v="1"/>
    <x v="0"/>
    <n v="23918.94"/>
    <n v="13337.05"/>
    <s v="Actual"/>
    <n v="2"/>
    <n v="10581.89"/>
    <n v="0.44240631064754543"/>
  </r>
  <r>
    <s v="ORD9838"/>
    <d v="2023-04-05T00:00:00"/>
    <x v="2"/>
    <x v="3"/>
    <x v="3"/>
    <x v="0"/>
    <n v="163830.35999999999"/>
    <n v="116400.67"/>
    <s v="Actual"/>
    <n v="3"/>
    <n v="47429.689999999988"/>
    <n v="0.28950488786083356"/>
  </r>
  <r>
    <s v="ORD9710"/>
    <d v="2023-01-15T00:00:00"/>
    <x v="4"/>
    <x v="0"/>
    <x v="1"/>
    <x v="0"/>
    <n v="58936.08"/>
    <n v="30974.01"/>
    <s v="Actual"/>
    <s v="Unknown"/>
    <n v="27962.070000000003"/>
    <n v="0.47444740132021002"/>
  </r>
  <r>
    <s v="ORD4704"/>
    <d v="2023-06-25T00:00:00"/>
    <x v="0"/>
    <x v="2"/>
    <x v="1"/>
    <x v="0"/>
    <n v="8788.34"/>
    <n v="6198.13"/>
    <s v="Actual"/>
    <n v="1"/>
    <n v="2590.21"/>
    <n v="0.29473256610463411"/>
  </r>
  <r>
    <s v="ORD5555"/>
    <d v="2023-06-25T00:00:00"/>
    <x v="0"/>
    <x v="2"/>
    <x v="2"/>
    <x v="0"/>
    <n v="113797.12"/>
    <n v="67653.490000000005"/>
    <s v="Actual"/>
    <n v="5"/>
    <n v="46143.62999999999"/>
    <n v="0.40549031469337704"/>
  </r>
  <r>
    <s v="ORD3724"/>
    <d v="2023-03-20T00:00:00"/>
    <x v="5"/>
    <x v="2"/>
    <x v="0"/>
    <x v="0"/>
    <n v="28228.28"/>
    <n v="21685.919999999998"/>
    <s v="Actual"/>
    <n v="2"/>
    <n v="6542.3600000000006"/>
    <n v="0.23176615790972743"/>
  </r>
  <r>
    <s v="ORD5040"/>
    <d v="2023-02-15T00:00:00"/>
    <x v="1"/>
    <x v="0"/>
    <x v="0"/>
    <x v="0"/>
    <n v="27964.11"/>
    <n v="17273.48"/>
    <s v="Actual"/>
    <n v="2"/>
    <n v="10690.630000000001"/>
    <n v="0.38229823870668511"/>
  </r>
  <r>
    <s v="ORD5770"/>
    <d v="2023-04-05T00:00:00"/>
    <x v="2"/>
    <x v="1"/>
    <x v="3"/>
    <x v="0"/>
    <n v="125508.17"/>
    <n v="91297.34"/>
    <s v="Actual"/>
    <n v="2"/>
    <n v="34210.83"/>
    <n v="0.27257851022766089"/>
  </r>
  <r>
    <s v="ORD7759"/>
    <d v="2023-01-15T00:00:00"/>
    <x v="4"/>
    <x v="1"/>
    <x v="0"/>
    <x v="0"/>
    <n v="48076.39"/>
    <n v="32749.55"/>
    <s v="Actual"/>
    <n v="3"/>
    <n v="15326.84"/>
    <n v="0.31880180687443466"/>
  </r>
  <r>
    <s v="ORD1497"/>
    <d v="2023-06-25T00:00:00"/>
    <x v="0"/>
    <x v="2"/>
    <x v="2"/>
    <x v="0"/>
    <n v="60070.3"/>
    <n v="40684.14"/>
    <s v="Actual"/>
    <n v="3"/>
    <n v="19386.160000000003"/>
    <n v="0.32272454107936871"/>
  </r>
  <r>
    <s v="ORD8229"/>
    <d v="2023-01-15T00:00:00"/>
    <x v="4"/>
    <x v="1"/>
    <x v="2"/>
    <x v="0"/>
    <n v="99121.23"/>
    <n v="79296.983999999997"/>
    <s v="Estimated"/>
    <n v="5"/>
    <n v="19824.245999999999"/>
    <n v="0.2"/>
  </r>
  <r>
    <s v="ORD809"/>
    <d v="2023-02-15T00:00:00"/>
    <x v="1"/>
    <x v="0"/>
    <x v="2"/>
    <x v="0"/>
    <n v="23718.57"/>
    <n v="14697.51"/>
    <s v="Actual"/>
    <n v="1"/>
    <n v="9021.06"/>
    <n v="0.38033743180975915"/>
  </r>
  <r>
    <s v="ORD8435"/>
    <d v="2023-01-15T00:00:00"/>
    <x v="4"/>
    <x v="2"/>
    <x v="2"/>
    <x v="0"/>
    <n v="96957.98"/>
    <n v="63842.5"/>
    <s v="Actual"/>
    <n v="5"/>
    <n v="33115.479999999996"/>
    <n v="0.34154465676780804"/>
  </r>
  <r>
    <s v="ORD9173"/>
    <d v="2023-03-20T00:00:00"/>
    <x v="5"/>
    <x v="3"/>
    <x v="0"/>
    <x v="0"/>
    <n v="14143.98"/>
    <n v="10606.3"/>
    <s v="Actual"/>
    <n v="1"/>
    <n v="3537.6800000000003"/>
    <n v="0.25011913195578617"/>
  </r>
  <r>
    <s v="ORD729"/>
    <d v="2023-01-15T00:00:00"/>
    <x v="4"/>
    <x v="2"/>
    <x v="3"/>
    <x v="0"/>
    <n v="259135.05"/>
    <n v="184946.7"/>
    <s v="Actual"/>
    <n v="4"/>
    <n v="74188.349999999977"/>
    <n v="0.28629222484569333"/>
  </r>
  <r>
    <s v="ORD8047"/>
    <d v="2023-01-15T00:00:00"/>
    <x v="4"/>
    <x v="0"/>
    <x v="0"/>
    <x v="0"/>
    <n v="37069.879999999997"/>
    <n v="29578.99"/>
    <s v="Actual"/>
    <n v="3"/>
    <n v="7490.8899999999958"/>
    <n v="0.20207483811655166"/>
  </r>
  <r>
    <s v="ORD5590"/>
    <s v="Not Mentioned"/>
    <x v="3"/>
    <x v="1"/>
    <x v="1"/>
    <x v="0"/>
    <n v="59756.98"/>
    <n v="33964.11"/>
    <s v="Actual"/>
    <n v="5"/>
    <n v="25792.870000000003"/>
    <n v="0.43162940965222807"/>
  </r>
  <r>
    <s v="ORD5584"/>
    <d v="2023-04-05T00:00:00"/>
    <x v="2"/>
    <x v="1"/>
    <x v="2"/>
    <x v="0"/>
    <n v="119460.01"/>
    <n v="69531.710000000006"/>
    <s v="Actual"/>
    <n v="5"/>
    <n v="49928.299999999988"/>
    <n v="0.41794990641638141"/>
  </r>
  <r>
    <s v="ORD4651"/>
    <d v="2023-03-20T00:00:00"/>
    <x v="5"/>
    <x v="2"/>
    <x v="2"/>
    <x v="0"/>
    <n v="56094.8"/>
    <n v="41241.26"/>
    <s v="Actual"/>
    <n v="3"/>
    <n v="14853.54"/>
    <n v="0.2647935280988612"/>
  </r>
  <r>
    <s v="ORD5969"/>
    <d v="2023-02-15T00:00:00"/>
    <x v="1"/>
    <x v="0"/>
    <x v="2"/>
    <x v="0"/>
    <n v="107333.29"/>
    <n v="60996.62"/>
    <s v="Actual"/>
    <n v="5"/>
    <n v="46336.669999999991"/>
    <n v="0.43170827988222477"/>
  </r>
  <r>
    <s v="ORD5880"/>
    <d v="2023-03-20T00:00:00"/>
    <x v="5"/>
    <x v="0"/>
    <x v="0"/>
    <x v="0"/>
    <n v="17308.78"/>
    <n v="9796.14"/>
    <s v="Actual"/>
    <n v="1"/>
    <n v="7512.6399999999994"/>
    <n v="0.43403636767004955"/>
  </r>
  <r>
    <s v="ORD6806"/>
    <d v="2023-06-25T00:00:00"/>
    <x v="0"/>
    <x v="1"/>
    <x v="3"/>
    <x v="0"/>
    <n v="184558.53"/>
    <n v="138663.96"/>
    <s v="Actual"/>
    <n v="3"/>
    <n v="45894.570000000007"/>
    <n v="0.24867216920290819"/>
  </r>
  <r>
    <s v="ORD2107"/>
    <d v="2023-02-15T00:00:00"/>
    <x v="1"/>
    <x v="2"/>
    <x v="1"/>
    <x v="0"/>
    <n v="43609.5"/>
    <n v="34611.58"/>
    <s v="Actual"/>
    <n v="5"/>
    <n v="8997.9199999999983"/>
    <n v="0.20632935484240816"/>
  </r>
  <r>
    <s v="ORD8492"/>
    <d v="2023-04-05T00:00:00"/>
    <x v="2"/>
    <x v="2"/>
    <x v="3"/>
    <x v="0"/>
    <n v="316006.58"/>
    <n v="197447.76"/>
    <s v="Actual"/>
    <n v="5"/>
    <n v="118558.82"/>
    <n v="0.37517832698293813"/>
  </r>
  <r>
    <s v="ORD5158"/>
    <d v="2023-06-25T00:00:00"/>
    <x v="0"/>
    <x v="2"/>
    <x v="2"/>
    <x v="0"/>
    <n v="54228.56"/>
    <n v="45511.98"/>
    <s v="Actual"/>
    <n v="3"/>
    <n v="8716.5799999999945"/>
    <n v="0.16073781048215174"/>
  </r>
  <r>
    <s v="ORD7080"/>
    <s v="Not Mentioned"/>
    <x v="3"/>
    <x v="3"/>
    <x v="1"/>
    <x v="0"/>
    <n v="10872.43"/>
    <n v="6775.56"/>
    <s v="Actual"/>
    <n v="1"/>
    <n v="4096.87"/>
    <n v="0.37681272723760922"/>
  </r>
  <r>
    <s v="ORD4182"/>
    <d v="2023-06-25T00:00:00"/>
    <x v="0"/>
    <x v="2"/>
    <x v="3"/>
    <x v="0"/>
    <n v="198516.63"/>
    <n v="119331.07"/>
    <s v="Actual"/>
    <n v="3"/>
    <n v="79185.56"/>
    <n v="0.39888627970361978"/>
  </r>
  <r>
    <s v="ORD762"/>
    <d v="2023-02-15T00:00:00"/>
    <x v="1"/>
    <x v="1"/>
    <x v="1"/>
    <x v="0"/>
    <n v="40818.53"/>
    <n v="32654.824000000001"/>
    <s v="Estimated"/>
    <n v="4"/>
    <n v="8163.7059999999983"/>
    <n v="0.19999999999999996"/>
  </r>
  <r>
    <s v="ORD235"/>
    <d v="2023-06-25T00:00:00"/>
    <x v="0"/>
    <x v="3"/>
    <x v="0"/>
    <x v="0"/>
    <n v="49259.18"/>
    <n v="25641.759999999998"/>
    <s v="Actual"/>
    <n v="3"/>
    <n v="23617.420000000002"/>
    <n v="0.4794521549079786"/>
  </r>
  <r>
    <s v="ORD785"/>
    <s v="Not Mentioned"/>
    <x v="3"/>
    <x v="1"/>
    <x v="1"/>
    <x v="0"/>
    <n v="22627.84"/>
    <n v="18102.272000000001"/>
    <s v="Estimated"/>
    <n v="2"/>
    <n v="4525.5679999999993"/>
    <n v="0.19999999999999996"/>
  </r>
  <r>
    <s v="ORD1594"/>
    <s v="Not Mentioned"/>
    <x v="3"/>
    <x v="1"/>
    <x v="1"/>
    <x v="0"/>
    <n v="10092.83"/>
    <n v="5964.84"/>
    <s v="Actual"/>
    <n v="1"/>
    <n v="4127.99"/>
    <n v="0.4090022322777655"/>
  </r>
  <r>
    <s v="ORD9650"/>
    <d v="2023-01-15T00:00:00"/>
    <x v="4"/>
    <x v="1"/>
    <x v="3"/>
    <x v="0"/>
    <n v="294880.19"/>
    <n v="234312.06"/>
    <s v="Actual"/>
    <n v="5"/>
    <n v="60568.130000000005"/>
    <n v="0.20539911480659315"/>
  </r>
  <r>
    <s v="ORD9483"/>
    <d v="2023-04-05T00:00:00"/>
    <x v="2"/>
    <x v="2"/>
    <x v="0"/>
    <x v="0"/>
    <n v="89665.5"/>
    <n v="50546.23"/>
    <s v="Actual"/>
    <n v="5"/>
    <n v="39119.269999999997"/>
    <n v="0.43628006312349787"/>
  </r>
  <r>
    <s v="ORD655"/>
    <d v="2023-04-05T00:00:00"/>
    <x v="2"/>
    <x v="2"/>
    <x v="0"/>
    <x v="0"/>
    <n v="28475.439999999999"/>
    <n v="17927.18"/>
    <s v="Actual"/>
    <n v="2"/>
    <n v="10548.259999999998"/>
    <n v="0.37043360875196307"/>
  </r>
  <r>
    <s v="ORD2984"/>
    <s v="Not Mentioned"/>
    <x v="3"/>
    <x v="1"/>
    <x v="0"/>
    <x v="0"/>
    <n v="79449.27"/>
    <n v="48849.7"/>
    <s v="Actual"/>
    <n v="5"/>
    <n v="30599.570000000007"/>
    <n v="0.38514601833345991"/>
  </r>
  <r>
    <s v="ORD7219"/>
    <d v="2023-02-15T00:00:00"/>
    <x v="1"/>
    <x v="2"/>
    <x v="2"/>
    <x v="0"/>
    <n v="71179.55"/>
    <n v="43948.55"/>
    <s v="Actual"/>
    <n v="3"/>
    <n v="27231"/>
    <n v="0.38256774593264498"/>
  </r>
  <r>
    <s v="ORD7879"/>
    <d v="2023-01-15T00:00:00"/>
    <x v="4"/>
    <x v="3"/>
    <x v="1"/>
    <x v="0"/>
    <n v="16360.28"/>
    <n v="13160.83"/>
    <s v="Actual"/>
    <n v="2"/>
    <n v="3199.4500000000007"/>
    <n v="0.19556205639512286"/>
  </r>
  <r>
    <s v="ORD6786"/>
    <d v="2023-06-25T00:00:00"/>
    <x v="0"/>
    <x v="1"/>
    <x v="1"/>
    <x v="0"/>
    <n v="40747.449999999997"/>
    <n v="33882.35"/>
    <s v="Actual"/>
    <n v="5"/>
    <n v="6865.0999999999985"/>
    <n v="0.16847925453003806"/>
  </r>
  <r>
    <s v="ORD9963"/>
    <d v="2023-06-25T00:00:00"/>
    <x v="0"/>
    <x v="2"/>
    <x v="2"/>
    <x v="0"/>
    <n v="37550.83"/>
    <n v="30040.664000000004"/>
    <s v="Estimated"/>
    <n v="2"/>
    <n v="7510.1659999999974"/>
    <n v="0.19999999999999993"/>
  </r>
  <r>
    <s v="ORD173"/>
    <s v="Not Mentioned"/>
    <x v="3"/>
    <x v="2"/>
    <x v="1"/>
    <x v="0"/>
    <n v="35494.47"/>
    <n v="19989.27"/>
    <s v="Actual"/>
    <n v="3"/>
    <n v="15505.2"/>
    <n v="0.43683424488378048"/>
  </r>
  <r>
    <s v="ORD1440"/>
    <d v="2023-06-25T00:00:00"/>
    <x v="0"/>
    <x v="2"/>
    <x v="1"/>
    <x v="0"/>
    <n v="22213.21"/>
    <n v="12732.82"/>
    <s v="Actual"/>
    <n v="2"/>
    <n v="9480.39"/>
    <n v="0.4267906349420007"/>
  </r>
  <r>
    <s v="ORD9714"/>
    <d v="2023-02-15T00:00:00"/>
    <x v="1"/>
    <x v="2"/>
    <x v="1"/>
    <x v="0"/>
    <n v="48263.46"/>
    <n v="32606.97"/>
    <s v="Actual"/>
    <n v="5"/>
    <n v="15656.489999999998"/>
    <n v="0.32439634456377553"/>
  </r>
  <r>
    <s v="ORD9450"/>
    <d v="2023-01-15T00:00:00"/>
    <x v="4"/>
    <x v="1"/>
    <x v="3"/>
    <x v="0"/>
    <n v="342186.09"/>
    <n v="216278.57"/>
    <s v="Actual"/>
    <n v="5"/>
    <n v="125907.52000000002"/>
    <n v="0.36795043305237807"/>
  </r>
  <r>
    <s v="ORD6501"/>
    <d v="2023-06-25T00:00:00"/>
    <x v="0"/>
    <x v="0"/>
    <x v="0"/>
    <x v="0"/>
    <n v="14107.52"/>
    <n v="9712.7000000000007"/>
    <s v="Actual"/>
    <n v="1"/>
    <n v="4394.82"/>
    <n v="0.31152321598693461"/>
  </r>
  <r>
    <s v="ORD5636"/>
    <d v="2023-01-15T00:00:00"/>
    <x v="4"/>
    <x v="0"/>
    <x v="3"/>
    <x v="0"/>
    <n v="253583.31"/>
    <n v="202866.64800000002"/>
    <s v="Estimated"/>
    <n v="4"/>
    <n v="50716.661999999982"/>
    <n v="0.19999999999999993"/>
  </r>
  <r>
    <s v="ORD3921"/>
    <d v="2023-06-25T00:00:00"/>
    <x v="0"/>
    <x v="3"/>
    <x v="3"/>
    <x v="0"/>
    <n v="287843.62"/>
    <n v="228118.68"/>
    <s v="Actual"/>
    <n v="5"/>
    <n v="59724.94"/>
    <n v="0.20749092858129009"/>
  </r>
  <r>
    <s v="ORD7017"/>
    <s v="Not Mentioned"/>
    <x v="3"/>
    <x v="0"/>
    <x v="2"/>
    <x v="0"/>
    <n v="67451.17"/>
    <n v="53960.936000000002"/>
    <s v="Estimated"/>
    <n v="4"/>
    <n v="13490.233999999997"/>
    <n v="0.19999999999999996"/>
  </r>
  <r>
    <s v="ORD8439"/>
    <d v="2023-02-15T00:00:00"/>
    <x v="1"/>
    <x v="1"/>
    <x v="2"/>
    <x v="0"/>
    <n v="108934.57"/>
    <n v="68560.36"/>
    <s v="Actual"/>
    <n v="5"/>
    <n v="40374.210000000006"/>
    <n v="0.37062807518311225"/>
  </r>
  <r>
    <s v="ORD3301"/>
    <d v="2023-03-20T00:00:00"/>
    <x v="5"/>
    <x v="2"/>
    <x v="0"/>
    <x v="0"/>
    <n v="66729.460000000006"/>
    <n v="54113.04"/>
    <s v="Actual"/>
    <n v="5"/>
    <n v="12616.420000000006"/>
    <n v="0.18906821664674051"/>
  </r>
  <r>
    <s v="ORD525"/>
    <d v="2023-06-25T00:00:00"/>
    <x v="0"/>
    <x v="3"/>
    <x v="0"/>
    <x v="0"/>
    <n v="34266.58"/>
    <n v="17859.91"/>
    <s v="Actual"/>
    <n v="2"/>
    <n v="16406.670000000002"/>
    <n v="0.47879508255565628"/>
  </r>
  <r>
    <s v="ORD4767"/>
    <d v="2023-04-05T00:00:00"/>
    <x v="2"/>
    <x v="2"/>
    <x v="2"/>
    <x v="0"/>
    <n v="16200.17"/>
    <n v="13793.6"/>
    <s v="Actual"/>
    <n v="1"/>
    <n v="2406.5699999999997"/>
    <n v="0.14855214482317158"/>
  </r>
  <r>
    <s v="ORD2136"/>
    <d v="2023-03-20T00:00:00"/>
    <x v="5"/>
    <x v="1"/>
    <x v="1"/>
    <x v="0"/>
    <n v="22317.96"/>
    <n v="14983.14"/>
    <s v="Actual"/>
    <n v="2"/>
    <n v="7334.82"/>
    <n v="0.3286510057370835"/>
  </r>
  <r>
    <s v="ORD2688"/>
    <d v="2023-03-20T00:00:00"/>
    <x v="5"/>
    <x v="2"/>
    <x v="3"/>
    <x v="0"/>
    <n v="220654.15"/>
    <n v="163009.63"/>
    <s v="Actual"/>
    <n v="4"/>
    <n v="57644.51999999999"/>
    <n v="0.2612437608809986"/>
  </r>
  <r>
    <s v="ORD905"/>
    <d v="2023-02-15T00:00:00"/>
    <x v="1"/>
    <x v="2"/>
    <x v="0"/>
    <x v="0"/>
    <n v="67406.11"/>
    <n v="53093.59"/>
    <s v="Actual"/>
    <n v="5"/>
    <n v="14312.520000000004"/>
    <n v="0.2123326802273563"/>
  </r>
  <r>
    <s v="ORD3536"/>
    <s v="Not Mentioned"/>
    <x v="3"/>
    <x v="1"/>
    <x v="3"/>
    <x v="0"/>
    <n v="196288.82"/>
    <n v="157071.70000000001"/>
    <s v="Actual"/>
    <n v="4"/>
    <n v="39217.119999999995"/>
    <n v="0.19979293777404131"/>
  </r>
  <r>
    <s v="ORD8424"/>
    <d v="2023-06-25T00:00:00"/>
    <x v="0"/>
    <x v="3"/>
    <x v="1"/>
    <x v="0"/>
    <n v="41856.28"/>
    <n v="27246.29"/>
    <s v="Actual"/>
    <n v="4"/>
    <n v="14609.989999999998"/>
    <n v="0.34905132515359699"/>
  </r>
  <r>
    <s v="ORD5084"/>
    <d v="2023-03-20T00:00:00"/>
    <x v="5"/>
    <x v="3"/>
    <x v="0"/>
    <x v="0"/>
    <n v="81965.5"/>
    <n v="53245.14"/>
    <s v="Actual"/>
    <n v="5"/>
    <n v="28720.36"/>
    <n v="0.35039571527044916"/>
  </r>
  <r>
    <s v="ORD6523"/>
    <d v="2023-06-25T00:00:00"/>
    <x v="0"/>
    <x v="1"/>
    <x v="0"/>
    <x v="0"/>
    <n v="15847.23"/>
    <n v="12677.784"/>
    <s v="Estimated"/>
    <n v="1"/>
    <n v="3169.4459999999999"/>
    <n v="0.2"/>
  </r>
  <r>
    <s v="ORD6039"/>
    <d v="2023-03-20T00:00:00"/>
    <x v="5"/>
    <x v="3"/>
    <x v="2"/>
    <x v="0"/>
    <n v="43473.279999999999"/>
    <n v="28301.66"/>
    <s v="Actual"/>
    <n v="2"/>
    <n v="15171.619999999999"/>
    <n v="0.34898723997821191"/>
  </r>
  <r>
    <s v="ORD6427"/>
    <d v="2023-01-15T00:00:00"/>
    <x v="4"/>
    <x v="0"/>
    <x v="3"/>
    <x v="0"/>
    <n v="255713.2"/>
    <n v="169711.08"/>
    <s v="Actual"/>
    <n v="4"/>
    <n v="86002.120000000024"/>
    <n v="0.33632256762654417"/>
  </r>
  <r>
    <s v="ORD393"/>
    <d v="2023-02-15T00:00:00"/>
    <x v="1"/>
    <x v="2"/>
    <x v="2"/>
    <x v="0"/>
    <n v="77864.009999999995"/>
    <n v="52845.63"/>
    <s v="Actual"/>
    <n v="4"/>
    <n v="25018.379999999997"/>
    <n v="0.3213086508131292"/>
  </r>
  <r>
    <s v="ORD8937"/>
    <s v="Not Mentioned"/>
    <x v="3"/>
    <x v="2"/>
    <x v="3"/>
    <x v="0"/>
    <n v="316469.46999999997"/>
    <n v="206380.88"/>
    <s v="Actual"/>
    <n v="5"/>
    <n v="110088.58999999997"/>
    <n v="0.34786480351485399"/>
  </r>
  <r>
    <s v="ORD4123"/>
    <d v="2023-06-25T00:00:00"/>
    <x v="0"/>
    <x v="1"/>
    <x v="1"/>
    <x v="0"/>
    <n v="43235.08"/>
    <n v="29205.45"/>
    <s v="Actual"/>
    <n v="4"/>
    <n v="14029.630000000001"/>
    <n v="0.32449645056745591"/>
  </r>
  <r>
    <s v="ORD8242"/>
    <d v="2023-01-15T00:00:00"/>
    <x v="4"/>
    <x v="1"/>
    <x v="3"/>
    <x v="0"/>
    <n v="152044.15"/>
    <n v="146689.51999999999"/>
    <s v="Actual"/>
    <n v="3"/>
    <n v="5354.6300000000047"/>
    <n v="3.5217599624845844E-2"/>
  </r>
  <r>
    <s v="ORD2752"/>
    <d v="2023-03-20T00:00:00"/>
    <x v="5"/>
    <x v="2"/>
    <x v="2"/>
    <x v="0"/>
    <n v="58749.58"/>
    <n v="45681.05"/>
    <s v="Actual"/>
    <n v="3"/>
    <n v="13068.529999999999"/>
    <n v="0.22244465407242059"/>
  </r>
  <r>
    <s v="ORD7216"/>
    <d v="2023-04-05T00:00:00"/>
    <x v="2"/>
    <x v="3"/>
    <x v="1"/>
    <x v="0"/>
    <n v="20071.39"/>
    <n v="12678.14"/>
    <s v="Actual"/>
    <n v="2"/>
    <n v="7393.25"/>
    <n v="0.36834768294572523"/>
  </r>
  <r>
    <s v="ORD5043"/>
    <d v="2023-01-15T00:00:00"/>
    <x v="4"/>
    <x v="3"/>
    <x v="1"/>
    <x v="0"/>
    <n v="8016.43"/>
    <n v="6464.93"/>
    <s v="Actual"/>
    <n v="1"/>
    <n v="1551.5"/>
    <n v="0.19354001718969666"/>
  </r>
  <r>
    <s v="ORD5895"/>
    <d v="2023-04-05T00:00:00"/>
    <x v="2"/>
    <x v="1"/>
    <x v="2"/>
    <x v="0"/>
    <n v="44594.98"/>
    <n v="29032.49"/>
    <s v="Actual"/>
    <n v="2"/>
    <n v="15562.490000000002"/>
    <n v="0.34897403250321002"/>
  </r>
  <r>
    <s v="ORD1455"/>
    <d v="2023-01-15T00:00:00"/>
    <x v="4"/>
    <x v="1"/>
    <x v="2"/>
    <x v="0"/>
    <n v="50204.41"/>
    <n v="39225.129999999997"/>
    <s v="Actual"/>
    <n v="3"/>
    <n v="10979.280000000006"/>
    <n v="0.21869154522481202"/>
  </r>
  <r>
    <s v="ORD3645"/>
    <d v="2023-03-20T00:00:00"/>
    <x v="5"/>
    <x v="0"/>
    <x v="1"/>
    <x v="0"/>
    <n v="21006.67"/>
    <n v="13081.38"/>
    <s v="Actual"/>
    <s v="Unknown"/>
    <n v="7925.2899999999991"/>
    <n v="0.37727493220010594"/>
  </r>
  <r>
    <s v="ORD6494"/>
    <d v="2023-02-15T00:00:00"/>
    <x v="1"/>
    <x v="1"/>
    <x v="2"/>
    <x v="0"/>
    <n v="67146.06"/>
    <n v="44404.68"/>
    <s v="Actual"/>
    <n v="3"/>
    <n v="22741.379999999997"/>
    <n v="0.33868524824837076"/>
  </r>
  <r>
    <s v="ORD9097"/>
    <d v="2023-01-15T00:00:00"/>
    <x v="4"/>
    <x v="2"/>
    <x v="2"/>
    <x v="0"/>
    <n v="44951.62"/>
    <n v="25448.67"/>
    <s v="Actual"/>
    <n v="2"/>
    <n v="19502.950000000004"/>
    <n v="0.4338653423391638"/>
  </r>
  <r>
    <s v="ORD7771"/>
    <d v="2023-03-20T00:00:00"/>
    <x v="5"/>
    <x v="3"/>
    <x v="0"/>
    <x v="0"/>
    <n v="33602.9"/>
    <n v="19672.59"/>
    <s v="Actual"/>
    <s v="Unknown"/>
    <n v="13930.310000000001"/>
    <n v="0.41455677932559393"/>
  </r>
  <r>
    <s v="ORD3551"/>
    <s v="Not Mentioned"/>
    <x v="3"/>
    <x v="2"/>
    <x v="1"/>
    <x v="0"/>
    <n v="45686.17"/>
    <n v="25486.47"/>
    <s v="Actual"/>
    <n v="4"/>
    <n v="20199.699999999997"/>
    <n v="0.44214036764298686"/>
  </r>
  <r>
    <s v="ORD3899"/>
    <s v="Not Mentioned"/>
    <x v="3"/>
    <x v="1"/>
    <x v="3"/>
    <x v="0"/>
    <n v="207765.86"/>
    <n v="166212.68799999999"/>
    <s v="Estimated"/>
    <n v="3"/>
    <n v="41553.171999999991"/>
    <n v="0.19999999999999998"/>
  </r>
  <r>
    <s v="ORD410"/>
    <d v="2023-06-25T00:00:00"/>
    <x v="0"/>
    <x v="1"/>
    <x v="3"/>
    <x v="0"/>
    <n v="310595.65000000002"/>
    <n v="242094.18"/>
    <s v="Actual"/>
    <s v="Unknown"/>
    <n v="68501.47000000003"/>
    <n v="0.22054871019603792"/>
  </r>
  <r>
    <s v="ORD2378"/>
    <d v="2023-04-05T00:00:00"/>
    <x v="2"/>
    <x v="1"/>
    <x v="0"/>
    <x v="0"/>
    <n v="71392.509999999995"/>
    <n v="52064.959999999999"/>
    <s v="Actual"/>
    <n v="5"/>
    <n v="19327.549999999996"/>
    <n v="0.27072237689920131"/>
  </r>
  <r>
    <s v="ORD2041"/>
    <d v="2023-02-15T00:00:00"/>
    <x v="1"/>
    <x v="3"/>
    <x v="1"/>
    <x v="0"/>
    <n v="35513.339999999997"/>
    <n v="18623.7"/>
    <s v="Actual"/>
    <n v="3"/>
    <n v="16889.639999999996"/>
    <n v="0.47558579395798867"/>
  </r>
  <r>
    <s v="ORD6575"/>
    <d v="2023-06-25T00:00:00"/>
    <x v="0"/>
    <x v="1"/>
    <x v="3"/>
    <x v="0"/>
    <n v="319912.36"/>
    <n v="200091.26"/>
    <s v="Actual"/>
    <n v="5"/>
    <n v="119821.09999999998"/>
    <n v="0.37454351560533633"/>
  </r>
  <r>
    <s v="ORD7157"/>
    <s v="Not Mentioned"/>
    <x v="3"/>
    <x v="1"/>
    <x v="0"/>
    <x v="0"/>
    <n v="66171.520000000004"/>
    <n v="50116.94"/>
    <s v="Actual"/>
    <n v="5"/>
    <n v="16054.580000000002"/>
    <n v="0.24262069240664264"/>
  </r>
  <r>
    <s v="ORD316"/>
    <d v="2023-06-25T00:00:00"/>
    <x v="0"/>
    <x v="2"/>
    <x v="0"/>
    <x v="0"/>
    <n v="16172.95"/>
    <n v="10743.48"/>
    <s v="Actual"/>
    <n v="1"/>
    <n v="5429.4700000000012"/>
    <n v="0.33571302699878508"/>
  </r>
  <r>
    <s v="ORD5338"/>
    <d v="2023-04-05T00:00:00"/>
    <x v="2"/>
    <x v="3"/>
    <x v="3"/>
    <x v="0"/>
    <n v="56401.82"/>
    <n v="39248.92"/>
    <s v="Actual"/>
    <n v="1"/>
    <n v="17152.900000000001"/>
    <n v="0.30411961883499505"/>
  </r>
  <r>
    <s v="ORD4764"/>
    <d v="2023-06-25T00:00:00"/>
    <x v="0"/>
    <x v="3"/>
    <x v="3"/>
    <x v="0"/>
    <n v="206775.67999999999"/>
    <n v="197630.49"/>
    <s v="Actual"/>
    <n v="4"/>
    <n v="9145.1900000000023"/>
    <n v="4.4227590014454324E-2"/>
  </r>
  <r>
    <s v="ORD2965"/>
    <d v="2023-04-05T00:00:00"/>
    <x v="2"/>
    <x v="0"/>
    <x v="1"/>
    <x v="0"/>
    <n v="23473.23"/>
    <n v="18778.583999999999"/>
    <s v="Estimated"/>
    <n v="2"/>
    <n v="4694.6460000000006"/>
    <n v="0.20000000000000004"/>
  </r>
  <r>
    <s v="ORD788"/>
    <d v="2023-06-25T00:00:00"/>
    <x v="0"/>
    <x v="1"/>
    <x v="1"/>
    <x v="0"/>
    <n v="34962.699999999997"/>
    <n v="20468.59"/>
    <s v="Actual"/>
    <n v="3"/>
    <n v="14494.109999999997"/>
    <n v="0.41455923026539709"/>
  </r>
  <r>
    <s v="ORD6581"/>
    <d v="2023-06-25T00:00:00"/>
    <x v="0"/>
    <x v="3"/>
    <x v="2"/>
    <x v="0"/>
    <n v="21806.58"/>
    <n v="12036.89"/>
    <s v="Actual"/>
    <n v="1"/>
    <n v="9769.6900000000023"/>
    <n v="0.44801569067685082"/>
  </r>
  <r>
    <s v="ORD529"/>
    <d v="2023-06-25T00:00:00"/>
    <x v="0"/>
    <x v="2"/>
    <x v="2"/>
    <x v="0"/>
    <n v="60948.56"/>
    <n v="41386"/>
    <s v="Actual"/>
    <n v="3"/>
    <n v="19562.559999999998"/>
    <n v="0.32096837070473855"/>
  </r>
  <r>
    <s v="ORD764"/>
    <d v="2023-03-20T00:00:00"/>
    <x v="5"/>
    <x v="3"/>
    <x v="2"/>
    <x v="0"/>
    <n v="99135.33"/>
    <n v="73645.78"/>
    <s v="Actual"/>
    <n v="5"/>
    <n v="25489.550000000003"/>
    <n v="0.25711872850980577"/>
  </r>
  <r>
    <s v="ORD6074"/>
    <d v="2023-02-15T00:00:00"/>
    <x v="1"/>
    <x v="1"/>
    <x v="1"/>
    <x v="0"/>
    <n v="8864.59"/>
    <n v="7432.45"/>
    <s v="Actual"/>
    <n v="1"/>
    <n v="1432.1400000000003"/>
    <n v="0.16155738731289324"/>
  </r>
  <r>
    <s v="ORD5826"/>
    <d v="2023-02-15T00:00:00"/>
    <x v="1"/>
    <x v="2"/>
    <x v="2"/>
    <x v="0"/>
    <n v="91752.78"/>
    <n v="76176.75"/>
    <s v="Actual"/>
    <n v="5"/>
    <n v="15576.029999999999"/>
    <n v="0.16976085084288453"/>
  </r>
  <r>
    <s v="ORD4942"/>
    <s v="Not Mentioned"/>
    <x v="3"/>
    <x v="1"/>
    <x v="3"/>
    <x v="0"/>
    <n v="214607.26"/>
    <n v="135526.98000000001"/>
    <s v="Actual"/>
    <n v="3"/>
    <n v="79080.28"/>
    <n v="0.36848837266735524"/>
  </r>
  <r>
    <s v="ORD311"/>
    <d v="2023-04-05T00:00:00"/>
    <x v="2"/>
    <x v="2"/>
    <x v="3"/>
    <x v="0"/>
    <n v="99488.45"/>
    <n v="97739.8"/>
    <s v="Actual"/>
    <n v="2"/>
    <n v="1748.6499999999942"/>
    <n v="1.7576412136283099E-2"/>
  </r>
  <r>
    <s v="ORD5722"/>
    <d v="2023-04-05T00:00:00"/>
    <x v="2"/>
    <x v="2"/>
    <x v="3"/>
    <x v="0"/>
    <n v="266085.34999999998"/>
    <n v="154971.04"/>
    <s v="Actual"/>
    <n v="4"/>
    <n v="111114.30999999997"/>
    <n v="0.41758898037791248"/>
  </r>
  <r>
    <s v="ORD6520"/>
    <s v="Not Mentioned"/>
    <x v="3"/>
    <x v="1"/>
    <x v="0"/>
    <x v="0"/>
    <n v="67789.34"/>
    <n v="41420.01"/>
    <s v="Actual"/>
    <n v="4"/>
    <n v="26369.329999999994"/>
    <n v="0.38898933077088516"/>
  </r>
  <r>
    <s v="ORD2571"/>
    <d v="2023-04-05T00:00:00"/>
    <x v="2"/>
    <x v="2"/>
    <x v="0"/>
    <x v="0"/>
    <n v="13412.27"/>
    <n v="8682.99"/>
    <s v="Actual"/>
    <n v="1"/>
    <n v="4729.2800000000007"/>
    <n v="0.35260846970721588"/>
  </r>
  <r>
    <s v="ORD7246"/>
    <d v="2023-01-15T00:00:00"/>
    <x v="4"/>
    <x v="1"/>
    <x v="2"/>
    <x v="0"/>
    <n v="32628.03"/>
    <n v="28485.67"/>
    <s v="Actual"/>
    <n v="2"/>
    <n v="4142.3600000000006"/>
    <n v="0.12695709793082821"/>
  </r>
  <r>
    <s v="ORD739"/>
    <d v="2023-06-25T00:00:00"/>
    <x v="0"/>
    <x v="1"/>
    <x v="3"/>
    <x v="0"/>
    <n v="287038.12"/>
    <n v="208951.86"/>
    <s v="Actual"/>
    <n v="5"/>
    <n v="78086.260000000009"/>
    <n v="0.2720414278075679"/>
  </r>
  <r>
    <s v="ORD7074"/>
    <d v="2023-04-05T00:00:00"/>
    <x v="2"/>
    <x v="1"/>
    <x v="2"/>
    <x v="0"/>
    <n v="103270.13"/>
    <n v="75248.87"/>
    <s v="Actual"/>
    <n v="5"/>
    <n v="28021.260000000009"/>
    <n v="0.27133944733099502"/>
  </r>
  <r>
    <s v="ORD989"/>
    <d v="2023-04-05T00:00:00"/>
    <x v="2"/>
    <x v="0"/>
    <x v="3"/>
    <x v="0"/>
    <n v="285828.5"/>
    <n v="159878.04999999999"/>
    <s v="Actual"/>
    <n v="4"/>
    <n v="125950.45000000001"/>
    <n v="0.44065042499260926"/>
  </r>
  <r>
    <s v="ORD9146"/>
    <d v="2023-02-15T00:00:00"/>
    <x v="1"/>
    <x v="2"/>
    <x v="0"/>
    <x v="0"/>
    <n v="26771.18"/>
    <n v="18844.54"/>
    <s v="Actual"/>
    <n v="2"/>
    <n v="7926.6399999999994"/>
    <n v="0.29608855493108632"/>
  </r>
  <r>
    <s v="ORD9697"/>
    <s v="Not Mentioned"/>
    <x v="3"/>
    <x v="1"/>
    <x v="3"/>
    <x v="0"/>
    <n v="52617.41"/>
    <n v="49410.09"/>
    <s v="Actual"/>
    <n v="1"/>
    <n v="3207.320000000007"/>
    <n v="6.0955489827416567E-2"/>
  </r>
  <r>
    <s v="ORD2969"/>
    <d v="2023-06-25T00:00:00"/>
    <x v="0"/>
    <x v="0"/>
    <x v="2"/>
    <x v="0"/>
    <n v="77505.490000000005"/>
    <n v="58962.36"/>
    <s v="Actual"/>
    <n v="4"/>
    <n v="18543.130000000005"/>
    <n v="0.23924924544054885"/>
  </r>
  <r>
    <s v="ORD7421"/>
    <s v="Not Mentioned"/>
    <x v="3"/>
    <x v="3"/>
    <x v="0"/>
    <x v="0"/>
    <n v="32299.4"/>
    <n v="21716.2"/>
    <s v="Actual"/>
    <n v="2"/>
    <n v="10583.2"/>
    <n v="0.32765933732515157"/>
  </r>
  <r>
    <s v="ORD259"/>
    <d v="2023-06-25T00:00:00"/>
    <x v="0"/>
    <x v="1"/>
    <x v="2"/>
    <x v="0"/>
    <n v="90576.57"/>
    <n v="54802.68"/>
    <s v="Actual"/>
    <n v="4"/>
    <n v="35773.890000000007"/>
    <n v="0.39495743766848318"/>
  </r>
  <r>
    <s v="ORD9939"/>
    <d v="2023-06-25T00:00:00"/>
    <x v="0"/>
    <x v="3"/>
    <x v="3"/>
    <x v="0"/>
    <n v="308592.40000000002"/>
    <n v="202152.04"/>
    <s v="Actual"/>
    <n v="5"/>
    <n v="106440.36000000002"/>
    <n v="0.34492216917850216"/>
  </r>
  <r>
    <s v="ORD6149"/>
    <d v="2023-03-20T00:00:00"/>
    <x v="5"/>
    <x v="3"/>
    <x v="2"/>
    <x v="0"/>
    <n v="63984.28"/>
    <n v="45756.59"/>
    <s v="Actual"/>
    <n v="3"/>
    <n v="18227.690000000002"/>
    <n v="0.28487762931770122"/>
  </r>
  <r>
    <s v="ORD6105"/>
    <d v="2023-06-25T00:00:00"/>
    <x v="0"/>
    <x v="1"/>
    <x v="1"/>
    <x v="0"/>
    <n v="43484.28"/>
    <n v="29407.67"/>
    <s v="Actual"/>
    <s v="Unknown"/>
    <n v="14076.61"/>
    <n v="0.32371721458881236"/>
  </r>
  <r>
    <s v="ORD6690"/>
    <d v="2023-04-05T00:00:00"/>
    <x v="2"/>
    <x v="0"/>
    <x v="1"/>
    <x v="0"/>
    <n v="10445.82"/>
    <n v="6719.26"/>
    <s v="Actual"/>
    <n v="1"/>
    <n v="3726.5599999999995"/>
    <n v="0.35675131296537749"/>
  </r>
  <r>
    <s v="ORD4565"/>
    <d v="2023-01-15T00:00:00"/>
    <x v="4"/>
    <x v="2"/>
    <x v="1"/>
    <x v="0"/>
    <n v="41269.660000000003"/>
    <n v="24520.06"/>
    <s v="Actual"/>
    <n v="4"/>
    <n v="16749.600000000002"/>
    <n v="0.40585747495860158"/>
  </r>
  <r>
    <s v="ORD6290"/>
    <s v="Not Mentioned"/>
    <x v="3"/>
    <x v="1"/>
    <x v="0"/>
    <x v="0"/>
    <n v="17892.89"/>
    <n v="14314.312"/>
    <s v="Estimated"/>
    <n v="1"/>
    <n v="3578.5779999999995"/>
    <n v="0.19999999999999998"/>
  </r>
  <r>
    <s v="ORD4196"/>
    <s v="Not Mentioned"/>
    <x v="3"/>
    <x v="2"/>
    <x v="1"/>
    <x v="0"/>
    <n v="8311.83"/>
    <n v="6266.65"/>
    <s v="Actual"/>
    <n v="1"/>
    <n v="2045.1800000000003"/>
    <n v="0.24605652425518812"/>
  </r>
  <r>
    <s v="ORD3870"/>
    <d v="2023-02-15T00:00:00"/>
    <x v="1"/>
    <x v="3"/>
    <x v="1"/>
    <x v="0"/>
    <n v="46810.69"/>
    <n v="26884.880000000001"/>
    <s v="Actual"/>
    <n v="4"/>
    <n v="19925.810000000001"/>
    <n v="0.42566794037857592"/>
  </r>
  <r>
    <s v="ORD255"/>
    <d v="2023-06-25T00:00:00"/>
    <x v="0"/>
    <x v="2"/>
    <x v="3"/>
    <x v="0"/>
    <n v="330849.56"/>
    <n v="243706.08"/>
    <s v="Actual"/>
    <n v="5"/>
    <n v="87143.48000000001"/>
    <n v="0.26339306602070139"/>
  </r>
  <r>
    <s v="ORD3557"/>
    <d v="2023-03-20T00:00:00"/>
    <x v="5"/>
    <x v="2"/>
    <x v="1"/>
    <x v="0"/>
    <n v="37461.440000000002"/>
    <n v="30735.26"/>
    <s v="Actual"/>
    <n v="4"/>
    <n v="6726.1800000000039"/>
    <n v="0.17954942468842638"/>
  </r>
  <r>
    <s v="ORD452"/>
    <d v="2023-04-05T00:00:00"/>
    <x v="2"/>
    <x v="2"/>
    <x v="0"/>
    <x v="0"/>
    <n v="12968.24"/>
    <n v="8777.67"/>
    <s v="Actual"/>
    <s v="Unknown"/>
    <n v="4190.57"/>
    <n v="0.32314099677365626"/>
  </r>
  <r>
    <s v="ORD3894"/>
    <d v="2023-01-15T00:00:00"/>
    <x v="4"/>
    <x v="1"/>
    <x v="2"/>
    <x v="0"/>
    <n v="58462.76"/>
    <n v="40605.279999999999"/>
    <s v="Actual"/>
    <n v="3"/>
    <n v="17857.480000000003"/>
    <n v="0.30545051242876664"/>
  </r>
  <r>
    <s v="ORD2647"/>
    <d v="2023-03-20T00:00:00"/>
    <x v="5"/>
    <x v="3"/>
    <x v="3"/>
    <x v="0"/>
    <n v="186516.67"/>
    <n v="134031.88"/>
    <s v="Actual"/>
    <n v="3"/>
    <n v="52484.790000000008"/>
    <n v="0.28139463351988864"/>
  </r>
  <r>
    <s v="ORD7747"/>
    <d v="2023-02-15T00:00:00"/>
    <x v="1"/>
    <x v="0"/>
    <x v="3"/>
    <x v="0"/>
    <n v="111170.43"/>
    <n v="94403.18"/>
    <s v="Actual"/>
    <n v="2"/>
    <n v="16767.25"/>
    <n v="0.15082472920182102"/>
  </r>
  <r>
    <s v="ORD4316"/>
    <s v="Not Mentioned"/>
    <x v="3"/>
    <x v="2"/>
    <x v="0"/>
    <x v="0"/>
    <n v="14928.83"/>
    <n v="11943.064"/>
    <s v="Estimated"/>
    <n v="1"/>
    <n v="2985.7659999999996"/>
    <n v="0.19999999999999998"/>
  </r>
  <r>
    <s v="ORD8223"/>
    <d v="2023-01-15T00:00:00"/>
    <x v="4"/>
    <x v="0"/>
    <x v="2"/>
    <x v="0"/>
    <n v="22051.17"/>
    <n v="13255.07"/>
    <s v="Actual"/>
    <n v="1"/>
    <n v="8796.0999999999985"/>
    <n v="0.39889493391960607"/>
  </r>
  <r>
    <s v="ORD6171"/>
    <s v="Not Mentioned"/>
    <x v="3"/>
    <x v="2"/>
    <x v="3"/>
    <x v="0"/>
    <n v="247021.27"/>
    <n v="182536.92"/>
    <s v="Actual"/>
    <n v="4"/>
    <n v="64484.349999999977"/>
    <n v="0.26104776321488421"/>
  </r>
  <r>
    <s v="ORD5079"/>
    <s v="Not Mentioned"/>
    <x v="3"/>
    <x v="0"/>
    <x v="0"/>
    <x v="0"/>
    <n v="53349.760000000002"/>
    <n v="39697.67"/>
    <s v="Actual"/>
    <n v="4"/>
    <n v="13652.090000000004"/>
    <n v="0.255897870955745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4B158C-5A6F-41B9-9215-61E06CE2F6A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0:B15" firstHeaderRow="1" firstDataRow="1" firstDataCol="1"/>
  <pivotFields count="12">
    <pivotField showAll="0"/>
    <pivotField showAll="0"/>
    <pivotField showAll="0">
      <items count="12">
        <item m="1" x="9"/>
        <item m="1" x="7"/>
        <item m="1" x="10"/>
        <item m="1" x="8"/>
        <item x="4"/>
        <item x="1"/>
        <item m="1" x="6"/>
        <item x="5"/>
        <item x="2"/>
        <item x="0"/>
        <item x="3"/>
        <item t="default"/>
      </items>
    </pivotField>
    <pivotField showAll="0">
      <items count="5">
        <item x="3"/>
        <item x="1"/>
        <item x="2"/>
        <item x="0"/>
        <item t="default"/>
      </items>
    </pivotField>
    <pivotField axis="axisRow" showAll="0">
      <items count="5">
        <item x="3"/>
        <item x="1"/>
        <item x="2"/>
        <item x="0"/>
        <item t="default"/>
      </items>
    </pivotField>
    <pivotField showAll="0">
      <items count="2">
        <item x="0"/>
        <item t="default"/>
      </items>
    </pivotField>
    <pivotField numFmtId="42" showAll="0"/>
    <pivotField numFmtId="42" showAll="0"/>
    <pivotField showAll="0"/>
    <pivotField showAll="0"/>
    <pivotField numFmtId="42" showAll="0"/>
    <pivotField dataField="1" numFmtId="9" showAll="0"/>
  </pivotFields>
  <rowFields count="1">
    <field x="4"/>
  </rowFields>
  <rowItems count="5">
    <i>
      <x/>
    </i>
    <i>
      <x v="1"/>
    </i>
    <i>
      <x v="2"/>
    </i>
    <i>
      <x v="3"/>
    </i>
    <i t="grand">
      <x/>
    </i>
  </rowItems>
  <colItems count="1">
    <i/>
  </colItems>
  <dataFields count="1">
    <dataField name="Average of Profit Margin" fld="11" subtotal="average" baseField="0" baseItem="0" numFmtId="9"/>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3"/>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 chart="7" format="9">
      <pivotArea type="data" outline="0" fieldPosition="0">
        <references count="2">
          <reference field="4294967294" count="1" selected="0">
            <x v="0"/>
          </reference>
          <reference field="4" count="1" selected="0">
            <x v="3"/>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4" count="1" selected="0">
            <x v="0"/>
          </reference>
        </references>
      </pivotArea>
    </chartFormat>
    <chartFormat chart="12" format="12">
      <pivotArea type="data" outline="0" fieldPosition="0">
        <references count="2">
          <reference field="4294967294" count="1" selected="0">
            <x v="0"/>
          </reference>
          <reference field="4" count="1" selected="0">
            <x v="1"/>
          </reference>
        </references>
      </pivotArea>
    </chartFormat>
    <chartFormat chart="12" format="13">
      <pivotArea type="data" outline="0" fieldPosition="0">
        <references count="2">
          <reference field="4294967294" count="1" selected="0">
            <x v="0"/>
          </reference>
          <reference field="4" count="1" selected="0">
            <x v="2"/>
          </reference>
        </references>
      </pivotArea>
    </chartFormat>
    <chartFormat chart="12"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D57581-AA0C-461E-AB9F-B72881DAE50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L16" firstHeaderRow="1" firstDataRow="1" firstDataCol="1"/>
  <pivotFields count="12">
    <pivotField showAll="0"/>
    <pivotField showAll="0"/>
    <pivotField axis="axisRow" showAll="0">
      <items count="12">
        <item m="1" x="9"/>
        <item m="1" x="7"/>
        <item m="1" x="10"/>
        <item m="1" x="8"/>
        <item m="1" x="6"/>
        <item x="3"/>
        <item x="0"/>
        <item x="1"/>
        <item x="2"/>
        <item x="4"/>
        <item x="5"/>
        <item t="default"/>
      </items>
    </pivotField>
    <pivotField showAll="0">
      <items count="5">
        <item x="3"/>
        <item x="1"/>
        <item x="2"/>
        <item x="0"/>
        <item t="default"/>
      </items>
    </pivotField>
    <pivotField showAll="0">
      <items count="5">
        <item x="3"/>
        <item x="1"/>
        <item x="2"/>
        <item x="0"/>
        <item t="default"/>
      </items>
    </pivotField>
    <pivotField showAll="0">
      <items count="2">
        <item x="0"/>
        <item t="default"/>
      </items>
    </pivotField>
    <pivotField numFmtId="42" showAll="0"/>
    <pivotField numFmtId="42" showAll="0"/>
    <pivotField showAll="0"/>
    <pivotField showAll="0"/>
    <pivotField numFmtId="42" showAll="0"/>
    <pivotField dataField="1" numFmtId="9" showAll="0"/>
  </pivotFields>
  <rowFields count="1">
    <field x="2"/>
  </rowFields>
  <rowItems count="7">
    <i>
      <x v="5"/>
    </i>
    <i>
      <x v="6"/>
    </i>
    <i>
      <x v="7"/>
    </i>
    <i>
      <x v="8"/>
    </i>
    <i>
      <x v="9"/>
    </i>
    <i>
      <x v="10"/>
    </i>
    <i t="grand">
      <x/>
    </i>
  </rowItems>
  <colItems count="1">
    <i/>
  </colItems>
  <dataFields count="1">
    <dataField name="Sum of Profit Margin" fld="11"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BA9915-2FB4-475E-BCF7-B637B56ED10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H6" firstHeaderRow="1" firstDataRow="1" firstDataCol="1"/>
  <pivotFields count="12">
    <pivotField showAll="0"/>
    <pivotField showAll="0"/>
    <pivotField showAll="0">
      <items count="12">
        <item m="1" x="9"/>
        <item m="1" x="7"/>
        <item m="1" x="10"/>
        <item m="1" x="8"/>
        <item x="4"/>
        <item x="1"/>
        <item m="1" x="6"/>
        <item x="5"/>
        <item x="2"/>
        <item x="0"/>
        <item x="3"/>
        <item t="default"/>
      </items>
    </pivotField>
    <pivotField showAll="0">
      <items count="5">
        <item x="3"/>
        <item x="1"/>
        <item x="2"/>
        <item x="0"/>
        <item t="default"/>
      </items>
    </pivotField>
    <pivotField axis="axisRow" showAll="0">
      <items count="5">
        <item x="3"/>
        <item x="1"/>
        <item x="2"/>
        <item x="0"/>
        <item t="default"/>
      </items>
    </pivotField>
    <pivotField showAll="0">
      <items count="2">
        <item x="0"/>
        <item t="default"/>
      </items>
    </pivotField>
    <pivotField dataField="1" numFmtId="42" showAll="0"/>
    <pivotField numFmtId="42" showAll="0"/>
    <pivotField showAll="0"/>
    <pivotField showAll="0"/>
    <pivotField numFmtId="42" showAll="0"/>
    <pivotField numFmtId="9" showAll="0"/>
  </pivotFields>
  <rowFields count="1">
    <field x="4"/>
  </rowFields>
  <rowItems count="5">
    <i>
      <x/>
    </i>
    <i>
      <x v="1"/>
    </i>
    <i>
      <x v="2"/>
    </i>
    <i>
      <x v="3"/>
    </i>
    <i t="grand">
      <x/>
    </i>
  </rowItems>
  <colItems count="1">
    <i/>
  </colItems>
  <dataFields count="1">
    <dataField name="Sum of Sales" fld="6" baseField="0" baseItem="0" numFmtId="4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ABAC43-4641-4E14-907E-305FC95BBD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9:O14" firstHeaderRow="1" firstDataRow="1" firstDataCol="1"/>
  <pivotFields count="12">
    <pivotField dataField="1" showAll="0"/>
    <pivotField showAll="0"/>
    <pivotField showAll="0"/>
    <pivotField showAll="0"/>
    <pivotField axis="axisRow" showAll="0">
      <items count="5">
        <item x="3"/>
        <item x="1"/>
        <item x="2"/>
        <item x="0"/>
        <item t="default"/>
      </items>
    </pivotField>
    <pivotField showAll="0"/>
    <pivotField numFmtId="42" showAll="0"/>
    <pivotField numFmtId="42" showAll="0"/>
    <pivotField showAll="0"/>
    <pivotField showAll="0"/>
    <pivotField numFmtId="42" showAll="0"/>
    <pivotField numFmtId="9" showAll="0"/>
  </pivotFields>
  <rowFields count="1">
    <field x="4"/>
  </rowFields>
  <rowItems count="5">
    <i>
      <x/>
    </i>
    <i>
      <x v="1"/>
    </i>
    <i>
      <x v="2"/>
    </i>
    <i>
      <x v="3"/>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6186B3-8ECC-4021-9D57-6D66238A6F5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1:K6" firstHeaderRow="1" firstDataRow="1" firstDataCol="1"/>
  <pivotFields count="12">
    <pivotField showAll="0"/>
    <pivotField showAll="0"/>
    <pivotField showAll="0">
      <items count="12">
        <item m="1" x="9"/>
        <item m="1" x="7"/>
        <item m="1" x="10"/>
        <item m="1" x="8"/>
        <item x="4"/>
        <item x="1"/>
        <item m="1" x="6"/>
        <item x="5"/>
        <item x="2"/>
        <item x="0"/>
        <item x="3"/>
        <item t="default"/>
      </items>
    </pivotField>
    <pivotField showAll="0">
      <items count="5">
        <item x="3"/>
        <item x="1"/>
        <item x="2"/>
        <item x="0"/>
        <item t="default"/>
      </items>
    </pivotField>
    <pivotField axis="axisRow" showAll="0">
      <items count="5">
        <item x="3"/>
        <item x="1"/>
        <item x="2"/>
        <item x="0"/>
        <item t="default"/>
      </items>
    </pivotField>
    <pivotField showAll="0">
      <items count="2">
        <item x="0"/>
        <item t="default"/>
      </items>
    </pivotField>
    <pivotField numFmtId="42" showAll="0"/>
    <pivotField numFmtId="42" showAll="0"/>
    <pivotField showAll="0"/>
    <pivotField showAll="0"/>
    <pivotField dataField="1" numFmtId="42" showAll="0"/>
    <pivotField numFmtId="9" showAll="0"/>
  </pivotFields>
  <rowFields count="1">
    <field x="4"/>
  </rowFields>
  <rowItems count="5">
    <i>
      <x/>
    </i>
    <i>
      <x v="1"/>
    </i>
    <i>
      <x v="2"/>
    </i>
    <i>
      <x v="3"/>
    </i>
    <i t="grand">
      <x/>
    </i>
  </rowItems>
  <colItems count="1">
    <i/>
  </colItems>
  <dataFields count="1">
    <dataField name="Sum of Profit" fld="10" baseField="0" baseItem="0" numFmtId="42"/>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3"/>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4" count="1" selected="0">
            <x v="0"/>
          </reference>
        </references>
      </pivotArea>
    </chartFormat>
    <chartFormat chart="7" format="12">
      <pivotArea type="data" outline="0" fieldPosition="0">
        <references count="2">
          <reference field="4294967294" count="1" selected="0">
            <x v="0"/>
          </reference>
          <reference field="4" count="1" selected="0">
            <x v="1"/>
          </reference>
        </references>
      </pivotArea>
    </chartFormat>
    <chartFormat chart="7" format="13">
      <pivotArea type="data" outline="0" fieldPosition="0">
        <references count="2">
          <reference field="4294967294" count="1" selected="0">
            <x v="0"/>
          </reference>
          <reference field="4" count="1" selected="0">
            <x v="2"/>
          </reference>
        </references>
      </pivotArea>
    </chartFormat>
    <chartFormat chart="7"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66251E-8C43-47C6-8441-73A3423A12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6" firstHeaderRow="1" firstDataRow="1" firstDataCol="1"/>
  <pivotFields count="12">
    <pivotField showAll="0"/>
    <pivotField showAll="0"/>
    <pivotField showAll="0">
      <items count="12">
        <item m="1" x="9"/>
        <item m="1" x="7"/>
        <item m="1" x="10"/>
        <item m="1" x="8"/>
        <item x="4"/>
        <item x="1"/>
        <item m="1" x="6"/>
        <item x="5"/>
        <item x="2"/>
        <item x="0"/>
        <item x="3"/>
        <item t="default"/>
      </items>
    </pivotField>
    <pivotField axis="axisRow" showAll="0">
      <items count="5">
        <item x="3"/>
        <item x="1"/>
        <item x="2"/>
        <item x="0"/>
        <item t="default"/>
      </items>
    </pivotField>
    <pivotField showAll="0">
      <items count="5">
        <item x="3"/>
        <item x="1"/>
        <item x="2"/>
        <item x="0"/>
        <item t="default"/>
      </items>
    </pivotField>
    <pivotField showAll="0">
      <items count="2">
        <item x="0"/>
        <item t="default"/>
      </items>
    </pivotField>
    <pivotField numFmtId="42" showAll="0"/>
    <pivotField numFmtId="42" showAll="0"/>
    <pivotField showAll="0"/>
    <pivotField showAll="0"/>
    <pivotField dataField="1" numFmtId="42" showAll="0"/>
    <pivotField numFmtId="9" showAll="0"/>
  </pivotFields>
  <rowFields count="1">
    <field x="3"/>
  </rowFields>
  <rowItems count="5">
    <i>
      <x/>
    </i>
    <i>
      <x v="1"/>
    </i>
    <i>
      <x v="2"/>
    </i>
    <i>
      <x v="3"/>
    </i>
    <i t="grand">
      <x/>
    </i>
  </rowItems>
  <colItems count="1">
    <i/>
  </colItems>
  <dataFields count="1">
    <dataField name="Sum of Profit" fld="10" baseField="0" baseItem="0" numFmtId="42"/>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D66583-0275-4562-A745-AD6E305201A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10:I16" firstHeaderRow="1" firstDataRow="2" firstDataCol="1"/>
  <pivotFields count="12">
    <pivotField showAll="0"/>
    <pivotField showAll="0"/>
    <pivotField showAll="0">
      <items count="12">
        <item m="1" x="9"/>
        <item m="1" x="7"/>
        <item m="1" x="10"/>
        <item m="1" x="8"/>
        <item x="4"/>
        <item x="1"/>
        <item m="1" x="6"/>
        <item x="5"/>
        <item x="2"/>
        <item x="0"/>
        <item x="3"/>
        <item t="default"/>
      </items>
    </pivotField>
    <pivotField axis="axisRow" showAll="0">
      <items count="5">
        <item x="3"/>
        <item x="1"/>
        <item x="2"/>
        <item x="0"/>
        <item t="default"/>
      </items>
    </pivotField>
    <pivotField axis="axisCol" showAll="0">
      <items count="5">
        <item x="3"/>
        <item x="1"/>
        <item x="2"/>
        <item x="0"/>
        <item t="default"/>
      </items>
    </pivotField>
    <pivotField showAll="0">
      <items count="2">
        <item x="0"/>
        <item t="default"/>
      </items>
    </pivotField>
    <pivotField dataField="1" numFmtId="42" showAll="0"/>
    <pivotField numFmtId="42" showAll="0"/>
    <pivotField showAll="0"/>
    <pivotField showAll="0"/>
    <pivotField numFmtId="42" showAll="0"/>
    <pivotField numFmtId="9" showAll="0"/>
  </pivotFields>
  <rowFields count="1">
    <field x="3"/>
  </rowFields>
  <rowItems count="5">
    <i>
      <x/>
    </i>
    <i>
      <x v="1"/>
    </i>
    <i>
      <x v="2"/>
    </i>
    <i>
      <x v="3"/>
    </i>
    <i t="grand">
      <x/>
    </i>
  </rowItems>
  <colFields count="1">
    <field x="4"/>
  </colFields>
  <colItems count="5">
    <i>
      <x/>
    </i>
    <i>
      <x v="1"/>
    </i>
    <i>
      <x v="2"/>
    </i>
    <i>
      <x v="3"/>
    </i>
    <i t="grand">
      <x/>
    </i>
  </colItems>
  <dataFields count="1">
    <dataField name="Sum of Sales" fld="6" baseField="0" baseItem="0" numFmtId="4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467325-A9EF-4C4F-81F5-7740F27455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E8" firstHeaderRow="1" firstDataRow="1" firstDataCol="1"/>
  <pivotFields count="12">
    <pivotField showAll="0"/>
    <pivotField showAll="0"/>
    <pivotField axis="axisRow" showAll="0">
      <items count="12">
        <item m="1" x="9"/>
        <item m="1" x="7"/>
        <item m="1" x="10"/>
        <item m="1" x="8"/>
        <item m="1" x="6"/>
        <item x="3"/>
        <item x="0"/>
        <item x="1"/>
        <item x="2"/>
        <item x="4"/>
        <item x="5"/>
        <item t="default"/>
      </items>
    </pivotField>
    <pivotField showAll="0">
      <items count="5">
        <item x="3"/>
        <item x="1"/>
        <item x="2"/>
        <item x="0"/>
        <item t="default"/>
      </items>
    </pivotField>
    <pivotField showAll="0">
      <items count="5">
        <item x="3"/>
        <item x="1"/>
        <item x="2"/>
        <item x="0"/>
        <item t="default"/>
      </items>
    </pivotField>
    <pivotField showAll="0">
      <items count="2">
        <item x="0"/>
        <item t="default"/>
      </items>
    </pivotField>
    <pivotField numFmtId="42" showAll="0"/>
    <pivotField numFmtId="42" showAll="0"/>
    <pivotField showAll="0"/>
    <pivotField showAll="0"/>
    <pivotField dataField="1" numFmtId="42" showAll="0"/>
    <pivotField numFmtId="9" showAll="0"/>
  </pivotFields>
  <rowFields count="1">
    <field x="2"/>
  </rowFields>
  <rowItems count="7">
    <i>
      <x v="5"/>
    </i>
    <i>
      <x v="6"/>
    </i>
    <i>
      <x v="7"/>
    </i>
    <i>
      <x v="8"/>
    </i>
    <i>
      <x v="9"/>
    </i>
    <i>
      <x v="10"/>
    </i>
    <i t="grand">
      <x/>
    </i>
  </rowItems>
  <colItems count="1">
    <i/>
  </colItems>
  <dataFields count="1">
    <dataField name="Sum of Profit" fld="10" baseField="0" baseItem="0" numFmtId="42"/>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4"/>
          </reference>
        </references>
      </pivotArea>
    </chartFormat>
    <chartFormat chart="0" format="4">
      <pivotArea type="data" outline="0" fieldPosition="0">
        <references count="2">
          <reference field="4294967294" count="1" selected="0">
            <x v="0"/>
          </reference>
          <reference field="2" count="1" selected="0">
            <x v="5"/>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1"/>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2" count="1" selected="0">
            <x v="0"/>
          </reference>
        </references>
      </pivotArea>
    </chartFormat>
    <chartFormat chart="10" format="16">
      <pivotArea type="data" outline="0" fieldPosition="0">
        <references count="2">
          <reference field="4294967294" count="1" selected="0">
            <x v="0"/>
          </reference>
          <reference field="2" count="1" selected="0">
            <x v="1"/>
          </reference>
        </references>
      </pivotArea>
    </chartFormat>
    <chartFormat chart="10" format="17">
      <pivotArea type="data" outline="0" fieldPosition="0">
        <references count="2">
          <reference field="4294967294" count="1" selected="0">
            <x v="0"/>
          </reference>
          <reference field="2" count="1" selected="0">
            <x v="2"/>
          </reference>
        </references>
      </pivotArea>
    </chartFormat>
    <chartFormat chart="10" format="18">
      <pivotArea type="data" outline="0" fieldPosition="0">
        <references count="2">
          <reference field="4294967294" count="1" selected="0">
            <x v="0"/>
          </reference>
          <reference field="2" count="1" selected="0">
            <x v="3"/>
          </reference>
        </references>
      </pivotArea>
    </chartFormat>
    <chartFormat chart="10" format="19">
      <pivotArea type="data" outline="0" fieldPosition="0">
        <references count="2">
          <reference field="4294967294" count="1" selected="0">
            <x v="0"/>
          </reference>
          <reference field="2" count="1" selected="0">
            <x v="4"/>
          </reference>
        </references>
      </pivotArea>
    </chartFormat>
    <chartFormat chart="10" format="20">
      <pivotArea type="data" outline="0" fieldPosition="0">
        <references count="2">
          <reference field="4294967294" count="1" selected="0">
            <x v="0"/>
          </reference>
          <reference field="2" count="1" selected="0">
            <x v="5"/>
          </reference>
        </references>
      </pivotArea>
    </chartFormat>
    <chartFormat chart="10" format="21">
      <pivotArea type="data" outline="0" fieldPosition="0">
        <references count="2">
          <reference field="4294967294" count="1" selected="0">
            <x v="0"/>
          </reference>
          <reference field="2" count="1" selected="0">
            <x v="6"/>
          </reference>
        </references>
      </pivotArea>
    </chartFormat>
    <chartFormat chart="10" format="22">
      <pivotArea type="data" outline="0" fieldPosition="0">
        <references count="2">
          <reference field="4294967294" count="1" selected="0">
            <x v="0"/>
          </reference>
          <reference field="2" count="1" selected="0">
            <x v="7"/>
          </reference>
        </references>
      </pivotArea>
    </chartFormat>
    <chartFormat chart="10" format="23">
      <pivotArea type="data" outline="0" fieldPosition="0">
        <references count="2">
          <reference field="4294967294" count="1" selected="0">
            <x v="0"/>
          </reference>
          <reference field="2" count="1" selected="0">
            <x v="8"/>
          </reference>
        </references>
      </pivotArea>
    </chartFormat>
    <chartFormat chart="10" format="24">
      <pivotArea type="data" outline="0" fieldPosition="0">
        <references count="2">
          <reference field="4294967294" count="1" selected="0">
            <x v="0"/>
          </reference>
          <reference field="2" count="1" selected="0">
            <x v="9"/>
          </reference>
        </references>
      </pivotArea>
    </chartFormat>
    <chartFormat chart="10" format="25">
      <pivotArea type="data" outline="0" fieldPosition="0">
        <references count="2">
          <reference field="4294967294" count="1" selected="0">
            <x v="0"/>
          </reference>
          <reference field="2" count="1" selected="0">
            <x v="10"/>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 chart="0" format="9">
      <pivotArea type="data" outline="0" fieldPosition="0">
        <references count="2">
          <reference field="4294967294" count="1" selected="0">
            <x v="0"/>
          </reference>
          <reference field="2" count="1" selected="0">
            <x v="8"/>
          </reference>
        </references>
      </pivotArea>
    </chartFormat>
    <chartFormat chart="0" format="10">
      <pivotArea type="data" outline="0" fieldPosition="0">
        <references count="2">
          <reference field="4294967294" count="1" selected="0">
            <x v="0"/>
          </reference>
          <reference field="2" count="1" selected="0">
            <x v="9"/>
          </reference>
        </references>
      </pivotArea>
    </chartFormat>
    <chartFormat chart="0" format="11">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E698D176-17B2-4F02-AE44-FE0E904E4A4D}" sourceName="Month">
  <pivotTables>
    <pivotTable tabId="3" name="PivotTable8"/>
    <pivotTable tabId="3" name="PivotTable1"/>
    <pivotTable tabId="3" name="PivotTable2"/>
    <pivotTable tabId="3" name="PivotTable4"/>
    <pivotTable tabId="3" name="PivotTable5"/>
    <pivotTable tabId="3" name="PivotTable6"/>
    <pivotTable tabId="3" name="PivotTable7"/>
  </pivotTables>
  <data>
    <tabular pivotCacheId="1381502236">
      <items count="11">
        <i x="4" s="1"/>
        <i x="1" s="1"/>
        <i x="5" s="1"/>
        <i x="2" s="1"/>
        <i x="0" s="1"/>
        <i x="3" s="1"/>
        <i x="9" s="1" nd="1"/>
        <i x="7" s="1" nd="1"/>
        <i x="6" s="1" nd="1"/>
        <i x="8" s="1" nd="1"/>
        <i x="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8FBF955-8965-42C6-8187-9E6C079E853C}" sourceName="Region">
  <pivotTables>
    <pivotTable tabId="3" name="PivotTable8"/>
    <pivotTable tabId="3" name="PivotTable1"/>
    <pivotTable tabId="3" name="PivotTable2"/>
    <pivotTable tabId="3" name="PivotTable4"/>
    <pivotTable tabId="3" name="PivotTable5"/>
    <pivotTable tabId="3" name="PivotTable6"/>
    <pivotTable tabId="3" name="PivotTable7"/>
  </pivotTables>
  <data>
    <tabular pivotCacheId="1381502236">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FD830C19-3D8A-45E9-B5DD-1BD2D6F0CD65}" sourceName="Product">
  <pivotTables>
    <pivotTable tabId="3" name="PivotTable8"/>
    <pivotTable tabId="3" name="PivotTable1"/>
    <pivotTable tabId="3" name="PivotTable2"/>
    <pivotTable tabId="3" name="PivotTable4"/>
    <pivotTable tabId="3" name="PivotTable5"/>
    <pivotTable tabId="3" name="PivotTable6"/>
    <pivotTable tabId="3" name="PivotTable7"/>
  </pivotTables>
  <data>
    <tabular pivotCacheId="1381502236">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5C57533-02F8-4A70-8A0B-2139E1BB16FF}" sourceName="Category">
  <pivotTables>
    <pivotTable tabId="3" name="PivotTable8"/>
    <pivotTable tabId="3" name="PivotTable1"/>
    <pivotTable tabId="3" name="PivotTable2"/>
    <pivotTable tabId="3" name="PivotTable4"/>
    <pivotTable tabId="3" name="PivotTable5"/>
    <pivotTable tabId="3" name="PivotTable6"/>
    <pivotTable tabId="3" name="PivotTable7"/>
  </pivotTables>
  <data>
    <tabular pivotCacheId="1381502236">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3EE87002-A7B6-4397-BF9F-E21EF68FEE83}" cache="Slicer_Month1" caption="Month" rowHeight="241300"/>
  <slicer name="Region 1" xr10:uid="{655BCC3D-0F51-4A0B-AAD1-21D0D4C923B5}" cache="Slicer_Region1" caption="Region" rowHeight="241300"/>
  <slicer name="Product 1" xr10:uid="{3D2244D7-C91D-4AE1-BF8E-17D2CC849172}" cache="Slicer_Product1" caption="Product" rowHeight="241300"/>
  <slicer name="Category" xr10:uid="{83E16F94-1256-4792-B8E3-C017F058E28C}"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3CD77F6C-1D59-48E9-A25D-8D40CC400C8D}" cache="Slicer_Month1" caption="Month" columnCount="2" style="SlicerStyleOther2" rowHeight="216000"/>
  <slicer name="Region 2" xr10:uid="{A9658307-22AD-474B-B4FA-BD501415B20F}" cache="Slicer_Region1" caption="Region" columnCount="2" style="SlicerStyleOther2" rowHeight="360000"/>
  <slicer name="Product 2" xr10:uid="{F9A8A046-492A-40DB-B850-EA33EFB69F4C}" cache="Slicer_Product1" caption="Product" columnCount="2" style="SlicerStyleOther2" rowHeight="324000"/>
  <slicer name="Category 1" xr10:uid="{E4CE61D7-00BF-4BB5-B0F3-61C6FFA7DC64}" cache="Slicer_Category" caption="Category" showCaption="0" style="SlicerStyleOther2"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CB9CF6-9140-446D-B97C-6238B6512811}" name="Table3" displayName="Table3" ref="A1:L3799" totalsRowShown="0" headerRowDxfId="9" headerRowBorderDxfId="8" tableBorderDxfId="7">
  <autoFilter ref="A1:L3799" xr:uid="{DDCB9CF6-9140-446D-B97C-6238B6512811}"/>
  <tableColumns count="12">
    <tableColumn id="1" xr3:uid="{6BD6EDBD-26DC-4492-8B83-0812149C7F5A}" name="Order ID"/>
    <tableColumn id="2" xr3:uid="{BA2F3272-3D07-4D62-817A-13A23200F85F}" name="Order Date" dataDxfId="6"/>
    <tableColumn id="9" xr3:uid="{986BC2AC-100A-408E-A9E8-A2B154ECEC8C}" name="Month" dataDxfId="5">
      <calculatedColumnFormula>TEXT(Table3[[#This Row],[Order Date]],"mmmm")</calculatedColumnFormula>
    </tableColumn>
    <tableColumn id="3" xr3:uid="{09DDFBE6-B961-43AC-8BAB-09749ECA06E9}" name="Region"/>
    <tableColumn id="4" xr3:uid="{14621190-3A38-45F5-B0AB-3B7BE704CF51}" name="Product"/>
    <tableColumn id="5" xr3:uid="{0D21A900-AE3C-42D4-9DE3-74EE93936F28}" name="Category"/>
    <tableColumn id="6" xr3:uid="{2529083A-9CA5-48FB-AF58-38628A976A18}" name="Sales" dataDxfId="4"/>
    <tableColumn id="7" xr3:uid="{015BB054-2255-4B5A-BD84-B8B42A4BA035}" name="Cost" dataDxfId="3"/>
    <tableColumn id="10" xr3:uid="{E01BA3FA-5039-40F1-9050-7EB08C650984}" name="Cost Type" dataDxfId="2"/>
    <tableColumn id="8" xr3:uid="{B31ECDF2-C24F-4CEC-B1A0-5B3C4C1994E6}" name="Quantity"/>
    <tableColumn id="13" xr3:uid="{692C48A5-C844-483C-A29A-4388C84C5DF4}" name="Profit" dataDxfId="1">
      <calculatedColumnFormula>Table3[[#This Row],[Sales]]-Table3[[#This Row],[Cost]]</calculatedColumnFormula>
    </tableColumn>
    <tableColumn id="14" xr3:uid="{2E568B9D-0A61-49D5-A2B6-C7228B7B5932}" name="Profit Margin" dataDxfId="0">
      <calculatedColumnFormula>Table3[[#This Row],[Profit]]/Table3[[#This Row],[Sales]]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01"/>
  <sheetViews>
    <sheetView zoomScale="130" zoomScaleNormal="130" workbookViewId="0">
      <selection activeCell="B5" sqref="B5"/>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3211</v>
      </c>
      <c r="C2" t="s">
        <v>3216</v>
      </c>
      <c r="D2" t="s">
        <v>3222</v>
      </c>
      <c r="E2" t="s">
        <v>3226</v>
      </c>
      <c r="F2">
        <v>70817.14</v>
      </c>
      <c r="G2">
        <v>41319.94</v>
      </c>
      <c r="H2">
        <v>4</v>
      </c>
    </row>
    <row r="3" spans="1:8" x14ac:dyDescent="0.25">
      <c r="A3" t="s">
        <v>9</v>
      </c>
      <c r="B3" t="s">
        <v>3212</v>
      </c>
      <c r="C3" t="s">
        <v>3217</v>
      </c>
      <c r="D3" t="s">
        <v>3223</v>
      </c>
      <c r="E3" t="s">
        <v>3226</v>
      </c>
      <c r="F3">
        <v>24247.01</v>
      </c>
      <c r="G3">
        <v>22942.03</v>
      </c>
      <c r="H3">
        <v>3</v>
      </c>
    </row>
    <row r="4" spans="1:8" x14ac:dyDescent="0.25">
      <c r="A4" t="s">
        <v>10</v>
      </c>
      <c r="B4" t="s">
        <v>3213</v>
      </c>
      <c r="C4" t="s">
        <v>3216</v>
      </c>
      <c r="D4" t="s">
        <v>3224</v>
      </c>
      <c r="E4" t="s">
        <v>3226</v>
      </c>
      <c r="G4">
        <v>176614.86</v>
      </c>
      <c r="H4">
        <v>4</v>
      </c>
    </row>
    <row r="5" spans="1:8" x14ac:dyDescent="0.25">
      <c r="A5" t="s">
        <v>11</v>
      </c>
      <c r="B5" t="s">
        <v>3212</v>
      </c>
      <c r="C5" t="s">
        <v>3218</v>
      </c>
      <c r="D5" t="s">
        <v>3223</v>
      </c>
      <c r="E5" t="s">
        <v>3226</v>
      </c>
      <c r="F5">
        <v>8185.8</v>
      </c>
      <c r="G5">
        <v>7013.2</v>
      </c>
      <c r="H5">
        <v>1</v>
      </c>
    </row>
    <row r="6" spans="1:8" x14ac:dyDescent="0.25">
      <c r="A6" t="s">
        <v>12</v>
      </c>
      <c r="B6" t="s">
        <v>3213</v>
      </c>
      <c r="C6" t="s">
        <v>3219</v>
      </c>
      <c r="D6" t="s">
        <v>3225</v>
      </c>
      <c r="E6" t="s">
        <v>3226</v>
      </c>
      <c r="F6">
        <v>71712.81</v>
      </c>
      <c r="G6">
        <v>57165.69</v>
      </c>
      <c r="H6">
        <v>4</v>
      </c>
    </row>
    <row r="7" spans="1:8" x14ac:dyDescent="0.25">
      <c r="A7" t="s">
        <v>13</v>
      </c>
      <c r="C7" t="s">
        <v>3216</v>
      </c>
      <c r="D7" t="s">
        <v>3225</v>
      </c>
      <c r="E7" t="s">
        <v>3226</v>
      </c>
      <c r="F7">
        <v>41083.21</v>
      </c>
      <c r="G7">
        <v>24019.19</v>
      </c>
      <c r="H7">
        <v>2</v>
      </c>
    </row>
    <row r="8" spans="1:8" x14ac:dyDescent="0.25">
      <c r="A8" t="s">
        <v>14</v>
      </c>
      <c r="B8" t="s">
        <v>3211</v>
      </c>
      <c r="C8" t="s">
        <v>3218</v>
      </c>
      <c r="D8" t="s">
        <v>3224</v>
      </c>
      <c r="E8" t="s">
        <v>3226</v>
      </c>
      <c r="F8">
        <v>286641.27</v>
      </c>
      <c r="G8">
        <v>206513.38</v>
      </c>
      <c r="H8">
        <v>5</v>
      </c>
    </row>
    <row r="9" spans="1:8" x14ac:dyDescent="0.25">
      <c r="A9" t="s">
        <v>15</v>
      </c>
      <c r="B9" t="s">
        <v>3214</v>
      </c>
      <c r="C9" t="s">
        <v>3220</v>
      </c>
      <c r="D9" t="s">
        <v>3224</v>
      </c>
      <c r="E9" t="s">
        <v>3226</v>
      </c>
      <c r="G9">
        <v>46937.75</v>
      </c>
      <c r="H9">
        <v>1</v>
      </c>
    </row>
    <row r="10" spans="1:8" x14ac:dyDescent="0.25">
      <c r="A10" t="s">
        <v>16</v>
      </c>
      <c r="C10" t="s">
        <v>3218</v>
      </c>
      <c r="D10" t="s">
        <v>3222</v>
      </c>
      <c r="E10" t="s">
        <v>3226</v>
      </c>
      <c r="F10">
        <v>87789.03</v>
      </c>
      <c r="G10">
        <v>50638.46</v>
      </c>
      <c r="H10">
        <v>5</v>
      </c>
    </row>
    <row r="11" spans="1:8" x14ac:dyDescent="0.25">
      <c r="A11" t="s">
        <v>17</v>
      </c>
      <c r="C11" t="s">
        <v>3221</v>
      </c>
      <c r="D11" t="s">
        <v>3222</v>
      </c>
      <c r="E11" t="s">
        <v>3226</v>
      </c>
      <c r="F11">
        <v>63301.38</v>
      </c>
      <c r="G11">
        <v>42872.13</v>
      </c>
      <c r="H11">
        <v>4</v>
      </c>
    </row>
    <row r="12" spans="1:8" x14ac:dyDescent="0.25">
      <c r="A12" t="s">
        <v>18</v>
      </c>
      <c r="B12" t="s">
        <v>3211</v>
      </c>
      <c r="C12" t="s">
        <v>3221</v>
      </c>
      <c r="D12" t="s">
        <v>3224</v>
      </c>
      <c r="E12" t="s">
        <v>3226</v>
      </c>
      <c r="F12">
        <v>97220.12</v>
      </c>
      <c r="H12">
        <v>2</v>
      </c>
    </row>
    <row r="13" spans="1:8" x14ac:dyDescent="0.25">
      <c r="A13" t="s">
        <v>19</v>
      </c>
      <c r="B13" t="s">
        <v>3213</v>
      </c>
      <c r="C13" t="s">
        <v>3216</v>
      </c>
      <c r="D13" t="s">
        <v>3224</v>
      </c>
      <c r="E13" t="s">
        <v>3226</v>
      </c>
      <c r="F13">
        <v>282513.94</v>
      </c>
      <c r="G13">
        <v>179948.95</v>
      </c>
      <c r="H13">
        <v>4</v>
      </c>
    </row>
    <row r="14" spans="1:8" x14ac:dyDescent="0.25">
      <c r="A14" t="s">
        <v>20</v>
      </c>
      <c r="B14" t="s">
        <v>3213</v>
      </c>
      <c r="C14" t="s">
        <v>3218</v>
      </c>
      <c r="D14" t="s">
        <v>3223</v>
      </c>
      <c r="E14" t="s">
        <v>3226</v>
      </c>
      <c r="F14">
        <v>27892.14</v>
      </c>
      <c r="G14">
        <v>18490.96</v>
      </c>
      <c r="H14">
        <v>3</v>
      </c>
    </row>
    <row r="15" spans="1:8" x14ac:dyDescent="0.25">
      <c r="A15" t="s">
        <v>21</v>
      </c>
      <c r="C15" t="s">
        <v>3220</v>
      </c>
      <c r="D15" t="s">
        <v>3224</v>
      </c>
      <c r="E15" t="s">
        <v>3226</v>
      </c>
      <c r="F15">
        <v>144500.54999999999</v>
      </c>
      <c r="G15">
        <v>131987.72</v>
      </c>
      <c r="H15">
        <v>3</v>
      </c>
    </row>
    <row r="16" spans="1:8" x14ac:dyDescent="0.25">
      <c r="A16" t="s">
        <v>22</v>
      </c>
      <c r="B16" t="s">
        <v>3215</v>
      </c>
      <c r="C16" t="s">
        <v>3221</v>
      </c>
      <c r="D16" t="s">
        <v>3223</v>
      </c>
      <c r="E16" t="s">
        <v>3226</v>
      </c>
      <c r="F16">
        <v>8259.57</v>
      </c>
      <c r="G16">
        <v>6394.35</v>
      </c>
      <c r="H16">
        <v>1</v>
      </c>
    </row>
    <row r="17" spans="1:8" x14ac:dyDescent="0.25">
      <c r="A17" t="s">
        <v>23</v>
      </c>
      <c r="B17" t="s">
        <v>3212</v>
      </c>
      <c r="C17" t="s">
        <v>3217</v>
      </c>
      <c r="D17" t="s">
        <v>3224</v>
      </c>
      <c r="E17" t="s">
        <v>3226</v>
      </c>
      <c r="F17">
        <v>120128.59</v>
      </c>
      <c r="G17">
        <v>77658.27</v>
      </c>
      <c r="H17">
        <v>2</v>
      </c>
    </row>
    <row r="18" spans="1:8" x14ac:dyDescent="0.25">
      <c r="A18" t="s">
        <v>24</v>
      </c>
      <c r="B18" t="s">
        <v>3214</v>
      </c>
      <c r="C18" t="s">
        <v>3220</v>
      </c>
      <c r="D18" t="s">
        <v>3223</v>
      </c>
      <c r="E18" t="s">
        <v>3226</v>
      </c>
      <c r="F18">
        <v>33293.65</v>
      </c>
      <c r="G18">
        <v>26387.58</v>
      </c>
      <c r="H18">
        <v>4</v>
      </c>
    </row>
    <row r="19" spans="1:8" x14ac:dyDescent="0.25">
      <c r="A19" t="s">
        <v>25</v>
      </c>
      <c r="B19" t="s">
        <v>3213</v>
      </c>
      <c r="C19" t="s">
        <v>3216</v>
      </c>
      <c r="D19" t="s">
        <v>3224</v>
      </c>
      <c r="E19" t="s">
        <v>3226</v>
      </c>
      <c r="F19">
        <v>240787.08</v>
      </c>
      <c r="G19">
        <v>184311.58</v>
      </c>
      <c r="H19">
        <v>4</v>
      </c>
    </row>
    <row r="20" spans="1:8" x14ac:dyDescent="0.25">
      <c r="A20" t="s">
        <v>26</v>
      </c>
      <c r="B20" t="s">
        <v>3214</v>
      </c>
      <c r="C20" t="s">
        <v>3216</v>
      </c>
      <c r="D20" t="s">
        <v>3224</v>
      </c>
      <c r="E20" t="s">
        <v>3226</v>
      </c>
      <c r="F20">
        <v>57541.73</v>
      </c>
      <c r="G20">
        <v>44074.7</v>
      </c>
      <c r="H20">
        <v>1</v>
      </c>
    </row>
    <row r="21" spans="1:8" x14ac:dyDescent="0.25">
      <c r="A21" t="s">
        <v>27</v>
      </c>
      <c r="B21" t="s">
        <v>3214</v>
      </c>
      <c r="C21" t="s">
        <v>3220</v>
      </c>
      <c r="D21" t="s">
        <v>3223</v>
      </c>
      <c r="E21" t="s">
        <v>3226</v>
      </c>
      <c r="F21">
        <v>23857.35</v>
      </c>
      <c r="G21">
        <v>13708.23</v>
      </c>
      <c r="H21">
        <v>2</v>
      </c>
    </row>
    <row r="22" spans="1:8" x14ac:dyDescent="0.25">
      <c r="A22" t="s">
        <v>28</v>
      </c>
      <c r="B22" t="s">
        <v>3213</v>
      </c>
      <c r="C22" t="s">
        <v>3217</v>
      </c>
      <c r="D22" t="s">
        <v>3224</v>
      </c>
      <c r="E22" t="s">
        <v>3226</v>
      </c>
      <c r="F22">
        <v>194425.76</v>
      </c>
      <c r="G22">
        <v>143324.81</v>
      </c>
      <c r="H22">
        <v>3</v>
      </c>
    </row>
    <row r="23" spans="1:8" x14ac:dyDescent="0.25">
      <c r="A23" t="s">
        <v>29</v>
      </c>
      <c r="B23" t="s">
        <v>3215</v>
      </c>
      <c r="C23" t="s">
        <v>3216</v>
      </c>
      <c r="D23" t="s">
        <v>3222</v>
      </c>
      <c r="E23" t="s">
        <v>3226</v>
      </c>
      <c r="F23">
        <v>15981.01</v>
      </c>
      <c r="G23">
        <v>8512.65</v>
      </c>
      <c r="H23">
        <v>1</v>
      </c>
    </row>
    <row r="24" spans="1:8" x14ac:dyDescent="0.25">
      <c r="A24" t="s">
        <v>30</v>
      </c>
      <c r="C24" t="s">
        <v>3217</v>
      </c>
      <c r="D24" t="s">
        <v>3224</v>
      </c>
      <c r="E24" t="s">
        <v>3226</v>
      </c>
      <c r="F24">
        <v>261458.73</v>
      </c>
      <c r="G24">
        <v>211863.87</v>
      </c>
      <c r="H24">
        <v>5</v>
      </c>
    </row>
    <row r="25" spans="1:8" x14ac:dyDescent="0.25">
      <c r="A25" t="s">
        <v>31</v>
      </c>
      <c r="B25" t="s">
        <v>3211</v>
      </c>
      <c r="C25" t="s">
        <v>3216</v>
      </c>
      <c r="D25" t="s">
        <v>3225</v>
      </c>
      <c r="E25" t="s">
        <v>3226</v>
      </c>
      <c r="F25">
        <v>99469.69</v>
      </c>
      <c r="G25">
        <v>75356.73</v>
      </c>
      <c r="H25">
        <v>5</v>
      </c>
    </row>
    <row r="26" spans="1:8" x14ac:dyDescent="0.25">
      <c r="A26" t="s">
        <v>32</v>
      </c>
      <c r="B26" t="s">
        <v>3214</v>
      </c>
      <c r="C26" t="s">
        <v>3216</v>
      </c>
      <c r="D26" t="s">
        <v>3224</v>
      </c>
      <c r="E26" t="s">
        <v>3226</v>
      </c>
      <c r="F26">
        <v>185184.3</v>
      </c>
      <c r="H26">
        <v>3</v>
      </c>
    </row>
    <row r="27" spans="1:8" x14ac:dyDescent="0.25">
      <c r="A27" t="s">
        <v>33</v>
      </c>
      <c r="B27" t="s">
        <v>3215</v>
      </c>
      <c r="C27" t="s">
        <v>3221</v>
      </c>
      <c r="D27" t="s">
        <v>3224</v>
      </c>
      <c r="E27" t="s">
        <v>3226</v>
      </c>
      <c r="F27">
        <v>351398.23</v>
      </c>
      <c r="G27">
        <v>215335.36</v>
      </c>
      <c r="H27">
        <v>5</v>
      </c>
    </row>
    <row r="28" spans="1:8" x14ac:dyDescent="0.25">
      <c r="A28" t="s">
        <v>34</v>
      </c>
      <c r="B28" t="s">
        <v>3212</v>
      </c>
      <c r="C28" t="s">
        <v>3221</v>
      </c>
      <c r="D28" t="s">
        <v>3223</v>
      </c>
      <c r="E28" t="s">
        <v>3226</v>
      </c>
      <c r="F28">
        <v>20454.41</v>
      </c>
      <c r="G28">
        <v>15176.54</v>
      </c>
      <c r="H28">
        <v>2</v>
      </c>
    </row>
    <row r="29" spans="1:8" x14ac:dyDescent="0.25">
      <c r="A29" t="s">
        <v>35</v>
      </c>
      <c r="B29" t="s">
        <v>3214</v>
      </c>
      <c r="C29" t="s">
        <v>3219</v>
      </c>
      <c r="D29" t="s">
        <v>3225</v>
      </c>
      <c r="E29" t="s">
        <v>3226</v>
      </c>
      <c r="F29">
        <v>37160.81</v>
      </c>
      <c r="G29">
        <v>29740.69</v>
      </c>
      <c r="H29">
        <v>2</v>
      </c>
    </row>
    <row r="30" spans="1:8" x14ac:dyDescent="0.25">
      <c r="A30" t="s">
        <v>36</v>
      </c>
      <c r="B30" t="s">
        <v>3213</v>
      </c>
      <c r="C30" t="s">
        <v>3221</v>
      </c>
      <c r="D30" t="s">
        <v>3224</v>
      </c>
      <c r="E30" t="s">
        <v>3226</v>
      </c>
      <c r="F30">
        <v>249791.3</v>
      </c>
      <c r="G30">
        <v>191541.65</v>
      </c>
      <c r="H30">
        <v>5</v>
      </c>
    </row>
    <row r="31" spans="1:8" x14ac:dyDescent="0.25">
      <c r="A31" t="s">
        <v>37</v>
      </c>
      <c r="B31" t="s">
        <v>3212</v>
      </c>
      <c r="C31" t="s">
        <v>3217</v>
      </c>
      <c r="D31" t="s">
        <v>3222</v>
      </c>
      <c r="E31" t="s">
        <v>3226</v>
      </c>
      <c r="F31">
        <v>61892.76</v>
      </c>
      <c r="G31">
        <v>38384.74</v>
      </c>
      <c r="H31">
        <v>4</v>
      </c>
    </row>
    <row r="32" spans="1:8" x14ac:dyDescent="0.25">
      <c r="A32" t="s">
        <v>38</v>
      </c>
      <c r="B32" t="s">
        <v>3211</v>
      </c>
      <c r="C32" t="s">
        <v>3216</v>
      </c>
      <c r="D32" t="s">
        <v>3224</v>
      </c>
      <c r="E32" t="s">
        <v>3226</v>
      </c>
      <c r="F32">
        <v>195728.13</v>
      </c>
      <c r="G32">
        <v>166646.95000000001</v>
      </c>
      <c r="H32">
        <v>4</v>
      </c>
    </row>
    <row r="33" spans="1:8" x14ac:dyDescent="0.25">
      <c r="A33" t="s">
        <v>39</v>
      </c>
      <c r="C33" t="s">
        <v>3221</v>
      </c>
      <c r="D33" t="s">
        <v>3225</v>
      </c>
      <c r="E33" t="s">
        <v>3226</v>
      </c>
      <c r="F33">
        <v>87775.2</v>
      </c>
      <c r="G33">
        <v>66698.69</v>
      </c>
      <c r="H33">
        <v>5</v>
      </c>
    </row>
    <row r="34" spans="1:8" x14ac:dyDescent="0.25">
      <c r="A34" t="s">
        <v>40</v>
      </c>
      <c r="B34" t="s">
        <v>3215</v>
      </c>
      <c r="C34" t="s">
        <v>3219</v>
      </c>
      <c r="D34" t="s">
        <v>3224</v>
      </c>
      <c r="E34" t="s">
        <v>3226</v>
      </c>
      <c r="F34">
        <v>175605.94</v>
      </c>
      <c r="H34">
        <v>3</v>
      </c>
    </row>
    <row r="35" spans="1:8" x14ac:dyDescent="0.25">
      <c r="A35" t="s">
        <v>41</v>
      </c>
      <c r="B35" t="s">
        <v>3211</v>
      </c>
      <c r="C35" t="s">
        <v>3217</v>
      </c>
      <c r="D35" t="s">
        <v>3225</v>
      </c>
      <c r="E35" t="s">
        <v>3226</v>
      </c>
      <c r="F35">
        <v>19538.82</v>
      </c>
      <c r="H35">
        <v>1</v>
      </c>
    </row>
    <row r="36" spans="1:8" x14ac:dyDescent="0.25">
      <c r="A36" t="s">
        <v>42</v>
      </c>
      <c r="C36" t="s">
        <v>3217</v>
      </c>
      <c r="D36" t="s">
        <v>3224</v>
      </c>
      <c r="E36" t="s">
        <v>3226</v>
      </c>
      <c r="G36">
        <v>126764.08</v>
      </c>
      <c r="H36">
        <v>3</v>
      </c>
    </row>
    <row r="37" spans="1:8" x14ac:dyDescent="0.25">
      <c r="A37" t="s">
        <v>43</v>
      </c>
      <c r="B37" t="s">
        <v>3212</v>
      </c>
      <c r="C37" t="s">
        <v>3217</v>
      </c>
      <c r="D37" t="s">
        <v>3223</v>
      </c>
      <c r="E37" t="s">
        <v>3226</v>
      </c>
      <c r="F37">
        <v>49483.48</v>
      </c>
      <c r="G37">
        <v>30606.05</v>
      </c>
      <c r="H37">
        <v>5</v>
      </c>
    </row>
    <row r="38" spans="1:8" x14ac:dyDescent="0.25">
      <c r="A38" t="s">
        <v>44</v>
      </c>
      <c r="B38" t="s">
        <v>3212</v>
      </c>
      <c r="C38" t="s">
        <v>3220</v>
      </c>
      <c r="D38" t="s">
        <v>3224</v>
      </c>
      <c r="E38" t="s">
        <v>3226</v>
      </c>
      <c r="F38">
        <v>196349.18</v>
      </c>
      <c r="G38">
        <v>169857.57</v>
      </c>
      <c r="H38">
        <v>4</v>
      </c>
    </row>
    <row r="39" spans="1:8" x14ac:dyDescent="0.25">
      <c r="A39" t="s">
        <v>45</v>
      </c>
      <c r="B39" t="s">
        <v>3215</v>
      </c>
      <c r="C39" t="s">
        <v>3220</v>
      </c>
      <c r="D39" t="s">
        <v>3223</v>
      </c>
      <c r="E39" t="s">
        <v>3226</v>
      </c>
      <c r="F39">
        <v>33611.39</v>
      </c>
      <c r="G39">
        <v>21405.13</v>
      </c>
      <c r="H39">
        <v>3</v>
      </c>
    </row>
    <row r="40" spans="1:8" x14ac:dyDescent="0.25">
      <c r="A40" t="s">
        <v>46</v>
      </c>
      <c r="B40" t="s">
        <v>3215</v>
      </c>
      <c r="C40" t="s">
        <v>3219</v>
      </c>
      <c r="D40" t="s">
        <v>3223</v>
      </c>
      <c r="E40" t="s">
        <v>3226</v>
      </c>
      <c r="F40">
        <v>17653.47</v>
      </c>
      <c r="G40">
        <v>12858.86</v>
      </c>
    </row>
    <row r="41" spans="1:8" x14ac:dyDescent="0.25">
      <c r="A41" t="s">
        <v>47</v>
      </c>
      <c r="B41" t="s">
        <v>3214</v>
      </c>
      <c r="C41" t="s">
        <v>3218</v>
      </c>
      <c r="D41" t="s">
        <v>3223</v>
      </c>
      <c r="E41" t="s">
        <v>3226</v>
      </c>
      <c r="F41">
        <v>56897.51</v>
      </c>
      <c r="G41">
        <v>29953.63</v>
      </c>
      <c r="H41">
        <v>5</v>
      </c>
    </row>
    <row r="42" spans="1:8" x14ac:dyDescent="0.25">
      <c r="A42" t="s">
        <v>48</v>
      </c>
      <c r="B42" t="s">
        <v>3213</v>
      </c>
      <c r="C42" t="s">
        <v>3219</v>
      </c>
      <c r="D42" t="s">
        <v>3223</v>
      </c>
      <c r="E42" t="s">
        <v>3226</v>
      </c>
      <c r="F42">
        <v>38687.14</v>
      </c>
      <c r="G42">
        <v>30573.06</v>
      </c>
      <c r="H42">
        <v>4</v>
      </c>
    </row>
    <row r="43" spans="1:8" x14ac:dyDescent="0.25">
      <c r="A43" t="s">
        <v>49</v>
      </c>
      <c r="C43" t="s">
        <v>3218</v>
      </c>
      <c r="D43" t="s">
        <v>3224</v>
      </c>
      <c r="E43" t="s">
        <v>3226</v>
      </c>
      <c r="F43">
        <v>268631.62</v>
      </c>
      <c r="G43">
        <v>229491.27</v>
      </c>
      <c r="H43">
        <v>5</v>
      </c>
    </row>
    <row r="44" spans="1:8" x14ac:dyDescent="0.25">
      <c r="A44" t="s">
        <v>50</v>
      </c>
      <c r="B44" t="s">
        <v>3213</v>
      </c>
      <c r="C44" t="s">
        <v>3221</v>
      </c>
      <c r="D44" t="s">
        <v>3222</v>
      </c>
      <c r="E44" t="s">
        <v>3226</v>
      </c>
      <c r="F44">
        <v>43005.63</v>
      </c>
      <c r="G44">
        <v>25581.279999999999</v>
      </c>
      <c r="H44">
        <v>3</v>
      </c>
    </row>
    <row r="45" spans="1:8" x14ac:dyDescent="0.25">
      <c r="A45" t="s">
        <v>51</v>
      </c>
      <c r="B45" t="s">
        <v>3211</v>
      </c>
      <c r="C45" t="s">
        <v>3218</v>
      </c>
      <c r="D45" t="s">
        <v>3225</v>
      </c>
      <c r="E45" t="s">
        <v>3226</v>
      </c>
      <c r="F45">
        <v>83668.17</v>
      </c>
      <c r="G45">
        <v>70042.720000000001</v>
      </c>
      <c r="H45">
        <v>5</v>
      </c>
    </row>
    <row r="46" spans="1:8" x14ac:dyDescent="0.25">
      <c r="A46" t="s">
        <v>52</v>
      </c>
      <c r="B46" t="s">
        <v>3215</v>
      </c>
      <c r="C46" t="s">
        <v>3219</v>
      </c>
      <c r="D46" t="s">
        <v>3225</v>
      </c>
      <c r="E46" t="s">
        <v>3226</v>
      </c>
      <c r="F46">
        <v>32920.94</v>
      </c>
      <c r="G46">
        <v>27646.7</v>
      </c>
      <c r="H46">
        <v>2</v>
      </c>
    </row>
    <row r="47" spans="1:8" x14ac:dyDescent="0.25">
      <c r="A47" t="s">
        <v>53</v>
      </c>
      <c r="B47" t="s">
        <v>3211</v>
      </c>
      <c r="C47" t="s">
        <v>3218</v>
      </c>
      <c r="D47" t="s">
        <v>3225</v>
      </c>
      <c r="E47" t="s">
        <v>3226</v>
      </c>
      <c r="F47">
        <v>91739.8</v>
      </c>
      <c r="G47">
        <v>59338.73</v>
      </c>
      <c r="H47">
        <v>4</v>
      </c>
    </row>
    <row r="48" spans="1:8" x14ac:dyDescent="0.25">
      <c r="A48" t="s">
        <v>54</v>
      </c>
      <c r="C48" t="s">
        <v>3216</v>
      </c>
      <c r="D48" t="s">
        <v>3224</v>
      </c>
      <c r="E48" t="s">
        <v>3226</v>
      </c>
      <c r="F48">
        <v>185853.99</v>
      </c>
      <c r="G48">
        <v>143880.93</v>
      </c>
      <c r="H48">
        <v>3</v>
      </c>
    </row>
    <row r="49" spans="1:8" x14ac:dyDescent="0.25">
      <c r="A49" t="s">
        <v>55</v>
      </c>
      <c r="C49" t="s">
        <v>3219</v>
      </c>
      <c r="D49" t="s">
        <v>3222</v>
      </c>
      <c r="E49" t="s">
        <v>3226</v>
      </c>
      <c r="F49">
        <v>49988.639999999999</v>
      </c>
      <c r="G49">
        <v>29688.03</v>
      </c>
      <c r="H49">
        <v>3</v>
      </c>
    </row>
    <row r="50" spans="1:8" x14ac:dyDescent="0.25">
      <c r="A50" t="s">
        <v>56</v>
      </c>
      <c r="B50" t="s">
        <v>3215</v>
      </c>
      <c r="C50" t="s">
        <v>3220</v>
      </c>
      <c r="D50" t="s">
        <v>3223</v>
      </c>
      <c r="E50" t="s">
        <v>3226</v>
      </c>
      <c r="F50">
        <v>44275.12</v>
      </c>
      <c r="G50">
        <v>29559.53</v>
      </c>
      <c r="H50">
        <v>4</v>
      </c>
    </row>
    <row r="51" spans="1:8" x14ac:dyDescent="0.25">
      <c r="A51" t="s">
        <v>57</v>
      </c>
      <c r="B51" t="s">
        <v>3214</v>
      </c>
      <c r="C51" t="s">
        <v>3216</v>
      </c>
      <c r="D51" t="s">
        <v>3223</v>
      </c>
      <c r="E51" t="s">
        <v>3226</v>
      </c>
      <c r="F51">
        <v>8894.3799999999992</v>
      </c>
    </row>
    <row r="52" spans="1:8" x14ac:dyDescent="0.25">
      <c r="A52" t="s">
        <v>58</v>
      </c>
      <c r="C52" t="s">
        <v>3217</v>
      </c>
      <c r="D52" t="s">
        <v>3224</v>
      </c>
      <c r="E52" t="s">
        <v>3226</v>
      </c>
      <c r="F52">
        <v>245170.01</v>
      </c>
      <c r="G52">
        <v>196618.61</v>
      </c>
      <c r="H52">
        <v>4</v>
      </c>
    </row>
    <row r="53" spans="1:8" x14ac:dyDescent="0.25">
      <c r="A53" t="s">
        <v>59</v>
      </c>
      <c r="B53" t="s">
        <v>3213</v>
      </c>
      <c r="C53" t="s">
        <v>3216</v>
      </c>
      <c r="D53" t="s">
        <v>3222</v>
      </c>
      <c r="E53" t="s">
        <v>3226</v>
      </c>
      <c r="F53">
        <v>17491.53</v>
      </c>
      <c r="H53">
        <v>1</v>
      </c>
    </row>
    <row r="54" spans="1:8" x14ac:dyDescent="0.25">
      <c r="A54" t="s">
        <v>60</v>
      </c>
      <c r="B54" t="s">
        <v>3215</v>
      </c>
      <c r="C54" t="s">
        <v>3218</v>
      </c>
      <c r="D54" t="s">
        <v>3225</v>
      </c>
      <c r="E54" t="s">
        <v>3226</v>
      </c>
      <c r="F54">
        <v>35670.32</v>
      </c>
      <c r="G54">
        <v>25661.57</v>
      </c>
      <c r="H54">
        <v>2</v>
      </c>
    </row>
    <row r="55" spans="1:8" x14ac:dyDescent="0.25">
      <c r="A55" t="s">
        <v>61</v>
      </c>
      <c r="B55" t="s">
        <v>3215</v>
      </c>
      <c r="C55" t="s">
        <v>3219</v>
      </c>
      <c r="D55" t="s">
        <v>3223</v>
      </c>
      <c r="E55" t="s">
        <v>3226</v>
      </c>
      <c r="F55">
        <v>53694.62</v>
      </c>
      <c r="G55">
        <v>31172.9</v>
      </c>
      <c r="H55">
        <v>5</v>
      </c>
    </row>
    <row r="56" spans="1:8" x14ac:dyDescent="0.25">
      <c r="A56" t="s">
        <v>62</v>
      </c>
      <c r="C56" t="s">
        <v>3221</v>
      </c>
      <c r="D56" t="s">
        <v>3225</v>
      </c>
      <c r="E56" t="s">
        <v>3226</v>
      </c>
      <c r="F56">
        <v>40825.410000000003</v>
      </c>
      <c r="G56">
        <v>24953.84</v>
      </c>
      <c r="H56">
        <v>2</v>
      </c>
    </row>
    <row r="57" spans="1:8" x14ac:dyDescent="0.25">
      <c r="A57" t="s">
        <v>63</v>
      </c>
      <c r="B57" t="s">
        <v>3211</v>
      </c>
      <c r="C57" t="s">
        <v>3217</v>
      </c>
      <c r="D57" t="s">
        <v>3222</v>
      </c>
      <c r="E57" t="s">
        <v>3226</v>
      </c>
      <c r="F57">
        <v>17029.97</v>
      </c>
      <c r="G57">
        <v>9671.73</v>
      </c>
      <c r="H57">
        <v>1</v>
      </c>
    </row>
    <row r="58" spans="1:8" x14ac:dyDescent="0.25">
      <c r="A58" t="s">
        <v>64</v>
      </c>
      <c r="B58" t="s">
        <v>3211</v>
      </c>
      <c r="C58" t="s">
        <v>3218</v>
      </c>
      <c r="D58" t="s">
        <v>3222</v>
      </c>
      <c r="E58" t="s">
        <v>3226</v>
      </c>
      <c r="F58">
        <v>77554.490000000005</v>
      </c>
      <c r="G58">
        <v>51576.51</v>
      </c>
      <c r="H58">
        <v>5</v>
      </c>
    </row>
    <row r="59" spans="1:8" x14ac:dyDescent="0.25">
      <c r="A59" t="s">
        <v>65</v>
      </c>
      <c r="B59" t="s">
        <v>3214</v>
      </c>
      <c r="C59" t="s">
        <v>3221</v>
      </c>
      <c r="D59" t="s">
        <v>3223</v>
      </c>
      <c r="E59" t="s">
        <v>3226</v>
      </c>
      <c r="F59">
        <v>10686.8</v>
      </c>
      <c r="G59">
        <v>7031.72</v>
      </c>
      <c r="H59">
        <v>1</v>
      </c>
    </row>
    <row r="60" spans="1:8" x14ac:dyDescent="0.25">
      <c r="A60" t="s">
        <v>66</v>
      </c>
      <c r="B60" t="s">
        <v>3211</v>
      </c>
      <c r="C60" t="s">
        <v>3218</v>
      </c>
      <c r="D60" t="s">
        <v>3225</v>
      </c>
      <c r="E60" t="s">
        <v>3226</v>
      </c>
      <c r="F60">
        <v>90124.34</v>
      </c>
      <c r="H60">
        <v>4</v>
      </c>
    </row>
    <row r="61" spans="1:8" x14ac:dyDescent="0.25">
      <c r="A61" t="s">
        <v>67</v>
      </c>
      <c r="B61" t="s">
        <v>3214</v>
      </c>
      <c r="C61" t="s">
        <v>3221</v>
      </c>
      <c r="D61" t="s">
        <v>3225</v>
      </c>
      <c r="E61" t="s">
        <v>3226</v>
      </c>
      <c r="F61">
        <v>44880.71</v>
      </c>
      <c r="G61">
        <v>30122.06</v>
      </c>
      <c r="H61">
        <v>2</v>
      </c>
    </row>
    <row r="62" spans="1:8" x14ac:dyDescent="0.25">
      <c r="A62" t="s">
        <v>68</v>
      </c>
      <c r="B62" t="s">
        <v>3211</v>
      </c>
      <c r="C62" t="s">
        <v>3216</v>
      </c>
      <c r="D62" t="s">
        <v>3222</v>
      </c>
      <c r="E62" t="s">
        <v>3226</v>
      </c>
      <c r="F62">
        <v>28179.07</v>
      </c>
      <c r="G62">
        <v>19569.95</v>
      </c>
      <c r="H62">
        <v>2</v>
      </c>
    </row>
    <row r="63" spans="1:8" x14ac:dyDescent="0.25">
      <c r="A63" t="s">
        <v>69</v>
      </c>
      <c r="B63" t="s">
        <v>3214</v>
      </c>
      <c r="C63" t="s">
        <v>3221</v>
      </c>
      <c r="D63" t="s">
        <v>3225</v>
      </c>
      <c r="E63" t="s">
        <v>3226</v>
      </c>
      <c r="F63">
        <v>19936.93</v>
      </c>
      <c r="G63">
        <v>12803.86</v>
      </c>
      <c r="H63">
        <v>1</v>
      </c>
    </row>
    <row r="64" spans="1:8" x14ac:dyDescent="0.25">
      <c r="A64" t="s">
        <v>70</v>
      </c>
      <c r="B64" t="s">
        <v>3214</v>
      </c>
      <c r="C64" t="s">
        <v>3221</v>
      </c>
      <c r="D64" t="s">
        <v>3222</v>
      </c>
      <c r="E64" t="s">
        <v>3226</v>
      </c>
      <c r="F64">
        <v>14760.71</v>
      </c>
      <c r="G64">
        <v>9961.92</v>
      </c>
      <c r="H64">
        <v>1</v>
      </c>
    </row>
    <row r="65" spans="1:8" x14ac:dyDescent="0.25">
      <c r="A65" t="s">
        <v>71</v>
      </c>
      <c r="B65" t="s">
        <v>3211</v>
      </c>
      <c r="C65" t="s">
        <v>3220</v>
      </c>
      <c r="D65" t="s">
        <v>3224</v>
      </c>
      <c r="E65" t="s">
        <v>3226</v>
      </c>
      <c r="F65">
        <v>124892.9</v>
      </c>
      <c r="G65">
        <v>81536.600000000006</v>
      </c>
      <c r="H65">
        <v>2</v>
      </c>
    </row>
    <row r="66" spans="1:8" x14ac:dyDescent="0.25">
      <c r="A66" t="s">
        <v>72</v>
      </c>
      <c r="C66" t="s">
        <v>3221</v>
      </c>
      <c r="D66" t="s">
        <v>3223</v>
      </c>
      <c r="E66" t="s">
        <v>3226</v>
      </c>
      <c r="F66">
        <v>23153.74</v>
      </c>
      <c r="G66">
        <v>12350.62</v>
      </c>
      <c r="H66">
        <v>2</v>
      </c>
    </row>
    <row r="67" spans="1:8" x14ac:dyDescent="0.25">
      <c r="A67" t="s">
        <v>73</v>
      </c>
      <c r="C67" t="s">
        <v>3217</v>
      </c>
      <c r="D67" t="s">
        <v>3222</v>
      </c>
      <c r="E67" t="s">
        <v>3226</v>
      </c>
      <c r="F67">
        <v>60077.85</v>
      </c>
      <c r="H67">
        <v>5</v>
      </c>
    </row>
    <row r="68" spans="1:8" x14ac:dyDescent="0.25">
      <c r="A68" t="s">
        <v>74</v>
      </c>
      <c r="C68" t="s">
        <v>3221</v>
      </c>
      <c r="D68" t="s">
        <v>3225</v>
      </c>
      <c r="E68" t="s">
        <v>3226</v>
      </c>
      <c r="G68">
        <v>54075.49</v>
      </c>
      <c r="H68">
        <v>4</v>
      </c>
    </row>
    <row r="69" spans="1:8" x14ac:dyDescent="0.25">
      <c r="A69" t="s">
        <v>75</v>
      </c>
      <c r="B69" t="s">
        <v>3215</v>
      </c>
      <c r="C69" t="s">
        <v>3217</v>
      </c>
      <c r="D69" t="s">
        <v>3222</v>
      </c>
      <c r="E69" t="s">
        <v>3226</v>
      </c>
      <c r="F69">
        <v>50572.13</v>
      </c>
      <c r="G69">
        <v>38474.120000000003</v>
      </c>
      <c r="H69">
        <v>4</v>
      </c>
    </row>
    <row r="70" spans="1:8" x14ac:dyDescent="0.25">
      <c r="A70" t="s">
        <v>76</v>
      </c>
      <c r="B70" t="s">
        <v>3212</v>
      </c>
      <c r="C70" t="s">
        <v>3220</v>
      </c>
      <c r="D70" t="s">
        <v>3225</v>
      </c>
      <c r="E70" t="s">
        <v>3226</v>
      </c>
      <c r="F70">
        <v>71462.929999999993</v>
      </c>
      <c r="G70">
        <v>52400.98</v>
      </c>
      <c r="H70">
        <v>4</v>
      </c>
    </row>
    <row r="71" spans="1:8" x14ac:dyDescent="0.25">
      <c r="A71" t="s">
        <v>77</v>
      </c>
      <c r="B71" t="s">
        <v>3215</v>
      </c>
      <c r="C71" t="s">
        <v>3220</v>
      </c>
      <c r="D71" t="s">
        <v>3223</v>
      </c>
      <c r="E71" t="s">
        <v>3226</v>
      </c>
      <c r="F71">
        <v>28545.27</v>
      </c>
      <c r="G71">
        <v>19621.599999999999</v>
      </c>
      <c r="H71">
        <v>3</v>
      </c>
    </row>
    <row r="72" spans="1:8" x14ac:dyDescent="0.25">
      <c r="A72" t="s">
        <v>78</v>
      </c>
      <c r="B72" t="s">
        <v>3214</v>
      </c>
      <c r="C72" t="s">
        <v>3221</v>
      </c>
      <c r="D72" t="s">
        <v>3224</v>
      </c>
      <c r="E72" t="s">
        <v>3226</v>
      </c>
      <c r="F72">
        <v>258343.1</v>
      </c>
      <c r="G72">
        <v>205085.12</v>
      </c>
      <c r="H72">
        <v>5</v>
      </c>
    </row>
    <row r="73" spans="1:8" x14ac:dyDescent="0.25">
      <c r="A73" t="s">
        <v>79</v>
      </c>
      <c r="C73" t="s">
        <v>3217</v>
      </c>
      <c r="D73" t="s">
        <v>3222</v>
      </c>
      <c r="E73" t="s">
        <v>3226</v>
      </c>
      <c r="F73">
        <v>89471.360000000001</v>
      </c>
      <c r="G73">
        <v>43900.49</v>
      </c>
      <c r="H73">
        <v>5</v>
      </c>
    </row>
    <row r="74" spans="1:8" x14ac:dyDescent="0.25">
      <c r="A74" t="s">
        <v>80</v>
      </c>
      <c r="B74" t="s">
        <v>3215</v>
      </c>
      <c r="C74" t="s">
        <v>3216</v>
      </c>
      <c r="D74" t="s">
        <v>3222</v>
      </c>
      <c r="E74" t="s">
        <v>3226</v>
      </c>
      <c r="F74">
        <v>16310.74</v>
      </c>
      <c r="G74">
        <v>9837.59</v>
      </c>
      <c r="H74">
        <v>1</v>
      </c>
    </row>
    <row r="75" spans="1:8" x14ac:dyDescent="0.25">
      <c r="A75" t="s">
        <v>81</v>
      </c>
      <c r="C75" t="s">
        <v>3219</v>
      </c>
      <c r="D75" t="s">
        <v>3222</v>
      </c>
      <c r="E75" t="s">
        <v>3226</v>
      </c>
      <c r="F75">
        <v>15663.72</v>
      </c>
      <c r="G75">
        <v>9221.58</v>
      </c>
      <c r="H75">
        <v>1</v>
      </c>
    </row>
    <row r="76" spans="1:8" x14ac:dyDescent="0.25">
      <c r="A76" t="s">
        <v>82</v>
      </c>
      <c r="B76" t="s">
        <v>3215</v>
      </c>
      <c r="C76" t="s">
        <v>3220</v>
      </c>
      <c r="D76" t="s">
        <v>3223</v>
      </c>
      <c r="E76" t="s">
        <v>3226</v>
      </c>
      <c r="F76">
        <v>20388.82</v>
      </c>
      <c r="G76">
        <v>13821.23</v>
      </c>
      <c r="H76">
        <v>2</v>
      </c>
    </row>
    <row r="77" spans="1:8" x14ac:dyDescent="0.25">
      <c r="A77" t="s">
        <v>83</v>
      </c>
      <c r="B77" t="s">
        <v>3212</v>
      </c>
      <c r="C77" t="s">
        <v>3216</v>
      </c>
      <c r="D77" t="s">
        <v>3222</v>
      </c>
      <c r="E77" t="s">
        <v>3226</v>
      </c>
      <c r="F77">
        <v>42279.63</v>
      </c>
      <c r="G77">
        <v>32471.47</v>
      </c>
      <c r="H77">
        <v>3</v>
      </c>
    </row>
    <row r="78" spans="1:8" x14ac:dyDescent="0.25">
      <c r="A78" t="s">
        <v>84</v>
      </c>
      <c r="B78" t="s">
        <v>3214</v>
      </c>
      <c r="C78" t="s">
        <v>3218</v>
      </c>
      <c r="D78" t="s">
        <v>3222</v>
      </c>
      <c r="E78" t="s">
        <v>3226</v>
      </c>
      <c r="F78">
        <v>52676.09</v>
      </c>
      <c r="H78">
        <v>3</v>
      </c>
    </row>
    <row r="79" spans="1:8" x14ac:dyDescent="0.25">
      <c r="A79" t="s">
        <v>85</v>
      </c>
      <c r="C79" t="s">
        <v>3220</v>
      </c>
      <c r="D79" t="s">
        <v>3224</v>
      </c>
      <c r="E79" t="s">
        <v>3226</v>
      </c>
      <c r="F79">
        <v>268283.01</v>
      </c>
      <c r="G79">
        <v>226898.92</v>
      </c>
      <c r="H79">
        <v>5</v>
      </c>
    </row>
    <row r="80" spans="1:8" x14ac:dyDescent="0.25">
      <c r="A80" t="s">
        <v>86</v>
      </c>
      <c r="C80" t="s">
        <v>3217</v>
      </c>
      <c r="D80" t="s">
        <v>3222</v>
      </c>
      <c r="E80" t="s">
        <v>3226</v>
      </c>
      <c r="F80">
        <v>13393.28</v>
      </c>
      <c r="G80">
        <v>10748.94</v>
      </c>
      <c r="H80">
        <v>1</v>
      </c>
    </row>
    <row r="81" spans="1:8" x14ac:dyDescent="0.25">
      <c r="A81" t="s">
        <v>87</v>
      </c>
      <c r="C81" t="s">
        <v>3220</v>
      </c>
      <c r="D81" t="s">
        <v>3222</v>
      </c>
      <c r="E81" t="s">
        <v>3226</v>
      </c>
      <c r="F81">
        <v>42028.3</v>
      </c>
      <c r="G81">
        <v>26544.54</v>
      </c>
      <c r="H81">
        <v>3</v>
      </c>
    </row>
    <row r="82" spans="1:8" x14ac:dyDescent="0.25">
      <c r="A82" t="s">
        <v>88</v>
      </c>
      <c r="C82" t="s">
        <v>3218</v>
      </c>
      <c r="D82" t="s">
        <v>3224</v>
      </c>
      <c r="E82" t="s">
        <v>3226</v>
      </c>
      <c r="F82">
        <v>269818.7</v>
      </c>
      <c r="H82">
        <v>5</v>
      </c>
    </row>
    <row r="83" spans="1:8" x14ac:dyDescent="0.25">
      <c r="A83" t="s">
        <v>89</v>
      </c>
      <c r="B83" t="s">
        <v>3212</v>
      </c>
      <c r="C83" t="s">
        <v>3221</v>
      </c>
      <c r="D83" t="s">
        <v>3222</v>
      </c>
      <c r="E83" t="s">
        <v>3226</v>
      </c>
      <c r="F83">
        <v>58968.01</v>
      </c>
      <c r="G83">
        <v>40039.58</v>
      </c>
      <c r="H83">
        <v>4</v>
      </c>
    </row>
    <row r="84" spans="1:8" x14ac:dyDescent="0.25">
      <c r="A84" t="s">
        <v>90</v>
      </c>
      <c r="C84" t="s">
        <v>3221</v>
      </c>
      <c r="D84" t="s">
        <v>3222</v>
      </c>
      <c r="E84" t="s">
        <v>3226</v>
      </c>
      <c r="F84">
        <v>48491.07</v>
      </c>
      <c r="G84">
        <v>29570.43</v>
      </c>
      <c r="H84">
        <v>3</v>
      </c>
    </row>
    <row r="85" spans="1:8" x14ac:dyDescent="0.25">
      <c r="A85" t="s">
        <v>91</v>
      </c>
      <c r="B85" t="s">
        <v>3211</v>
      </c>
      <c r="C85" t="s">
        <v>3218</v>
      </c>
      <c r="D85" t="s">
        <v>3223</v>
      </c>
      <c r="E85" t="s">
        <v>3226</v>
      </c>
      <c r="G85">
        <v>13670.61</v>
      </c>
      <c r="H85">
        <v>2</v>
      </c>
    </row>
    <row r="86" spans="1:8" x14ac:dyDescent="0.25">
      <c r="A86" t="s">
        <v>92</v>
      </c>
      <c r="B86" t="s">
        <v>3215</v>
      </c>
      <c r="C86" t="s">
        <v>3217</v>
      </c>
      <c r="D86" t="s">
        <v>3223</v>
      </c>
      <c r="E86" t="s">
        <v>3226</v>
      </c>
      <c r="F86">
        <v>22169.97</v>
      </c>
      <c r="H86">
        <v>2</v>
      </c>
    </row>
    <row r="87" spans="1:8" x14ac:dyDescent="0.25">
      <c r="A87" t="s">
        <v>93</v>
      </c>
      <c r="B87" t="s">
        <v>3211</v>
      </c>
      <c r="C87" t="s">
        <v>3220</v>
      </c>
      <c r="D87" t="s">
        <v>3224</v>
      </c>
      <c r="E87" t="s">
        <v>3226</v>
      </c>
      <c r="F87">
        <v>259862.46</v>
      </c>
      <c r="G87">
        <v>201730.55</v>
      </c>
      <c r="H87">
        <v>5</v>
      </c>
    </row>
    <row r="88" spans="1:8" x14ac:dyDescent="0.25">
      <c r="A88" t="s">
        <v>94</v>
      </c>
      <c r="B88" t="s">
        <v>3212</v>
      </c>
      <c r="C88" t="s">
        <v>3219</v>
      </c>
      <c r="D88" t="s">
        <v>3224</v>
      </c>
      <c r="E88" t="s">
        <v>3226</v>
      </c>
      <c r="F88">
        <v>52933.919999999998</v>
      </c>
      <c r="G88">
        <v>47112.639999999999</v>
      </c>
      <c r="H88">
        <v>1</v>
      </c>
    </row>
    <row r="89" spans="1:8" x14ac:dyDescent="0.25">
      <c r="A89" t="s">
        <v>95</v>
      </c>
      <c r="B89" t="s">
        <v>3215</v>
      </c>
      <c r="C89" t="s">
        <v>3220</v>
      </c>
      <c r="D89" t="s">
        <v>3222</v>
      </c>
      <c r="E89" t="s">
        <v>3226</v>
      </c>
      <c r="F89">
        <v>35021.46</v>
      </c>
      <c r="H89">
        <v>2</v>
      </c>
    </row>
    <row r="90" spans="1:8" x14ac:dyDescent="0.25">
      <c r="A90" t="s">
        <v>96</v>
      </c>
      <c r="C90" t="s">
        <v>3216</v>
      </c>
      <c r="D90" t="s">
        <v>3224</v>
      </c>
      <c r="E90" t="s">
        <v>3226</v>
      </c>
      <c r="F90">
        <v>189523.03</v>
      </c>
      <c r="G90">
        <v>115191.94</v>
      </c>
      <c r="H90">
        <v>3</v>
      </c>
    </row>
    <row r="91" spans="1:8" x14ac:dyDescent="0.25">
      <c r="A91" t="s">
        <v>97</v>
      </c>
      <c r="C91" t="s">
        <v>3218</v>
      </c>
      <c r="D91" t="s">
        <v>3222</v>
      </c>
      <c r="E91" t="s">
        <v>3226</v>
      </c>
      <c r="F91">
        <v>65533.89</v>
      </c>
      <c r="G91">
        <v>46244.95</v>
      </c>
      <c r="H91">
        <v>5</v>
      </c>
    </row>
    <row r="92" spans="1:8" x14ac:dyDescent="0.25">
      <c r="A92" t="s">
        <v>98</v>
      </c>
      <c r="B92" t="s">
        <v>3212</v>
      </c>
      <c r="C92" t="s">
        <v>3217</v>
      </c>
      <c r="D92" t="s">
        <v>3224</v>
      </c>
      <c r="E92" t="s">
        <v>3226</v>
      </c>
      <c r="F92">
        <v>285327.11</v>
      </c>
      <c r="G92">
        <v>238306.77</v>
      </c>
      <c r="H92">
        <v>5</v>
      </c>
    </row>
    <row r="93" spans="1:8" x14ac:dyDescent="0.25">
      <c r="A93" t="s">
        <v>99</v>
      </c>
      <c r="B93" t="s">
        <v>3212</v>
      </c>
      <c r="C93" t="s">
        <v>3216</v>
      </c>
      <c r="D93" t="s">
        <v>3225</v>
      </c>
      <c r="E93" t="s">
        <v>3226</v>
      </c>
      <c r="F93">
        <v>51725.77</v>
      </c>
      <c r="G93">
        <v>37610.25</v>
      </c>
      <c r="H93">
        <v>3</v>
      </c>
    </row>
    <row r="94" spans="1:8" x14ac:dyDescent="0.25">
      <c r="A94" t="s">
        <v>100</v>
      </c>
      <c r="B94" t="s">
        <v>3211</v>
      </c>
      <c r="C94" t="s">
        <v>3221</v>
      </c>
      <c r="D94" t="s">
        <v>3224</v>
      </c>
      <c r="E94" t="s">
        <v>3226</v>
      </c>
      <c r="F94">
        <v>272619.73</v>
      </c>
      <c r="G94">
        <v>192014.72</v>
      </c>
      <c r="H94">
        <v>4</v>
      </c>
    </row>
    <row r="95" spans="1:8" x14ac:dyDescent="0.25">
      <c r="A95" t="s">
        <v>101</v>
      </c>
      <c r="B95" t="s">
        <v>3213</v>
      </c>
      <c r="C95" t="s">
        <v>3218</v>
      </c>
      <c r="D95" t="s">
        <v>3222</v>
      </c>
      <c r="E95" t="s">
        <v>3226</v>
      </c>
      <c r="F95">
        <v>15340.33</v>
      </c>
      <c r="G95">
        <v>10302.030000000001</v>
      </c>
      <c r="H95">
        <v>1</v>
      </c>
    </row>
    <row r="96" spans="1:8" x14ac:dyDescent="0.25">
      <c r="A96" t="s">
        <v>102</v>
      </c>
      <c r="B96" t="s">
        <v>3211</v>
      </c>
      <c r="C96" t="s">
        <v>3216</v>
      </c>
      <c r="D96" t="s">
        <v>3225</v>
      </c>
      <c r="E96" t="s">
        <v>3226</v>
      </c>
      <c r="F96">
        <v>96255.69</v>
      </c>
      <c r="H96">
        <v>5</v>
      </c>
    </row>
    <row r="97" spans="1:8" x14ac:dyDescent="0.25">
      <c r="A97" t="s">
        <v>103</v>
      </c>
      <c r="B97" t="s">
        <v>3211</v>
      </c>
      <c r="C97" t="s">
        <v>3217</v>
      </c>
      <c r="D97" t="s">
        <v>3225</v>
      </c>
      <c r="E97" t="s">
        <v>3226</v>
      </c>
      <c r="F97">
        <v>46569.98</v>
      </c>
      <c r="G97">
        <v>28173.33</v>
      </c>
      <c r="H97">
        <v>2</v>
      </c>
    </row>
    <row r="98" spans="1:8" x14ac:dyDescent="0.25">
      <c r="A98" t="s">
        <v>104</v>
      </c>
      <c r="B98" t="s">
        <v>3215</v>
      </c>
      <c r="C98" t="s">
        <v>3219</v>
      </c>
      <c r="D98" t="s">
        <v>3223</v>
      </c>
      <c r="E98" t="s">
        <v>3226</v>
      </c>
      <c r="F98">
        <v>9744.51</v>
      </c>
      <c r="G98">
        <v>6465.32</v>
      </c>
      <c r="H98">
        <v>1</v>
      </c>
    </row>
    <row r="99" spans="1:8" x14ac:dyDescent="0.25">
      <c r="A99" t="s">
        <v>105</v>
      </c>
      <c r="B99" t="s">
        <v>3212</v>
      </c>
      <c r="C99" t="s">
        <v>3218</v>
      </c>
      <c r="D99" t="s">
        <v>3222</v>
      </c>
      <c r="E99" t="s">
        <v>3226</v>
      </c>
      <c r="F99">
        <v>13612.06</v>
      </c>
      <c r="G99">
        <v>9854.09</v>
      </c>
      <c r="H99">
        <v>1</v>
      </c>
    </row>
    <row r="100" spans="1:8" x14ac:dyDescent="0.25">
      <c r="A100" t="s">
        <v>106</v>
      </c>
      <c r="C100" t="s">
        <v>3219</v>
      </c>
      <c r="D100" t="s">
        <v>3224</v>
      </c>
      <c r="E100" t="s">
        <v>3226</v>
      </c>
      <c r="F100">
        <v>109070.75</v>
      </c>
      <c r="G100">
        <v>76913.789999999994</v>
      </c>
      <c r="H100">
        <v>2</v>
      </c>
    </row>
    <row r="101" spans="1:8" x14ac:dyDescent="0.25">
      <c r="A101" t="s">
        <v>107</v>
      </c>
      <c r="B101" t="s">
        <v>3212</v>
      </c>
      <c r="C101" t="s">
        <v>3218</v>
      </c>
      <c r="D101" t="s">
        <v>3223</v>
      </c>
      <c r="E101" t="s">
        <v>3226</v>
      </c>
      <c r="F101">
        <v>40219.919999999998</v>
      </c>
      <c r="G101">
        <v>30947.75</v>
      </c>
      <c r="H101">
        <v>5</v>
      </c>
    </row>
    <row r="102" spans="1:8" x14ac:dyDescent="0.25">
      <c r="A102" t="s">
        <v>108</v>
      </c>
      <c r="B102" t="s">
        <v>3212</v>
      </c>
      <c r="C102" t="s">
        <v>3218</v>
      </c>
      <c r="D102" t="s">
        <v>3224</v>
      </c>
      <c r="E102" t="s">
        <v>3226</v>
      </c>
      <c r="F102">
        <v>115410.31</v>
      </c>
      <c r="G102">
        <v>93845.51</v>
      </c>
      <c r="H102">
        <v>2</v>
      </c>
    </row>
    <row r="103" spans="1:8" x14ac:dyDescent="0.25">
      <c r="A103" t="s">
        <v>109</v>
      </c>
      <c r="C103" t="s">
        <v>3217</v>
      </c>
      <c r="D103" t="s">
        <v>3224</v>
      </c>
      <c r="E103" t="s">
        <v>3226</v>
      </c>
      <c r="F103">
        <v>164785.95000000001</v>
      </c>
      <c r="G103">
        <v>126753.95</v>
      </c>
      <c r="H103">
        <v>3</v>
      </c>
    </row>
    <row r="104" spans="1:8" x14ac:dyDescent="0.25">
      <c r="A104" t="s">
        <v>110</v>
      </c>
      <c r="B104" t="s">
        <v>3212</v>
      </c>
      <c r="C104" t="s">
        <v>3220</v>
      </c>
      <c r="D104" t="s">
        <v>3224</v>
      </c>
      <c r="E104" t="s">
        <v>3226</v>
      </c>
      <c r="F104">
        <v>54477.87</v>
      </c>
      <c r="G104">
        <v>44323.23</v>
      </c>
      <c r="H104">
        <v>1</v>
      </c>
    </row>
    <row r="105" spans="1:8" x14ac:dyDescent="0.25">
      <c r="A105" t="s">
        <v>111</v>
      </c>
      <c r="B105" t="s">
        <v>3214</v>
      </c>
      <c r="C105" t="s">
        <v>3221</v>
      </c>
      <c r="D105" t="s">
        <v>3225</v>
      </c>
      <c r="E105" t="s">
        <v>3226</v>
      </c>
      <c r="F105">
        <v>33705.57</v>
      </c>
      <c r="G105">
        <v>24325.96</v>
      </c>
      <c r="H105">
        <v>2</v>
      </c>
    </row>
    <row r="106" spans="1:8" x14ac:dyDescent="0.25">
      <c r="A106" t="s">
        <v>112</v>
      </c>
      <c r="B106" t="s">
        <v>3215</v>
      </c>
      <c r="C106" t="s">
        <v>3219</v>
      </c>
      <c r="D106" t="s">
        <v>3225</v>
      </c>
      <c r="E106" t="s">
        <v>3226</v>
      </c>
      <c r="F106">
        <v>80093.58</v>
      </c>
      <c r="H106">
        <v>5</v>
      </c>
    </row>
    <row r="107" spans="1:8" x14ac:dyDescent="0.25">
      <c r="A107" t="s">
        <v>113</v>
      </c>
      <c r="C107" t="s">
        <v>3220</v>
      </c>
      <c r="D107" t="s">
        <v>3224</v>
      </c>
      <c r="E107" t="s">
        <v>3226</v>
      </c>
      <c r="F107">
        <v>52443.19</v>
      </c>
      <c r="G107">
        <v>44346.39</v>
      </c>
      <c r="H107">
        <v>1</v>
      </c>
    </row>
    <row r="108" spans="1:8" x14ac:dyDescent="0.25">
      <c r="A108" t="s">
        <v>114</v>
      </c>
      <c r="B108" t="s">
        <v>3212</v>
      </c>
      <c r="C108" t="s">
        <v>3218</v>
      </c>
      <c r="D108" t="s">
        <v>3225</v>
      </c>
      <c r="E108" t="s">
        <v>3226</v>
      </c>
      <c r="F108">
        <v>21173.32</v>
      </c>
    </row>
    <row r="109" spans="1:8" x14ac:dyDescent="0.25">
      <c r="A109" t="s">
        <v>115</v>
      </c>
      <c r="C109" t="s">
        <v>3216</v>
      </c>
      <c r="D109" t="s">
        <v>3225</v>
      </c>
      <c r="E109" t="s">
        <v>3226</v>
      </c>
      <c r="F109">
        <v>37005.68</v>
      </c>
      <c r="G109">
        <v>24643.66</v>
      </c>
      <c r="H109">
        <v>2</v>
      </c>
    </row>
    <row r="110" spans="1:8" x14ac:dyDescent="0.25">
      <c r="A110" t="s">
        <v>116</v>
      </c>
      <c r="B110" t="s">
        <v>3214</v>
      </c>
      <c r="C110" t="s">
        <v>3219</v>
      </c>
      <c r="D110" t="s">
        <v>3222</v>
      </c>
      <c r="E110" t="s">
        <v>3226</v>
      </c>
      <c r="F110">
        <v>41743.81</v>
      </c>
      <c r="H110">
        <v>3</v>
      </c>
    </row>
    <row r="111" spans="1:8" x14ac:dyDescent="0.25">
      <c r="A111" t="s">
        <v>117</v>
      </c>
      <c r="C111" t="s">
        <v>3219</v>
      </c>
      <c r="D111" t="s">
        <v>3222</v>
      </c>
      <c r="E111" t="s">
        <v>3226</v>
      </c>
      <c r="F111">
        <v>61738.27</v>
      </c>
      <c r="G111">
        <v>42039.77</v>
      </c>
      <c r="H111">
        <v>4</v>
      </c>
    </row>
    <row r="112" spans="1:8" x14ac:dyDescent="0.25">
      <c r="A112" t="s">
        <v>118</v>
      </c>
      <c r="B112" t="s">
        <v>3213</v>
      </c>
      <c r="C112" t="s">
        <v>3218</v>
      </c>
      <c r="D112" t="s">
        <v>3222</v>
      </c>
      <c r="E112" t="s">
        <v>3226</v>
      </c>
      <c r="F112">
        <v>51661.78</v>
      </c>
      <c r="G112">
        <v>25659.52</v>
      </c>
      <c r="H112">
        <v>3</v>
      </c>
    </row>
    <row r="113" spans="1:8" x14ac:dyDescent="0.25">
      <c r="A113" t="s">
        <v>119</v>
      </c>
      <c r="B113" t="s">
        <v>3213</v>
      </c>
      <c r="C113" t="s">
        <v>3218</v>
      </c>
      <c r="D113" t="s">
        <v>3225</v>
      </c>
      <c r="E113" t="s">
        <v>3226</v>
      </c>
      <c r="F113">
        <v>19215.45</v>
      </c>
      <c r="G113">
        <v>13579.56</v>
      </c>
      <c r="H113">
        <v>1</v>
      </c>
    </row>
    <row r="114" spans="1:8" x14ac:dyDescent="0.25">
      <c r="A114" t="s">
        <v>120</v>
      </c>
      <c r="B114" t="s">
        <v>3211</v>
      </c>
      <c r="C114" t="s">
        <v>3217</v>
      </c>
      <c r="D114" t="s">
        <v>3224</v>
      </c>
      <c r="E114" t="s">
        <v>3226</v>
      </c>
      <c r="F114">
        <v>50651.38</v>
      </c>
      <c r="G114">
        <v>42239.5</v>
      </c>
      <c r="H114">
        <v>1</v>
      </c>
    </row>
    <row r="115" spans="1:8" x14ac:dyDescent="0.25">
      <c r="A115" t="s">
        <v>121</v>
      </c>
      <c r="C115" t="s">
        <v>3221</v>
      </c>
      <c r="D115" t="s">
        <v>3222</v>
      </c>
      <c r="E115" t="s">
        <v>3226</v>
      </c>
      <c r="F115">
        <v>12656.81</v>
      </c>
      <c r="G115">
        <v>9479.08</v>
      </c>
      <c r="H115">
        <v>1</v>
      </c>
    </row>
    <row r="116" spans="1:8" x14ac:dyDescent="0.25">
      <c r="A116" t="s">
        <v>122</v>
      </c>
      <c r="B116" t="s">
        <v>3211</v>
      </c>
      <c r="C116" t="s">
        <v>3217</v>
      </c>
      <c r="D116" t="s">
        <v>3225</v>
      </c>
      <c r="E116" t="s">
        <v>3226</v>
      </c>
      <c r="F116">
        <v>119567.4</v>
      </c>
      <c r="H116">
        <v>5</v>
      </c>
    </row>
    <row r="117" spans="1:8" x14ac:dyDescent="0.25">
      <c r="A117" t="s">
        <v>123</v>
      </c>
      <c r="B117" t="s">
        <v>3215</v>
      </c>
      <c r="C117" t="s">
        <v>3220</v>
      </c>
      <c r="D117" t="s">
        <v>3225</v>
      </c>
      <c r="E117" t="s">
        <v>3226</v>
      </c>
      <c r="F117">
        <v>52236.67</v>
      </c>
      <c r="G117">
        <v>38015.11</v>
      </c>
      <c r="H117">
        <v>3</v>
      </c>
    </row>
    <row r="118" spans="1:8" x14ac:dyDescent="0.25">
      <c r="A118" t="s">
        <v>124</v>
      </c>
      <c r="C118" t="s">
        <v>3218</v>
      </c>
      <c r="D118" t="s">
        <v>3222</v>
      </c>
      <c r="E118" t="s">
        <v>3226</v>
      </c>
      <c r="F118">
        <v>71877.789999999994</v>
      </c>
      <c r="G118">
        <v>35738.949999999997</v>
      </c>
      <c r="H118">
        <v>4</v>
      </c>
    </row>
    <row r="119" spans="1:8" x14ac:dyDescent="0.25">
      <c r="A119" t="s">
        <v>125</v>
      </c>
      <c r="B119" t="s">
        <v>3211</v>
      </c>
      <c r="C119" t="s">
        <v>3220</v>
      </c>
      <c r="D119" t="s">
        <v>3223</v>
      </c>
      <c r="E119" t="s">
        <v>3226</v>
      </c>
      <c r="F119">
        <v>50739.49</v>
      </c>
      <c r="G119">
        <v>34938.22</v>
      </c>
      <c r="H119">
        <v>5</v>
      </c>
    </row>
    <row r="120" spans="1:8" x14ac:dyDescent="0.25">
      <c r="A120" t="s">
        <v>126</v>
      </c>
      <c r="B120" t="s">
        <v>3214</v>
      </c>
      <c r="C120" t="s">
        <v>3218</v>
      </c>
      <c r="D120" t="s">
        <v>3222</v>
      </c>
      <c r="E120" t="s">
        <v>3226</v>
      </c>
      <c r="F120">
        <v>17113.16</v>
      </c>
      <c r="G120">
        <v>8588.56</v>
      </c>
      <c r="H120">
        <v>1</v>
      </c>
    </row>
    <row r="121" spans="1:8" x14ac:dyDescent="0.25">
      <c r="A121" t="s">
        <v>127</v>
      </c>
      <c r="C121" t="s">
        <v>3218</v>
      </c>
      <c r="D121" t="s">
        <v>3223</v>
      </c>
      <c r="E121" t="s">
        <v>3226</v>
      </c>
      <c r="F121">
        <v>20260.82</v>
      </c>
      <c r="G121">
        <v>15267.43</v>
      </c>
      <c r="H121">
        <v>2</v>
      </c>
    </row>
    <row r="122" spans="1:8" x14ac:dyDescent="0.25">
      <c r="A122" t="s">
        <v>128</v>
      </c>
      <c r="B122" t="s">
        <v>3213</v>
      </c>
      <c r="C122" t="s">
        <v>3220</v>
      </c>
      <c r="D122" t="s">
        <v>3222</v>
      </c>
      <c r="E122" t="s">
        <v>3226</v>
      </c>
      <c r="F122">
        <v>30855.83</v>
      </c>
      <c r="G122">
        <v>20310.560000000001</v>
      </c>
      <c r="H122">
        <v>2</v>
      </c>
    </row>
    <row r="123" spans="1:8" x14ac:dyDescent="0.25">
      <c r="A123" t="s">
        <v>129</v>
      </c>
      <c r="B123" t="s">
        <v>3211</v>
      </c>
      <c r="C123" t="s">
        <v>3221</v>
      </c>
      <c r="D123" t="s">
        <v>3222</v>
      </c>
      <c r="E123" t="s">
        <v>3226</v>
      </c>
      <c r="F123">
        <v>38887.199999999997</v>
      </c>
      <c r="G123">
        <v>28005.07</v>
      </c>
      <c r="H123">
        <v>3</v>
      </c>
    </row>
    <row r="124" spans="1:8" x14ac:dyDescent="0.25">
      <c r="A124" t="s">
        <v>130</v>
      </c>
      <c r="C124" t="s">
        <v>3218</v>
      </c>
      <c r="D124" t="s">
        <v>3224</v>
      </c>
      <c r="E124" t="s">
        <v>3226</v>
      </c>
      <c r="F124">
        <v>118342.56</v>
      </c>
      <c r="H124">
        <v>2</v>
      </c>
    </row>
    <row r="125" spans="1:8" x14ac:dyDescent="0.25">
      <c r="A125" t="s">
        <v>131</v>
      </c>
      <c r="B125" t="s">
        <v>3211</v>
      </c>
      <c r="C125" t="s">
        <v>3221</v>
      </c>
      <c r="D125" t="s">
        <v>3224</v>
      </c>
      <c r="E125" t="s">
        <v>3226</v>
      </c>
      <c r="F125">
        <v>192613.04</v>
      </c>
      <c r="G125">
        <v>165916.72</v>
      </c>
      <c r="H125">
        <v>4</v>
      </c>
    </row>
    <row r="126" spans="1:8" x14ac:dyDescent="0.25">
      <c r="A126" t="s">
        <v>132</v>
      </c>
      <c r="B126" t="s">
        <v>3213</v>
      </c>
      <c r="C126" t="s">
        <v>3216</v>
      </c>
      <c r="D126" t="s">
        <v>3223</v>
      </c>
      <c r="E126" t="s">
        <v>3226</v>
      </c>
      <c r="F126">
        <v>33132.33</v>
      </c>
      <c r="G126">
        <v>20691.650000000001</v>
      </c>
      <c r="H126">
        <v>3</v>
      </c>
    </row>
    <row r="127" spans="1:8" x14ac:dyDescent="0.25">
      <c r="A127" t="s">
        <v>133</v>
      </c>
      <c r="B127" t="s">
        <v>3212</v>
      </c>
      <c r="C127" t="s">
        <v>3217</v>
      </c>
      <c r="D127" t="s">
        <v>3225</v>
      </c>
      <c r="E127" t="s">
        <v>3226</v>
      </c>
      <c r="F127">
        <v>73630.83</v>
      </c>
      <c r="H127">
        <v>4</v>
      </c>
    </row>
    <row r="128" spans="1:8" x14ac:dyDescent="0.25">
      <c r="A128" t="s">
        <v>134</v>
      </c>
      <c r="B128" t="s">
        <v>3214</v>
      </c>
      <c r="C128" t="s">
        <v>3221</v>
      </c>
      <c r="D128" t="s">
        <v>3223</v>
      </c>
      <c r="E128" t="s">
        <v>3226</v>
      </c>
      <c r="F128">
        <v>48919.17</v>
      </c>
      <c r="G128">
        <v>35416.269999999997</v>
      </c>
      <c r="H128">
        <v>5</v>
      </c>
    </row>
    <row r="129" spans="1:8" x14ac:dyDescent="0.25">
      <c r="A129" t="s">
        <v>135</v>
      </c>
      <c r="B129" t="s">
        <v>3211</v>
      </c>
      <c r="C129" t="s">
        <v>3221</v>
      </c>
      <c r="D129" t="s">
        <v>3225</v>
      </c>
      <c r="E129" t="s">
        <v>3226</v>
      </c>
      <c r="F129">
        <v>34543.01</v>
      </c>
      <c r="G129">
        <v>27079.78</v>
      </c>
      <c r="H129">
        <v>2</v>
      </c>
    </row>
    <row r="130" spans="1:8" x14ac:dyDescent="0.25">
      <c r="A130" t="s">
        <v>136</v>
      </c>
      <c r="B130" t="s">
        <v>3211</v>
      </c>
      <c r="C130" t="s">
        <v>3221</v>
      </c>
      <c r="D130" t="s">
        <v>3223</v>
      </c>
      <c r="E130" t="s">
        <v>3226</v>
      </c>
      <c r="F130">
        <v>22182.58</v>
      </c>
      <c r="G130">
        <v>12705.19</v>
      </c>
      <c r="H130">
        <v>2</v>
      </c>
    </row>
    <row r="131" spans="1:8" x14ac:dyDescent="0.25">
      <c r="A131" t="s">
        <v>137</v>
      </c>
      <c r="B131" t="s">
        <v>3215</v>
      </c>
      <c r="C131" t="s">
        <v>3220</v>
      </c>
      <c r="D131" t="s">
        <v>3223</v>
      </c>
      <c r="E131" t="s">
        <v>3226</v>
      </c>
      <c r="F131">
        <v>27290.58</v>
      </c>
      <c r="G131">
        <v>23015.88</v>
      </c>
      <c r="H131">
        <v>3</v>
      </c>
    </row>
    <row r="132" spans="1:8" x14ac:dyDescent="0.25">
      <c r="A132" t="s">
        <v>138</v>
      </c>
      <c r="B132" t="s">
        <v>3214</v>
      </c>
      <c r="C132" t="s">
        <v>3217</v>
      </c>
      <c r="D132" t="s">
        <v>3223</v>
      </c>
      <c r="E132" t="s">
        <v>3226</v>
      </c>
      <c r="F132">
        <v>41004</v>
      </c>
      <c r="G132">
        <v>27100.73</v>
      </c>
      <c r="H132">
        <v>4</v>
      </c>
    </row>
    <row r="133" spans="1:8" x14ac:dyDescent="0.25">
      <c r="A133" t="s">
        <v>139</v>
      </c>
      <c r="C133" t="s">
        <v>3217</v>
      </c>
      <c r="D133" t="s">
        <v>3225</v>
      </c>
      <c r="E133" t="s">
        <v>3226</v>
      </c>
      <c r="F133">
        <v>64571.58</v>
      </c>
      <c r="G133">
        <v>58755.17</v>
      </c>
      <c r="H133">
        <v>4</v>
      </c>
    </row>
    <row r="134" spans="1:8" x14ac:dyDescent="0.25">
      <c r="A134" t="s">
        <v>140</v>
      </c>
      <c r="B134" t="s">
        <v>3212</v>
      </c>
      <c r="C134" t="s">
        <v>3221</v>
      </c>
      <c r="D134" t="s">
        <v>3222</v>
      </c>
      <c r="E134" t="s">
        <v>3226</v>
      </c>
      <c r="F134">
        <v>15643.84</v>
      </c>
      <c r="G134">
        <v>9118.85</v>
      </c>
      <c r="H134">
        <v>1</v>
      </c>
    </row>
    <row r="135" spans="1:8" x14ac:dyDescent="0.25">
      <c r="A135" t="s">
        <v>141</v>
      </c>
      <c r="B135" t="s">
        <v>3211</v>
      </c>
      <c r="C135" t="s">
        <v>3220</v>
      </c>
      <c r="D135" t="s">
        <v>3223</v>
      </c>
      <c r="E135" t="s">
        <v>3226</v>
      </c>
      <c r="F135">
        <v>42991.61</v>
      </c>
      <c r="G135">
        <v>33815.24</v>
      </c>
      <c r="H135">
        <v>5</v>
      </c>
    </row>
    <row r="136" spans="1:8" x14ac:dyDescent="0.25">
      <c r="A136" t="s">
        <v>142</v>
      </c>
      <c r="C136" t="s">
        <v>3217</v>
      </c>
      <c r="D136" t="s">
        <v>3224</v>
      </c>
      <c r="E136" t="s">
        <v>3226</v>
      </c>
      <c r="F136">
        <v>266865.69</v>
      </c>
      <c r="G136">
        <v>154782.85</v>
      </c>
      <c r="H136">
        <v>4</v>
      </c>
    </row>
    <row r="137" spans="1:8" x14ac:dyDescent="0.25">
      <c r="A137" t="s">
        <v>143</v>
      </c>
      <c r="B137" t="s">
        <v>3212</v>
      </c>
      <c r="C137" t="s">
        <v>3217</v>
      </c>
      <c r="D137" t="s">
        <v>3223</v>
      </c>
      <c r="E137" t="s">
        <v>3226</v>
      </c>
      <c r="F137">
        <v>37536.269999999997</v>
      </c>
      <c r="G137">
        <v>29230.63</v>
      </c>
      <c r="H137">
        <v>4</v>
      </c>
    </row>
    <row r="138" spans="1:8" x14ac:dyDescent="0.25">
      <c r="A138" t="s">
        <v>144</v>
      </c>
      <c r="B138" t="s">
        <v>3214</v>
      </c>
      <c r="C138" t="s">
        <v>3221</v>
      </c>
      <c r="D138" t="s">
        <v>3222</v>
      </c>
      <c r="E138" t="s">
        <v>3226</v>
      </c>
      <c r="F138">
        <v>35729.599999999999</v>
      </c>
      <c r="G138">
        <v>18004.3</v>
      </c>
    </row>
    <row r="139" spans="1:8" x14ac:dyDescent="0.25">
      <c r="A139" t="s">
        <v>145</v>
      </c>
      <c r="B139" t="s">
        <v>3214</v>
      </c>
      <c r="C139" t="s">
        <v>3221</v>
      </c>
      <c r="D139" t="s">
        <v>3225</v>
      </c>
      <c r="E139" t="s">
        <v>3226</v>
      </c>
      <c r="F139">
        <v>23489.7</v>
      </c>
      <c r="G139">
        <v>12081.9</v>
      </c>
      <c r="H139">
        <v>1</v>
      </c>
    </row>
    <row r="140" spans="1:8" x14ac:dyDescent="0.25">
      <c r="A140" t="s">
        <v>146</v>
      </c>
      <c r="B140" t="s">
        <v>3213</v>
      </c>
      <c r="C140" t="s">
        <v>3218</v>
      </c>
      <c r="D140" t="s">
        <v>3223</v>
      </c>
      <c r="E140" t="s">
        <v>3226</v>
      </c>
      <c r="G140">
        <v>29286.83</v>
      </c>
      <c r="H140">
        <v>4</v>
      </c>
    </row>
    <row r="141" spans="1:8" x14ac:dyDescent="0.25">
      <c r="A141" t="s">
        <v>147</v>
      </c>
      <c r="B141" t="s">
        <v>3214</v>
      </c>
      <c r="C141" t="s">
        <v>3216</v>
      </c>
      <c r="D141" t="s">
        <v>3224</v>
      </c>
      <c r="E141" t="s">
        <v>3226</v>
      </c>
      <c r="F141">
        <v>313889.03999999998</v>
      </c>
      <c r="G141">
        <v>209757.23</v>
      </c>
      <c r="H141">
        <v>5</v>
      </c>
    </row>
    <row r="142" spans="1:8" x14ac:dyDescent="0.25">
      <c r="A142" t="s">
        <v>148</v>
      </c>
      <c r="B142" t="s">
        <v>3211</v>
      </c>
      <c r="C142" t="s">
        <v>3217</v>
      </c>
      <c r="D142" t="s">
        <v>3225</v>
      </c>
      <c r="E142" t="s">
        <v>3226</v>
      </c>
      <c r="F142">
        <v>42452.21</v>
      </c>
      <c r="G142">
        <v>26126.2</v>
      </c>
      <c r="H142">
        <v>2</v>
      </c>
    </row>
    <row r="143" spans="1:8" x14ac:dyDescent="0.25">
      <c r="A143" t="s">
        <v>149</v>
      </c>
      <c r="B143" t="s">
        <v>3212</v>
      </c>
      <c r="C143" t="s">
        <v>3220</v>
      </c>
      <c r="D143" t="s">
        <v>3222</v>
      </c>
      <c r="E143" t="s">
        <v>3226</v>
      </c>
      <c r="F143">
        <v>17042.71</v>
      </c>
      <c r="G143">
        <v>8935.48</v>
      </c>
      <c r="H143">
        <v>1</v>
      </c>
    </row>
    <row r="144" spans="1:8" x14ac:dyDescent="0.25">
      <c r="A144" t="s">
        <v>150</v>
      </c>
      <c r="B144" t="s">
        <v>3211</v>
      </c>
      <c r="C144" t="s">
        <v>3216</v>
      </c>
      <c r="D144" t="s">
        <v>3222</v>
      </c>
      <c r="E144" t="s">
        <v>3226</v>
      </c>
      <c r="F144">
        <v>14631.69</v>
      </c>
      <c r="G144">
        <v>10313.14</v>
      </c>
      <c r="H144">
        <v>1</v>
      </c>
    </row>
    <row r="145" spans="1:8" x14ac:dyDescent="0.25">
      <c r="A145" t="s">
        <v>151</v>
      </c>
      <c r="B145" t="s">
        <v>3211</v>
      </c>
      <c r="C145" t="s">
        <v>3218</v>
      </c>
      <c r="D145" t="s">
        <v>3222</v>
      </c>
      <c r="E145" t="s">
        <v>3226</v>
      </c>
      <c r="F145">
        <v>73974.38</v>
      </c>
      <c r="G145">
        <v>52949.98</v>
      </c>
      <c r="H145">
        <v>5</v>
      </c>
    </row>
    <row r="146" spans="1:8" x14ac:dyDescent="0.25">
      <c r="A146" t="s">
        <v>152</v>
      </c>
      <c r="C146" t="s">
        <v>3220</v>
      </c>
      <c r="D146" t="s">
        <v>3225</v>
      </c>
      <c r="E146" t="s">
        <v>3226</v>
      </c>
      <c r="F146">
        <v>97486.62</v>
      </c>
      <c r="G146">
        <v>61204.38</v>
      </c>
      <c r="H146">
        <v>5</v>
      </c>
    </row>
    <row r="147" spans="1:8" x14ac:dyDescent="0.25">
      <c r="A147" t="s">
        <v>153</v>
      </c>
      <c r="B147" t="s">
        <v>3214</v>
      </c>
      <c r="C147" t="s">
        <v>3219</v>
      </c>
      <c r="D147" t="s">
        <v>3222</v>
      </c>
      <c r="E147" t="s">
        <v>3226</v>
      </c>
      <c r="F147">
        <v>17816.47</v>
      </c>
      <c r="G147">
        <v>9145.33</v>
      </c>
      <c r="H147">
        <v>1</v>
      </c>
    </row>
    <row r="148" spans="1:8" x14ac:dyDescent="0.25">
      <c r="A148" t="s">
        <v>154</v>
      </c>
      <c r="C148" t="s">
        <v>3216</v>
      </c>
      <c r="D148" t="s">
        <v>3222</v>
      </c>
      <c r="E148" t="s">
        <v>3226</v>
      </c>
      <c r="F148">
        <v>29385.33</v>
      </c>
      <c r="G148">
        <v>20346.95</v>
      </c>
      <c r="H148">
        <v>2</v>
      </c>
    </row>
    <row r="149" spans="1:8" x14ac:dyDescent="0.25">
      <c r="A149" t="s">
        <v>155</v>
      </c>
      <c r="C149" t="s">
        <v>3216</v>
      </c>
      <c r="D149" t="s">
        <v>3223</v>
      </c>
      <c r="E149" t="s">
        <v>3226</v>
      </c>
      <c r="F149">
        <v>10422.15</v>
      </c>
      <c r="G149">
        <v>6574.28</v>
      </c>
      <c r="H149">
        <v>1</v>
      </c>
    </row>
    <row r="150" spans="1:8" x14ac:dyDescent="0.25">
      <c r="A150" t="s">
        <v>156</v>
      </c>
      <c r="B150" t="s">
        <v>3211</v>
      </c>
      <c r="C150" t="s">
        <v>3218</v>
      </c>
      <c r="D150" t="s">
        <v>3222</v>
      </c>
      <c r="E150" t="s">
        <v>3226</v>
      </c>
      <c r="F150">
        <v>61025.63</v>
      </c>
      <c r="G150">
        <v>54833.66</v>
      </c>
      <c r="H150">
        <v>5</v>
      </c>
    </row>
    <row r="151" spans="1:8" x14ac:dyDescent="0.25">
      <c r="A151" t="s">
        <v>157</v>
      </c>
      <c r="B151" t="s">
        <v>3212</v>
      </c>
      <c r="C151" t="s">
        <v>3218</v>
      </c>
      <c r="D151" t="s">
        <v>3222</v>
      </c>
      <c r="E151" t="s">
        <v>3226</v>
      </c>
      <c r="F151">
        <v>63099.27</v>
      </c>
      <c r="G151">
        <v>49808.38</v>
      </c>
      <c r="H151">
        <v>5</v>
      </c>
    </row>
    <row r="152" spans="1:8" x14ac:dyDescent="0.25">
      <c r="A152" t="s">
        <v>158</v>
      </c>
      <c r="B152" t="s">
        <v>3212</v>
      </c>
      <c r="C152" t="s">
        <v>3218</v>
      </c>
      <c r="D152" t="s">
        <v>3224</v>
      </c>
      <c r="E152" t="s">
        <v>3226</v>
      </c>
      <c r="G152">
        <v>137256.67000000001</v>
      </c>
      <c r="H152">
        <v>3</v>
      </c>
    </row>
    <row r="153" spans="1:8" x14ac:dyDescent="0.25">
      <c r="A153" t="s">
        <v>159</v>
      </c>
      <c r="B153" t="s">
        <v>3212</v>
      </c>
      <c r="C153" t="s">
        <v>3220</v>
      </c>
      <c r="D153" t="s">
        <v>3224</v>
      </c>
      <c r="E153" t="s">
        <v>3226</v>
      </c>
      <c r="F153">
        <v>293250.03000000003</v>
      </c>
      <c r="G153">
        <v>240083</v>
      </c>
      <c r="H153">
        <v>5</v>
      </c>
    </row>
    <row r="154" spans="1:8" x14ac:dyDescent="0.25">
      <c r="A154" t="s">
        <v>160</v>
      </c>
      <c r="B154" t="s">
        <v>3215</v>
      </c>
      <c r="C154" t="s">
        <v>3219</v>
      </c>
      <c r="D154" t="s">
        <v>3223</v>
      </c>
      <c r="E154" t="s">
        <v>3226</v>
      </c>
      <c r="F154">
        <v>35171.379999999997</v>
      </c>
      <c r="G154">
        <v>21470.02</v>
      </c>
      <c r="H154">
        <v>3</v>
      </c>
    </row>
    <row r="155" spans="1:8" x14ac:dyDescent="0.25">
      <c r="A155" t="s">
        <v>161</v>
      </c>
      <c r="B155" t="s">
        <v>3211</v>
      </c>
      <c r="C155" t="s">
        <v>3220</v>
      </c>
      <c r="D155" t="s">
        <v>3225</v>
      </c>
      <c r="E155" t="s">
        <v>3226</v>
      </c>
      <c r="F155">
        <v>69097.2</v>
      </c>
      <c r="G155">
        <v>56069.35</v>
      </c>
      <c r="H155">
        <v>4</v>
      </c>
    </row>
    <row r="156" spans="1:8" x14ac:dyDescent="0.25">
      <c r="A156" t="s">
        <v>162</v>
      </c>
      <c r="B156" t="s">
        <v>3211</v>
      </c>
      <c r="C156" t="s">
        <v>3221</v>
      </c>
      <c r="D156" t="s">
        <v>3222</v>
      </c>
      <c r="E156" t="s">
        <v>3226</v>
      </c>
      <c r="F156">
        <v>63612.28</v>
      </c>
      <c r="G156">
        <v>41651.910000000003</v>
      </c>
      <c r="H156">
        <v>4</v>
      </c>
    </row>
    <row r="157" spans="1:8" x14ac:dyDescent="0.25">
      <c r="A157" t="s">
        <v>163</v>
      </c>
      <c r="B157" t="s">
        <v>3215</v>
      </c>
      <c r="C157" t="s">
        <v>3221</v>
      </c>
      <c r="D157" t="s">
        <v>3224</v>
      </c>
      <c r="E157" t="s">
        <v>3226</v>
      </c>
      <c r="F157">
        <v>55881.15</v>
      </c>
      <c r="G157">
        <v>45339.85</v>
      </c>
      <c r="H157">
        <v>1</v>
      </c>
    </row>
    <row r="158" spans="1:8" x14ac:dyDescent="0.25">
      <c r="A158" t="s">
        <v>164</v>
      </c>
      <c r="B158" t="s">
        <v>3212</v>
      </c>
      <c r="C158" t="s">
        <v>3217</v>
      </c>
      <c r="D158" t="s">
        <v>3223</v>
      </c>
      <c r="E158" t="s">
        <v>3226</v>
      </c>
      <c r="F158">
        <v>20696.490000000002</v>
      </c>
      <c r="G158">
        <v>12489.56</v>
      </c>
      <c r="H158">
        <v>2</v>
      </c>
    </row>
    <row r="159" spans="1:8" x14ac:dyDescent="0.25">
      <c r="A159" t="s">
        <v>165</v>
      </c>
      <c r="C159" t="s">
        <v>3217</v>
      </c>
      <c r="D159" t="s">
        <v>3223</v>
      </c>
      <c r="E159" t="s">
        <v>3226</v>
      </c>
      <c r="F159">
        <v>56275.33</v>
      </c>
      <c r="G159">
        <v>30703.040000000001</v>
      </c>
      <c r="H159">
        <v>5</v>
      </c>
    </row>
    <row r="160" spans="1:8" x14ac:dyDescent="0.25">
      <c r="A160" t="s">
        <v>166</v>
      </c>
      <c r="B160" t="s">
        <v>3213</v>
      </c>
      <c r="C160" t="s">
        <v>3221</v>
      </c>
      <c r="D160" t="s">
        <v>3225</v>
      </c>
      <c r="E160" t="s">
        <v>3226</v>
      </c>
      <c r="G160">
        <v>47855.26</v>
      </c>
      <c r="H160">
        <v>4</v>
      </c>
    </row>
    <row r="161" spans="1:8" x14ac:dyDescent="0.25">
      <c r="A161" t="s">
        <v>167</v>
      </c>
      <c r="B161" t="s">
        <v>3213</v>
      </c>
      <c r="C161" t="s">
        <v>3221</v>
      </c>
      <c r="D161" t="s">
        <v>3222</v>
      </c>
      <c r="E161" t="s">
        <v>3226</v>
      </c>
      <c r="F161">
        <v>70426.460000000006</v>
      </c>
      <c r="G161">
        <v>37516.230000000003</v>
      </c>
      <c r="H161">
        <v>4</v>
      </c>
    </row>
    <row r="162" spans="1:8" x14ac:dyDescent="0.25">
      <c r="A162" t="s">
        <v>168</v>
      </c>
      <c r="B162" t="s">
        <v>3212</v>
      </c>
      <c r="C162" t="s">
        <v>3218</v>
      </c>
      <c r="D162" t="s">
        <v>3223</v>
      </c>
      <c r="E162" t="s">
        <v>3226</v>
      </c>
      <c r="F162">
        <v>20882.669999999998</v>
      </c>
      <c r="G162">
        <v>14406.53</v>
      </c>
      <c r="H162">
        <v>2</v>
      </c>
    </row>
    <row r="163" spans="1:8" x14ac:dyDescent="0.25">
      <c r="A163" t="s">
        <v>169</v>
      </c>
      <c r="B163" t="s">
        <v>3214</v>
      </c>
      <c r="C163" t="s">
        <v>3218</v>
      </c>
      <c r="D163" t="s">
        <v>3222</v>
      </c>
      <c r="E163" t="s">
        <v>3226</v>
      </c>
      <c r="F163">
        <v>15403.87</v>
      </c>
      <c r="G163">
        <v>9141.41</v>
      </c>
      <c r="H163">
        <v>1</v>
      </c>
    </row>
    <row r="164" spans="1:8" x14ac:dyDescent="0.25">
      <c r="A164" t="s">
        <v>170</v>
      </c>
      <c r="B164" t="s">
        <v>3212</v>
      </c>
      <c r="C164" t="s">
        <v>3221</v>
      </c>
      <c r="D164" t="s">
        <v>3222</v>
      </c>
      <c r="E164" t="s">
        <v>3226</v>
      </c>
      <c r="F164">
        <v>86526.19</v>
      </c>
      <c r="G164">
        <v>45351</v>
      </c>
      <c r="H164">
        <v>5</v>
      </c>
    </row>
    <row r="165" spans="1:8" x14ac:dyDescent="0.25">
      <c r="A165" t="s">
        <v>171</v>
      </c>
      <c r="B165" t="s">
        <v>3211</v>
      </c>
      <c r="C165" t="s">
        <v>3220</v>
      </c>
      <c r="D165" t="s">
        <v>3224</v>
      </c>
      <c r="E165" t="s">
        <v>3226</v>
      </c>
      <c r="F165">
        <v>218381.38</v>
      </c>
      <c r="G165">
        <v>190017.64</v>
      </c>
      <c r="H165">
        <v>4</v>
      </c>
    </row>
    <row r="166" spans="1:8" x14ac:dyDescent="0.25">
      <c r="A166" t="s">
        <v>172</v>
      </c>
      <c r="B166" t="s">
        <v>3214</v>
      </c>
      <c r="C166" t="s">
        <v>3219</v>
      </c>
      <c r="D166" t="s">
        <v>3222</v>
      </c>
      <c r="E166" t="s">
        <v>3226</v>
      </c>
      <c r="H166">
        <v>4</v>
      </c>
    </row>
    <row r="167" spans="1:8" x14ac:dyDescent="0.25">
      <c r="A167" t="s">
        <v>173</v>
      </c>
      <c r="B167" t="s">
        <v>3215</v>
      </c>
      <c r="C167" t="s">
        <v>3221</v>
      </c>
      <c r="D167" t="s">
        <v>3224</v>
      </c>
      <c r="E167" t="s">
        <v>3226</v>
      </c>
      <c r="F167">
        <v>311337.15999999997</v>
      </c>
      <c r="G167">
        <v>219193.14</v>
      </c>
      <c r="H167">
        <v>5</v>
      </c>
    </row>
    <row r="168" spans="1:8" x14ac:dyDescent="0.25">
      <c r="A168" t="s">
        <v>174</v>
      </c>
      <c r="B168" t="s">
        <v>3215</v>
      </c>
      <c r="C168" t="s">
        <v>3221</v>
      </c>
      <c r="D168" t="s">
        <v>3222</v>
      </c>
      <c r="E168" t="s">
        <v>3226</v>
      </c>
      <c r="F168">
        <v>67648.97</v>
      </c>
      <c r="G168">
        <v>40032.19</v>
      </c>
      <c r="H168">
        <v>4</v>
      </c>
    </row>
    <row r="169" spans="1:8" x14ac:dyDescent="0.25">
      <c r="A169" t="s">
        <v>175</v>
      </c>
      <c r="C169" t="s">
        <v>3219</v>
      </c>
      <c r="D169" t="s">
        <v>3225</v>
      </c>
      <c r="E169" t="s">
        <v>3226</v>
      </c>
      <c r="F169">
        <v>20937.25</v>
      </c>
      <c r="G169">
        <v>13448.43</v>
      </c>
      <c r="H169">
        <v>1</v>
      </c>
    </row>
    <row r="170" spans="1:8" x14ac:dyDescent="0.25">
      <c r="A170" t="s">
        <v>176</v>
      </c>
      <c r="C170" t="s">
        <v>3216</v>
      </c>
      <c r="D170" t="s">
        <v>3222</v>
      </c>
      <c r="E170" t="s">
        <v>3226</v>
      </c>
      <c r="F170">
        <v>55784.01</v>
      </c>
      <c r="G170">
        <v>37330.019999999997</v>
      </c>
      <c r="H170">
        <v>4</v>
      </c>
    </row>
    <row r="171" spans="1:8" x14ac:dyDescent="0.25">
      <c r="A171" t="s">
        <v>177</v>
      </c>
      <c r="B171" t="s">
        <v>3213</v>
      </c>
      <c r="C171" t="s">
        <v>3220</v>
      </c>
      <c r="D171" t="s">
        <v>3223</v>
      </c>
      <c r="E171" t="s">
        <v>3226</v>
      </c>
      <c r="F171">
        <v>33420.28</v>
      </c>
      <c r="G171">
        <v>30531.66</v>
      </c>
      <c r="H171">
        <v>4</v>
      </c>
    </row>
    <row r="172" spans="1:8" x14ac:dyDescent="0.25">
      <c r="A172" t="s">
        <v>178</v>
      </c>
      <c r="B172" t="s">
        <v>3213</v>
      </c>
      <c r="C172" t="s">
        <v>3220</v>
      </c>
      <c r="D172" t="s">
        <v>3223</v>
      </c>
      <c r="E172" t="s">
        <v>3226</v>
      </c>
      <c r="F172">
        <v>47699.78</v>
      </c>
      <c r="G172">
        <v>27124.21</v>
      </c>
      <c r="H172">
        <v>4</v>
      </c>
    </row>
    <row r="173" spans="1:8" x14ac:dyDescent="0.25">
      <c r="A173" t="s">
        <v>179</v>
      </c>
      <c r="B173" t="s">
        <v>3215</v>
      </c>
      <c r="C173" t="s">
        <v>3219</v>
      </c>
      <c r="D173" t="s">
        <v>3224</v>
      </c>
      <c r="E173" t="s">
        <v>3226</v>
      </c>
      <c r="F173">
        <v>251151.5</v>
      </c>
      <c r="G173">
        <v>205708.91</v>
      </c>
      <c r="H173">
        <v>5</v>
      </c>
    </row>
    <row r="174" spans="1:8" x14ac:dyDescent="0.25">
      <c r="A174" t="s">
        <v>180</v>
      </c>
      <c r="B174" t="s">
        <v>3212</v>
      </c>
      <c r="C174" t="s">
        <v>3217</v>
      </c>
      <c r="D174" t="s">
        <v>3224</v>
      </c>
      <c r="E174" t="s">
        <v>3226</v>
      </c>
      <c r="F174">
        <v>114283.66</v>
      </c>
      <c r="G174">
        <v>84292.24</v>
      </c>
      <c r="H174">
        <v>2</v>
      </c>
    </row>
    <row r="175" spans="1:8" x14ac:dyDescent="0.25">
      <c r="A175" t="s">
        <v>181</v>
      </c>
      <c r="C175" t="s">
        <v>3219</v>
      </c>
      <c r="D175" t="s">
        <v>3222</v>
      </c>
      <c r="E175" t="s">
        <v>3226</v>
      </c>
      <c r="F175">
        <v>46342.57</v>
      </c>
      <c r="G175">
        <v>29749.32</v>
      </c>
      <c r="H175">
        <v>3</v>
      </c>
    </row>
    <row r="176" spans="1:8" x14ac:dyDescent="0.25">
      <c r="A176" t="s">
        <v>182</v>
      </c>
      <c r="C176" t="s">
        <v>3216</v>
      </c>
      <c r="D176" t="s">
        <v>3225</v>
      </c>
      <c r="E176" t="s">
        <v>3226</v>
      </c>
      <c r="F176">
        <v>66960.73</v>
      </c>
      <c r="H176">
        <v>3</v>
      </c>
    </row>
    <row r="177" spans="1:8" x14ac:dyDescent="0.25">
      <c r="A177" t="s">
        <v>183</v>
      </c>
      <c r="B177" t="s">
        <v>3213</v>
      </c>
      <c r="C177" t="s">
        <v>3221</v>
      </c>
      <c r="D177" t="s">
        <v>3225</v>
      </c>
      <c r="E177" t="s">
        <v>3226</v>
      </c>
      <c r="F177">
        <v>45159.69</v>
      </c>
      <c r="G177">
        <v>24727.67</v>
      </c>
      <c r="H177">
        <v>2</v>
      </c>
    </row>
    <row r="178" spans="1:8" x14ac:dyDescent="0.25">
      <c r="A178" t="s">
        <v>184</v>
      </c>
      <c r="B178" t="s">
        <v>3213</v>
      </c>
      <c r="C178" t="s">
        <v>3218</v>
      </c>
      <c r="D178" t="s">
        <v>3222</v>
      </c>
      <c r="E178" t="s">
        <v>3226</v>
      </c>
      <c r="F178">
        <v>16951.2</v>
      </c>
      <c r="G178">
        <v>10165.77</v>
      </c>
      <c r="H178">
        <v>1</v>
      </c>
    </row>
    <row r="179" spans="1:8" x14ac:dyDescent="0.25">
      <c r="A179" t="s">
        <v>185</v>
      </c>
      <c r="B179" t="s">
        <v>3214</v>
      </c>
      <c r="C179" t="s">
        <v>3218</v>
      </c>
      <c r="D179" t="s">
        <v>3222</v>
      </c>
      <c r="E179" t="s">
        <v>3226</v>
      </c>
      <c r="F179">
        <v>58548.28</v>
      </c>
      <c r="G179">
        <v>35056.65</v>
      </c>
      <c r="H179">
        <v>4</v>
      </c>
    </row>
    <row r="180" spans="1:8" x14ac:dyDescent="0.25">
      <c r="A180" t="s">
        <v>186</v>
      </c>
      <c r="B180" t="s">
        <v>3215</v>
      </c>
      <c r="C180" t="s">
        <v>3221</v>
      </c>
      <c r="D180" t="s">
        <v>3222</v>
      </c>
      <c r="E180" t="s">
        <v>3226</v>
      </c>
      <c r="F180">
        <v>29517.61</v>
      </c>
      <c r="G180">
        <v>17290.82</v>
      </c>
      <c r="H180">
        <v>2</v>
      </c>
    </row>
    <row r="181" spans="1:8" x14ac:dyDescent="0.25">
      <c r="A181" t="s">
        <v>187</v>
      </c>
      <c r="B181" t="s">
        <v>3211</v>
      </c>
      <c r="C181" t="s">
        <v>3216</v>
      </c>
      <c r="D181" t="s">
        <v>3224</v>
      </c>
      <c r="E181" t="s">
        <v>3226</v>
      </c>
      <c r="F181">
        <v>66784.7</v>
      </c>
      <c r="G181">
        <v>41235.61</v>
      </c>
      <c r="H181">
        <v>1</v>
      </c>
    </row>
    <row r="182" spans="1:8" x14ac:dyDescent="0.25">
      <c r="A182" t="s">
        <v>188</v>
      </c>
      <c r="B182" t="s">
        <v>3214</v>
      </c>
      <c r="C182" t="s">
        <v>3221</v>
      </c>
      <c r="D182" t="s">
        <v>3223</v>
      </c>
      <c r="E182" t="s">
        <v>3226</v>
      </c>
      <c r="F182">
        <v>52477.919999999998</v>
      </c>
      <c r="G182">
        <v>34361.61</v>
      </c>
      <c r="H182">
        <v>5</v>
      </c>
    </row>
    <row r="183" spans="1:8" x14ac:dyDescent="0.25">
      <c r="A183" t="s">
        <v>189</v>
      </c>
      <c r="B183" t="s">
        <v>3212</v>
      </c>
      <c r="C183" t="s">
        <v>3219</v>
      </c>
      <c r="D183" t="s">
        <v>3223</v>
      </c>
      <c r="E183" t="s">
        <v>3226</v>
      </c>
      <c r="F183">
        <v>47741.58</v>
      </c>
      <c r="G183">
        <v>38183.440000000002</v>
      </c>
      <c r="H183">
        <v>5</v>
      </c>
    </row>
    <row r="184" spans="1:8" x14ac:dyDescent="0.25">
      <c r="A184" t="s">
        <v>190</v>
      </c>
      <c r="B184" t="s">
        <v>3214</v>
      </c>
      <c r="C184" t="s">
        <v>3220</v>
      </c>
      <c r="D184" t="s">
        <v>3223</v>
      </c>
      <c r="E184" t="s">
        <v>3226</v>
      </c>
      <c r="F184">
        <v>44304.04</v>
      </c>
      <c r="G184">
        <v>29856.06</v>
      </c>
      <c r="H184">
        <v>5</v>
      </c>
    </row>
    <row r="185" spans="1:8" x14ac:dyDescent="0.25">
      <c r="A185" t="s">
        <v>191</v>
      </c>
      <c r="B185" t="s">
        <v>3214</v>
      </c>
      <c r="C185" t="s">
        <v>3220</v>
      </c>
      <c r="D185" t="s">
        <v>3223</v>
      </c>
      <c r="E185" t="s">
        <v>3226</v>
      </c>
      <c r="F185">
        <v>29452.53</v>
      </c>
      <c r="H185">
        <v>3</v>
      </c>
    </row>
    <row r="186" spans="1:8" x14ac:dyDescent="0.25">
      <c r="A186" t="s">
        <v>192</v>
      </c>
      <c r="B186" t="s">
        <v>3215</v>
      </c>
      <c r="C186" t="s">
        <v>3219</v>
      </c>
      <c r="D186" t="s">
        <v>3224</v>
      </c>
      <c r="E186" t="s">
        <v>3226</v>
      </c>
      <c r="F186">
        <v>274518.26</v>
      </c>
      <c r="G186">
        <v>170657.72</v>
      </c>
      <c r="H186">
        <v>4</v>
      </c>
    </row>
    <row r="187" spans="1:8" x14ac:dyDescent="0.25">
      <c r="A187" t="s">
        <v>193</v>
      </c>
      <c r="B187" t="s">
        <v>3215</v>
      </c>
      <c r="C187" t="s">
        <v>3220</v>
      </c>
      <c r="D187" t="s">
        <v>3223</v>
      </c>
      <c r="E187" t="s">
        <v>3226</v>
      </c>
      <c r="F187">
        <v>45587.35</v>
      </c>
      <c r="G187">
        <v>37890.29</v>
      </c>
      <c r="H187">
        <v>5</v>
      </c>
    </row>
    <row r="188" spans="1:8" x14ac:dyDescent="0.25">
      <c r="A188" t="s">
        <v>194</v>
      </c>
      <c r="B188" t="s">
        <v>3214</v>
      </c>
      <c r="C188" t="s">
        <v>3220</v>
      </c>
      <c r="D188" t="s">
        <v>3223</v>
      </c>
      <c r="E188" t="s">
        <v>3226</v>
      </c>
      <c r="F188">
        <v>43003.38</v>
      </c>
      <c r="G188">
        <v>36202.550000000003</v>
      </c>
    </row>
    <row r="189" spans="1:8" x14ac:dyDescent="0.25">
      <c r="A189" t="s">
        <v>195</v>
      </c>
      <c r="B189" t="s">
        <v>3214</v>
      </c>
      <c r="C189" t="s">
        <v>3221</v>
      </c>
      <c r="D189" t="s">
        <v>3224</v>
      </c>
      <c r="E189" t="s">
        <v>3226</v>
      </c>
      <c r="F189">
        <v>262800.8</v>
      </c>
      <c r="G189">
        <v>168896.31</v>
      </c>
      <c r="H189">
        <v>4</v>
      </c>
    </row>
    <row r="190" spans="1:8" x14ac:dyDescent="0.25">
      <c r="A190" t="s">
        <v>196</v>
      </c>
      <c r="B190" t="s">
        <v>3215</v>
      </c>
      <c r="C190" t="s">
        <v>3220</v>
      </c>
      <c r="D190" t="s">
        <v>3225</v>
      </c>
      <c r="E190" t="s">
        <v>3226</v>
      </c>
      <c r="F190">
        <v>101984.64</v>
      </c>
      <c r="H190">
        <v>5</v>
      </c>
    </row>
    <row r="191" spans="1:8" x14ac:dyDescent="0.25">
      <c r="A191" t="s">
        <v>197</v>
      </c>
      <c r="B191" t="s">
        <v>3212</v>
      </c>
      <c r="C191" t="s">
        <v>3218</v>
      </c>
      <c r="D191" t="s">
        <v>3225</v>
      </c>
      <c r="E191" t="s">
        <v>3226</v>
      </c>
      <c r="F191">
        <v>32166.84</v>
      </c>
      <c r="G191">
        <v>25587.89</v>
      </c>
      <c r="H191">
        <v>2</v>
      </c>
    </row>
    <row r="192" spans="1:8" x14ac:dyDescent="0.25">
      <c r="A192" t="s">
        <v>198</v>
      </c>
      <c r="B192" t="s">
        <v>3212</v>
      </c>
      <c r="C192" t="s">
        <v>3220</v>
      </c>
      <c r="D192" t="s">
        <v>3223</v>
      </c>
      <c r="E192" t="s">
        <v>3226</v>
      </c>
      <c r="F192">
        <v>39589.379999999997</v>
      </c>
      <c r="G192">
        <v>24597.7</v>
      </c>
      <c r="H192">
        <v>4</v>
      </c>
    </row>
    <row r="193" spans="1:8" x14ac:dyDescent="0.25">
      <c r="A193" t="s">
        <v>199</v>
      </c>
      <c r="C193" t="s">
        <v>3220</v>
      </c>
      <c r="D193" t="s">
        <v>3224</v>
      </c>
      <c r="E193" t="s">
        <v>3226</v>
      </c>
      <c r="F193">
        <v>183606.62</v>
      </c>
      <c r="G193">
        <v>127867.03</v>
      </c>
      <c r="H193">
        <v>3</v>
      </c>
    </row>
    <row r="194" spans="1:8" x14ac:dyDescent="0.25">
      <c r="A194" t="s">
        <v>200</v>
      </c>
      <c r="B194" t="s">
        <v>3213</v>
      </c>
      <c r="C194" t="s">
        <v>3221</v>
      </c>
      <c r="D194" t="s">
        <v>3223</v>
      </c>
      <c r="E194" t="s">
        <v>3226</v>
      </c>
      <c r="F194">
        <v>10176.07</v>
      </c>
      <c r="G194">
        <v>7063.12</v>
      </c>
      <c r="H194">
        <v>1</v>
      </c>
    </row>
    <row r="195" spans="1:8" x14ac:dyDescent="0.25">
      <c r="A195" t="s">
        <v>201</v>
      </c>
      <c r="B195" t="s">
        <v>3214</v>
      </c>
      <c r="C195" t="s">
        <v>3216</v>
      </c>
      <c r="D195" t="s">
        <v>3223</v>
      </c>
      <c r="E195" t="s">
        <v>3226</v>
      </c>
      <c r="F195">
        <v>27231.98</v>
      </c>
      <c r="G195">
        <v>20682.669999999998</v>
      </c>
      <c r="H195">
        <v>3</v>
      </c>
    </row>
    <row r="196" spans="1:8" x14ac:dyDescent="0.25">
      <c r="A196" t="s">
        <v>202</v>
      </c>
      <c r="B196" t="s">
        <v>3215</v>
      </c>
      <c r="C196" t="s">
        <v>3218</v>
      </c>
      <c r="D196" t="s">
        <v>3224</v>
      </c>
      <c r="E196" t="s">
        <v>3226</v>
      </c>
      <c r="F196">
        <v>198589.32</v>
      </c>
      <c r="G196">
        <v>139840.54999999999</v>
      </c>
      <c r="H196">
        <v>3</v>
      </c>
    </row>
    <row r="197" spans="1:8" x14ac:dyDescent="0.25">
      <c r="A197" t="s">
        <v>203</v>
      </c>
      <c r="B197" t="s">
        <v>3212</v>
      </c>
      <c r="C197" t="s">
        <v>3221</v>
      </c>
      <c r="D197" t="s">
        <v>3222</v>
      </c>
      <c r="E197" t="s">
        <v>3226</v>
      </c>
      <c r="F197">
        <v>30696.51</v>
      </c>
      <c r="G197">
        <v>21058.76</v>
      </c>
      <c r="H197">
        <v>2</v>
      </c>
    </row>
    <row r="198" spans="1:8" x14ac:dyDescent="0.25">
      <c r="A198" t="s">
        <v>204</v>
      </c>
      <c r="B198" t="s">
        <v>3212</v>
      </c>
      <c r="C198" t="s">
        <v>3219</v>
      </c>
      <c r="D198" t="s">
        <v>3224</v>
      </c>
      <c r="E198" t="s">
        <v>3226</v>
      </c>
      <c r="F198">
        <v>131632.71</v>
      </c>
      <c r="G198">
        <v>94840.16</v>
      </c>
      <c r="H198">
        <v>2</v>
      </c>
    </row>
    <row r="199" spans="1:8" x14ac:dyDescent="0.25">
      <c r="A199" t="s">
        <v>205</v>
      </c>
      <c r="C199" t="s">
        <v>3221</v>
      </c>
      <c r="D199" t="s">
        <v>3225</v>
      </c>
      <c r="E199" t="s">
        <v>3226</v>
      </c>
      <c r="F199">
        <v>87863.48</v>
      </c>
      <c r="G199">
        <v>50434.73</v>
      </c>
      <c r="H199">
        <v>4</v>
      </c>
    </row>
    <row r="200" spans="1:8" x14ac:dyDescent="0.25">
      <c r="A200" t="s">
        <v>206</v>
      </c>
      <c r="C200" t="s">
        <v>3218</v>
      </c>
      <c r="D200" t="s">
        <v>3224</v>
      </c>
      <c r="E200" t="s">
        <v>3226</v>
      </c>
      <c r="F200">
        <v>113678.86</v>
      </c>
      <c r="G200">
        <v>86593.74</v>
      </c>
      <c r="H200">
        <v>2</v>
      </c>
    </row>
    <row r="201" spans="1:8" x14ac:dyDescent="0.25">
      <c r="A201" t="s">
        <v>207</v>
      </c>
      <c r="B201" t="s">
        <v>3212</v>
      </c>
      <c r="C201" t="s">
        <v>3216</v>
      </c>
      <c r="D201" t="s">
        <v>3225</v>
      </c>
      <c r="E201" t="s">
        <v>3226</v>
      </c>
      <c r="F201">
        <v>69802.22</v>
      </c>
      <c r="G201">
        <v>53027.43</v>
      </c>
      <c r="H201">
        <v>4</v>
      </c>
    </row>
    <row r="202" spans="1:8" x14ac:dyDescent="0.25">
      <c r="A202" t="s">
        <v>208</v>
      </c>
      <c r="B202" t="s">
        <v>3213</v>
      </c>
      <c r="C202" t="s">
        <v>3217</v>
      </c>
      <c r="D202" t="s">
        <v>3223</v>
      </c>
      <c r="E202" t="s">
        <v>3226</v>
      </c>
      <c r="F202">
        <v>20794.95</v>
      </c>
      <c r="H202">
        <v>2</v>
      </c>
    </row>
    <row r="203" spans="1:8" x14ac:dyDescent="0.25">
      <c r="A203" t="s">
        <v>209</v>
      </c>
      <c r="B203" t="s">
        <v>3215</v>
      </c>
      <c r="C203" t="s">
        <v>3221</v>
      </c>
      <c r="D203" t="s">
        <v>3225</v>
      </c>
      <c r="E203" t="s">
        <v>3226</v>
      </c>
      <c r="F203">
        <v>111544.6</v>
      </c>
      <c r="G203">
        <v>68552.210000000006</v>
      </c>
      <c r="H203">
        <v>5</v>
      </c>
    </row>
    <row r="204" spans="1:8" x14ac:dyDescent="0.25">
      <c r="A204" t="s">
        <v>210</v>
      </c>
      <c r="B204" t="s">
        <v>3214</v>
      </c>
      <c r="C204" t="s">
        <v>3217</v>
      </c>
      <c r="D204" t="s">
        <v>3223</v>
      </c>
      <c r="E204" t="s">
        <v>3226</v>
      </c>
      <c r="F204">
        <v>33199.06</v>
      </c>
      <c r="G204">
        <v>21701.48</v>
      </c>
      <c r="H204">
        <v>3</v>
      </c>
    </row>
    <row r="205" spans="1:8" x14ac:dyDescent="0.25">
      <c r="A205" t="s">
        <v>211</v>
      </c>
      <c r="B205" t="s">
        <v>3215</v>
      </c>
      <c r="C205" t="s">
        <v>3217</v>
      </c>
      <c r="D205" t="s">
        <v>3222</v>
      </c>
      <c r="E205" t="s">
        <v>3226</v>
      </c>
      <c r="F205">
        <v>57211.99</v>
      </c>
      <c r="G205">
        <v>39718.720000000001</v>
      </c>
      <c r="H205">
        <v>4</v>
      </c>
    </row>
    <row r="206" spans="1:8" x14ac:dyDescent="0.25">
      <c r="A206" t="s">
        <v>212</v>
      </c>
      <c r="B206" t="s">
        <v>3211</v>
      </c>
      <c r="C206" t="s">
        <v>3218</v>
      </c>
      <c r="D206" t="s">
        <v>3225</v>
      </c>
      <c r="E206" t="s">
        <v>3226</v>
      </c>
      <c r="F206">
        <v>107906.83</v>
      </c>
      <c r="G206">
        <v>75768.3</v>
      </c>
      <c r="H206">
        <v>5</v>
      </c>
    </row>
    <row r="207" spans="1:8" x14ac:dyDescent="0.25">
      <c r="A207" t="s">
        <v>213</v>
      </c>
      <c r="B207" t="s">
        <v>3215</v>
      </c>
      <c r="C207" t="s">
        <v>3220</v>
      </c>
      <c r="D207" t="s">
        <v>3223</v>
      </c>
      <c r="E207" t="s">
        <v>3226</v>
      </c>
      <c r="F207">
        <v>9740.7199999999993</v>
      </c>
      <c r="G207">
        <v>7590.37</v>
      </c>
    </row>
    <row r="208" spans="1:8" x14ac:dyDescent="0.25">
      <c r="A208" t="s">
        <v>214</v>
      </c>
      <c r="B208" t="s">
        <v>3212</v>
      </c>
      <c r="C208" t="s">
        <v>3217</v>
      </c>
      <c r="D208" t="s">
        <v>3223</v>
      </c>
      <c r="E208" t="s">
        <v>3226</v>
      </c>
      <c r="F208">
        <v>8635.6299999999992</v>
      </c>
      <c r="G208">
        <v>7017.89</v>
      </c>
      <c r="H208">
        <v>1</v>
      </c>
    </row>
    <row r="209" spans="1:8" x14ac:dyDescent="0.25">
      <c r="A209" t="s">
        <v>215</v>
      </c>
      <c r="B209" t="s">
        <v>3211</v>
      </c>
      <c r="C209" t="s">
        <v>3217</v>
      </c>
      <c r="D209" t="s">
        <v>3225</v>
      </c>
      <c r="E209" t="s">
        <v>3226</v>
      </c>
      <c r="F209">
        <v>72823.039999999994</v>
      </c>
      <c r="G209">
        <v>51458.57</v>
      </c>
      <c r="H209">
        <v>4</v>
      </c>
    </row>
    <row r="210" spans="1:8" x14ac:dyDescent="0.25">
      <c r="A210" t="s">
        <v>216</v>
      </c>
      <c r="C210" t="s">
        <v>3219</v>
      </c>
      <c r="D210" t="s">
        <v>3223</v>
      </c>
      <c r="E210" t="s">
        <v>3226</v>
      </c>
      <c r="F210">
        <v>9950.2800000000007</v>
      </c>
      <c r="H210">
        <v>1</v>
      </c>
    </row>
    <row r="211" spans="1:8" x14ac:dyDescent="0.25">
      <c r="A211" t="s">
        <v>217</v>
      </c>
      <c r="B211" t="s">
        <v>3212</v>
      </c>
      <c r="C211" t="s">
        <v>3218</v>
      </c>
      <c r="D211" t="s">
        <v>3223</v>
      </c>
      <c r="E211" t="s">
        <v>3226</v>
      </c>
      <c r="F211">
        <v>35560.730000000003</v>
      </c>
      <c r="G211">
        <v>20790.88</v>
      </c>
      <c r="H211">
        <v>3</v>
      </c>
    </row>
    <row r="212" spans="1:8" x14ac:dyDescent="0.25">
      <c r="A212" t="s">
        <v>218</v>
      </c>
      <c r="B212" t="s">
        <v>3211</v>
      </c>
      <c r="C212" t="s">
        <v>3216</v>
      </c>
      <c r="D212" t="s">
        <v>3225</v>
      </c>
      <c r="E212" t="s">
        <v>3226</v>
      </c>
      <c r="F212">
        <v>106166.98</v>
      </c>
      <c r="G212">
        <v>62966.71</v>
      </c>
      <c r="H212">
        <v>5</v>
      </c>
    </row>
    <row r="213" spans="1:8" x14ac:dyDescent="0.25">
      <c r="A213" t="s">
        <v>219</v>
      </c>
      <c r="B213" t="s">
        <v>3215</v>
      </c>
      <c r="C213" t="s">
        <v>3217</v>
      </c>
      <c r="D213" t="s">
        <v>3222</v>
      </c>
      <c r="E213" t="s">
        <v>3226</v>
      </c>
      <c r="F213">
        <v>25066.080000000002</v>
      </c>
      <c r="G213">
        <v>20418.77</v>
      </c>
      <c r="H213">
        <v>2</v>
      </c>
    </row>
    <row r="214" spans="1:8" x14ac:dyDescent="0.25">
      <c r="A214" t="s">
        <v>220</v>
      </c>
      <c r="B214" t="s">
        <v>3214</v>
      </c>
      <c r="C214" t="s">
        <v>3218</v>
      </c>
      <c r="D214" t="s">
        <v>3224</v>
      </c>
      <c r="E214" t="s">
        <v>3226</v>
      </c>
      <c r="F214">
        <v>62709.599999999999</v>
      </c>
      <c r="G214">
        <v>40794.15</v>
      </c>
      <c r="H214">
        <v>1</v>
      </c>
    </row>
    <row r="215" spans="1:8" x14ac:dyDescent="0.25">
      <c r="A215" t="s">
        <v>221</v>
      </c>
      <c r="B215" t="s">
        <v>3211</v>
      </c>
      <c r="C215" t="s">
        <v>3216</v>
      </c>
      <c r="D215" t="s">
        <v>3222</v>
      </c>
      <c r="E215" t="s">
        <v>3226</v>
      </c>
      <c r="F215">
        <v>49494.55</v>
      </c>
      <c r="G215">
        <v>39125.03</v>
      </c>
      <c r="H215">
        <v>4</v>
      </c>
    </row>
    <row r="216" spans="1:8" x14ac:dyDescent="0.25">
      <c r="A216" t="s">
        <v>222</v>
      </c>
      <c r="B216" t="s">
        <v>3215</v>
      </c>
      <c r="C216" t="s">
        <v>3219</v>
      </c>
      <c r="D216" t="s">
        <v>3225</v>
      </c>
      <c r="E216" t="s">
        <v>3226</v>
      </c>
      <c r="F216">
        <v>88216.05</v>
      </c>
      <c r="G216">
        <v>54871.4</v>
      </c>
      <c r="H216">
        <v>4</v>
      </c>
    </row>
    <row r="217" spans="1:8" x14ac:dyDescent="0.25">
      <c r="A217" t="s">
        <v>223</v>
      </c>
      <c r="C217" t="s">
        <v>3216</v>
      </c>
      <c r="D217" t="s">
        <v>3223</v>
      </c>
      <c r="E217" t="s">
        <v>3226</v>
      </c>
      <c r="F217">
        <v>20463.849999999999</v>
      </c>
      <c r="H217">
        <v>2</v>
      </c>
    </row>
    <row r="218" spans="1:8" x14ac:dyDescent="0.25">
      <c r="A218" t="s">
        <v>224</v>
      </c>
      <c r="B218" t="s">
        <v>3213</v>
      </c>
      <c r="C218" t="s">
        <v>3220</v>
      </c>
      <c r="D218" t="s">
        <v>3222</v>
      </c>
      <c r="E218" t="s">
        <v>3226</v>
      </c>
      <c r="F218">
        <v>14384.29</v>
      </c>
      <c r="G218">
        <v>8733.52</v>
      </c>
      <c r="H218">
        <v>1</v>
      </c>
    </row>
    <row r="219" spans="1:8" x14ac:dyDescent="0.25">
      <c r="A219" t="s">
        <v>225</v>
      </c>
      <c r="B219" t="s">
        <v>3213</v>
      </c>
      <c r="C219" t="s">
        <v>3219</v>
      </c>
      <c r="D219" t="s">
        <v>3223</v>
      </c>
      <c r="E219" t="s">
        <v>3226</v>
      </c>
      <c r="F219">
        <v>52691.65</v>
      </c>
      <c r="G219">
        <v>36731.75</v>
      </c>
      <c r="H219">
        <v>5</v>
      </c>
    </row>
    <row r="220" spans="1:8" x14ac:dyDescent="0.25">
      <c r="A220" t="s">
        <v>226</v>
      </c>
      <c r="B220" t="s">
        <v>3213</v>
      </c>
      <c r="C220" t="s">
        <v>3221</v>
      </c>
      <c r="D220" t="s">
        <v>3222</v>
      </c>
      <c r="E220" t="s">
        <v>3226</v>
      </c>
      <c r="F220">
        <v>42535.81</v>
      </c>
      <c r="G220">
        <v>32228.9</v>
      </c>
      <c r="H220">
        <v>3</v>
      </c>
    </row>
    <row r="221" spans="1:8" x14ac:dyDescent="0.25">
      <c r="A221" t="s">
        <v>227</v>
      </c>
      <c r="B221" t="s">
        <v>3211</v>
      </c>
      <c r="C221" t="s">
        <v>3218</v>
      </c>
      <c r="D221" t="s">
        <v>3224</v>
      </c>
      <c r="E221" t="s">
        <v>3226</v>
      </c>
      <c r="F221">
        <v>268664.95</v>
      </c>
      <c r="G221">
        <v>196549.01</v>
      </c>
      <c r="H221">
        <v>4</v>
      </c>
    </row>
    <row r="222" spans="1:8" x14ac:dyDescent="0.25">
      <c r="A222" t="s">
        <v>228</v>
      </c>
      <c r="B222" t="s">
        <v>3215</v>
      </c>
      <c r="C222" t="s">
        <v>3216</v>
      </c>
      <c r="D222" t="s">
        <v>3224</v>
      </c>
      <c r="E222" t="s">
        <v>3226</v>
      </c>
      <c r="F222">
        <v>278761.34000000003</v>
      </c>
      <c r="G222">
        <v>247335.65</v>
      </c>
      <c r="H222">
        <v>5</v>
      </c>
    </row>
    <row r="223" spans="1:8" x14ac:dyDescent="0.25">
      <c r="A223" t="s">
        <v>229</v>
      </c>
      <c r="B223" t="s">
        <v>3213</v>
      </c>
      <c r="C223" t="s">
        <v>3220</v>
      </c>
      <c r="D223" t="s">
        <v>3224</v>
      </c>
      <c r="E223" t="s">
        <v>3226</v>
      </c>
      <c r="F223">
        <v>277464.77</v>
      </c>
      <c r="G223">
        <v>156573.29999999999</v>
      </c>
      <c r="H223">
        <v>4</v>
      </c>
    </row>
    <row r="224" spans="1:8" x14ac:dyDescent="0.25">
      <c r="A224" t="s">
        <v>230</v>
      </c>
      <c r="B224" t="s">
        <v>3212</v>
      </c>
      <c r="C224" t="s">
        <v>3217</v>
      </c>
      <c r="D224" t="s">
        <v>3222</v>
      </c>
      <c r="E224" t="s">
        <v>3226</v>
      </c>
      <c r="F224">
        <v>33859.64</v>
      </c>
      <c r="G224">
        <v>19296.330000000002</v>
      </c>
      <c r="H224">
        <v>2</v>
      </c>
    </row>
    <row r="225" spans="1:8" x14ac:dyDescent="0.25">
      <c r="A225" t="s">
        <v>231</v>
      </c>
      <c r="C225" t="s">
        <v>3220</v>
      </c>
      <c r="D225" t="s">
        <v>3224</v>
      </c>
      <c r="E225" t="s">
        <v>3226</v>
      </c>
      <c r="F225">
        <v>290414.25</v>
      </c>
      <c r="G225">
        <v>242176.49</v>
      </c>
      <c r="H225">
        <v>5</v>
      </c>
    </row>
    <row r="226" spans="1:8" x14ac:dyDescent="0.25">
      <c r="A226" t="s">
        <v>232</v>
      </c>
      <c r="B226" t="s">
        <v>3213</v>
      </c>
      <c r="C226" t="s">
        <v>3217</v>
      </c>
      <c r="D226" t="s">
        <v>3224</v>
      </c>
      <c r="E226" t="s">
        <v>3226</v>
      </c>
      <c r="F226">
        <v>237243.57</v>
      </c>
      <c r="G226">
        <v>197059.72</v>
      </c>
      <c r="H226">
        <v>4</v>
      </c>
    </row>
    <row r="227" spans="1:8" x14ac:dyDescent="0.25">
      <c r="A227" t="s">
        <v>233</v>
      </c>
      <c r="B227" t="s">
        <v>3211</v>
      </c>
      <c r="C227" t="s">
        <v>3221</v>
      </c>
      <c r="D227" t="s">
        <v>3224</v>
      </c>
      <c r="E227" t="s">
        <v>3226</v>
      </c>
      <c r="F227">
        <v>213809.24</v>
      </c>
      <c r="G227">
        <v>190666.85</v>
      </c>
      <c r="H227">
        <v>4</v>
      </c>
    </row>
    <row r="228" spans="1:8" x14ac:dyDescent="0.25">
      <c r="A228" t="s">
        <v>234</v>
      </c>
      <c r="B228" t="s">
        <v>3212</v>
      </c>
      <c r="C228" t="s">
        <v>3221</v>
      </c>
      <c r="D228" t="s">
        <v>3224</v>
      </c>
      <c r="E228" t="s">
        <v>3226</v>
      </c>
      <c r="F228">
        <v>288996.76</v>
      </c>
      <c r="G228">
        <v>233957.74</v>
      </c>
      <c r="H228">
        <v>5</v>
      </c>
    </row>
    <row r="229" spans="1:8" x14ac:dyDescent="0.25">
      <c r="A229" t="s">
        <v>235</v>
      </c>
      <c r="B229" t="s">
        <v>3214</v>
      </c>
      <c r="C229" t="s">
        <v>3221</v>
      </c>
      <c r="D229" t="s">
        <v>3224</v>
      </c>
      <c r="E229" t="s">
        <v>3226</v>
      </c>
      <c r="F229">
        <v>144013.56</v>
      </c>
      <c r="G229">
        <v>120456.49</v>
      </c>
      <c r="H229">
        <v>3</v>
      </c>
    </row>
    <row r="230" spans="1:8" x14ac:dyDescent="0.25">
      <c r="A230" t="s">
        <v>236</v>
      </c>
      <c r="C230" t="s">
        <v>3221</v>
      </c>
      <c r="D230" t="s">
        <v>3225</v>
      </c>
      <c r="E230" t="s">
        <v>3226</v>
      </c>
      <c r="F230">
        <v>58141.16</v>
      </c>
      <c r="G230">
        <v>36141.26</v>
      </c>
      <c r="H230">
        <v>3</v>
      </c>
    </row>
    <row r="231" spans="1:8" x14ac:dyDescent="0.25">
      <c r="A231" t="s">
        <v>237</v>
      </c>
      <c r="B231" t="s">
        <v>3213</v>
      </c>
      <c r="C231" t="s">
        <v>3217</v>
      </c>
      <c r="D231" t="s">
        <v>3222</v>
      </c>
      <c r="E231" t="s">
        <v>3226</v>
      </c>
      <c r="F231">
        <v>32391.78</v>
      </c>
      <c r="G231">
        <v>21197.3</v>
      </c>
      <c r="H231">
        <v>2</v>
      </c>
    </row>
    <row r="232" spans="1:8" x14ac:dyDescent="0.25">
      <c r="A232" t="s">
        <v>238</v>
      </c>
      <c r="C232" t="s">
        <v>3217</v>
      </c>
      <c r="D232" t="s">
        <v>3223</v>
      </c>
      <c r="E232" t="s">
        <v>3226</v>
      </c>
      <c r="G232">
        <v>30594.68</v>
      </c>
      <c r="H232">
        <v>5</v>
      </c>
    </row>
    <row r="233" spans="1:8" x14ac:dyDescent="0.25">
      <c r="A233" t="s">
        <v>239</v>
      </c>
      <c r="B233" t="s">
        <v>3211</v>
      </c>
      <c r="C233" t="s">
        <v>3217</v>
      </c>
      <c r="D233" t="s">
        <v>3224</v>
      </c>
      <c r="E233" t="s">
        <v>3226</v>
      </c>
      <c r="F233">
        <v>198191.16</v>
      </c>
      <c r="G233">
        <v>192475.78</v>
      </c>
      <c r="H233">
        <v>4</v>
      </c>
    </row>
    <row r="234" spans="1:8" x14ac:dyDescent="0.25">
      <c r="A234" t="s">
        <v>240</v>
      </c>
      <c r="B234" t="s">
        <v>3211</v>
      </c>
      <c r="C234" t="s">
        <v>3220</v>
      </c>
      <c r="D234" t="s">
        <v>3224</v>
      </c>
      <c r="E234" t="s">
        <v>3226</v>
      </c>
      <c r="F234">
        <v>247949.46</v>
      </c>
      <c r="G234">
        <v>197794.69</v>
      </c>
      <c r="H234">
        <v>4</v>
      </c>
    </row>
    <row r="235" spans="1:8" x14ac:dyDescent="0.25">
      <c r="A235" t="s">
        <v>241</v>
      </c>
      <c r="B235" t="s">
        <v>3215</v>
      </c>
      <c r="C235" t="s">
        <v>3221</v>
      </c>
      <c r="D235" t="s">
        <v>3223</v>
      </c>
      <c r="E235" t="s">
        <v>3226</v>
      </c>
      <c r="F235">
        <v>33951.440000000002</v>
      </c>
      <c r="G235">
        <v>22464.639999999999</v>
      </c>
      <c r="H235">
        <v>3</v>
      </c>
    </row>
    <row r="236" spans="1:8" x14ac:dyDescent="0.25">
      <c r="A236" t="s">
        <v>242</v>
      </c>
      <c r="B236" t="s">
        <v>3213</v>
      </c>
      <c r="C236" t="s">
        <v>3216</v>
      </c>
      <c r="D236" t="s">
        <v>3225</v>
      </c>
      <c r="E236" t="s">
        <v>3226</v>
      </c>
      <c r="F236">
        <v>78188.160000000003</v>
      </c>
      <c r="G236">
        <v>56099.25</v>
      </c>
      <c r="H236">
        <v>4</v>
      </c>
    </row>
    <row r="237" spans="1:8" x14ac:dyDescent="0.25">
      <c r="A237" t="s">
        <v>243</v>
      </c>
      <c r="B237" t="s">
        <v>3212</v>
      </c>
      <c r="C237" t="s">
        <v>3220</v>
      </c>
      <c r="D237" t="s">
        <v>3225</v>
      </c>
      <c r="E237" t="s">
        <v>3226</v>
      </c>
      <c r="F237">
        <v>79605.350000000006</v>
      </c>
      <c r="G237">
        <v>56731.14</v>
      </c>
      <c r="H237">
        <v>4</v>
      </c>
    </row>
    <row r="238" spans="1:8" x14ac:dyDescent="0.25">
      <c r="A238" t="s">
        <v>244</v>
      </c>
      <c r="C238" t="s">
        <v>3221</v>
      </c>
      <c r="D238" t="s">
        <v>3224</v>
      </c>
      <c r="E238" t="s">
        <v>3226</v>
      </c>
      <c r="F238">
        <v>249990.88</v>
      </c>
      <c r="G238">
        <v>193832.11</v>
      </c>
      <c r="H238">
        <v>4</v>
      </c>
    </row>
    <row r="239" spans="1:8" x14ac:dyDescent="0.25">
      <c r="A239" t="s">
        <v>245</v>
      </c>
      <c r="B239" t="s">
        <v>3215</v>
      </c>
      <c r="C239" t="s">
        <v>3219</v>
      </c>
      <c r="D239" t="s">
        <v>3223</v>
      </c>
      <c r="E239" t="s">
        <v>3226</v>
      </c>
      <c r="F239">
        <v>49485.77</v>
      </c>
      <c r="G239">
        <v>34920.089999999997</v>
      </c>
    </row>
    <row r="240" spans="1:8" x14ac:dyDescent="0.25">
      <c r="A240" t="s">
        <v>246</v>
      </c>
      <c r="B240" t="s">
        <v>3215</v>
      </c>
      <c r="C240" t="s">
        <v>3218</v>
      </c>
      <c r="D240" t="s">
        <v>3222</v>
      </c>
      <c r="E240" t="s">
        <v>3226</v>
      </c>
      <c r="G240">
        <v>45231.37</v>
      </c>
      <c r="H240">
        <v>5</v>
      </c>
    </row>
    <row r="241" spans="1:8" x14ac:dyDescent="0.25">
      <c r="A241" t="s">
        <v>247</v>
      </c>
      <c r="B241" t="s">
        <v>3211</v>
      </c>
      <c r="C241" t="s">
        <v>3220</v>
      </c>
      <c r="D241" t="s">
        <v>3222</v>
      </c>
      <c r="E241" t="s">
        <v>3226</v>
      </c>
      <c r="F241">
        <v>45133.41</v>
      </c>
      <c r="G241">
        <v>32056.67</v>
      </c>
      <c r="H241">
        <v>3</v>
      </c>
    </row>
    <row r="242" spans="1:8" x14ac:dyDescent="0.25">
      <c r="A242" t="s">
        <v>248</v>
      </c>
      <c r="B242" t="s">
        <v>3213</v>
      </c>
      <c r="C242" t="s">
        <v>3219</v>
      </c>
      <c r="D242" t="s">
        <v>3223</v>
      </c>
      <c r="E242" t="s">
        <v>3226</v>
      </c>
      <c r="F242">
        <v>43677.760000000002</v>
      </c>
      <c r="G242">
        <v>29975.81</v>
      </c>
      <c r="H242">
        <v>4</v>
      </c>
    </row>
    <row r="243" spans="1:8" x14ac:dyDescent="0.25">
      <c r="A243" t="s">
        <v>249</v>
      </c>
      <c r="B243" t="s">
        <v>3213</v>
      </c>
      <c r="C243" t="s">
        <v>3217</v>
      </c>
      <c r="D243" t="s">
        <v>3224</v>
      </c>
      <c r="E243" t="s">
        <v>3226</v>
      </c>
      <c r="F243">
        <v>63273.63</v>
      </c>
      <c r="G243">
        <v>38825.269999999997</v>
      </c>
      <c r="H243">
        <v>1</v>
      </c>
    </row>
    <row r="244" spans="1:8" x14ac:dyDescent="0.25">
      <c r="A244" t="s">
        <v>250</v>
      </c>
      <c r="B244" t="s">
        <v>3212</v>
      </c>
      <c r="C244" t="s">
        <v>3218</v>
      </c>
      <c r="D244" t="s">
        <v>3224</v>
      </c>
      <c r="E244" t="s">
        <v>3226</v>
      </c>
      <c r="F244">
        <v>227429.09</v>
      </c>
      <c r="G244">
        <v>158446.13</v>
      </c>
      <c r="H244">
        <v>4</v>
      </c>
    </row>
    <row r="245" spans="1:8" x14ac:dyDescent="0.25">
      <c r="A245" t="s">
        <v>251</v>
      </c>
      <c r="B245" t="s">
        <v>3213</v>
      </c>
      <c r="C245" t="s">
        <v>3217</v>
      </c>
      <c r="D245" t="s">
        <v>3224</v>
      </c>
      <c r="E245" t="s">
        <v>3226</v>
      </c>
      <c r="F245">
        <v>113372.16</v>
      </c>
      <c r="H245">
        <v>2</v>
      </c>
    </row>
    <row r="246" spans="1:8" x14ac:dyDescent="0.25">
      <c r="A246" t="s">
        <v>252</v>
      </c>
      <c r="B246" t="s">
        <v>3211</v>
      </c>
      <c r="C246" t="s">
        <v>3219</v>
      </c>
      <c r="D246" t="s">
        <v>3222</v>
      </c>
      <c r="E246" t="s">
        <v>3226</v>
      </c>
      <c r="F246">
        <v>87073.600000000006</v>
      </c>
      <c r="G246">
        <v>43330.55</v>
      </c>
    </row>
    <row r="247" spans="1:8" x14ac:dyDescent="0.25">
      <c r="A247" t="s">
        <v>253</v>
      </c>
      <c r="B247" t="s">
        <v>3214</v>
      </c>
      <c r="C247" t="s">
        <v>3218</v>
      </c>
      <c r="D247" t="s">
        <v>3224</v>
      </c>
      <c r="E247" t="s">
        <v>3226</v>
      </c>
      <c r="F247">
        <v>336962.72</v>
      </c>
      <c r="G247">
        <v>203402.89</v>
      </c>
      <c r="H247">
        <v>5</v>
      </c>
    </row>
    <row r="248" spans="1:8" x14ac:dyDescent="0.25">
      <c r="A248" t="s">
        <v>254</v>
      </c>
      <c r="B248" t="s">
        <v>3214</v>
      </c>
      <c r="C248" t="s">
        <v>3219</v>
      </c>
      <c r="D248" t="s">
        <v>3222</v>
      </c>
      <c r="E248" t="s">
        <v>3226</v>
      </c>
      <c r="F248">
        <v>13837.88</v>
      </c>
      <c r="G248">
        <v>10472.459999999999</v>
      </c>
      <c r="H248">
        <v>1</v>
      </c>
    </row>
    <row r="249" spans="1:8" x14ac:dyDescent="0.25">
      <c r="A249" t="s">
        <v>255</v>
      </c>
      <c r="B249" t="s">
        <v>3215</v>
      </c>
      <c r="C249" t="s">
        <v>3220</v>
      </c>
      <c r="D249" t="s">
        <v>3222</v>
      </c>
      <c r="E249" t="s">
        <v>3226</v>
      </c>
      <c r="F249">
        <v>12164.52</v>
      </c>
      <c r="G249">
        <v>9482.44</v>
      </c>
      <c r="H249">
        <v>1</v>
      </c>
    </row>
    <row r="250" spans="1:8" x14ac:dyDescent="0.25">
      <c r="A250" t="s">
        <v>256</v>
      </c>
      <c r="B250" t="s">
        <v>3212</v>
      </c>
      <c r="C250" t="s">
        <v>3216</v>
      </c>
      <c r="D250" t="s">
        <v>3222</v>
      </c>
      <c r="E250" t="s">
        <v>3226</v>
      </c>
      <c r="G250">
        <v>39172.39</v>
      </c>
      <c r="H250">
        <v>4</v>
      </c>
    </row>
    <row r="251" spans="1:8" x14ac:dyDescent="0.25">
      <c r="A251" t="s">
        <v>257</v>
      </c>
      <c r="B251" t="s">
        <v>3214</v>
      </c>
      <c r="C251" t="s">
        <v>3218</v>
      </c>
      <c r="D251" t="s">
        <v>3223</v>
      </c>
      <c r="E251" t="s">
        <v>3226</v>
      </c>
      <c r="F251">
        <v>40955.019999999997</v>
      </c>
      <c r="G251">
        <v>24536.81</v>
      </c>
      <c r="H251">
        <v>4</v>
      </c>
    </row>
    <row r="252" spans="1:8" x14ac:dyDescent="0.25">
      <c r="A252" t="s">
        <v>258</v>
      </c>
      <c r="C252" t="s">
        <v>3219</v>
      </c>
      <c r="D252" t="s">
        <v>3223</v>
      </c>
      <c r="E252" t="s">
        <v>3226</v>
      </c>
      <c r="F252">
        <v>16311.97</v>
      </c>
      <c r="G252">
        <v>12008.35</v>
      </c>
    </row>
    <row r="253" spans="1:8" x14ac:dyDescent="0.25">
      <c r="A253" t="s">
        <v>259</v>
      </c>
      <c r="B253" t="s">
        <v>3211</v>
      </c>
      <c r="C253" t="s">
        <v>3218</v>
      </c>
      <c r="D253" t="s">
        <v>3224</v>
      </c>
      <c r="E253" t="s">
        <v>3226</v>
      </c>
      <c r="F253">
        <v>101574.67</v>
      </c>
      <c r="G253">
        <v>98008.17</v>
      </c>
      <c r="H253">
        <v>2</v>
      </c>
    </row>
    <row r="254" spans="1:8" x14ac:dyDescent="0.25">
      <c r="A254" t="s">
        <v>260</v>
      </c>
      <c r="C254" t="s">
        <v>3218</v>
      </c>
      <c r="D254" t="s">
        <v>3222</v>
      </c>
      <c r="E254" t="s">
        <v>3226</v>
      </c>
      <c r="F254">
        <v>48742.5</v>
      </c>
      <c r="G254">
        <v>43707.42</v>
      </c>
      <c r="H254">
        <v>4</v>
      </c>
    </row>
    <row r="255" spans="1:8" x14ac:dyDescent="0.25">
      <c r="A255" t="s">
        <v>261</v>
      </c>
      <c r="B255" t="s">
        <v>3213</v>
      </c>
      <c r="C255" t="s">
        <v>3221</v>
      </c>
      <c r="D255" t="s">
        <v>3222</v>
      </c>
      <c r="E255" t="s">
        <v>3226</v>
      </c>
      <c r="F255">
        <v>42411.34</v>
      </c>
      <c r="G255">
        <v>31701.11</v>
      </c>
      <c r="H255">
        <v>3</v>
      </c>
    </row>
    <row r="256" spans="1:8" x14ac:dyDescent="0.25">
      <c r="A256" t="s">
        <v>262</v>
      </c>
      <c r="B256" t="s">
        <v>3213</v>
      </c>
      <c r="C256" t="s">
        <v>3219</v>
      </c>
      <c r="D256" t="s">
        <v>3222</v>
      </c>
      <c r="E256" t="s">
        <v>3226</v>
      </c>
      <c r="F256">
        <v>56334.65</v>
      </c>
      <c r="G256">
        <v>39804.68</v>
      </c>
      <c r="H256">
        <v>4</v>
      </c>
    </row>
    <row r="257" spans="1:8" x14ac:dyDescent="0.25">
      <c r="A257" t="s">
        <v>263</v>
      </c>
      <c r="B257" t="s">
        <v>3214</v>
      </c>
      <c r="C257" t="s">
        <v>3221</v>
      </c>
      <c r="D257" t="s">
        <v>3223</v>
      </c>
      <c r="E257" t="s">
        <v>3226</v>
      </c>
      <c r="F257">
        <v>11170.09</v>
      </c>
      <c r="G257">
        <v>6757.53</v>
      </c>
      <c r="H257">
        <v>1</v>
      </c>
    </row>
    <row r="258" spans="1:8" x14ac:dyDescent="0.25">
      <c r="A258" t="s">
        <v>264</v>
      </c>
      <c r="B258" t="s">
        <v>3213</v>
      </c>
      <c r="C258" t="s">
        <v>3220</v>
      </c>
      <c r="D258" t="s">
        <v>3224</v>
      </c>
      <c r="E258" t="s">
        <v>3226</v>
      </c>
      <c r="F258">
        <v>130662.88</v>
      </c>
      <c r="G258">
        <v>88501.2</v>
      </c>
      <c r="H258">
        <v>2</v>
      </c>
    </row>
    <row r="259" spans="1:8" x14ac:dyDescent="0.25">
      <c r="A259" t="s">
        <v>265</v>
      </c>
      <c r="B259" t="s">
        <v>3213</v>
      </c>
      <c r="C259" t="s">
        <v>3217</v>
      </c>
      <c r="D259" t="s">
        <v>3225</v>
      </c>
      <c r="E259" t="s">
        <v>3226</v>
      </c>
      <c r="F259">
        <v>47104.67</v>
      </c>
      <c r="G259">
        <v>24841.57</v>
      </c>
      <c r="H259">
        <v>2</v>
      </c>
    </row>
    <row r="260" spans="1:8" x14ac:dyDescent="0.25">
      <c r="A260" t="s">
        <v>266</v>
      </c>
      <c r="C260" t="s">
        <v>3221</v>
      </c>
      <c r="D260" t="s">
        <v>3222</v>
      </c>
      <c r="E260" t="s">
        <v>3226</v>
      </c>
      <c r="F260">
        <v>15376.27</v>
      </c>
      <c r="G260">
        <v>9603.06</v>
      </c>
      <c r="H260">
        <v>1</v>
      </c>
    </row>
    <row r="261" spans="1:8" x14ac:dyDescent="0.25">
      <c r="A261" t="s">
        <v>267</v>
      </c>
      <c r="B261" t="s">
        <v>3215</v>
      </c>
      <c r="C261" t="s">
        <v>3220</v>
      </c>
      <c r="D261" t="s">
        <v>3225</v>
      </c>
      <c r="E261" t="s">
        <v>3226</v>
      </c>
      <c r="F261">
        <v>90480.61</v>
      </c>
      <c r="G261">
        <v>58303.39</v>
      </c>
      <c r="H261">
        <v>4</v>
      </c>
    </row>
    <row r="262" spans="1:8" x14ac:dyDescent="0.25">
      <c r="A262" t="s">
        <v>268</v>
      </c>
      <c r="B262" t="s">
        <v>3212</v>
      </c>
      <c r="C262" t="s">
        <v>3217</v>
      </c>
      <c r="D262" t="s">
        <v>3224</v>
      </c>
      <c r="E262" t="s">
        <v>3226</v>
      </c>
      <c r="F262">
        <v>69434.16</v>
      </c>
      <c r="G262">
        <v>38952.65</v>
      </c>
      <c r="H262">
        <v>1</v>
      </c>
    </row>
    <row r="263" spans="1:8" x14ac:dyDescent="0.25">
      <c r="A263" t="s">
        <v>78</v>
      </c>
      <c r="C263" t="s">
        <v>3220</v>
      </c>
      <c r="D263" t="s">
        <v>3224</v>
      </c>
      <c r="E263" t="s">
        <v>3226</v>
      </c>
      <c r="F263">
        <v>206787.48</v>
      </c>
      <c r="G263">
        <v>132543.88</v>
      </c>
      <c r="H263">
        <v>3</v>
      </c>
    </row>
    <row r="264" spans="1:8" x14ac:dyDescent="0.25">
      <c r="A264" t="s">
        <v>269</v>
      </c>
      <c r="B264" t="s">
        <v>3211</v>
      </c>
      <c r="C264" t="s">
        <v>3220</v>
      </c>
      <c r="D264" t="s">
        <v>3225</v>
      </c>
      <c r="E264" t="s">
        <v>3226</v>
      </c>
      <c r="F264">
        <v>71947.7</v>
      </c>
      <c r="G264">
        <v>42806.62</v>
      </c>
    </row>
    <row r="265" spans="1:8" x14ac:dyDescent="0.25">
      <c r="A265" t="s">
        <v>270</v>
      </c>
      <c r="B265" t="s">
        <v>3212</v>
      </c>
      <c r="C265" t="s">
        <v>3217</v>
      </c>
      <c r="D265" t="s">
        <v>3222</v>
      </c>
      <c r="E265" t="s">
        <v>3226</v>
      </c>
      <c r="F265">
        <v>60169.97</v>
      </c>
      <c r="G265">
        <v>54213.64</v>
      </c>
      <c r="H265">
        <v>5</v>
      </c>
    </row>
    <row r="266" spans="1:8" x14ac:dyDescent="0.25">
      <c r="A266" t="s">
        <v>271</v>
      </c>
      <c r="B266" t="s">
        <v>3214</v>
      </c>
      <c r="C266" t="s">
        <v>3217</v>
      </c>
      <c r="D266" t="s">
        <v>3225</v>
      </c>
      <c r="E266" t="s">
        <v>3226</v>
      </c>
      <c r="F266">
        <v>77027.41</v>
      </c>
      <c r="G266">
        <v>48524.14</v>
      </c>
      <c r="H266">
        <v>4</v>
      </c>
    </row>
    <row r="267" spans="1:8" x14ac:dyDescent="0.25">
      <c r="A267" t="s">
        <v>272</v>
      </c>
      <c r="B267" t="s">
        <v>3213</v>
      </c>
      <c r="C267" t="s">
        <v>3219</v>
      </c>
      <c r="D267" t="s">
        <v>3223</v>
      </c>
      <c r="E267" t="s">
        <v>3226</v>
      </c>
      <c r="F267">
        <v>16614.900000000001</v>
      </c>
      <c r="G267">
        <v>13652.18</v>
      </c>
      <c r="H267">
        <v>2</v>
      </c>
    </row>
    <row r="268" spans="1:8" x14ac:dyDescent="0.25">
      <c r="A268" t="s">
        <v>273</v>
      </c>
      <c r="B268" t="s">
        <v>3215</v>
      </c>
      <c r="C268" t="s">
        <v>3220</v>
      </c>
      <c r="D268" t="s">
        <v>3222</v>
      </c>
      <c r="E268" t="s">
        <v>3226</v>
      </c>
      <c r="F268">
        <v>50462.69</v>
      </c>
      <c r="G268">
        <v>32469.21</v>
      </c>
      <c r="H268">
        <v>3</v>
      </c>
    </row>
    <row r="269" spans="1:8" x14ac:dyDescent="0.25">
      <c r="A269" t="s">
        <v>274</v>
      </c>
      <c r="C269" t="s">
        <v>3219</v>
      </c>
      <c r="D269" t="s">
        <v>3225</v>
      </c>
      <c r="E269" t="s">
        <v>3226</v>
      </c>
      <c r="F269">
        <v>81346.77</v>
      </c>
      <c r="G269">
        <v>63255.99</v>
      </c>
      <c r="H269">
        <v>5</v>
      </c>
    </row>
    <row r="270" spans="1:8" x14ac:dyDescent="0.25">
      <c r="A270" t="s">
        <v>275</v>
      </c>
      <c r="C270" t="s">
        <v>3217</v>
      </c>
      <c r="D270" t="s">
        <v>3225</v>
      </c>
      <c r="E270" t="s">
        <v>3226</v>
      </c>
      <c r="F270">
        <v>83993.08</v>
      </c>
      <c r="G270">
        <v>48604.86</v>
      </c>
      <c r="H270">
        <v>4</v>
      </c>
    </row>
    <row r="271" spans="1:8" x14ac:dyDescent="0.25">
      <c r="A271" t="s">
        <v>276</v>
      </c>
      <c r="B271" t="s">
        <v>3214</v>
      </c>
      <c r="C271" t="s">
        <v>3220</v>
      </c>
      <c r="D271" t="s">
        <v>3222</v>
      </c>
      <c r="E271" t="s">
        <v>3226</v>
      </c>
      <c r="F271">
        <v>51429.02</v>
      </c>
      <c r="G271">
        <v>41753.46</v>
      </c>
      <c r="H271">
        <v>4</v>
      </c>
    </row>
    <row r="272" spans="1:8" x14ac:dyDescent="0.25">
      <c r="A272" t="s">
        <v>277</v>
      </c>
      <c r="B272" t="s">
        <v>3215</v>
      </c>
      <c r="C272" t="s">
        <v>3217</v>
      </c>
      <c r="D272" t="s">
        <v>3223</v>
      </c>
      <c r="E272" t="s">
        <v>3226</v>
      </c>
      <c r="G272">
        <v>5950.24</v>
      </c>
      <c r="H272">
        <v>1</v>
      </c>
    </row>
    <row r="273" spans="1:8" x14ac:dyDescent="0.25">
      <c r="A273" t="s">
        <v>278</v>
      </c>
      <c r="B273" t="s">
        <v>3213</v>
      </c>
      <c r="C273" t="s">
        <v>3219</v>
      </c>
      <c r="D273" t="s">
        <v>3224</v>
      </c>
      <c r="E273" t="s">
        <v>3226</v>
      </c>
      <c r="F273">
        <v>263126.78999999998</v>
      </c>
      <c r="G273">
        <v>167232.16</v>
      </c>
      <c r="H273">
        <v>4</v>
      </c>
    </row>
    <row r="274" spans="1:8" x14ac:dyDescent="0.25">
      <c r="A274" t="s">
        <v>279</v>
      </c>
      <c r="B274" t="s">
        <v>3215</v>
      </c>
      <c r="C274" t="s">
        <v>3216</v>
      </c>
      <c r="D274" t="s">
        <v>3222</v>
      </c>
      <c r="E274" t="s">
        <v>3226</v>
      </c>
      <c r="F274">
        <v>43808.71</v>
      </c>
      <c r="G274">
        <v>32324.57</v>
      </c>
      <c r="H274">
        <v>3</v>
      </c>
    </row>
    <row r="275" spans="1:8" x14ac:dyDescent="0.25">
      <c r="A275" t="s">
        <v>280</v>
      </c>
      <c r="B275" t="s">
        <v>3215</v>
      </c>
      <c r="C275" t="s">
        <v>3216</v>
      </c>
      <c r="D275" t="s">
        <v>3222</v>
      </c>
      <c r="E275" t="s">
        <v>3226</v>
      </c>
      <c r="F275">
        <v>16223.14</v>
      </c>
      <c r="G275">
        <v>8510.91</v>
      </c>
      <c r="H275">
        <v>1</v>
      </c>
    </row>
    <row r="276" spans="1:8" x14ac:dyDescent="0.25">
      <c r="A276" t="s">
        <v>281</v>
      </c>
      <c r="B276" t="s">
        <v>3213</v>
      </c>
      <c r="C276" t="s">
        <v>3220</v>
      </c>
      <c r="D276" t="s">
        <v>3222</v>
      </c>
      <c r="E276" t="s">
        <v>3226</v>
      </c>
      <c r="F276">
        <v>13788.31</v>
      </c>
      <c r="G276">
        <v>8763.41</v>
      </c>
    </row>
    <row r="277" spans="1:8" x14ac:dyDescent="0.25">
      <c r="A277" t="s">
        <v>282</v>
      </c>
      <c r="B277" t="s">
        <v>3212</v>
      </c>
      <c r="C277" t="s">
        <v>3220</v>
      </c>
      <c r="D277" t="s">
        <v>3222</v>
      </c>
      <c r="E277" t="s">
        <v>3226</v>
      </c>
      <c r="F277">
        <v>31613.09</v>
      </c>
      <c r="H277">
        <v>2</v>
      </c>
    </row>
    <row r="278" spans="1:8" x14ac:dyDescent="0.25">
      <c r="A278" t="s">
        <v>283</v>
      </c>
      <c r="B278" t="s">
        <v>3213</v>
      </c>
      <c r="C278" t="s">
        <v>3219</v>
      </c>
      <c r="D278" t="s">
        <v>3224</v>
      </c>
      <c r="E278" t="s">
        <v>3226</v>
      </c>
      <c r="F278">
        <v>196595.74</v>
      </c>
      <c r="G278">
        <v>136610.32</v>
      </c>
    </row>
    <row r="279" spans="1:8" x14ac:dyDescent="0.25">
      <c r="A279" t="s">
        <v>284</v>
      </c>
      <c r="B279" t="s">
        <v>3215</v>
      </c>
      <c r="C279" t="s">
        <v>3220</v>
      </c>
      <c r="D279" t="s">
        <v>3222</v>
      </c>
      <c r="E279" t="s">
        <v>3226</v>
      </c>
      <c r="F279">
        <v>71390.2</v>
      </c>
      <c r="G279">
        <v>34521.99</v>
      </c>
      <c r="H279">
        <v>4</v>
      </c>
    </row>
    <row r="280" spans="1:8" x14ac:dyDescent="0.25">
      <c r="A280" t="s">
        <v>285</v>
      </c>
      <c r="C280" t="s">
        <v>3219</v>
      </c>
      <c r="D280" t="s">
        <v>3225</v>
      </c>
      <c r="E280" t="s">
        <v>3226</v>
      </c>
      <c r="F280">
        <v>40700.89</v>
      </c>
      <c r="G280">
        <v>24499.07</v>
      </c>
      <c r="H280">
        <v>2</v>
      </c>
    </row>
    <row r="281" spans="1:8" x14ac:dyDescent="0.25">
      <c r="A281" t="s">
        <v>286</v>
      </c>
      <c r="C281" t="s">
        <v>3220</v>
      </c>
      <c r="D281" t="s">
        <v>3222</v>
      </c>
      <c r="E281" t="s">
        <v>3226</v>
      </c>
      <c r="F281">
        <v>16417.2</v>
      </c>
      <c r="G281">
        <v>9325.61</v>
      </c>
      <c r="H281">
        <v>1</v>
      </c>
    </row>
    <row r="282" spans="1:8" x14ac:dyDescent="0.25">
      <c r="A282" t="s">
        <v>287</v>
      </c>
      <c r="B282" t="s">
        <v>3215</v>
      </c>
      <c r="C282" t="s">
        <v>3219</v>
      </c>
      <c r="D282" t="s">
        <v>3223</v>
      </c>
      <c r="E282" t="s">
        <v>3226</v>
      </c>
      <c r="F282">
        <v>36276.04</v>
      </c>
      <c r="G282">
        <v>25338.639999999999</v>
      </c>
      <c r="H282">
        <v>4</v>
      </c>
    </row>
    <row r="283" spans="1:8" x14ac:dyDescent="0.25">
      <c r="A283" t="s">
        <v>288</v>
      </c>
      <c r="B283" t="s">
        <v>3213</v>
      </c>
      <c r="C283" t="s">
        <v>3218</v>
      </c>
      <c r="D283" t="s">
        <v>3224</v>
      </c>
      <c r="E283" t="s">
        <v>3226</v>
      </c>
      <c r="F283">
        <v>281016.44</v>
      </c>
      <c r="G283">
        <v>232820.24</v>
      </c>
      <c r="H283">
        <v>5</v>
      </c>
    </row>
    <row r="284" spans="1:8" x14ac:dyDescent="0.25">
      <c r="A284" t="s">
        <v>289</v>
      </c>
      <c r="B284" t="s">
        <v>3211</v>
      </c>
      <c r="C284" t="s">
        <v>3220</v>
      </c>
      <c r="D284" t="s">
        <v>3222</v>
      </c>
      <c r="E284" t="s">
        <v>3226</v>
      </c>
      <c r="F284">
        <v>68329.460000000006</v>
      </c>
      <c r="G284">
        <v>34235.949999999997</v>
      </c>
      <c r="H284">
        <v>4</v>
      </c>
    </row>
    <row r="285" spans="1:8" x14ac:dyDescent="0.25">
      <c r="A285" t="s">
        <v>290</v>
      </c>
      <c r="B285" t="s">
        <v>3211</v>
      </c>
      <c r="C285" t="s">
        <v>3216</v>
      </c>
      <c r="D285" t="s">
        <v>3224</v>
      </c>
      <c r="E285" t="s">
        <v>3226</v>
      </c>
      <c r="F285">
        <v>124958.01</v>
      </c>
      <c r="H285">
        <v>2</v>
      </c>
    </row>
    <row r="286" spans="1:8" x14ac:dyDescent="0.25">
      <c r="A286" t="s">
        <v>291</v>
      </c>
      <c r="B286" t="s">
        <v>3214</v>
      </c>
      <c r="C286" t="s">
        <v>3218</v>
      </c>
      <c r="D286" t="s">
        <v>3225</v>
      </c>
      <c r="E286" t="s">
        <v>3226</v>
      </c>
      <c r="F286">
        <v>71106.44</v>
      </c>
      <c r="G286">
        <v>36493.85</v>
      </c>
      <c r="H286">
        <v>3</v>
      </c>
    </row>
    <row r="287" spans="1:8" x14ac:dyDescent="0.25">
      <c r="A287" t="s">
        <v>292</v>
      </c>
      <c r="C287" t="s">
        <v>3217</v>
      </c>
      <c r="D287" t="s">
        <v>3222</v>
      </c>
      <c r="E287" t="s">
        <v>3226</v>
      </c>
      <c r="F287">
        <v>53669.760000000002</v>
      </c>
      <c r="G287">
        <v>29454.49</v>
      </c>
      <c r="H287">
        <v>3</v>
      </c>
    </row>
    <row r="288" spans="1:8" x14ac:dyDescent="0.25">
      <c r="A288" t="s">
        <v>293</v>
      </c>
      <c r="C288" t="s">
        <v>3220</v>
      </c>
      <c r="D288" t="s">
        <v>3223</v>
      </c>
      <c r="E288" t="s">
        <v>3226</v>
      </c>
      <c r="F288">
        <v>11560.56</v>
      </c>
    </row>
    <row r="289" spans="1:8" x14ac:dyDescent="0.25">
      <c r="A289" t="s">
        <v>294</v>
      </c>
      <c r="C289" t="s">
        <v>3219</v>
      </c>
      <c r="D289" t="s">
        <v>3225</v>
      </c>
      <c r="E289" t="s">
        <v>3226</v>
      </c>
      <c r="F289">
        <v>66266.12</v>
      </c>
      <c r="G289">
        <v>39419.81</v>
      </c>
      <c r="H289">
        <v>3</v>
      </c>
    </row>
    <row r="290" spans="1:8" x14ac:dyDescent="0.25">
      <c r="A290" t="s">
        <v>295</v>
      </c>
      <c r="B290" t="s">
        <v>3214</v>
      </c>
      <c r="C290" t="s">
        <v>3218</v>
      </c>
      <c r="D290" t="s">
        <v>3225</v>
      </c>
      <c r="E290" t="s">
        <v>3226</v>
      </c>
      <c r="F290">
        <v>98343.92</v>
      </c>
      <c r="G290">
        <v>69315.3</v>
      </c>
      <c r="H290">
        <v>5</v>
      </c>
    </row>
    <row r="291" spans="1:8" x14ac:dyDescent="0.25">
      <c r="A291" t="s">
        <v>296</v>
      </c>
      <c r="B291" t="s">
        <v>3212</v>
      </c>
      <c r="C291" t="s">
        <v>3217</v>
      </c>
      <c r="D291" t="s">
        <v>3225</v>
      </c>
      <c r="E291" t="s">
        <v>3226</v>
      </c>
      <c r="F291">
        <v>57404.6</v>
      </c>
      <c r="G291">
        <v>42620.69</v>
      </c>
      <c r="H291">
        <v>3</v>
      </c>
    </row>
    <row r="292" spans="1:8" x14ac:dyDescent="0.25">
      <c r="A292" t="s">
        <v>297</v>
      </c>
      <c r="B292" t="s">
        <v>3214</v>
      </c>
      <c r="C292" t="s">
        <v>3218</v>
      </c>
      <c r="D292" t="s">
        <v>3224</v>
      </c>
      <c r="E292" t="s">
        <v>3226</v>
      </c>
      <c r="F292">
        <v>216916.01</v>
      </c>
      <c r="G292">
        <v>172664.81</v>
      </c>
      <c r="H292">
        <v>4</v>
      </c>
    </row>
    <row r="293" spans="1:8" x14ac:dyDescent="0.25">
      <c r="A293" t="s">
        <v>298</v>
      </c>
      <c r="B293" t="s">
        <v>3213</v>
      </c>
      <c r="C293" t="s">
        <v>3217</v>
      </c>
      <c r="D293" t="s">
        <v>3225</v>
      </c>
      <c r="E293" t="s">
        <v>3226</v>
      </c>
      <c r="F293">
        <v>23681.08</v>
      </c>
      <c r="G293">
        <v>13725.11</v>
      </c>
      <c r="H293">
        <v>1</v>
      </c>
    </row>
    <row r="294" spans="1:8" x14ac:dyDescent="0.25">
      <c r="A294" t="s">
        <v>226</v>
      </c>
      <c r="B294" t="s">
        <v>3213</v>
      </c>
      <c r="C294" t="s">
        <v>3216</v>
      </c>
      <c r="D294" t="s">
        <v>3224</v>
      </c>
      <c r="E294" t="s">
        <v>3226</v>
      </c>
      <c r="F294">
        <v>191995.23</v>
      </c>
      <c r="G294">
        <v>120241.12</v>
      </c>
      <c r="H294">
        <v>3</v>
      </c>
    </row>
    <row r="295" spans="1:8" x14ac:dyDescent="0.25">
      <c r="A295" t="s">
        <v>299</v>
      </c>
      <c r="B295" t="s">
        <v>3211</v>
      </c>
      <c r="C295" t="s">
        <v>3218</v>
      </c>
      <c r="D295" t="s">
        <v>3225</v>
      </c>
      <c r="E295" t="s">
        <v>3226</v>
      </c>
      <c r="F295">
        <v>49105.36</v>
      </c>
      <c r="G295">
        <v>44184.83</v>
      </c>
      <c r="H295">
        <v>3</v>
      </c>
    </row>
    <row r="296" spans="1:8" x14ac:dyDescent="0.25">
      <c r="A296" t="s">
        <v>300</v>
      </c>
      <c r="B296" t="s">
        <v>3213</v>
      </c>
      <c r="C296" t="s">
        <v>3216</v>
      </c>
      <c r="D296" t="s">
        <v>3225</v>
      </c>
      <c r="E296" t="s">
        <v>3226</v>
      </c>
      <c r="F296">
        <v>73244.320000000007</v>
      </c>
      <c r="G296">
        <v>53169.71</v>
      </c>
    </row>
    <row r="297" spans="1:8" x14ac:dyDescent="0.25">
      <c r="A297" t="s">
        <v>301</v>
      </c>
      <c r="B297" t="s">
        <v>3214</v>
      </c>
      <c r="C297" t="s">
        <v>3219</v>
      </c>
      <c r="D297" t="s">
        <v>3224</v>
      </c>
      <c r="E297" t="s">
        <v>3226</v>
      </c>
      <c r="F297">
        <v>148154.60999999999</v>
      </c>
      <c r="G297">
        <v>129747.33</v>
      </c>
      <c r="H297">
        <v>3</v>
      </c>
    </row>
    <row r="298" spans="1:8" x14ac:dyDescent="0.25">
      <c r="A298" t="s">
        <v>302</v>
      </c>
      <c r="B298" t="s">
        <v>3211</v>
      </c>
      <c r="C298" t="s">
        <v>3219</v>
      </c>
      <c r="D298" t="s">
        <v>3223</v>
      </c>
      <c r="E298" t="s">
        <v>3226</v>
      </c>
      <c r="F298">
        <v>8961.6</v>
      </c>
      <c r="G298">
        <v>6285.29</v>
      </c>
      <c r="H298">
        <v>1</v>
      </c>
    </row>
    <row r="299" spans="1:8" x14ac:dyDescent="0.25">
      <c r="A299" t="s">
        <v>303</v>
      </c>
      <c r="B299" t="s">
        <v>3214</v>
      </c>
      <c r="C299" t="s">
        <v>3216</v>
      </c>
      <c r="D299" t="s">
        <v>3224</v>
      </c>
      <c r="E299" t="s">
        <v>3226</v>
      </c>
      <c r="F299">
        <v>51556.27</v>
      </c>
      <c r="G299">
        <v>45894.94</v>
      </c>
      <c r="H299">
        <v>1</v>
      </c>
    </row>
    <row r="300" spans="1:8" x14ac:dyDescent="0.25">
      <c r="A300" t="s">
        <v>304</v>
      </c>
      <c r="B300" t="s">
        <v>3212</v>
      </c>
      <c r="C300" t="s">
        <v>3216</v>
      </c>
      <c r="D300" t="s">
        <v>3225</v>
      </c>
      <c r="E300" t="s">
        <v>3226</v>
      </c>
      <c r="F300">
        <v>54779.91</v>
      </c>
      <c r="G300">
        <v>39407.03</v>
      </c>
      <c r="H300">
        <v>3</v>
      </c>
    </row>
    <row r="301" spans="1:8" x14ac:dyDescent="0.25">
      <c r="A301" t="s">
        <v>305</v>
      </c>
      <c r="B301" t="s">
        <v>3214</v>
      </c>
      <c r="C301" t="s">
        <v>3218</v>
      </c>
      <c r="D301" t="s">
        <v>3222</v>
      </c>
      <c r="E301" t="s">
        <v>3226</v>
      </c>
      <c r="F301">
        <v>26456.16</v>
      </c>
      <c r="G301">
        <v>19955.650000000001</v>
      </c>
      <c r="H301">
        <v>2</v>
      </c>
    </row>
    <row r="302" spans="1:8" x14ac:dyDescent="0.25">
      <c r="A302" t="s">
        <v>306</v>
      </c>
      <c r="B302" t="s">
        <v>3211</v>
      </c>
      <c r="C302" t="s">
        <v>3216</v>
      </c>
      <c r="D302" t="s">
        <v>3224</v>
      </c>
      <c r="E302" t="s">
        <v>3226</v>
      </c>
      <c r="F302">
        <v>150843.82</v>
      </c>
      <c r="H302">
        <v>3</v>
      </c>
    </row>
    <row r="303" spans="1:8" x14ac:dyDescent="0.25">
      <c r="A303" t="s">
        <v>307</v>
      </c>
      <c r="C303" t="s">
        <v>3218</v>
      </c>
      <c r="D303" t="s">
        <v>3222</v>
      </c>
      <c r="E303" t="s">
        <v>3226</v>
      </c>
      <c r="G303">
        <v>44098.34</v>
      </c>
      <c r="H303">
        <v>5</v>
      </c>
    </row>
    <row r="304" spans="1:8" x14ac:dyDescent="0.25">
      <c r="A304" t="s">
        <v>308</v>
      </c>
      <c r="B304" t="s">
        <v>3212</v>
      </c>
      <c r="C304" t="s">
        <v>3219</v>
      </c>
      <c r="D304" t="s">
        <v>3224</v>
      </c>
      <c r="E304" t="s">
        <v>3226</v>
      </c>
      <c r="F304">
        <v>214120</v>
      </c>
      <c r="G304">
        <v>153066.32</v>
      </c>
      <c r="H304">
        <v>4</v>
      </c>
    </row>
    <row r="305" spans="1:8" x14ac:dyDescent="0.25">
      <c r="A305" t="s">
        <v>309</v>
      </c>
      <c r="C305" t="s">
        <v>3218</v>
      </c>
      <c r="D305" t="s">
        <v>3225</v>
      </c>
      <c r="E305" t="s">
        <v>3226</v>
      </c>
      <c r="F305">
        <v>108504.85</v>
      </c>
      <c r="G305">
        <v>73793.64</v>
      </c>
      <c r="H305">
        <v>5</v>
      </c>
    </row>
    <row r="306" spans="1:8" x14ac:dyDescent="0.25">
      <c r="A306" t="s">
        <v>310</v>
      </c>
      <c r="B306" t="s">
        <v>3212</v>
      </c>
      <c r="C306" t="s">
        <v>3217</v>
      </c>
      <c r="D306" t="s">
        <v>3225</v>
      </c>
      <c r="E306" t="s">
        <v>3226</v>
      </c>
      <c r="F306">
        <v>85984.06</v>
      </c>
      <c r="G306">
        <v>66162.070000000007</v>
      </c>
    </row>
    <row r="307" spans="1:8" x14ac:dyDescent="0.25">
      <c r="A307" t="s">
        <v>311</v>
      </c>
      <c r="B307" t="s">
        <v>3213</v>
      </c>
      <c r="C307" t="s">
        <v>3220</v>
      </c>
      <c r="D307" t="s">
        <v>3224</v>
      </c>
      <c r="E307" t="s">
        <v>3226</v>
      </c>
      <c r="F307">
        <v>62437.29</v>
      </c>
      <c r="G307">
        <v>41586.300000000003</v>
      </c>
      <c r="H307">
        <v>1</v>
      </c>
    </row>
    <row r="308" spans="1:8" x14ac:dyDescent="0.25">
      <c r="A308" t="s">
        <v>312</v>
      </c>
      <c r="B308" t="s">
        <v>3215</v>
      </c>
      <c r="C308" t="s">
        <v>3220</v>
      </c>
      <c r="D308" t="s">
        <v>3224</v>
      </c>
      <c r="E308" t="s">
        <v>3226</v>
      </c>
      <c r="F308">
        <v>129466.05</v>
      </c>
      <c r="G308">
        <v>92572.35</v>
      </c>
      <c r="H308">
        <v>2</v>
      </c>
    </row>
    <row r="309" spans="1:8" x14ac:dyDescent="0.25">
      <c r="A309" t="s">
        <v>313</v>
      </c>
      <c r="B309" t="s">
        <v>3213</v>
      </c>
      <c r="C309" t="s">
        <v>3218</v>
      </c>
      <c r="D309" t="s">
        <v>3225</v>
      </c>
      <c r="E309" t="s">
        <v>3226</v>
      </c>
      <c r="F309">
        <v>49245.49</v>
      </c>
      <c r="G309">
        <v>37192.79</v>
      </c>
      <c r="H309">
        <v>3</v>
      </c>
    </row>
    <row r="310" spans="1:8" x14ac:dyDescent="0.25">
      <c r="A310" t="s">
        <v>314</v>
      </c>
      <c r="B310" t="s">
        <v>3214</v>
      </c>
      <c r="C310" t="s">
        <v>3217</v>
      </c>
      <c r="D310" t="s">
        <v>3222</v>
      </c>
      <c r="E310" t="s">
        <v>3226</v>
      </c>
      <c r="F310">
        <v>13871.9</v>
      </c>
      <c r="G310">
        <v>9706.25</v>
      </c>
      <c r="H310">
        <v>1</v>
      </c>
    </row>
    <row r="311" spans="1:8" x14ac:dyDescent="0.25">
      <c r="A311" t="s">
        <v>315</v>
      </c>
      <c r="B311" t="s">
        <v>3214</v>
      </c>
      <c r="C311" t="s">
        <v>3218</v>
      </c>
      <c r="D311" t="s">
        <v>3225</v>
      </c>
      <c r="E311" t="s">
        <v>3226</v>
      </c>
      <c r="F311">
        <v>23762.06</v>
      </c>
      <c r="G311">
        <v>13431.81</v>
      </c>
      <c r="H311">
        <v>1</v>
      </c>
    </row>
    <row r="312" spans="1:8" x14ac:dyDescent="0.25">
      <c r="A312" t="s">
        <v>316</v>
      </c>
      <c r="B312" t="s">
        <v>3214</v>
      </c>
      <c r="C312" t="s">
        <v>3219</v>
      </c>
      <c r="D312" t="s">
        <v>3224</v>
      </c>
      <c r="E312" t="s">
        <v>3226</v>
      </c>
      <c r="F312">
        <v>326214.46999999997</v>
      </c>
      <c r="G312">
        <v>239773.53</v>
      </c>
      <c r="H312">
        <v>5</v>
      </c>
    </row>
    <row r="313" spans="1:8" x14ac:dyDescent="0.25">
      <c r="A313" t="s">
        <v>317</v>
      </c>
      <c r="B313" t="s">
        <v>3214</v>
      </c>
      <c r="C313" t="s">
        <v>3219</v>
      </c>
      <c r="D313" t="s">
        <v>3224</v>
      </c>
      <c r="E313" t="s">
        <v>3226</v>
      </c>
      <c r="F313">
        <v>257006.63</v>
      </c>
      <c r="G313">
        <v>181126.31</v>
      </c>
      <c r="H313">
        <v>4</v>
      </c>
    </row>
    <row r="314" spans="1:8" x14ac:dyDescent="0.25">
      <c r="A314" t="s">
        <v>318</v>
      </c>
      <c r="B314" t="s">
        <v>3215</v>
      </c>
      <c r="C314" t="s">
        <v>3218</v>
      </c>
      <c r="D314" t="s">
        <v>3223</v>
      </c>
      <c r="E314" t="s">
        <v>3226</v>
      </c>
      <c r="F314">
        <v>31535.919999999998</v>
      </c>
      <c r="G314">
        <v>19149.43</v>
      </c>
    </row>
    <row r="315" spans="1:8" x14ac:dyDescent="0.25">
      <c r="A315" t="s">
        <v>319</v>
      </c>
      <c r="B315" t="s">
        <v>3214</v>
      </c>
      <c r="C315" t="s">
        <v>3219</v>
      </c>
      <c r="D315" t="s">
        <v>3224</v>
      </c>
      <c r="E315" t="s">
        <v>3226</v>
      </c>
      <c r="F315">
        <v>230834.63</v>
      </c>
      <c r="G315">
        <v>156075.89000000001</v>
      </c>
      <c r="H315">
        <v>4</v>
      </c>
    </row>
    <row r="316" spans="1:8" x14ac:dyDescent="0.25">
      <c r="A316" t="s">
        <v>320</v>
      </c>
      <c r="B316" t="s">
        <v>3213</v>
      </c>
      <c r="C316" t="s">
        <v>3218</v>
      </c>
      <c r="D316" t="s">
        <v>3225</v>
      </c>
      <c r="E316" t="s">
        <v>3226</v>
      </c>
      <c r="F316">
        <v>95425.59</v>
      </c>
      <c r="G316">
        <v>58588.07</v>
      </c>
      <c r="H316">
        <v>4</v>
      </c>
    </row>
    <row r="317" spans="1:8" x14ac:dyDescent="0.25">
      <c r="A317" t="s">
        <v>321</v>
      </c>
      <c r="B317" t="s">
        <v>3213</v>
      </c>
      <c r="C317" t="s">
        <v>3217</v>
      </c>
      <c r="D317" t="s">
        <v>3223</v>
      </c>
      <c r="E317" t="s">
        <v>3226</v>
      </c>
      <c r="F317">
        <v>23530.18</v>
      </c>
      <c r="H317">
        <v>2</v>
      </c>
    </row>
    <row r="318" spans="1:8" x14ac:dyDescent="0.25">
      <c r="A318" t="s">
        <v>322</v>
      </c>
      <c r="B318" t="s">
        <v>3212</v>
      </c>
      <c r="C318" t="s">
        <v>3216</v>
      </c>
      <c r="D318" t="s">
        <v>3224</v>
      </c>
      <c r="E318" t="s">
        <v>3226</v>
      </c>
      <c r="F318">
        <v>262777.84000000003</v>
      </c>
      <c r="G318">
        <v>223997.81</v>
      </c>
      <c r="H318">
        <v>5</v>
      </c>
    </row>
    <row r="319" spans="1:8" x14ac:dyDescent="0.25">
      <c r="A319" t="s">
        <v>323</v>
      </c>
      <c r="C319" t="s">
        <v>3216</v>
      </c>
      <c r="D319" t="s">
        <v>3223</v>
      </c>
      <c r="E319" t="s">
        <v>3226</v>
      </c>
      <c r="F319">
        <v>21518.23</v>
      </c>
      <c r="G319">
        <v>12403.8</v>
      </c>
      <c r="H319">
        <v>2</v>
      </c>
    </row>
    <row r="320" spans="1:8" x14ac:dyDescent="0.25">
      <c r="A320" t="s">
        <v>324</v>
      </c>
      <c r="B320" t="s">
        <v>3215</v>
      </c>
      <c r="C320" t="s">
        <v>3220</v>
      </c>
      <c r="D320" t="s">
        <v>3223</v>
      </c>
      <c r="E320" t="s">
        <v>3226</v>
      </c>
      <c r="G320">
        <v>21254.65</v>
      </c>
      <c r="H320">
        <v>3</v>
      </c>
    </row>
    <row r="321" spans="1:8" x14ac:dyDescent="0.25">
      <c r="A321" t="s">
        <v>325</v>
      </c>
      <c r="B321" t="s">
        <v>3214</v>
      </c>
      <c r="C321" t="s">
        <v>3217</v>
      </c>
      <c r="D321" t="s">
        <v>3223</v>
      </c>
      <c r="E321" t="s">
        <v>3226</v>
      </c>
      <c r="F321">
        <v>10103.02</v>
      </c>
      <c r="H321">
        <v>1</v>
      </c>
    </row>
    <row r="322" spans="1:8" x14ac:dyDescent="0.25">
      <c r="A322" t="s">
        <v>326</v>
      </c>
      <c r="B322" t="s">
        <v>3215</v>
      </c>
      <c r="C322" t="s">
        <v>3220</v>
      </c>
      <c r="D322" t="s">
        <v>3222</v>
      </c>
      <c r="E322" t="s">
        <v>3226</v>
      </c>
      <c r="F322">
        <v>66078.98</v>
      </c>
      <c r="G322">
        <v>49844.82</v>
      </c>
      <c r="H322">
        <v>5</v>
      </c>
    </row>
    <row r="323" spans="1:8" x14ac:dyDescent="0.25">
      <c r="A323" t="s">
        <v>327</v>
      </c>
      <c r="B323" t="s">
        <v>3212</v>
      </c>
      <c r="C323" t="s">
        <v>3219</v>
      </c>
      <c r="D323" t="s">
        <v>3223</v>
      </c>
      <c r="E323" t="s">
        <v>3226</v>
      </c>
      <c r="F323">
        <v>35490.97</v>
      </c>
      <c r="G323">
        <v>19944.939999999999</v>
      </c>
      <c r="H323">
        <v>3</v>
      </c>
    </row>
    <row r="324" spans="1:8" x14ac:dyDescent="0.25">
      <c r="A324" t="s">
        <v>138</v>
      </c>
      <c r="B324" t="s">
        <v>3214</v>
      </c>
      <c r="C324" t="s">
        <v>3219</v>
      </c>
      <c r="D324" t="s">
        <v>3222</v>
      </c>
      <c r="E324" t="s">
        <v>3226</v>
      </c>
      <c r="F324">
        <v>25111.51</v>
      </c>
      <c r="G324">
        <v>20741.919999999998</v>
      </c>
      <c r="H324">
        <v>2</v>
      </c>
    </row>
    <row r="325" spans="1:8" x14ac:dyDescent="0.25">
      <c r="A325" t="s">
        <v>328</v>
      </c>
      <c r="B325" t="s">
        <v>3213</v>
      </c>
      <c r="C325" t="s">
        <v>3220</v>
      </c>
      <c r="D325" t="s">
        <v>3222</v>
      </c>
      <c r="E325" t="s">
        <v>3226</v>
      </c>
      <c r="F325">
        <v>62719</v>
      </c>
      <c r="G325">
        <v>40376.879999999997</v>
      </c>
      <c r="H325">
        <v>4</v>
      </c>
    </row>
    <row r="326" spans="1:8" x14ac:dyDescent="0.25">
      <c r="A326" t="s">
        <v>329</v>
      </c>
      <c r="B326" t="s">
        <v>3212</v>
      </c>
      <c r="C326" t="s">
        <v>3217</v>
      </c>
      <c r="D326" t="s">
        <v>3224</v>
      </c>
      <c r="E326" t="s">
        <v>3226</v>
      </c>
      <c r="F326">
        <v>249257.42</v>
      </c>
      <c r="G326">
        <v>242503.22</v>
      </c>
      <c r="H326">
        <v>5</v>
      </c>
    </row>
    <row r="327" spans="1:8" x14ac:dyDescent="0.25">
      <c r="A327" t="s">
        <v>330</v>
      </c>
      <c r="B327" t="s">
        <v>3214</v>
      </c>
      <c r="C327" t="s">
        <v>3217</v>
      </c>
      <c r="D327" t="s">
        <v>3223</v>
      </c>
      <c r="E327" t="s">
        <v>3226</v>
      </c>
      <c r="F327">
        <v>23079.71</v>
      </c>
      <c r="G327">
        <v>13241.49</v>
      </c>
      <c r="H327">
        <v>2</v>
      </c>
    </row>
    <row r="328" spans="1:8" x14ac:dyDescent="0.25">
      <c r="A328" t="s">
        <v>331</v>
      </c>
      <c r="C328" t="s">
        <v>3218</v>
      </c>
      <c r="D328" t="s">
        <v>3223</v>
      </c>
      <c r="E328" t="s">
        <v>3226</v>
      </c>
      <c r="F328">
        <v>33248.910000000003</v>
      </c>
      <c r="G328">
        <v>20094.349999999999</v>
      </c>
      <c r="H328">
        <v>3</v>
      </c>
    </row>
    <row r="329" spans="1:8" x14ac:dyDescent="0.25">
      <c r="A329" t="s">
        <v>332</v>
      </c>
      <c r="B329" t="s">
        <v>3212</v>
      </c>
      <c r="C329" t="s">
        <v>3216</v>
      </c>
      <c r="D329" t="s">
        <v>3224</v>
      </c>
      <c r="E329" t="s">
        <v>3226</v>
      </c>
      <c r="F329">
        <v>133794.57999999999</v>
      </c>
      <c r="G329">
        <v>86722.77</v>
      </c>
      <c r="H329">
        <v>2</v>
      </c>
    </row>
    <row r="330" spans="1:8" x14ac:dyDescent="0.25">
      <c r="A330" t="s">
        <v>333</v>
      </c>
      <c r="B330" t="s">
        <v>3211</v>
      </c>
      <c r="C330" t="s">
        <v>3221</v>
      </c>
      <c r="D330" t="s">
        <v>3222</v>
      </c>
      <c r="E330" t="s">
        <v>3226</v>
      </c>
      <c r="F330">
        <v>83519.62</v>
      </c>
      <c r="G330">
        <v>47742.37</v>
      </c>
      <c r="H330">
        <v>5</v>
      </c>
    </row>
    <row r="331" spans="1:8" x14ac:dyDescent="0.25">
      <c r="A331" t="s">
        <v>334</v>
      </c>
      <c r="B331" t="s">
        <v>3215</v>
      </c>
      <c r="C331" t="s">
        <v>3219</v>
      </c>
      <c r="D331" t="s">
        <v>3225</v>
      </c>
      <c r="E331" t="s">
        <v>3226</v>
      </c>
      <c r="G331">
        <v>51534.53</v>
      </c>
      <c r="H331">
        <v>4</v>
      </c>
    </row>
    <row r="332" spans="1:8" x14ac:dyDescent="0.25">
      <c r="A332" t="s">
        <v>335</v>
      </c>
      <c r="B332" t="s">
        <v>3214</v>
      </c>
      <c r="C332" t="s">
        <v>3219</v>
      </c>
      <c r="D332" t="s">
        <v>3223</v>
      </c>
      <c r="E332" t="s">
        <v>3226</v>
      </c>
      <c r="F332">
        <v>54935.53</v>
      </c>
      <c r="G332">
        <v>36054.949999999997</v>
      </c>
      <c r="H332">
        <v>5</v>
      </c>
    </row>
    <row r="333" spans="1:8" x14ac:dyDescent="0.25">
      <c r="A333" t="s">
        <v>336</v>
      </c>
      <c r="B333" t="s">
        <v>3211</v>
      </c>
      <c r="C333" t="s">
        <v>3216</v>
      </c>
      <c r="D333" t="s">
        <v>3222</v>
      </c>
      <c r="E333" t="s">
        <v>3226</v>
      </c>
      <c r="F333">
        <v>14141.32</v>
      </c>
      <c r="G333">
        <v>9384.4699999999993</v>
      </c>
      <c r="H333">
        <v>1</v>
      </c>
    </row>
    <row r="334" spans="1:8" x14ac:dyDescent="0.25">
      <c r="A334" t="s">
        <v>337</v>
      </c>
      <c r="B334" t="s">
        <v>3214</v>
      </c>
      <c r="C334" t="s">
        <v>3217</v>
      </c>
      <c r="D334" t="s">
        <v>3225</v>
      </c>
      <c r="E334" t="s">
        <v>3226</v>
      </c>
      <c r="F334">
        <v>37976.32</v>
      </c>
      <c r="G334">
        <v>25700.49</v>
      </c>
      <c r="H334">
        <v>2</v>
      </c>
    </row>
    <row r="335" spans="1:8" x14ac:dyDescent="0.25">
      <c r="A335" t="s">
        <v>338</v>
      </c>
      <c r="B335" t="s">
        <v>3211</v>
      </c>
      <c r="C335" t="s">
        <v>3218</v>
      </c>
      <c r="D335" t="s">
        <v>3224</v>
      </c>
      <c r="E335" t="s">
        <v>3226</v>
      </c>
      <c r="F335">
        <v>321232.89</v>
      </c>
      <c r="G335">
        <v>238382.35</v>
      </c>
      <c r="H335">
        <v>5</v>
      </c>
    </row>
    <row r="336" spans="1:8" x14ac:dyDescent="0.25">
      <c r="A336" t="s">
        <v>79</v>
      </c>
      <c r="C336" t="s">
        <v>3217</v>
      </c>
      <c r="D336" t="s">
        <v>3223</v>
      </c>
      <c r="E336" t="s">
        <v>3226</v>
      </c>
      <c r="G336">
        <v>24622.86</v>
      </c>
      <c r="H336">
        <v>4</v>
      </c>
    </row>
    <row r="337" spans="1:8" x14ac:dyDescent="0.25">
      <c r="A337" t="s">
        <v>339</v>
      </c>
      <c r="B337" t="s">
        <v>3215</v>
      </c>
      <c r="C337" t="s">
        <v>3219</v>
      </c>
      <c r="D337" t="s">
        <v>3225</v>
      </c>
      <c r="E337" t="s">
        <v>3226</v>
      </c>
      <c r="F337">
        <v>18761.84</v>
      </c>
      <c r="G337">
        <v>13349.7</v>
      </c>
      <c r="H337">
        <v>1</v>
      </c>
    </row>
    <row r="338" spans="1:8" x14ac:dyDescent="0.25">
      <c r="A338" t="s">
        <v>340</v>
      </c>
      <c r="B338" t="s">
        <v>3214</v>
      </c>
      <c r="C338" t="s">
        <v>3218</v>
      </c>
      <c r="D338" t="s">
        <v>3223</v>
      </c>
      <c r="E338" t="s">
        <v>3226</v>
      </c>
      <c r="F338">
        <v>26944.23</v>
      </c>
      <c r="G338">
        <v>18153.09</v>
      </c>
      <c r="H338">
        <v>3</v>
      </c>
    </row>
    <row r="339" spans="1:8" x14ac:dyDescent="0.25">
      <c r="A339" t="s">
        <v>341</v>
      </c>
      <c r="B339" t="s">
        <v>3215</v>
      </c>
      <c r="C339" t="s">
        <v>3219</v>
      </c>
      <c r="D339" t="s">
        <v>3224</v>
      </c>
      <c r="E339" t="s">
        <v>3226</v>
      </c>
      <c r="F339">
        <v>58294.66</v>
      </c>
      <c r="G339">
        <v>44335.18</v>
      </c>
      <c r="H339">
        <v>1</v>
      </c>
    </row>
    <row r="340" spans="1:8" x14ac:dyDescent="0.25">
      <c r="A340" t="s">
        <v>342</v>
      </c>
      <c r="B340" t="s">
        <v>3211</v>
      </c>
      <c r="C340" t="s">
        <v>3219</v>
      </c>
      <c r="D340" t="s">
        <v>3224</v>
      </c>
      <c r="E340" t="s">
        <v>3226</v>
      </c>
      <c r="F340">
        <v>323595.27</v>
      </c>
      <c r="G340">
        <v>219133.34</v>
      </c>
      <c r="H340">
        <v>5</v>
      </c>
    </row>
    <row r="341" spans="1:8" x14ac:dyDescent="0.25">
      <c r="A341" t="s">
        <v>343</v>
      </c>
      <c r="B341" t="s">
        <v>3211</v>
      </c>
      <c r="C341" t="s">
        <v>3218</v>
      </c>
      <c r="D341" t="s">
        <v>3224</v>
      </c>
      <c r="E341" t="s">
        <v>3226</v>
      </c>
      <c r="G341">
        <v>131888.42000000001</v>
      </c>
      <c r="H341">
        <v>3</v>
      </c>
    </row>
    <row r="342" spans="1:8" x14ac:dyDescent="0.25">
      <c r="A342" t="s">
        <v>56</v>
      </c>
      <c r="B342" t="s">
        <v>3215</v>
      </c>
      <c r="C342" t="s">
        <v>3221</v>
      </c>
      <c r="D342" t="s">
        <v>3222</v>
      </c>
      <c r="E342" t="s">
        <v>3226</v>
      </c>
      <c r="F342">
        <v>27039.27</v>
      </c>
      <c r="G342">
        <v>17049.89</v>
      </c>
      <c r="H342">
        <v>2</v>
      </c>
    </row>
    <row r="343" spans="1:8" x14ac:dyDescent="0.25">
      <c r="A343" t="s">
        <v>344</v>
      </c>
      <c r="B343" t="s">
        <v>3215</v>
      </c>
      <c r="C343" t="s">
        <v>3219</v>
      </c>
      <c r="D343" t="s">
        <v>3223</v>
      </c>
      <c r="E343" t="s">
        <v>3226</v>
      </c>
      <c r="F343">
        <v>27426.11</v>
      </c>
      <c r="G343">
        <v>20640.78</v>
      </c>
      <c r="H343">
        <v>3</v>
      </c>
    </row>
    <row r="344" spans="1:8" x14ac:dyDescent="0.25">
      <c r="A344" t="s">
        <v>345</v>
      </c>
      <c r="B344" t="s">
        <v>3215</v>
      </c>
      <c r="C344" t="s">
        <v>3218</v>
      </c>
      <c r="D344" t="s">
        <v>3222</v>
      </c>
      <c r="E344" t="s">
        <v>3226</v>
      </c>
      <c r="F344">
        <v>24803.68</v>
      </c>
      <c r="G344">
        <v>21386.75</v>
      </c>
      <c r="H344">
        <v>2</v>
      </c>
    </row>
    <row r="345" spans="1:8" x14ac:dyDescent="0.25">
      <c r="A345" t="s">
        <v>346</v>
      </c>
      <c r="B345" t="s">
        <v>3214</v>
      </c>
      <c r="C345" t="s">
        <v>3217</v>
      </c>
      <c r="D345" t="s">
        <v>3225</v>
      </c>
      <c r="E345" t="s">
        <v>3226</v>
      </c>
      <c r="F345">
        <v>40213.89</v>
      </c>
      <c r="G345">
        <v>30724.52</v>
      </c>
    </row>
    <row r="346" spans="1:8" x14ac:dyDescent="0.25">
      <c r="A346" t="s">
        <v>347</v>
      </c>
      <c r="B346" t="s">
        <v>3215</v>
      </c>
      <c r="C346" t="s">
        <v>3220</v>
      </c>
      <c r="D346" t="s">
        <v>3223</v>
      </c>
      <c r="E346" t="s">
        <v>3226</v>
      </c>
      <c r="F346">
        <v>28433.78</v>
      </c>
      <c r="G346">
        <v>18087.93</v>
      </c>
      <c r="H346">
        <v>3</v>
      </c>
    </row>
    <row r="347" spans="1:8" x14ac:dyDescent="0.25">
      <c r="A347" t="s">
        <v>348</v>
      </c>
      <c r="B347" t="s">
        <v>3211</v>
      </c>
      <c r="C347" t="s">
        <v>3217</v>
      </c>
      <c r="D347" t="s">
        <v>3223</v>
      </c>
      <c r="E347" t="s">
        <v>3226</v>
      </c>
      <c r="F347">
        <v>33525.949999999997</v>
      </c>
      <c r="H347">
        <v>4</v>
      </c>
    </row>
    <row r="348" spans="1:8" x14ac:dyDescent="0.25">
      <c r="A348" t="s">
        <v>55</v>
      </c>
      <c r="C348" t="s">
        <v>3218</v>
      </c>
      <c r="D348" t="s">
        <v>3222</v>
      </c>
      <c r="E348" t="s">
        <v>3226</v>
      </c>
      <c r="F348">
        <v>33102.019999999997</v>
      </c>
      <c r="G348">
        <v>17073.14</v>
      </c>
      <c r="H348">
        <v>2</v>
      </c>
    </row>
    <row r="349" spans="1:8" x14ac:dyDescent="0.25">
      <c r="A349" t="s">
        <v>349</v>
      </c>
      <c r="B349" t="s">
        <v>3212</v>
      </c>
      <c r="C349" t="s">
        <v>3216</v>
      </c>
      <c r="D349" t="s">
        <v>3225</v>
      </c>
      <c r="E349" t="s">
        <v>3226</v>
      </c>
      <c r="F349">
        <v>18065.849999999999</v>
      </c>
      <c r="G349">
        <v>14018.94</v>
      </c>
      <c r="H349">
        <v>1</v>
      </c>
    </row>
    <row r="350" spans="1:8" x14ac:dyDescent="0.25">
      <c r="A350" t="s">
        <v>350</v>
      </c>
      <c r="C350" t="s">
        <v>3216</v>
      </c>
      <c r="D350" t="s">
        <v>3225</v>
      </c>
      <c r="E350" t="s">
        <v>3226</v>
      </c>
      <c r="F350">
        <v>108655.88</v>
      </c>
      <c r="G350">
        <v>64241.5</v>
      </c>
      <c r="H350">
        <v>5</v>
      </c>
    </row>
    <row r="351" spans="1:8" x14ac:dyDescent="0.25">
      <c r="A351" t="s">
        <v>351</v>
      </c>
      <c r="B351" t="s">
        <v>3215</v>
      </c>
      <c r="C351" t="s">
        <v>3217</v>
      </c>
      <c r="D351" t="s">
        <v>3225</v>
      </c>
      <c r="E351" t="s">
        <v>3226</v>
      </c>
      <c r="F351">
        <v>87864.11</v>
      </c>
      <c r="G351">
        <v>55410.98</v>
      </c>
      <c r="H351">
        <v>4</v>
      </c>
    </row>
    <row r="352" spans="1:8" x14ac:dyDescent="0.25">
      <c r="A352" t="s">
        <v>352</v>
      </c>
      <c r="C352" t="s">
        <v>3218</v>
      </c>
      <c r="D352" t="s">
        <v>3225</v>
      </c>
      <c r="E352" t="s">
        <v>3226</v>
      </c>
      <c r="F352">
        <v>18112.5</v>
      </c>
      <c r="G352">
        <v>15186.74</v>
      </c>
      <c r="H352">
        <v>1</v>
      </c>
    </row>
    <row r="353" spans="1:8" x14ac:dyDescent="0.25">
      <c r="A353" t="s">
        <v>353</v>
      </c>
      <c r="B353" t="s">
        <v>3212</v>
      </c>
      <c r="C353" t="s">
        <v>3218</v>
      </c>
      <c r="D353" t="s">
        <v>3222</v>
      </c>
      <c r="E353" t="s">
        <v>3226</v>
      </c>
      <c r="F353">
        <v>67770.42</v>
      </c>
      <c r="G353">
        <v>34631.4</v>
      </c>
      <c r="H353">
        <v>4</v>
      </c>
    </row>
    <row r="354" spans="1:8" x14ac:dyDescent="0.25">
      <c r="A354" t="s">
        <v>354</v>
      </c>
      <c r="B354" t="s">
        <v>3211</v>
      </c>
      <c r="C354" t="s">
        <v>3216</v>
      </c>
      <c r="D354" t="s">
        <v>3223</v>
      </c>
      <c r="E354" t="s">
        <v>3226</v>
      </c>
      <c r="F354">
        <v>34409.730000000003</v>
      </c>
      <c r="G354">
        <v>25320.62</v>
      </c>
      <c r="H354">
        <v>4</v>
      </c>
    </row>
    <row r="355" spans="1:8" x14ac:dyDescent="0.25">
      <c r="A355" t="s">
        <v>355</v>
      </c>
      <c r="B355" t="s">
        <v>3212</v>
      </c>
      <c r="C355" t="s">
        <v>3221</v>
      </c>
      <c r="D355" t="s">
        <v>3223</v>
      </c>
      <c r="E355" t="s">
        <v>3226</v>
      </c>
      <c r="F355">
        <v>22270.18</v>
      </c>
      <c r="G355">
        <v>13401.45</v>
      </c>
      <c r="H355">
        <v>2</v>
      </c>
    </row>
    <row r="356" spans="1:8" x14ac:dyDescent="0.25">
      <c r="A356" t="s">
        <v>356</v>
      </c>
      <c r="B356" t="s">
        <v>3214</v>
      </c>
      <c r="C356" t="s">
        <v>3218</v>
      </c>
      <c r="D356" t="s">
        <v>3224</v>
      </c>
      <c r="E356" t="s">
        <v>3226</v>
      </c>
      <c r="F356">
        <v>248070.71</v>
      </c>
      <c r="G356">
        <v>196589.13</v>
      </c>
      <c r="H356">
        <v>5</v>
      </c>
    </row>
    <row r="357" spans="1:8" x14ac:dyDescent="0.25">
      <c r="A357" t="s">
        <v>357</v>
      </c>
      <c r="B357" t="s">
        <v>3214</v>
      </c>
      <c r="C357" t="s">
        <v>3217</v>
      </c>
      <c r="D357" t="s">
        <v>3222</v>
      </c>
      <c r="E357" t="s">
        <v>3226</v>
      </c>
      <c r="F357">
        <v>46280.92</v>
      </c>
      <c r="G357">
        <v>27780.23</v>
      </c>
      <c r="H357">
        <v>3</v>
      </c>
    </row>
    <row r="358" spans="1:8" x14ac:dyDescent="0.25">
      <c r="A358" t="s">
        <v>358</v>
      </c>
      <c r="B358" t="s">
        <v>3214</v>
      </c>
      <c r="C358" t="s">
        <v>3219</v>
      </c>
      <c r="D358" t="s">
        <v>3222</v>
      </c>
      <c r="E358" t="s">
        <v>3226</v>
      </c>
      <c r="F358">
        <v>63704.21</v>
      </c>
      <c r="H358">
        <v>4</v>
      </c>
    </row>
    <row r="359" spans="1:8" x14ac:dyDescent="0.25">
      <c r="A359" t="s">
        <v>359</v>
      </c>
      <c r="B359" t="s">
        <v>3212</v>
      </c>
      <c r="C359" t="s">
        <v>3219</v>
      </c>
      <c r="D359" t="s">
        <v>3222</v>
      </c>
      <c r="E359" t="s">
        <v>3226</v>
      </c>
      <c r="F359">
        <v>47243.05</v>
      </c>
      <c r="G359">
        <v>31983.25</v>
      </c>
      <c r="H359">
        <v>3</v>
      </c>
    </row>
    <row r="360" spans="1:8" x14ac:dyDescent="0.25">
      <c r="A360" t="s">
        <v>360</v>
      </c>
      <c r="B360" t="s">
        <v>3214</v>
      </c>
      <c r="C360" t="s">
        <v>3218</v>
      </c>
      <c r="D360" t="s">
        <v>3224</v>
      </c>
      <c r="E360" t="s">
        <v>3226</v>
      </c>
      <c r="F360">
        <v>185676.49</v>
      </c>
      <c r="G360">
        <v>133970.1</v>
      </c>
      <c r="H360">
        <v>3</v>
      </c>
    </row>
    <row r="361" spans="1:8" x14ac:dyDescent="0.25">
      <c r="A361" t="s">
        <v>361</v>
      </c>
      <c r="B361" t="s">
        <v>3212</v>
      </c>
      <c r="C361" t="s">
        <v>3221</v>
      </c>
      <c r="D361" t="s">
        <v>3222</v>
      </c>
      <c r="E361" t="s">
        <v>3226</v>
      </c>
      <c r="F361">
        <v>89433.54</v>
      </c>
      <c r="G361">
        <v>50618.86</v>
      </c>
      <c r="H361">
        <v>5</v>
      </c>
    </row>
    <row r="362" spans="1:8" x14ac:dyDescent="0.25">
      <c r="A362" t="s">
        <v>362</v>
      </c>
      <c r="B362" t="s">
        <v>3212</v>
      </c>
      <c r="C362" t="s">
        <v>3217</v>
      </c>
      <c r="D362" t="s">
        <v>3222</v>
      </c>
      <c r="E362" t="s">
        <v>3226</v>
      </c>
      <c r="F362">
        <v>25320.76</v>
      </c>
      <c r="G362">
        <v>21625.24</v>
      </c>
      <c r="H362">
        <v>2</v>
      </c>
    </row>
    <row r="363" spans="1:8" x14ac:dyDescent="0.25">
      <c r="A363" t="s">
        <v>363</v>
      </c>
      <c r="C363" t="s">
        <v>3217</v>
      </c>
      <c r="D363" t="s">
        <v>3222</v>
      </c>
      <c r="E363" t="s">
        <v>3226</v>
      </c>
      <c r="F363">
        <v>15815.64</v>
      </c>
      <c r="G363">
        <v>9998.26</v>
      </c>
      <c r="H363">
        <v>1</v>
      </c>
    </row>
    <row r="364" spans="1:8" x14ac:dyDescent="0.25">
      <c r="A364" t="s">
        <v>364</v>
      </c>
      <c r="B364" t="s">
        <v>3214</v>
      </c>
      <c r="C364" t="s">
        <v>3216</v>
      </c>
      <c r="D364" t="s">
        <v>3225</v>
      </c>
      <c r="E364" t="s">
        <v>3226</v>
      </c>
      <c r="F364">
        <v>85932.65</v>
      </c>
      <c r="G364">
        <v>47949.53</v>
      </c>
      <c r="H364">
        <v>4</v>
      </c>
    </row>
    <row r="365" spans="1:8" x14ac:dyDescent="0.25">
      <c r="A365" t="s">
        <v>365</v>
      </c>
      <c r="C365" t="s">
        <v>3216</v>
      </c>
      <c r="D365" t="s">
        <v>3223</v>
      </c>
      <c r="E365" t="s">
        <v>3226</v>
      </c>
      <c r="F365">
        <v>19215.099999999999</v>
      </c>
      <c r="G365">
        <v>12437.92</v>
      </c>
      <c r="H365">
        <v>2</v>
      </c>
    </row>
    <row r="366" spans="1:8" x14ac:dyDescent="0.25">
      <c r="A366" t="s">
        <v>366</v>
      </c>
      <c r="B366" t="s">
        <v>3211</v>
      </c>
      <c r="C366" t="s">
        <v>3221</v>
      </c>
      <c r="D366" t="s">
        <v>3223</v>
      </c>
      <c r="E366" t="s">
        <v>3226</v>
      </c>
      <c r="F366">
        <v>48466.7</v>
      </c>
      <c r="G366">
        <v>30489.95</v>
      </c>
      <c r="H366">
        <v>5</v>
      </c>
    </row>
    <row r="367" spans="1:8" x14ac:dyDescent="0.25">
      <c r="A367" t="s">
        <v>367</v>
      </c>
      <c r="B367" t="s">
        <v>3215</v>
      </c>
      <c r="C367" t="s">
        <v>3218</v>
      </c>
      <c r="D367" t="s">
        <v>3222</v>
      </c>
      <c r="E367" t="s">
        <v>3226</v>
      </c>
      <c r="F367">
        <v>49273.67</v>
      </c>
      <c r="G367">
        <v>27648.9</v>
      </c>
    </row>
    <row r="368" spans="1:8" x14ac:dyDescent="0.25">
      <c r="A368" t="s">
        <v>368</v>
      </c>
      <c r="B368" t="s">
        <v>3212</v>
      </c>
      <c r="C368" t="s">
        <v>3219</v>
      </c>
      <c r="D368" t="s">
        <v>3225</v>
      </c>
      <c r="E368" t="s">
        <v>3226</v>
      </c>
      <c r="F368">
        <v>75120.23</v>
      </c>
      <c r="G368">
        <v>53695.51</v>
      </c>
      <c r="H368">
        <v>4</v>
      </c>
    </row>
    <row r="369" spans="1:8" x14ac:dyDescent="0.25">
      <c r="A369" t="s">
        <v>369</v>
      </c>
      <c r="B369" t="s">
        <v>3211</v>
      </c>
      <c r="C369" t="s">
        <v>3217</v>
      </c>
      <c r="D369" t="s">
        <v>3222</v>
      </c>
      <c r="E369" t="s">
        <v>3226</v>
      </c>
      <c r="F369">
        <v>52034.84</v>
      </c>
      <c r="H369">
        <v>4</v>
      </c>
    </row>
    <row r="370" spans="1:8" x14ac:dyDescent="0.25">
      <c r="A370" t="s">
        <v>370</v>
      </c>
      <c r="B370" t="s">
        <v>3215</v>
      </c>
      <c r="C370" t="s">
        <v>3216</v>
      </c>
      <c r="D370" t="s">
        <v>3224</v>
      </c>
      <c r="E370" t="s">
        <v>3226</v>
      </c>
      <c r="F370">
        <v>218723.37</v>
      </c>
      <c r="G370">
        <v>188923.19</v>
      </c>
      <c r="H370">
        <v>4</v>
      </c>
    </row>
    <row r="371" spans="1:8" x14ac:dyDescent="0.25">
      <c r="A371" t="s">
        <v>371</v>
      </c>
      <c r="C371" t="s">
        <v>3219</v>
      </c>
      <c r="D371" t="s">
        <v>3224</v>
      </c>
      <c r="E371" t="s">
        <v>3226</v>
      </c>
      <c r="F371">
        <v>247507.78</v>
      </c>
      <c r="G371">
        <v>203091.02</v>
      </c>
      <c r="H371">
        <v>5</v>
      </c>
    </row>
    <row r="372" spans="1:8" x14ac:dyDescent="0.25">
      <c r="A372" t="s">
        <v>200</v>
      </c>
      <c r="B372" t="s">
        <v>3213</v>
      </c>
      <c r="C372" t="s">
        <v>3216</v>
      </c>
      <c r="D372" t="s">
        <v>3222</v>
      </c>
      <c r="E372" t="s">
        <v>3226</v>
      </c>
      <c r="F372">
        <v>46141.35</v>
      </c>
      <c r="G372">
        <v>31528.54</v>
      </c>
      <c r="H372">
        <v>3</v>
      </c>
    </row>
    <row r="373" spans="1:8" x14ac:dyDescent="0.25">
      <c r="A373" t="s">
        <v>372</v>
      </c>
      <c r="B373" t="s">
        <v>3211</v>
      </c>
      <c r="C373" t="s">
        <v>3220</v>
      </c>
      <c r="D373" t="s">
        <v>3225</v>
      </c>
      <c r="E373" t="s">
        <v>3226</v>
      </c>
      <c r="F373">
        <v>19533.97</v>
      </c>
      <c r="G373">
        <v>15344.82</v>
      </c>
      <c r="H373">
        <v>1</v>
      </c>
    </row>
    <row r="374" spans="1:8" x14ac:dyDescent="0.25">
      <c r="A374" t="s">
        <v>373</v>
      </c>
      <c r="B374" t="s">
        <v>3215</v>
      </c>
      <c r="C374" t="s">
        <v>3216</v>
      </c>
      <c r="D374" t="s">
        <v>3223</v>
      </c>
      <c r="E374" t="s">
        <v>3226</v>
      </c>
      <c r="F374">
        <v>21337.7</v>
      </c>
      <c r="G374">
        <v>14619.67</v>
      </c>
      <c r="H374">
        <v>2</v>
      </c>
    </row>
    <row r="375" spans="1:8" x14ac:dyDescent="0.25">
      <c r="A375" t="s">
        <v>374</v>
      </c>
      <c r="B375" t="s">
        <v>3214</v>
      </c>
      <c r="C375" t="s">
        <v>3219</v>
      </c>
      <c r="D375" t="s">
        <v>3225</v>
      </c>
      <c r="E375" t="s">
        <v>3226</v>
      </c>
      <c r="F375">
        <v>60546.239999999998</v>
      </c>
      <c r="G375">
        <v>40644.11</v>
      </c>
      <c r="H375">
        <v>3</v>
      </c>
    </row>
    <row r="376" spans="1:8" x14ac:dyDescent="0.25">
      <c r="A376" t="s">
        <v>375</v>
      </c>
      <c r="B376" t="s">
        <v>3215</v>
      </c>
      <c r="C376" t="s">
        <v>3216</v>
      </c>
      <c r="D376" t="s">
        <v>3223</v>
      </c>
      <c r="E376" t="s">
        <v>3226</v>
      </c>
      <c r="F376">
        <v>38658.33</v>
      </c>
      <c r="G376">
        <v>27396.959999999999</v>
      </c>
      <c r="H376">
        <v>4</v>
      </c>
    </row>
    <row r="377" spans="1:8" x14ac:dyDescent="0.25">
      <c r="A377" t="s">
        <v>376</v>
      </c>
      <c r="B377" t="s">
        <v>3214</v>
      </c>
      <c r="C377" t="s">
        <v>3216</v>
      </c>
      <c r="D377" t="s">
        <v>3225</v>
      </c>
      <c r="E377" t="s">
        <v>3226</v>
      </c>
      <c r="F377">
        <v>95047.53</v>
      </c>
      <c r="G377">
        <v>60652.52</v>
      </c>
      <c r="H377">
        <v>4</v>
      </c>
    </row>
    <row r="378" spans="1:8" x14ac:dyDescent="0.25">
      <c r="A378" t="s">
        <v>377</v>
      </c>
      <c r="B378" t="s">
        <v>3213</v>
      </c>
      <c r="C378" t="s">
        <v>3220</v>
      </c>
      <c r="D378" t="s">
        <v>3222</v>
      </c>
      <c r="E378" t="s">
        <v>3226</v>
      </c>
      <c r="F378">
        <v>72196.7</v>
      </c>
      <c r="G378">
        <v>53789.88</v>
      </c>
      <c r="H378">
        <v>5</v>
      </c>
    </row>
    <row r="379" spans="1:8" x14ac:dyDescent="0.25">
      <c r="A379" t="s">
        <v>378</v>
      </c>
      <c r="B379" t="s">
        <v>3213</v>
      </c>
      <c r="C379" t="s">
        <v>3218</v>
      </c>
      <c r="D379" t="s">
        <v>3222</v>
      </c>
      <c r="E379" t="s">
        <v>3226</v>
      </c>
      <c r="F379">
        <v>83877.789999999994</v>
      </c>
      <c r="G379">
        <v>44689.04</v>
      </c>
      <c r="H379">
        <v>5</v>
      </c>
    </row>
    <row r="380" spans="1:8" x14ac:dyDescent="0.25">
      <c r="A380" t="s">
        <v>379</v>
      </c>
      <c r="B380" t="s">
        <v>3212</v>
      </c>
      <c r="C380" t="s">
        <v>3221</v>
      </c>
      <c r="D380" t="s">
        <v>3224</v>
      </c>
      <c r="E380" t="s">
        <v>3226</v>
      </c>
      <c r="F380">
        <v>134044.54999999999</v>
      </c>
      <c r="G380">
        <v>90614.9</v>
      </c>
      <c r="H380">
        <v>2</v>
      </c>
    </row>
    <row r="381" spans="1:8" x14ac:dyDescent="0.25">
      <c r="A381" t="s">
        <v>41</v>
      </c>
      <c r="C381" t="s">
        <v>3219</v>
      </c>
      <c r="D381" t="s">
        <v>3224</v>
      </c>
      <c r="E381" t="s">
        <v>3226</v>
      </c>
      <c r="F381">
        <v>161146.56</v>
      </c>
      <c r="G381">
        <v>145409.67000000001</v>
      </c>
      <c r="H381">
        <v>3</v>
      </c>
    </row>
    <row r="382" spans="1:8" x14ac:dyDescent="0.25">
      <c r="A382" t="s">
        <v>380</v>
      </c>
      <c r="B382" t="s">
        <v>3214</v>
      </c>
      <c r="C382" t="s">
        <v>3216</v>
      </c>
      <c r="D382" t="s">
        <v>3222</v>
      </c>
      <c r="E382" t="s">
        <v>3226</v>
      </c>
      <c r="F382">
        <v>16224.5</v>
      </c>
      <c r="G382">
        <v>10837.93</v>
      </c>
      <c r="H382">
        <v>1</v>
      </c>
    </row>
    <row r="383" spans="1:8" x14ac:dyDescent="0.25">
      <c r="A383" t="s">
        <v>381</v>
      </c>
      <c r="C383" t="s">
        <v>3220</v>
      </c>
      <c r="D383" t="s">
        <v>3222</v>
      </c>
      <c r="E383" t="s">
        <v>3226</v>
      </c>
      <c r="F383">
        <v>14809.98</v>
      </c>
      <c r="G383">
        <v>10433.879999999999</v>
      </c>
      <c r="H383">
        <v>1</v>
      </c>
    </row>
    <row r="384" spans="1:8" x14ac:dyDescent="0.25">
      <c r="A384" t="s">
        <v>382</v>
      </c>
      <c r="C384" t="s">
        <v>3216</v>
      </c>
      <c r="D384" t="s">
        <v>3223</v>
      </c>
      <c r="E384" t="s">
        <v>3226</v>
      </c>
      <c r="F384">
        <v>33044.81</v>
      </c>
      <c r="G384">
        <v>18981.38</v>
      </c>
      <c r="H384">
        <v>3</v>
      </c>
    </row>
    <row r="385" spans="1:8" x14ac:dyDescent="0.25">
      <c r="A385" t="s">
        <v>383</v>
      </c>
      <c r="C385" t="s">
        <v>3217</v>
      </c>
      <c r="D385" t="s">
        <v>3224</v>
      </c>
      <c r="E385" t="s">
        <v>3226</v>
      </c>
      <c r="F385">
        <v>201704.1</v>
      </c>
      <c r="G385">
        <v>127983.16</v>
      </c>
      <c r="H385">
        <v>3</v>
      </c>
    </row>
    <row r="386" spans="1:8" x14ac:dyDescent="0.25">
      <c r="A386" t="s">
        <v>384</v>
      </c>
      <c r="B386" t="s">
        <v>3212</v>
      </c>
      <c r="C386" t="s">
        <v>3221</v>
      </c>
      <c r="D386" t="s">
        <v>3225</v>
      </c>
      <c r="E386" t="s">
        <v>3226</v>
      </c>
      <c r="F386">
        <v>109977.04</v>
      </c>
      <c r="H386">
        <v>5</v>
      </c>
    </row>
    <row r="387" spans="1:8" x14ac:dyDescent="0.25">
      <c r="A387" t="s">
        <v>385</v>
      </c>
      <c r="C387" t="s">
        <v>3219</v>
      </c>
      <c r="D387" t="s">
        <v>3222</v>
      </c>
      <c r="E387" t="s">
        <v>3226</v>
      </c>
      <c r="F387">
        <v>62335.02</v>
      </c>
      <c r="G387">
        <v>40533.83</v>
      </c>
      <c r="H387">
        <v>4</v>
      </c>
    </row>
    <row r="388" spans="1:8" x14ac:dyDescent="0.25">
      <c r="A388" t="s">
        <v>386</v>
      </c>
      <c r="B388" t="s">
        <v>3213</v>
      </c>
      <c r="C388" t="s">
        <v>3221</v>
      </c>
      <c r="D388" t="s">
        <v>3224</v>
      </c>
      <c r="E388" t="s">
        <v>3226</v>
      </c>
      <c r="F388">
        <v>168463.46</v>
      </c>
      <c r="G388">
        <v>130127.15</v>
      </c>
      <c r="H388">
        <v>3</v>
      </c>
    </row>
    <row r="389" spans="1:8" x14ac:dyDescent="0.25">
      <c r="A389" t="s">
        <v>387</v>
      </c>
      <c r="B389" t="s">
        <v>3213</v>
      </c>
      <c r="C389" t="s">
        <v>3217</v>
      </c>
      <c r="D389" t="s">
        <v>3225</v>
      </c>
      <c r="E389" t="s">
        <v>3226</v>
      </c>
      <c r="F389">
        <v>68388.820000000007</v>
      </c>
      <c r="G389">
        <v>36634.39</v>
      </c>
      <c r="H389">
        <v>3</v>
      </c>
    </row>
    <row r="390" spans="1:8" x14ac:dyDescent="0.25">
      <c r="A390" t="s">
        <v>388</v>
      </c>
      <c r="B390" t="s">
        <v>3214</v>
      </c>
      <c r="C390" t="s">
        <v>3219</v>
      </c>
      <c r="D390" t="s">
        <v>3223</v>
      </c>
      <c r="E390" t="s">
        <v>3226</v>
      </c>
      <c r="F390">
        <v>25108.33</v>
      </c>
      <c r="G390">
        <v>18704.650000000001</v>
      </c>
      <c r="H390">
        <v>3</v>
      </c>
    </row>
    <row r="391" spans="1:8" x14ac:dyDescent="0.25">
      <c r="A391" t="s">
        <v>389</v>
      </c>
      <c r="B391" t="s">
        <v>3215</v>
      </c>
      <c r="C391" t="s">
        <v>3221</v>
      </c>
      <c r="D391" t="s">
        <v>3223</v>
      </c>
      <c r="E391" t="s">
        <v>3226</v>
      </c>
      <c r="F391">
        <v>23238.13</v>
      </c>
      <c r="G391">
        <v>14166.31</v>
      </c>
      <c r="H391">
        <v>2</v>
      </c>
    </row>
    <row r="392" spans="1:8" x14ac:dyDescent="0.25">
      <c r="A392" t="s">
        <v>390</v>
      </c>
      <c r="B392" t="s">
        <v>3215</v>
      </c>
      <c r="C392" t="s">
        <v>3217</v>
      </c>
      <c r="D392" t="s">
        <v>3223</v>
      </c>
      <c r="E392" t="s">
        <v>3226</v>
      </c>
      <c r="F392">
        <v>10654.09</v>
      </c>
      <c r="G392">
        <v>6669.6</v>
      </c>
      <c r="H392">
        <v>1</v>
      </c>
    </row>
    <row r="393" spans="1:8" x14ac:dyDescent="0.25">
      <c r="A393" t="s">
        <v>391</v>
      </c>
      <c r="B393" t="s">
        <v>3213</v>
      </c>
      <c r="C393" t="s">
        <v>3217</v>
      </c>
      <c r="D393" t="s">
        <v>3224</v>
      </c>
      <c r="E393" t="s">
        <v>3226</v>
      </c>
      <c r="F393">
        <v>104862.36</v>
      </c>
      <c r="G393">
        <v>84197.42</v>
      </c>
      <c r="H393">
        <v>2</v>
      </c>
    </row>
    <row r="394" spans="1:8" x14ac:dyDescent="0.25">
      <c r="A394" t="s">
        <v>392</v>
      </c>
      <c r="B394" t="s">
        <v>3213</v>
      </c>
      <c r="C394" t="s">
        <v>3221</v>
      </c>
      <c r="D394" t="s">
        <v>3224</v>
      </c>
      <c r="E394" t="s">
        <v>3226</v>
      </c>
      <c r="F394">
        <v>110397.22</v>
      </c>
      <c r="G394">
        <v>89911.84</v>
      </c>
      <c r="H394">
        <v>2</v>
      </c>
    </row>
    <row r="395" spans="1:8" x14ac:dyDescent="0.25">
      <c r="A395" t="s">
        <v>393</v>
      </c>
      <c r="B395" t="s">
        <v>3214</v>
      </c>
      <c r="C395" t="s">
        <v>3218</v>
      </c>
      <c r="D395" t="s">
        <v>3225</v>
      </c>
      <c r="E395" t="s">
        <v>3226</v>
      </c>
      <c r="F395">
        <v>112839.24</v>
      </c>
      <c r="G395">
        <v>69415.59</v>
      </c>
      <c r="H395">
        <v>5</v>
      </c>
    </row>
    <row r="396" spans="1:8" x14ac:dyDescent="0.25">
      <c r="A396" t="s">
        <v>394</v>
      </c>
      <c r="B396" t="s">
        <v>3212</v>
      </c>
      <c r="C396" t="s">
        <v>3220</v>
      </c>
      <c r="D396" t="s">
        <v>3223</v>
      </c>
      <c r="E396" t="s">
        <v>3226</v>
      </c>
      <c r="F396">
        <v>41974.74</v>
      </c>
      <c r="G396">
        <v>30412.03</v>
      </c>
      <c r="H396">
        <v>5</v>
      </c>
    </row>
    <row r="397" spans="1:8" x14ac:dyDescent="0.25">
      <c r="A397" t="s">
        <v>395</v>
      </c>
      <c r="B397" t="s">
        <v>3211</v>
      </c>
      <c r="C397" t="s">
        <v>3217</v>
      </c>
      <c r="D397" t="s">
        <v>3223</v>
      </c>
      <c r="E397" t="s">
        <v>3226</v>
      </c>
      <c r="F397">
        <v>41871.1</v>
      </c>
      <c r="G397">
        <v>29844.26</v>
      </c>
      <c r="H397">
        <v>4</v>
      </c>
    </row>
    <row r="398" spans="1:8" x14ac:dyDescent="0.25">
      <c r="A398" t="s">
        <v>396</v>
      </c>
      <c r="B398" t="s">
        <v>3215</v>
      </c>
      <c r="C398" t="s">
        <v>3217</v>
      </c>
      <c r="D398" t="s">
        <v>3223</v>
      </c>
      <c r="E398" t="s">
        <v>3226</v>
      </c>
      <c r="F398">
        <v>22348.57</v>
      </c>
      <c r="G398">
        <v>12011.22</v>
      </c>
      <c r="H398">
        <v>2</v>
      </c>
    </row>
    <row r="399" spans="1:8" x14ac:dyDescent="0.25">
      <c r="A399" t="s">
        <v>397</v>
      </c>
      <c r="B399" t="s">
        <v>3211</v>
      </c>
      <c r="C399" t="s">
        <v>3217</v>
      </c>
      <c r="D399" t="s">
        <v>3223</v>
      </c>
      <c r="E399" t="s">
        <v>3226</v>
      </c>
      <c r="F399">
        <v>52279.41</v>
      </c>
      <c r="G399">
        <v>31962.51</v>
      </c>
      <c r="H399">
        <v>5</v>
      </c>
    </row>
    <row r="400" spans="1:8" x14ac:dyDescent="0.25">
      <c r="A400" t="s">
        <v>398</v>
      </c>
      <c r="C400" t="s">
        <v>3218</v>
      </c>
      <c r="D400" t="s">
        <v>3222</v>
      </c>
      <c r="E400" t="s">
        <v>3226</v>
      </c>
      <c r="F400">
        <v>13969.08</v>
      </c>
      <c r="H400">
        <v>1</v>
      </c>
    </row>
    <row r="401" spans="1:8" x14ac:dyDescent="0.25">
      <c r="A401" t="s">
        <v>399</v>
      </c>
      <c r="B401" t="s">
        <v>3212</v>
      </c>
      <c r="C401" t="s">
        <v>3219</v>
      </c>
      <c r="D401" t="s">
        <v>3222</v>
      </c>
      <c r="E401" t="s">
        <v>3226</v>
      </c>
      <c r="F401">
        <v>71538.33</v>
      </c>
      <c r="G401">
        <v>48239.05</v>
      </c>
      <c r="H401">
        <v>5</v>
      </c>
    </row>
    <row r="402" spans="1:8" x14ac:dyDescent="0.25">
      <c r="A402" t="s">
        <v>400</v>
      </c>
      <c r="B402" t="s">
        <v>3211</v>
      </c>
      <c r="C402" t="s">
        <v>3216</v>
      </c>
      <c r="D402" t="s">
        <v>3222</v>
      </c>
      <c r="E402" t="s">
        <v>3226</v>
      </c>
      <c r="F402">
        <v>69354.06</v>
      </c>
      <c r="G402">
        <v>45622.15</v>
      </c>
      <c r="H402">
        <v>5</v>
      </c>
    </row>
    <row r="403" spans="1:8" x14ac:dyDescent="0.25">
      <c r="A403" t="s">
        <v>401</v>
      </c>
      <c r="B403" t="s">
        <v>3213</v>
      </c>
      <c r="C403" t="s">
        <v>3218</v>
      </c>
      <c r="D403" t="s">
        <v>3222</v>
      </c>
      <c r="E403" t="s">
        <v>3226</v>
      </c>
      <c r="F403">
        <v>49924.3</v>
      </c>
      <c r="G403">
        <v>25830.3</v>
      </c>
      <c r="H403">
        <v>3</v>
      </c>
    </row>
    <row r="404" spans="1:8" x14ac:dyDescent="0.25">
      <c r="A404" t="s">
        <v>402</v>
      </c>
      <c r="C404" t="s">
        <v>3216</v>
      </c>
      <c r="D404" t="s">
        <v>3224</v>
      </c>
      <c r="E404" t="s">
        <v>3226</v>
      </c>
      <c r="F404">
        <v>69582.25</v>
      </c>
      <c r="G404">
        <v>49075.44</v>
      </c>
      <c r="H404">
        <v>1</v>
      </c>
    </row>
    <row r="405" spans="1:8" x14ac:dyDescent="0.25">
      <c r="A405" t="s">
        <v>403</v>
      </c>
      <c r="C405" t="s">
        <v>3221</v>
      </c>
      <c r="D405" t="s">
        <v>3223</v>
      </c>
      <c r="E405" t="s">
        <v>3226</v>
      </c>
      <c r="F405">
        <v>24349.86</v>
      </c>
      <c r="G405">
        <v>22613.06</v>
      </c>
      <c r="H405">
        <v>3</v>
      </c>
    </row>
    <row r="406" spans="1:8" x14ac:dyDescent="0.25">
      <c r="A406" t="s">
        <v>404</v>
      </c>
      <c r="B406" t="s">
        <v>3214</v>
      </c>
      <c r="C406" t="s">
        <v>3217</v>
      </c>
      <c r="D406" t="s">
        <v>3222</v>
      </c>
      <c r="E406" t="s">
        <v>3226</v>
      </c>
      <c r="F406">
        <v>13878.3</v>
      </c>
      <c r="H406">
        <v>1</v>
      </c>
    </row>
    <row r="407" spans="1:8" x14ac:dyDescent="0.25">
      <c r="A407" t="s">
        <v>405</v>
      </c>
      <c r="C407" t="s">
        <v>3219</v>
      </c>
      <c r="D407" t="s">
        <v>3225</v>
      </c>
      <c r="E407" t="s">
        <v>3226</v>
      </c>
      <c r="F407">
        <v>32688.84</v>
      </c>
      <c r="G407">
        <v>29266.75</v>
      </c>
      <c r="H407">
        <v>2</v>
      </c>
    </row>
    <row r="408" spans="1:8" x14ac:dyDescent="0.25">
      <c r="A408" t="s">
        <v>406</v>
      </c>
      <c r="B408" t="s">
        <v>3212</v>
      </c>
      <c r="C408" t="s">
        <v>3216</v>
      </c>
      <c r="D408" t="s">
        <v>3224</v>
      </c>
      <c r="E408" t="s">
        <v>3226</v>
      </c>
      <c r="F408">
        <v>228387.89</v>
      </c>
      <c r="G408">
        <v>194177.73</v>
      </c>
      <c r="H408">
        <v>4</v>
      </c>
    </row>
    <row r="409" spans="1:8" x14ac:dyDescent="0.25">
      <c r="A409" t="s">
        <v>407</v>
      </c>
      <c r="C409" t="s">
        <v>3217</v>
      </c>
      <c r="D409" t="s">
        <v>3225</v>
      </c>
      <c r="E409" t="s">
        <v>3226</v>
      </c>
      <c r="F409">
        <v>61425.73</v>
      </c>
      <c r="G409">
        <v>44399.13</v>
      </c>
      <c r="H409">
        <v>3</v>
      </c>
    </row>
    <row r="410" spans="1:8" x14ac:dyDescent="0.25">
      <c r="A410" t="s">
        <v>408</v>
      </c>
      <c r="B410" t="s">
        <v>3215</v>
      </c>
      <c r="C410" t="s">
        <v>3219</v>
      </c>
      <c r="D410" t="s">
        <v>3222</v>
      </c>
      <c r="E410" t="s">
        <v>3226</v>
      </c>
      <c r="F410">
        <v>14401.27</v>
      </c>
      <c r="G410">
        <v>10458.24</v>
      </c>
    </row>
    <row r="411" spans="1:8" x14ac:dyDescent="0.25">
      <c r="A411" t="s">
        <v>409</v>
      </c>
      <c r="B411" t="s">
        <v>3215</v>
      </c>
      <c r="C411" t="s">
        <v>3219</v>
      </c>
      <c r="D411" t="s">
        <v>3224</v>
      </c>
      <c r="E411" t="s">
        <v>3226</v>
      </c>
      <c r="F411">
        <v>211574.14</v>
      </c>
      <c r="G411">
        <v>120864.94</v>
      </c>
      <c r="H411">
        <v>3</v>
      </c>
    </row>
    <row r="412" spans="1:8" x14ac:dyDescent="0.25">
      <c r="A412" t="s">
        <v>410</v>
      </c>
      <c r="B412" t="s">
        <v>3212</v>
      </c>
      <c r="C412" t="s">
        <v>3221</v>
      </c>
      <c r="D412" t="s">
        <v>3225</v>
      </c>
      <c r="E412" t="s">
        <v>3226</v>
      </c>
      <c r="G412">
        <v>26551.73</v>
      </c>
      <c r="H412">
        <v>2</v>
      </c>
    </row>
    <row r="413" spans="1:8" x14ac:dyDescent="0.25">
      <c r="A413" t="s">
        <v>411</v>
      </c>
      <c r="B413" t="s">
        <v>3212</v>
      </c>
      <c r="C413" t="s">
        <v>3219</v>
      </c>
      <c r="D413" t="s">
        <v>3222</v>
      </c>
      <c r="E413" t="s">
        <v>3226</v>
      </c>
      <c r="F413">
        <v>50942.720000000001</v>
      </c>
      <c r="G413">
        <v>32611.89</v>
      </c>
      <c r="H413">
        <v>3</v>
      </c>
    </row>
    <row r="414" spans="1:8" x14ac:dyDescent="0.25">
      <c r="A414" t="s">
        <v>412</v>
      </c>
      <c r="B414" t="s">
        <v>3212</v>
      </c>
      <c r="C414" t="s">
        <v>3216</v>
      </c>
      <c r="D414" t="s">
        <v>3225</v>
      </c>
      <c r="E414" t="s">
        <v>3226</v>
      </c>
      <c r="G414">
        <v>41726.47</v>
      </c>
      <c r="H414">
        <v>3</v>
      </c>
    </row>
    <row r="415" spans="1:8" x14ac:dyDescent="0.25">
      <c r="A415" t="s">
        <v>413</v>
      </c>
      <c r="B415" t="s">
        <v>3213</v>
      </c>
      <c r="C415" t="s">
        <v>3216</v>
      </c>
      <c r="D415" t="s">
        <v>3223</v>
      </c>
      <c r="E415" t="s">
        <v>3226</v>
      </c>
      <c r="F415">
        <v>51324.3</v>
      </c>
      <c r="H415">
        <v>5</v>
      </c>
    </row>
    <row r="416" spans="1:8" x14ac:dyDescent="0.25">
      <c r="A416" t="s">
        <v>414</v>
      </c>
      <c r="B416" t="s">
        <v>3211</v>
      </c>
      <c r="C416" t="s">
        <v>3216</v>
      </c>
      <c r="D416" t="s">
        <v>3224</v>
      </c>
      <c r="E416" t="s">
        <v>3226</v>
      </c>
      <c r="F416">
        <v>202006.71</v>
      </c>
      <c r="G416">
        <v>122320.75</v>
      </c>
      <c r="H416">
        <v>3</v>
      </c>
    </row>
    <row r="417" spans="1:8" x14ac:dyDescent="0.25">
      <c r="A417" t="s">
        <v>415</v>
      </c>
      <c r="B417" t="s">
        <v>3211</v>
      </c>
      <c r="C417" t="s">
        <v>3218</v>
      </c>
      <c r="D417" t="s">
        <v>3224</v>
      </c>
      <c r="E417" t="s">
        <v>3226</v>
      </c>
      <c r="F417">
        <v>127814.22</v>
      </c>
      <c r="G417">
        <v>96089.26</v>
      </c>
      <c r="H417">
        <v>2</v>
      </c>
    </row>
    <row r="418" spans="1:8" x14ac:dyDescent="0.25">
      <c r="A418" t="s">
        <v>416</v>
      </c>
      <c r="C418" t="s">
        <v>3218</v>
      </c>
      <c r="D418" t="s">
        <v>3222</v>
      </c>
      <c r="E418" t="s">
        <v>3226</v>
      </c>
      <c r="F418">
        <v>61137.96</v>
      </c>
      <c r="G418">
        <v>41339.050000000003</v>
      </c>
      <c r="H418">
        <v>4</v>
      </c>
    </row>
    <row r="419" spans="1:8" x14ac:dyDescent="0.25">
      <c r="A419" t="s">
        <v>417</v>
      </c>
      <c r="C419" t="s">
        <v>3216</v>
      </c>
      <c r="D419" t="s">
        <v>3222</v>
      </c>
      <c r="E419" t="s">
        <v>3226</v>
      </c>
      <c r="F419">
        <v>26321.22</v>
      </c>
      <c r="G419">
        <v>20207.52</v>
      </c>
      <c r="H419">
        <v>2</v>
      </c>
    </row>
    <row r="420" spans="1:8" x14ac:dyDescent="0.25">
      <c r="A420" t="s">
        <v>418</v>
      </c>
      <c r="B420" t="s">
        <v>3211</v>
      </c>
      <c r="C420" t="s">
        <v>3216</v>
      </c>
      <c r="D420" t="s">
        <v>3222</v>
      </c>
      <c r="E420" t="s">
        <v>3226</v>
      </c>
      <c r="G420">
        <v>9863.9599999999991</v>
      </c>
      <c r="H420">
        <v>1</v>
      </c>
    </row>
    <row r="421" spans="1:8" x14ac:dyDescent="0.25">
      <c r="A421" t="s">
        <v>419</v>
      </c>
      <c r="B421" t="s">
        <v>3211</v>
      </c>
      <c r="C421" t="s">
        <v>3219</v>
      </c>
      <c r="D421" t="s">
        <v>3225</v>
      </c>
      <c r="E421" t="s">
        <v>3226</v>
      </c>
      <c r="F421">
        <v>119703.27</v>
      </c>
      <c r="G421">
        <v>62233.53</v>
      </c>
      <c r="H421">
        <v>5</v>
      </c>
    </row>
    <row r="422" spans="1:8" x14ac:dyDescent="0.25">
      <c r="A422" t="s">
        <v>420</v>
      </c>
      <c r="B422" t="s">
        <v>3215</v>
      </c>
      <c r="C422" t="s">
        <v>3221</v>
      </c>
      <c r="D422" t="s">
        <v>3222</v>
      </c>
      <c r="E422" t="s">
        <v>3226</v>
      </c>
      <c r="F422">
        <v>58714.61</v>
      </c>
      <c r="G422">
        <v>40187.72</v>
      </c>
      <c r="H422">
        <v>4</v>
      </c>
    </row>
    <row r="423" spans="1:8" x14ac:dyDescent="0.25">
      <c r="A423" t="s">
        <v>421</v>
      </c>
      <c r="B423" t="s">
        <v>3213</v>
      </c>
      <c r="C423" t="s">
        <v>3218</v>
      </c>
      <c r="D423" t="s">
        <v>3222</v>
      </c>
      <c r="E423" t="s">
        <v>3226</v>
      </c>
      <c r="G423">
        <v>42702.5</v>
      </c>
      <c r="H423">
        <v>5</v>
      </c>
    </row>
    <row r="424" spans="1:8" x14ac:dyDescent="0.25">
      <c r="A424" t="s">
        <v>422</v>
      </c>
      <c r="B424" t="s">
        <v>3213</v>
      </c>
      <c r="C424" t="s">
        <v>3221</v>
      </c>
      <c r="D424" t="s">
        <v>3225</v>
      </c>
      <c r="E424" t="s">
        <v>3226</v>
      </c>
      <c r="F424">
        <v>41639.519999999997</v>
      </c>
      <c r="H424">
        <v>2</v>
      </c>
    </row>
    <row r="425" spans="1:8" x14ac:dyDescent="0.25">
      <c r="A425" t="s">
        <v>423</v>
      </c>
      <c r="B425" t="s">
        <v>3211</v>
      </c>
      <c r="C425" t="s">
        <v>3219</v>
      </c>
      <c r="D425" t="s">
        <v>3225</v>
      </c>
      <c r="E425" t="s">
        <v>3226</v>
      </c>
      <c r="F425">
        <v>62261.8</v>
      </c>
      <c r="G425">
        <v>42033.08</v>
      </c>
      <c r="H425">
        <v>3</v>
      </c>
    </row>
    <row r="426" spans="1:8" x14ac:dyDescent="0.25">
      <c r="A426" t="s">
        <v>424</v>
      </c>
      <c r="B426" t="s">
        <v>3213</v>
      </c>
      <c r="C426" t="s">
        <v>3219</v>
      </c>
      <c r="D426" t="s">
        <v>3223</v>
      </c>
      <c r="E426" t="s">
        <v>3226</v>
      </c>
      <c r="F426">
        <v>17866.66</v>
      </c>
      <c r="G426">
        <v>14088.66</v>
      </c>
      <c r="H426">
        <v>2</v>
      </c>
    </row>
    <row r="427" spans="1:8" x14ac:dyDescent="0.25">
      <c r="A427" t="s">
        <v>425</v>
      </c>
      <c r="B427" t="s">
        <v>3215</v>
      </c>
      <c r="C427" t="s">
        <v>3219</v>
      </c>
      <c r="D427" t="s">
        <v>3222</v>
      </c>
      <c r="E427" t="s">
        <v>3226</v>
      </c>
      <c r="F427">
        <v>49214.720000000001</v>
      </c>
      <c r="G427">
        <v>28059.89</v>
      </c>
      <c r="H427">
        <v>3</v>
      </c>
    </row>
    <row r="428" spans="1:8" x14ac:dyDescent="0.25">
      <c r="A428" t="s">
        <v>426</v>
      </c>
      <c r="C428" t="s">
        <v>3219</v>
      </c>
      <c r="D428" t="s">
        <v>3223</v>
      </c>
      <c r="E428" t="s">
        <v>3226</v>
      </c>
      <c r="F428">
        <v>39723.42</v>
      </c>
      <c r="G428">
        <v>29242.19</v>
      </c>
      <c r="H428">
        <v>4</v>
      </c>
    </row>
    <row r="429" spans="1:8" x14ac:dyDescent="0.25">
      <c r="A429" t="s">
        <v>427</v>
      </c>
      <c r="B429" t="s">
        <v>3212</v>
      </c>
      <c r="C429" t="s">
        <v>3216</v>
      </c>
      <c r="D429" t="s">
        <v>3224</v>
      </c>
      <c r="E429" t="s">
        <v>3226</v>
      </c>
      <c r="F429">
        <v>248833.62</v>
      </c>
      <c r="H429">
        <v>4</v>
      </c>
    </row>
    <row r="430" spans="1:8" x14ac:dyDescent="0.25">
      <c r="A430" t="s">
        <v>428</v>
      </c>
      <c r="B430" t="s">
        <v>3211</v>
      </c>
      <c r="C430" t="s">
        <v>3221</v>
      </c>
      <c r="D430" t="s">
        <v>3225</v>
      </c>
      <c r="E430" t="s">
        <v>3226</v>
      </c>
      <c r="F430">
        <v>95726.51</v>
      </c>
      <c r="G430">
        <v>57775.74</v>
      </c>
      <c r="H430">
        <v>4</v>
      </c>
    </row>
    <row r="431" spans="1:8" x14ac:dyDescent="0.25">
      <c r="A431" t="s">
        <v>429</v>
      </c>
      <c r="B431" t="s">
        <v>3211</v>
      </c>
      <c r="C431" t="s">
        <v>3217</v>
      </c>
      <c r="D431" t="s">
        <v>3223</v>
      </c>
      <c r="E431" t="s">
        <v>3226</v>
      </c>
      <c r="F431">
        <v>35091.440000000002</v>
      </c>
      <c r="G431">
        <v>19560.57</v>
      </c>
    </row>
    <row r="432" spans="1:8" x14ac:dyDescent="0.25">
      <c r="A432" t="s">
        <v>430</v>
      </c>
      <c r="B432" t="s">
        <v>3214</v>
      </c>
      <c r="C432" t="s">
        <v>3217</v>
      </c>
      <c r="D432" t="s">
        <v>3223</v>
      </c>
      <c r="E432" t="s">
        <v>3226</v>
      </c>
      <c r="F432">
        <v>46788.07</v>
      </c>
      <c r="G432">
        <v>27024.69</v>
      </c>
      <c r="H432">
        <v>4</v>
      </c>
    </row>
    <row r="433" spans="1:8" x14ac:dyDescent="0.25">
      <c r="A433" t="s">
        <v>431</v>
      </c>
      <c r="B433" t="s">
        <v>3211</v>
      </c>
      <c r="C433" t="s">
        <v>3221</v>
      </c>
      <c r="D433" t="s">
        <v>3222</v>
      </c>
      <c r="E433" t="s">
        <v>3226</v>
      </c>
      <c r="F433">
        <v>36000.550000000003</v>
      </c>
      <c r="G433">
        <v>30841.03</v>
      </c>
    </row>
    <row r="434" spans="1:8" x14ac:dyDescent="0.25">
      <c r="A434" t="s">
        <v>432</v>
      </c>
      <c r="B434" t="s">
        <v>3215</v>
      </c>
      <c r="C434" t="s">
        <v>3220</v>
      </c>
      <c r="D434" t="s">
        <v>3223</v>
      </c>
      <c r="E434" t="s">
        <v>3226</v>
      </c>
      <c r="F434">
        <v>34785.449999999997</v>
      </c>
      <c r="G434">
        <v>20753.84</v>
      </c>
      <c r="H434">
        <v>3</v>
      </c>
    </row>
    <row r="435" spans="1:8" x14ac:dyDescent="0.25">
      <c r="A435" t="s">
        <v>433</v>
      </c>
      <c r="C435" t="s">
        <v>3221</v>
      </c>
      <c r="D435" t="s">
        <v>3223</v>
      </c>
      <c r="E435" t="s">
        <v>3226</v>
      </c>
      <c r="F435">
        <v>33546.32</v>
      </c>
      <c r="G435">
        <v>25038.28</v>
      </c>
      <c r="H435">
        <v>4</v>
      </c>
    </row>
    <row r="436" spans="1:8" x14ac:dyDescent="0.25">
      <c r="A436" t="s">
        <v>434</v>
      </c>
      <c r="B436" t="s">
        <v>3213</v>
      </c>
      <c r="C436" t="s">
        <v>3221</v>
      </c>
      <c r="D436" t="s">
        <v>3224</v>
      </c>
      <c r="E436" t="s">
        <v>3226</v>
      </c>
      <c r="F436">
        <v>118870.14</v>
      </c>
      <c r="G436">
        <v>83661.84</v>
      </c>
      <c r="H436">
        <v>2</v>
      </c>
    </row>
    <row r="437" spans="1:8" x14ac:dyDescent="0.25">
      <c r="A437" t="s">
        <v>435</v>
      </c>
      <c r="B437" t="s">
        <v>3211</v>
      </c>
      <c r="C437" t="s">
        <v>3221</v>
      </c>
      <c r="D437" t="s">
        <v>3224</v>
      </c>
      <c r="E437" t="s">
        <v>3226</v>
      </c>
      <c r="F437">
        <v>152608.46</v>
      </c>
      <c r="G437">
        <v>134076.70000000001</v>
      </c>
      <c r="H437">
        <v>3</v>
      </c>
    </row>
    <row r="438" spans="1:8" x14ac:dyDescent="0.25">
      <c r="A438" t="s">
        <v>436</v>
      </c>
      <c r="B438" t="s">
        <v>3212</v>
      </c>
      <c r="C438" t="s">
        <v>3221</v>
      </c>
      <c r="D438" t="s">
        <v>3224</v>
      </c>
      <c r="E438" t="s">
        <v>3226</v>
      </c>
      <c r="F438">
        <v>243082.76</v>
      </c>
      <c r="G438">
        <v>207255.45</v>
      </c>
      <c r="H438">
        <v>5</v>
      </c>
    </row>
    <row r="439" spans="1:8" x14ac:dyDescent="0.25">
      <c r="A439" t="s">
        <v>437</v>
      </c>
      <c r="C439" t="s">
        <v>3221</v>
      </c>
      <c r="D439" t="s">
        <v>3225</v>
      </c>
      <c r="E439" t="s">
        <v>3226</v>
      </c>
      <c r="F439">
        <v>54668.28</v>
      </c>
      <c r="G439">
        <v>43800.88</v>
      </c>
      <c r="H439">
        <v>3</v>
      </c>
    </row>
    <row r="440" spans="1:8" x14ac:dyDescent="0.25">
      <c r="A440" t="s">
        <v>189</v>
      </c>
      <c r="B440" t="s">
        <v>3213</v>
      </c>
      <c r="C440" t="s">
        <v>3220</v>
      </c>
      <c r="D440" t="s">
        <v>3225</v>
      </c>
      <c r="E440" t="s">
        <v>3226</v>
      </c>
      <c r="F440">
        <v>45121.08</v>
      </c>
      <c r="G440">
        <v>24091.05</v>
      </c>
      <c r="H440">
        <v>2</v>
      </c>
    </row>
    <row r="441" spans="1:8" x14ac:dyDescent="0.25">
      <c r="A441" t="s">
        <v>438</v>
      </c>
      <c r="B441" t="s">
        <v>3213</v>
      </c>
      <c r="C441" t="s">
        <v>3221</v>
      </c>
      <c r="D441" t="s">
        <v>3222</v>
      </c>
      <c r="E441" t="s">
        <v>3226</v>
      </c>
      <c r="F441">
        <v>38442.39</v>
      </c>
      <c r="H441">
        <v>3</v>
      </c>
    </row>
    <row r="442" spans="1:8" x14ac:dyDescent="0.25">
      <c r="A442" t="s">
        <v>439</v>
      </c>
      <c r="C442" t="s">
        <v>3216</v>
      </c>
      <c r="D442" t="s">
        <v>3222</v>
      </c>
      <c r="E442" t="s">
        <v>3226</v>
      </c>
      <c r="F442">
        <v>75891.42</v>
      </c>
      <c r="G442">
        <v>51654.86</v>
      </c>
      <c r="H442">
        <v>5</v>
      </c>
    </row>
    <row r="443" spans="1:8" x14ac:dyDescent="0.25">
      <c r="A443" t="s">
        <v>440</v>
      </c>
      <c r="B443" t="s">
        <v>3215</v>
      </c>
      <c r="C443" t="s">
        <v>3219</v>
      </c>
      <c r="D443" t="s">
        <v>3222</v>
      </c>
      <c r="E443" t="s">
        <v>3226</v>
      </c>
      <c r="F443">
        <v>16056.63</v>
      </c>
      <c r="G443">
        <v>9268.1</v>
      </c>
      <c r="H443">
        <v>1</v>
      </c>
    </row>
    <row r="444" spans="1:8" x14ac:dyDescent="0.25">
      <c r="A444" t="s">
        <v>441</v>
      </c>
      <c r="B444" t="s">
        <v>3211</v>
      </c>
      <c r="C444" t="s">
        <v>3218</v>
      </c>
      <c r="D444" t="s">
        <v>3224</v>
      </c>
      <c r="E444" t="s">
        <v>3226</v>
      </c>
      <c r="F444">
        <v>280716.63</v>
      </c>
      <c r="G444">
        <v>219708.66</v>
      </c>
      <c r="H444">
        <v>5</v>
      </c>
    </row>
    <row r="445" spans="1:8" x14ac:dyDescent="0.25">
      <c r="A445" t="s">
        <v>442</v>
      </c>
      <c r="C445" t="s">
        <v>3220</v>
      </c>
      <c r="D445" t="s">
        <v>3222</v>
      </c>
      <c r="E445" t="s">
        <v>3226</v>
      </c>
      <c r="F445">
        <v>14488.95</v>
      </c>
      <c r="G445">
        <v>9468.19</v>
      </c>
      <c r="H445">
        <v>1</v>
      </c>
    </row>
    <row r="446" spans="1:8" x14ac:dyDescent="0.25">
      <c r="A446" t="s">
        <v>443</v>
      </c>
      <c r="B446" t="s">
        <v>3212</v>
      </c>
      <c r="C446" t="s">
        <v>3216</v>
      </c>
      <c r="D446" t="s">
        <v>3225</v>
      </c>
      <c r="E446" t="s">
        <v>3226</v>
      </c>
      <c r="F446">
        <v>17211.46</v>
      </c>
      <c r="G446">
        <v>13570.96</v>
      </c>
      <c r="H446">
        <v>1</v>
      </c>
    </row>
    <row r="447" spans="1:8" x14ac:dyDescent="0.25">
      <c r="A447" t="s">
        <v>444</v>
      </c>
      <c r="B447" t="s">
        <v>3212</v>
      </c>
      <c r="C447" t="s">
        <v>3216</v>
      </c>
      <c r="D447" t="s">
        <v>3224</v>
      </c>
      <c r="E447" t="s">
        <v>3226</v>
      </c>
      <c r="F447">
        <v>212047.77</v>
      </c>
      <c r="G447">
        <v>155635.44</v>
      </c>
      <c r="H447">
        <v>4</v>
      </c>
    </row>
    <row r="448" spans="1:8" x14ac:dyDescent="0.25">
      <c r="A448" t="s">
        <v>445</v>
      </c>
      <c r="B448" t="s">
        <v>3213</v>
      </c>
      <c r="C448" t="s">
        <v>3218</v>
      </c>
      <c r="D448" t="s">
        <v>3222</v>
      </c>
      <c r="E448" t="s">
        <v>3226</v>
      </c>
      <c r="F448">
        <v>46185.31</v>
      </c>
      <c r="G448">
        <v>32310.14</v>
      </c>
      <c r="H448">
        <v>3</v>
      </c>
    </row>
    <row r="449" spans="1:8" x14ac:dyDescent="0.25">
      <c r="A449" t="s">
        <v>446</v>
      </c>
      <c r="B449" t="s">
        <v>3212</v>
      </c>
      <c r="C449" t="s">
        <v>3219</v>
      </c>
      <c r="D449" t="s">
        <v>3224</v>
      </c>
      <c r="E449" t="s">
        <v>3226</v>
      </c>
      <c r="F449">
        <v>118555.94</v>
      </c>
      <c r="G449">
        <v>87806.04</v>
      </c>
      <c r="H449">
        <v>2</v>
      </c>
    </row>
    <row r="450" spans="1:8" x14ac:dyDescent="0.25">
      <c r="A450" t="s">
        <v>294</v>
      </c>
      <c r="B450" t="s">
        <v>3212</v>
      </c>
      <c r="C450" t="s">
        <v>3217</v>
      </c>
      <c r="D450" t="s">
        <v>3224</v>
      </c>
      <c r="E450" t="s">
        <v>3226</v>
      </c>
      <c r="F450">
        <v>254921.5</v>
      </c>
      <c r="G450">
        <v>240476.27</v>
      </c>
      <c r="H450">
        <v>5</v>
      </c>
    </row>
    <row r="451" spans="1:8" x14ac:dyDescent="0.25">
      <c r="A451" t="s">
        <v>447</v>
      </c>
      <c r="B451" t="s">
        <v>3211</v>
      </c>
      <c r="C451" t="s">
        <v>3220</v>
      </c>
      <c r="D451" t="s">
        <v>3224</v>
      </c>
      <c r="E451" t="s">
        <v>3226</v>
      </c>
      <c r="F451">
        <v>69481.570000000007</v>
      </c>
      <c r="G451">
        <v>39927.83</v>
      </c>
      <c r="H451">
        <v>1</v>
      </c>
    </row>
    <row r="452" spans="1:8" x14ac:dyDescent="0.25">
      <c r="A452" t="s">
        <v>448</v>
      </c>
      <c r="B452" t="s">
        <v>3215</v>
      </c>
      <c r="C452" t="s">
        <v>3216</v>
      </c>
      <c r="D452" t="s">
        <v>3222</v>
      </c>
      <c r="E452" t="s">
        <v>3226</v>
      </c>
      <c r="F452">
        <v>73195.67</v>
      </c>
      <c r="G452">
        <v>50549.46</v>
      </c>
      <c r="H452">
        <v>5</v>
      </c>
    </row>
    <row r="453" spans="1:8" x14ac:dyDescent="0.25">
      <c r="A453" t="s">
        <v>449</v>
      </c>
      <c r="C453" t="s">
        <v>3219</v>
      </c>
      <c r="D453" t="s">
        <v>3222</v>
      </c>
      <c r="E453" t="s">
        <v>3226</v>
      </c>
      <c r="F453">
        <v>29293.81</v>
      </c>
      <c r="G453">
        <v>17997.060000000001</v>
      </c>
      <c r="H453">
        <v>2</v>
      </c>
    </row>
    <row r="454" spans="1:8" x14ac:dyDescent="0.25">
      <c r="A454" t="s">
        <v>450</v>
      </c>
      <c r="B454" t="s">
        <v>3211</v>
      </c>
      <c r="C454" t="s">
        <v>3218</v>
      </c>
      <c r="D454" t="s">
        <v>3224</v>
      </c>
      <c r="E454" t="s">
        <v>3226</v>
      </c>
      <c r="F454">
        <v>48349.61</v>
      </c>
      <c r="G454">
        <v>41033.25</v>
      </c>
      <c r="H454">
        <v>1</v>
      </c>
    </row>
    <row r="455" spans="1:8" x14ac:dyDescent="0.25">
      <c r="A455" t="s">
        <v>451</v>
      </c>
      <c r="B455" t="s">
        <v>3211</v>
      </c>
      <c r="C455" t="s">
        <v>3221</v>
      </c>
      <c r="D455" t="s">
        <v>3225</v>
      </c>
      <c r="E455" t="s">
        <v>3226</v>
      </c>
      <c r="F455">
        <v>100936.05</v>
      </c>
      <c r="G455">
        <v>63468.52</v>
      </c>
      <c r="H455">
        <v>5</v>
      </c>
    </row>
    <row r="456" spans="1:8" x14ac:dyDescent="0.25">
      <c r="A456" t="s">
        <v>452</v>
      </c>
      <c r="B456" t="s">
        <v>3214</v>
      </c>
      <c r="C456" t="s">
        <v>3218</v>
      </c>
      <c r="D456" t="s">
        <v>3225</v>
      </c>
      <c r="E456" t="s">
        <v>3226</v>
      </c>
      <c r="F456">
        <v>76729.39</v>
      </c>
      <c r="G456">
        <v>54763.9</v>
      </c>
      <c r="H456">
        <v>4</v>
      </c>
    </row>
    <row r="457" spans="1:8" x14ac:dyDescent="0.25">
      <c r="A457" t="s">
        <v>453</v>
      </c>
      <c r="C457" t="s">
        <v>3219</v>
      </c>
      <c r="D457" t="s">
        <v>3222</v>
      </c>
      <c r="E457" t="s">
        <v>3226</v>
      </c>
      <c r="F457">
        <v>76598.720000000001</v>
      </c>
      <c r="G457">
        <v>49005.62</v>
      </c>
      <c r="H457">
        <v>5</v>
      </c>
    </row>
    <row r="458" spans="1:8" x14ac:dyDescent="0.25">
      <c r="A458" t="s">
        <v>454</v>
      </c>
      <c r="B458" t="s">
        <v>3215</v>
      </c>
      <c r="C458" t="s">
        <v>3220</v>
      </c>
      <c r="D458" t="s">
        <v>3224</v>
      </c>
      <c r="E458" t="s">
        <v>3226</v>
      </c>
      <c r="F458">
        <v>63493.73</v>
      </c>
      <c r="G458">
        <v>38762.83</v>
      </c>
      <c r="H458">
        <v>1</v>
      </c>
    </row>
    <row r="459" spans="1:8" x14ac:dyDescent="0.25">
      <c r="A459" t="s">
        <v>455</v>
      </c>
      <c r="B459" t="s">
        <v>3214</v>
      </c>
      <c r="C459" t="s">
        <v>3217</v>
      </c>
      <c r="D459" t="s">
        <v>3223</v>
      </c>
      <c r="E459" t="s">
        <v>3226</v>
      </c>
      <c r="F459">
        <v>22054.06</v>
      </c>
      <c r="G459">
        <v>14281.95</v>
      </c>
      <c r="H459">
        <v>2</v>
      </c>
    </row>
    <row r="460" spans="1:8" x14ac:dyDescent="0.25">
      <c r="A460" t="s">
        <v>456</v>
      </c>
      <c r="B460" t="s">
        <v>3213</v>
      </c>
      <c r="C460" t="s">
        <v>3216</v>
      </c>
      <c r="D460" t="s">
        <v>3223</v>
      </c>
      <c r="E460" t="s">
        <v>3226</v>
      </c>
      <c r="F460">
        <v>21379.119999999999</v>
      </c>
      <c r="H460">
        <v>2</v>
      </c>
    </row>
    <row r="461" spans="1:8" x14ac:dyDescent="0.25">
      <c r="A461" t="s">
        <v>457</v>
      </c>
      <c r="B461" t="s">
        <v>3211</v>
      </c>
      <c r="C461" t="s">
        <v>3220</v>
      </c>
      <c r="D461" t="s">
        <v>3224</v>
      </c>
      <c r="E461" t="s">
        <v>3226</v>
      </c>
      <c r="F461">
        <v>208999.9</v>
      </c>
      <c r="G461">
        <v>157429.09</v>
      </c>
      <c r="H461">
        <v>4</v>
      </c>
    </row>
    <row r="462" spans="1:8" x14ac:dyDescent="0.25">
      <c r="A462" t="s">
        <v>458</v>
      </c>
      <c r="B462" t="s">
        <v>3215</v>
      </c>
      <c r="C462" t="s">
        <v>3221</v>
      </c>
      <c r="D462" t="s">
        <v>3223</v>
      </c>
      <c r="E462" t="s">
        <v>3226</v>
      </c>
      <c r="F462">
        <v>22380.11</v>
      </c>
      <c r="G462">
        <v>14271.41</v>
      </c>
      <c r="H462">
        <v>2</v>
      </c>
    </row>
    <row r="463" spans="1:8" x14ac:dyDescent="0.25">
      <c r="A463" t="s">
        <v>459</v>
      </c>
      <c r="C463" t="s">
        <v>3217</v>
      </c>
      <c r="D463" t="s">
        <v>3222</v>
      </c>
      <c r="E463" t="s">
        <v>3226</v>
      </c>
      <c r="F463">
        <v>41848.61</v>
      </c>
      <c r="G463">
        <v>30654.720000000001</v>
      </c>
      <c r="H463">
        <v>3</v>
      </c>
    </row>
    <row r="464" spans="1:8" x14ac:dyDescent="0.25">
      <c r="A464" t="s">
        <v>460</v>
      </c>
      <c r="B464" t="s">
        <v>3214</v>
      </c>
      <c r="C464" t="s">
        <v>3219</v>
      </c>
      <c r="D464" t="s">
        <v>3222</v>
      </c>
      <c r="E464" t="s">
        <v>3226</v>
      </c>
      <c r="F464">
        <v>33725.620000000003</v>
      </c>
      <c r="G464">
        <v>18363.25</v>
      </c>
      <c r="H464">
        <v>2</v>
      </c>
    </row>
    <row r="465" spans="1:8" x14ac:dyDescent="0.25">
      <c r="A465" t="s">
        <v>461</v>
      </c>
      <c r="B465" t="s">
        <v>3213</v>
      </c>
      <c r="C465" t="s">
        <v>3218</v>
      </c>
      <c r="D465" t="s">
        <v>3222</v>
      </c>
      <c r="E465" t="s">
        <v>3226</v>
      </c>
      <c r="F465">
        <v>44273.599999999999</v>
      </c>
      <c r="G465">
        <v>30568.21</v>
      </c>
      <c r="H465">
        <v>3</v>
      </c>
    </row>
    <row r="466" spans="1:8" x14ac:dyDescent="0.25">
      <c r="A466" t="s">
        <v>462</v>
      </c>
      <c r="B466" t="s">
        <v>3214</v>
      </c>
      <c r="C466" t="s">
        <v>3221</v>
      </c>
      <c r="D466" t="s">
        <v>3225</v>
      </c>
      <c r="E466" t="s">
        <v>3226</v>
      </c>
      <c r="F466">
        <v>87365.55</v>
      </c>
      <c r="G466">
        <v>55605.05</v>
      </c>
      <c r="H466">
        <v>4</v>
      </c>
    </row>
    <row r="467" spans="1:8" x14ac:dyDescent="0.25">
      <c r="A467" t="s">
        <v>463</v>
      </c>
      <c r="B467" t="s">
        <v>3214</v>
      </c>
      <c r="C467" t="s">
        <v>3221</v>
      </c>
      <c r="D467" t="s">
        <v>3222</v>
      </c>
      <c r="E467" t="s">
        <v>3226</v>
      </c>
      <c r="F467">
        <v>77813.42</v>
      </c>
      <c r="G467">
        <v>49694.92</v>
      </c>
      <c r="H467">
        <v>5</v>
      </c>
    </row>
    <row r="468" spans="1:8" x14ac:dyDescent="0.25">
      <c r="A468" t="s">
        <v>464</v>
      </c>
      <c r="B468" t="s">
        <v>3211</v>
      </c>
      <c r="C468" t="s">
        <v>3218</v>
      </c>
      <c r="D468" t="s">
        <v>3225</v>
      </c>
      <c r="E468" t="s">
        <v>3226</v>
      </c>
      <c r="F468">
        <v>32693.040000000001</v>
      </c>
      <c r="G468">
        <v>28695.38</v>
      </c>
      <c r="H468">
        <v>2</v>
      </c>
    </row>
    <row r="469" spans="1:8" x14ac:dyDescent="0.25">
      <c r="A469" t="s">
        <v>465</v>
      </c>
      <c r="B469" t="s">
        <v>3215</v>
      </c>
      <c r="C469" t="s">
        <v>3218</v>
      </c>
      <c r="D469" t="s">
        <v>3224</v>
      </c>
      <c r="E469" t="s">
        <v>3226</v>
      </c>
      <c r="F469">
        <v>217087.97</v>
      </c>
      <c r="G469">
        <v>171859.48</v>
      </c>
      <c r="H469">
        <v>4</v>
      </c>
    </row>
    <row r="470" spans="1:8" x14ac:dyDescent="0.25">
      <c r="A470" t="s">
        <v>466</v>
      </c>
      <c r="B470" t="s">
        <v>3215</v>
      </c>
      <c r="C470" t="s">
        <v>3216</v>
      </c>
      <c r="D470" t="s">
        <v>3225</v>
      </c>
      <c r="E470" t="s">
        <v>3226</v>
      </c>
      <c r="F470">
        <v>92747.58</v>
      </c>
      <c r="G470">
        <v>61331.83</v>
      </c>
      <c r="H470">
        <v>5</v>
      </c>
    </row>
    <row r="471" spans="1:8" x14ac:dyDescent="0.25">
      <c r="A471" t="s">
        <v>467</v>
      </c>
      <c r="B471" t="s">
        <v>3212</v>
      </c>
      <c r="C471" t="s">
        <v>3218</v>
      </c>
      <c r="D471" t="s">
        <v>3224</v>
      </c>
      <c r="E471" t="s">
        <v>3226</v>
      </c>
      <c r="F471">
        <v>270433.53000000003</v>
      </c>
      <c r="G471">
        <v>227367.37</v>
      </c>
      <c r="H471">
        <v>5</v>
      </c>
    </row>
    <row r="472" spans="1:8" x14ac:dyDescent="0.25">
      <c r="A472" t="s">
        <v>468</v>
      </c>
      <c r="B472" t="s">
        <v>3212</v>
      </c>
      <c r="C472" t="s">
        <v>3219</v>
      </c>
      <c r="D472" t="s">
        <v>3222</v>
      </c>
      <c r="E472" t="s">
        <v>3226</v>
      </c>
      <c r="F472">
        <v>47009.64</v>
      </c>
      <c r="G472">
        <v>27718.11</v>
      </c>
      <c r="H472">
        <v>3</v>
      </c>
    </row>
    <row r="473" spans="1:8" x14ac:dyDescent="0.25">
      <c r="A473" t="s">
        <v>469</v>
      </c>
      <c r="B473" t="s">
        <v>3215</v>
      </c>
      <c r="C473" t="s">
        <v>3216</v>
      </c>
      <c r="D473" t="s">
        <v>3224</v>
      </c>
      <c r="E473" t="s">
        <v>3226</v>
      </c>
      <c r="F473">
        <v>311285.94</v>
      </c>
      <c r="H473">
        <v>5</v>
      </c>
    </row>
    <row r="474" spans="1:8" x14ac:dyDescent="0.25">
      <c r="A474" t="s">
        <v>470</v>
      </c>
      <c r="B474" t="s">
        <v>3214</v>
      </c>
      <c r="C474" t="s">
        <v>3220</v>
      </c>
      <c r="D474" t="s">
        <v>3225</v>
      </c>
      <c r="E474" t="s">
        <v>3226</v>
      </c>
      <c r="F474">
        <v>64467.49</v>
      </c>
      <c r="G474">
        <v>52645.26</v>
      </c>
      <c r="H474">
        <v>4</v>
      </c>
    </row>
    <row r="475" spans="1:8" x14ac:dyDescent="0.25">
      <c r="A475" t="s">
        <v>471</v>
      </c>
      <c r="B475" t="s">
        <v>3211</v>
      </c>
      <c r="C475" t="s">
        <v>3220</v>
      </c>
      <c r="D475" t="s">
        <v>3223</v>
      </c>
      <c r="E475" t="s">
        <v>3226</v>
      </c>
      <c r="F475">
        <v>49170.37</v>
      </c>
      <c r="G475">
        <v>34690.17</v>
      </c>
      <c r="H475">
        <v>5</v>
      </c>
    </row>
    <row r="476" spans="1:8" x14ac:dyDescent="0.25">
      <c r="A476" t="s">
        <v>472</v>
      </c>
      <c r="B476" t="s">
        <v>3211</v>
      </c>
      <c r="C476" t="s">
        <v>3216</v>
      </c>
      <c r="D476" t="s">
        <v>3223</v>
      </c>
      <c r="E476" t="s">
        <v>3226</v>
      </c>
      <c r="F476">
        <v>24590.65</v>
      </c>
      <c r="G476">
        <v>19063.169999999998</v>
      </c>
      <c r="H476">
        <v>3</v>
      </c>
    </row>
    <row r="477" spans="1:8" x14ac:dyDescent="0.25">
      <c r="A477" t="s">
        <v>473</v>
      </c>
      <c r="B477" t="s">
        <v>3212</v>
      </c>
      <c r="C477" t="s">
        <v>3221</v>
      </c>
      <c r="D477" t="s">
        <v>3224</v>
      </c>
      <c r="E477" t="s">
        <v>3226</v>
      </c>
      <c r="F477">
        <v>139762.84</v>
      </c>
      <c r="G477">
        <v>77406.5</v>
      </c>
      <c r="H477">
        <v>2</v>
      </c>
    </row>
    <row r="478" spans="1:8" x14ac:dyDescent="0.25">
      <c r="A478" t="s">
        <v>474</v>
      </c>
      <c r="C478" t="s">
        <v>3221</v>
      </c>
      <c r="D478" t="s">
        <v>3224</v>
      </c>
      <c r="E478" t="s">
        <v>3226</v>
      </c>
      <c r="F478">
        <v>51645.27</v>
      </c>
      <c r="H478">
        <v>1</v>
      </c>
    </row>
    <row r="479" spans="1:8" x14ac:dyDescent="0.25">
      <c r="A479" t="s">
        <v>475</v>
      </c>
      <c r="C479" t="s">
        <v>3220</v>
      </c>
      <c r="D479" t="s">
        <v>3225</v>
      </c>
      <c r="E479" t="s">
        <v>3226</v>
      </c>
      <c r="F479">
        <v>58259.199999999997</v>
      </c>
      <c r="G479">
        <v>42474.8</v>
      </c>
      <c r="H479">
        <v>3</v>
      </c>
    </row>
    <row r="480" spans="1:8" x14ac:dyDescent="0.25">
      <c r="A480" t="s">
        <v>51</v>
      </c>
      <c r="B480" t="s">
        <v>3214</v>
      </c>
      <c r="C480" t="s">
        <v>3219</v>
      </c>
      <c r="D480" t="s">
        <v>3223</v>
      </c>
      <c r="E480" t="s">
        <v>3226</v>
      </c>
      <c r="F480">
        <v>9294.92</v>
      </c>
      <c r="G480">
        <v>7289.09</v>
      </c>
      <c r="H480">
        <v>1</v>
      </c>
    </row>
    <row r="481" spans="1:8" x14ac:dyDescent="0.25">
      <c r="A481" t="s">
        <v>476</v>
      </c>
      <c r="C481" t="s">
        <v>3218</v>
      </c>
      <c r="D481" t="s">
        <v>3223</v>
      </c>
      <c r="E481" t="s">
        <v>3226</v>
      </c>
      <c r="F481">
        <v>39770.35</v>
      </c>
      <c r="G481">
        <v>27621.46</v>
      </c>
      <c r="H481">
        <v>4</v>
      </c>
    </row>
    <row r="482" spans="1:8" x14ac:dyDescent="0.25">
      <c r="A482" t="s">
        <v>477</v>
      </c>
      <c r="C482" t="s">
        <v>3221</v>
      </c>
      <c r="D482" t="s">
        <v>3225</v>
      </c>
      <c r="E482" t="s">
        <v>3226</v>
      </c>
      <c r="F482">
        <v>16430.18</v>
      </c>
      <c r="G482">
        <v>14242.75</v>
      </c>
      <c r="H482">
        <v>1</v>
      </c>
    </row>
    <row r="483" spans="1:8" x14ac:dyDescent="0.25">
      <c r="A483" t="s">
        <v>478</v>
      </c>
      <c r="B483" t="s">
        <v>3215</v>
      </c>
      <c r="C483" t="s">
        <v>3218</v>
      </c>
      <c r="D483" t="s">
        <v>3225</v>
      </c>
      <c r="E483" t="s">
        <v>3226</v>
      </c>
      <c r="F483">
        <v>107306.1</v>
      </c>
      <c r="G483">
        <v>63623.4</v>
      </c>
      <c r="H483">
        <v>5</v>
      </c>
    </row>
    <row r="484" spans="1:8" x14ac:dyDescent="0.25">
      <c r="A484" t="s">
        <v>479</v>
      </c>
      <c r="B484" t="s">
        <v>3215</v>
      </c>
      <c r="C484" t="s">
        <v>3221</v>
      </c>
      <c r="D484" t="s">
        <v>3224</v>
      </c>
      <c r="E484" t="s">
        <v>3226</v>
      </c>
      <c r="F484">
        <v>329037.33</v>
      </c>
      <c r="G484">
        <v>229371.93</v>
      </c>
      <c r="H484">
        <v>5</v>
      </c>
    </row>
    <row r="485" spans="1:8" x14ac:dyDescent="0.25">
      <c r="A485" t="s">
        <v>480</v>
      </c>
      <c r="B485" t="s">
        <v>3215</v>
      </c>
      <c r="C485" t="s">
        <v>3221</v>
      </c>
      <c r="D485" t="s">
        <v>3223</v>
      </c>
      <c r="E485" t="s">
        <v>3226</v>
      </c>
      <c r="F485">
        <v>35112.559999999998</v>
      </c>
      <c r="G485">
        <v>29543.86</v>
      </c>
      <c r="H485">
        <v>4</v>
      </c>
    </row>
    <row r="486" spans="1:8" x14ac:dyDescent="0.25">
      <c r="A486" t="s">
        <v>481</v>
      </c>
      <c r="B486" t="s">
        <v>3215</v>
      </c>
      <c r="C486" t="s">
        <v>3216</v>
      </c>
      <c r="D486" t="s">
        <v>3223</v>
      </c>
      <c r="E486" t="s">
        <v>3226</v>
      </c>
      <c r="F486">
        <v>59624.83</v>
      </c>
      <c r="G486">
        <v>37909.279999999999</v>
      </c>
      <c r="H486">
        <v>5</v>
      </c>
    </row>
    <row r="487" spans="1:8" x14ac:dyDescent="0.25">
      <c r="A487" t="s">
        <v>482</v>
      </c>
      <c r="B487" t="s">
        <v>3214</v>
      </c>
      <c r="C487" t="s">
        <v>3217</v>
      </c>
      <c r="D487" t="s">
        <v>3223</v>
      </c>
      <c r="E487" t="s">
        <v>3226</v>
      </c>
      <c r="G487">
        <v>26654.45</v>
      </c>
      <c r="H487">
        <v>4</v>
      </c>
    </row>
    <row r="488" spans="1:8" x14ac:dyDescent="0.25">
      <c r="A488" t="s">
        <v>161</v>
      </c>
      <c r="C488" t="s">
        <v>3216</v>
      </c>
      <c r="D488" t="s">
        <v>3222</v>
      </c>
      <c r="E488" t="s">
        <v>3226</v>
      </c>
      <c r="F488">
        <v>68948.17</v>
      </c>
      <c r="G488">
        <v>52193.82</v>
      </c>
    </row>
    <row r="489" spans="1:8" x14ac:dyDescent="0.25">
      <c r="A489" t="s">
        <v>483</v>
      </c>
      <c r="C489" t="s">
        <v>3219</v>
      </c>
      <c r="D489" t="s">
        <v>3225</v>
      </c>
      <c r="E489" t="s">
        <v>3226</v>
      </c>
      <c r="G489">
        <v>12486.11</v>
      </c>
      <c r="H489">
        <v>1</v>
      </c>
    </row>
    <row r="490" spans="1:8" x14ac:dyDescent="0.25">
      <c r="A490" t="s">
        <v>484</v>
      </c>
      <c r="B490" t="s">
        <v>3215</v>
      </c>
      <c r="C490" t="s">
        <v>3221</v>
      </c>
      <c r="D490" t="s">
        <v>3224</v>
      </c>
      <c r="E490" t="s">
        <v>3226</v>
      </c>
      <c r="F490">
        <v>319577.55</v>
      </c>
      <c r="G490">
        <v>224739.36</v>
      </c>
      <c r="H490">
        <v>5</v>
      </c>
    </row>
    <row r="491" spans="1:8" x14ac:dyDescent="0.25">
      <c r="A491" t="s">
        <v>485</v>
      </c>
      <c r="B491" t="s">
        <v>3214</v>
      </c>
      <c r="C491" t="s">
        <v>3220</v>
      </c>
      <c r="D491" t="s">
        <v>3224</v>
      </c>
      <c r="E491" t="s">
        <v>3226</v>
      </c>
      <c r="F491">
        <v>98211.03</v>
      </c>
      <c r="G491">
        <v>97443.54</v>
      </c>
      <c r="H491">
        <v>2</v>
      </c>
    </row>
    <row r="492" spans="1:8" x14ac:dyDescent="0.25">
      <c r="A492" t="s">
        <v>486</v>
      </c>
      <c r="B492" t="s">
        <v>3211</v>
      </c>
      <c r="C492" t="s">
        <v>3217</v>
      </c>
      <c r="D492" t="s">
        <v>3224</v>
      </c>
      <c r="E492" t="s">
        <v>3226</v>
      </c>
      <c r="F492">
        <v>58048.68</v>
      </c>
      <c r="H492">
        <v>1</v>
      </c>
    </row>
    <row r="493" spans="1:8" x14ac:dyDescent="0.25">
      <c r="A493" t="s">
        <v>487</v>
      </c>
      <c r="B493" t="s">
        <v>3215</v>
      </c>
      <c r="C493" t="s">
        <v>3216</v>
      </c>
      <c r="D493" t="s">
        <v>3222</v>
      </c>
      <c r="E493" t="s">
        <v>3226</v>
      </c>
      <c r="F493">
        <v>16344.18</v>
      </c>
      <c r="G493">
        <v>10822.02</v>
      </c>
      <c r="H493">
        <v>1</v>
      </c>
    </row>
    <row r="494" spans="1:8" x14ac:dyDescent="0.25">
      <c r="A494" t="s">
        <v>488</v>
      </c>
      <c r="B494" t="s">
        <v>3212</v>
      </c>
      <c r="C494" t="s">
        <v>3217</v>
      </c>
      <c r="D494" t="s">
        <v>3225</v>
      </c>
      <c r="E494" t="s">
        <v>3226</v>
      </c>
      <c r="F494">
        <v>21995.03</v>
      </c>
      <c r="G494">
        <v>15112.44</v>
      </c>
      <c r="H494">
        <v>1</v>
      </c>
    </row>
    <row r="495" spans="1:8" x14ac:dyDescent="0.25">
      <c r="A495" t="s">
        <v>489</v>
      </c>
      <c r="B495" t="s">
        <v>3212</v>
      </c>
      <c r="C495" t="s">
        <v>3216</v>
      </c>
      <c r="D495" t="s">
        <v>3224</v>
      </c>
      <c r="E495" t="s">
        <v>3226</v>
      </c>
      <c r="F495">
        <v>58660.4</v>
      </c>
      <c r="G495">
        <v>45850.35</v>
      </c>
      <c r="H495">
        <v>1</v>
      </c>
    </row>
    <row r="496" spans="1:8" x14ac:dyDescent="0.25">
      <c r="A496" t="s">
        <v>490</v>
      </c>
      <c r="B496" t="s">
        <v>3211</v>
      </c>
      <c r="C496" t="s">
        <v>3218</v>
      </c>
      <c r="D496" t="s">
        <v>3222</v>
      </c>
      <c r="E496" t="s">
        <v>3226</v>
      </c>
      <c r="F496">
        <v>35842.75</v>
      </c>
      <c r="G496">
        <v>20772.849999999999</v>
      </c>
      <c r="H496">
        <v>2</v>
      </c>
    </row>
    <row r="497" spans="1:8" x14ac:dyDescent="0.25">
      <c r="A497" t="s">
        <v>491</v>
      </c>
      <c r="B497" t="s">
        <v>3215</v>
      </c>
      <c r="C497" t="s">
        <v>3217</v>
      </c>
      <c r="D497" t="s">
        <v>3225</v>
      </c>
      <c r="E497" t="s">
        <v>3226</v>
      </c>
      <c r="F497">
        <v>16055.86</v>
      </c>
      <c r="G497">
        <v>13312.18</v>
      </c>
      <c r="H497">
        <v>1</v>
      </c>
    </row>
    <row r="498" spans="1:8" x14ac:dyDescent="0.25">
      <c r="A498" t="s">
        <v>492</v>
      </c>
      <c r="B498" t="s">
        <v>3211</v>
      </c>
      <c r="C498" t="s">
        <v>3217</v>
      </c>
      <c r="D498" t="s">
        <v>3224</v>
      </c>
      <c r="E498" t="s">
        <v>3226</v>
      </c>
      <c r="F498">
        <v>53605.62</v>
      </c>
      <c r="G498">
        <v>39017.1</v>
      </c>
      <c r="H498">
        <v>1</v>
      </c>
    </row>
    <row r="499" spans="1:8" x14ac:dyDescent="0.25">
      <c r="A499" t="s">
        <v>493</v>
      </c>
      <c r="C499" t="s">
        <v>3217</v>
      </c>
      <c r="D499" t="s">
        <v>3222</v>
      </c>
      <c r="E499" t="s">
        <v>3226</v>
      </c>
      <c r="F499">
        <v>67388.78</v>
      </c>
      <c r="G499">
        <v>41374.1</v>
      </c>
      <c r="H499">
        <v>4</v>
      </c>
    </row>
    <row r="500" spans="1:8" x14ac:dyDescent="0.25">
      <c r="A500" t="s">
        <v>494</v>
      </c>
      <c r="B500" t="s">
        <v>3215</v>
      </c>
      <c r="C500" t="s">
        <v>3216</v>
      </c>
      <c r="D500" t="s">
        <v>3222</v>
      </c>
      <c r="E500" t="s">
        <v>3226</v>
      </c>
      <c r="F500">
        <v>17065.89</v>
      </c>
      <c r="G500">
        <v>10789.52</v>
      </c>
      <c r="H500">
        <v>1</v>
      </c>
    </row>
    <row r="501" spans="1:8" x14ac:dyDescent="0.25">
      <c r="A501" t="s">
        <v>495</v>
      </c>
      <c r="B501" t="s">
        <v>3212</v>
      </c>
      <c r="C501" t="s">
        <v>3216</v>
      </c>
      <c r="D501" t="s">
        <v>3224</v>
      </c>
      <c r="E501" t="s">
        <v>3226</v>
      </c>
      <c r="F501">
        <v>254239.27</v>
      </c>
      <c r="G501">
        <v>200918.05</v>
      </c>
      <c r="H501">
        <v>5</v>
      </c>
    </row>
    <row r="502" spans="1:8" x14ac:dyDescent="0.25">
      <c r="A502" t="s">
        <v>496</v>
      </c>
      <c r="B502" t="s">
        <v>3212</v>
      </c>
      <c r="C502" t="s">
        <v>3217</v>
      </c>
      <c r="D502" t="s">
        <v>3224</v>
      </c>
      <c r="E502" t="s">
        <v>3226</v>
      </c>
      <c r="F502">
        <v>281740.37</v>
      </c>
      <c r="G502">
        <v>193914.1</v>
      </c>
      <c r="H502">
        <v>4</v>
      </c>
    </row>
    <row r="503" spans="1:8" x14ac:dyDescent="0.25">
      <c r="A503" t="s">
        <v>497</v>
      </c>
      <c r="C503" t="s">
        <v>3217</v>
      </c>
      <c r="D503" t="s">
        <v>3224</v>
      </c>
      <c r="E503" t="s">
        <v>3226</v>
      </c>
      <c r="F503">
        <v>264435.53999999998</v>
      </c>
      <c r="G503">
        <v>173045.38</v>
      </c>
      <c r="H503">
        <v>4</v>
      </c>
    </row>
    <row r="504" spans="1:8" x14ac:dyDescent="0.25">
      <c r="A504" t="s">
        <v>498</v>
      </c>
      <c r="B504" t="s">
        <v>3211</v>
      </c>
      <c r="C504" t="s">
        <v>3216</v>
      </c>
      <c r="D504" t="s">
        <v>3223</v>
      </c>
      <c r="E504" t="s">
        <v>3226</v>
      </c>
      <c r="F504">
        <v>10582.14</v>
      </c>
      <c r="G504">
        <v>6222.6</v>
      </c>
      <c r="H504">
        <v>1</v>
      </c>
    </row>
    <row r="505" spans="1:8" x14ac:dyDescent="0.25">
      <c r="A505" t="s">
        <v>499</v>
      </c>
      <c r="C505" t="s">
        <v>3217</v>
      </c>
      <c r="D505" t="s">
        <v>3222</v>
      </c>
      <c r="E505" t="s">
        <v>3226</v>
      </c>
      <c r="F505">
        <v>32816.5</v>
      </c>
      <c r="G505">
        <v>20497.98</v>
      </c>
      <c r="H505">
        <v>2</v>
      </c>
    </row>
    <row r="506" spans="1:8" x14ac:dyDescent="0.25">
      <c r="A506" t="s">
        <v>500</v>
      </c>
      <c r="B506" t="s">
        <v>3212</v>
      </c>
      <c r="C506" t="s">
        <v>3221</v>
      </c>
      <c r="D506" t="s">
        <v>3224</v>
      </c>
      <c r="E506" t="s">
        <v>3226</v>
      </c>
      <c r="F506">
        <v>132862.56</v>
      </c>
      <c r="G506">
        <v>90642.74</v>
      </c>
      <c r="H506">
        <v>2</v>
      </c>
    </row>
    <row r="507" spans="1:8" x14ac:dyDescent="0.25">
      <c r="A507" t="s">
        <v>501</v>
      </c>
      <c r="B507" t="s">
        <v>3211</v>
      </c>
      <c r="C507" t="s">
        <v>3217</v>
      </c>
      <c r="D507" t="s">
        <v>3222</v>
      </c>
      <c r="E507" t="s">
        <v>3226</v>
      </c>
      <c r="F507">
        <v>14008.73</v>
      </c>
      <c r="G507">
        <v>9284.26</v>
      </c>
      <c r="H507">
        <v>1</v>
      </c>
    </row>
    <row r="508" spans="1:8" x14ac:dyDescent="0.25">
      <c r="A508" t="s">
        <v>502</v>
      </c>
      <c r="C508" t="s">
        <v>3221</v>
      </c>
      <c r="D508" t="s">
        <v>3223</v>
      </c>
      <c r="E508" t="s">
        <v>3226</v>
      </c>
      <c r="F508">
        <v>9703.99</v>
      </c>
      <c r="G508">
        <v>7643.55</v>
      </c>
      <c r="H508">
        <v>1</v>
      </c>
    </row>
    <row r="509" spans="1:8" x14ac:dyDescent="0.25">
      <c r="A509" t="s">
        <v>503</v>
      </c>
      <c r="C509" t="s">
        <v>3219</v>
      </c>
      <c r="D509" t="s">
        <v>3223</v>
      </c>
      <c r="E509" t="s">
        <v>3226</v>
      </c>
      <c r="F509">
        <v>8772.64</v>
      </c>
      <c r="G509">
        <v>6774.79</v>
      </c>
      <c r="H509">
        <v>1</v>
      </c>
    </row>
    <row r="510" spans="1:8" x14ac:dyDescent="0.25">
      <c r="A510" t="s">
        <v>504</v>
      </c>
      <c r="B510" t="s">
        <v>3215</v>
      </c>
      <c r="C510" t="s">
        <v>3219</v>
      </c>
      <c r="D510" t="s">
        <v>3224</v>
      </c>
      <c r="E510" t="s">
        <v>3226</v>
      </c>
      <c r="F510">
        <v>148013.34</v>
      </c>
      <c r="G510">
        <v>135331.18</v>
      </c>
      <c r="H510">
        <v>3</v>
      </c>
    </row>
    <row r="511" spans="1:8" x14ac:dyDescent="0.25">
      <c r="A511" t="s">
        <v>505</v>
      </c>
      <c r="B511" t="s">
        <v>3211</v>
      </c>
      <c r="C511" t="s">
        <v>3219</v>
      </c>
      <c r="D511" t="s">
        <v>3223</v>
      </c>
      <c r="E511" t="s">
        <v>3226</v>
      </c>
      <c r="F511">
        <v>8982.2000000000007</v>
      </c>
      <c r="G511">
        <v>7371.57</v>
      </c>
      <c r="H511">
        <v>1</v>
      </c>
    </row>
    <row r="512" spans="1:8" x14ac:dyDescent="0.25">
      <c r="A512" t="s">
        <v>506</v>
      </c>
      <c r="B512" t="s">
        <v>3215</v>
      </c>
      <c r="C512" t="s">
        <v>3218</v>
      </c>
      <c r="D512" t="s">
        <v>3222</v>
      </c>
      <c r="E512" t="s">
        <v>3226</v>
      </c>
      <c r="F512">
        <v>76619.8</v>
      </c>
      <c r="G512">
        <v>49181.99</v>
      </c>
      <c r="H512">
        <v>5</v>
      </c>
    </row>
    <row r="513" spans="1:8" x14ac:dyDescent="0.25">
      <c r="A513" t="s">
        <v>507</v>
      </c>
      <c r="B513" t="s">
        <v>3213</v>
      </c>
      <c r="C513" t="s">
        <v>3218</v>
      </c>
      <c r="D513" t="s">
        <v>3222</v>
      </c>
      <c r="E513" t="s">
        <v>3226</v>
      </c>
      <c r="F513">
        <v>70849.5</v>
      </c>
      <c r="G513">
        <v>41379.279999999999</v>
      </c>
    </row>
    <row r="514" spans="1:8" x14ac:dyDescent="0.25">
      <c r="A514" t="s">
        <v>508</v>
      </c>
      <c r="B514" t="s">
        <v>3212</v>
      </c>
      <c r="C514" t="s">
        <v>3220</v>
      </c>
      <c r="D514" t="s">
        <v>3222</v>
      </c>
      <c r="E514" t="s">
        <v>3226</v>
      </c>
      <c r="F514">
        <v>37567.97</v>
      </c>
      <c r="G514">
        <v>29155.38</v>
      </c>
      <c r="H514">
        <v>3</v>
      </c>
    </row>
    <row r="515" spans="1:8" x14ac:dyDescent="0.25">
      <c r="A515" t="s">
        <v>509</v>
      </c>
      <c r="B515" t="s">
        <v>3213</v>
      </c>
      <c r="C515" t="s">
        <v>3216</v>
      </c>
      <c r="D515" t="s">
        <v>3225</v>
      </c>
      <c r="E515" t="s">
        <v>3226</v>
      </c>
      <c r="F515">
        <v>61654.93</v>
      </c>
      <c r="G515">
        <v>43702.83</v>
      </c>
      <c r="H515">
        <v>3</v>
      </c>
    </row>
    <row r="516" spans="1:8" x14ac:dyDescent="0.25">
      <c r="A516" t="s">
        <v>510</v>
      </c>
      <c r="B516" t="s">
        <v>3211</v>
      </c>
      <c r="C516" t="s">
        <v>3216</v>
      </c>
      <c r="D516" t="s">
        <v>3224</v>
      </c>
      <c r="E516" t="s">
        <v>3226</v>
      </c>
      <c r="F516">
        <v>269289.34000000003</v>
      </c>
      <c r="G516">
        <v>191026.78</v>
      </c>
      <c r="H516">
        <v>4</v>
      </c>
    </row>
    <row r="517" spans="1:8" x14ac:dyDescent="0.25">
      <c r="A517" t="s">
        <v>511</v>
      </c>
      <c r="B517" t="s">
        <v>3214</v>
      </c>
      <c r="C517" t="s">
        <v>3216</v>
      </c>
      <c r="D517" t="s">
        <v>3225</v>
      </c>
      <c r="E517" t="s">
        <v>3226</v>
      </c>
      <c r="F517">
        <v>69965.429999999993</v>
      </c>
      <c r="G517">
        <v>58091.17</v>
      </c>
      <c r="H517">
        <v>4</v>
      </c>
    </row>
    <row r="518" spans="1:8" x14ac:dyDescent="0.25">
      <c r="A518" t="s">
        <v>248</v>
      </c>
      <c r="C518" t="s">
        <v>3219</v>
      </c>
      <c r="D518" t="s">
        <v>3223</v>
      </c>
      <c r="E518" t="s">
        <v>3226</v>
      </c>
      <c r="F518">
        <v>47915.55</v>
      </c>
      <c r="G518">
        <v>35115.08</v>
      </c>
      <c r="H518">
        <v>5</v>
      </c>
    </row>
    <row r="519" spans="1:8" x14ac:dyDescent="0.25">
      <c r="A519" t="s">
        <v>512</v>
      </c>
      <c r="C519" t="s">
        <v>3216</v>
      </c>
      <c r="D519" t="s">
        <v>3223</v>
      </c>
      <c r="E519" t="s">
        <v>3226</v>
      </c>
      <c r="H519">
        <v>2</v>
      </c>
    </row>
    <row r="520" spans="1:8" x14ac:dyDescent="0.25">
      <c r="A520" t="s">
        <v>513</v>
      </c>
      <c r="B520" t="s">
        <v>3212</v>
      </c>
      <c r="C520" t="s">
        <v>3216</v>
      </c>
      <c r="D520" t="s">
        <v>3225</v>
      </c>
      <c r="E520" t="s">
        <v>3226</v>
      </c>
      <c r="F520">
        <v>91422.86</v>
      </c>
      <c r="G520">
        <v>60742</v>
      </c>
      <c r="H520">
        <v>4</v>
      </c>
    </row>
    <row r="521" spans="1:8" x14ac:dyDescent="0.25">
      <c r="A521" t="s">
        <v>514</v>
      </c>
      <c r="B521" t="s">
        <v>3214</v>
      </c>
      <c r="C521" t="s">
        <v>3217</v>
      </c>
      <c r="D521" t="s">
        <v>3224</v>
      </c>
      <c r="E521" t="s">
        <v>3226</v>
      </c>
      <c r="F521">
        <v>347687.67999999999</v>
      </c>
      <c r="G521">
        <v>197965.18</v>
      </c>
      <c r="H521">
        <v>5</v>
      </c>
    </row>
    <row r="522" spans="1:8" x14ac:dyDescent="0.25">
      <c r="A522" t="s">
        <v>515</v>
      </c>
      <c r="B522" t="s">
        <v>3211</v>
      </c>
      <c r="C522" t="s">
        <v>3218</v>
      </c>
      <c r="D522" t="s">
        <v>3223</v>
      </c>
      <c r="E522" t="s">
        <v>3226</v>
      </c>
      <c r="F522">
        <v>34216.870000000003</v>
      </c>
      <c r="G522">
        <v>18292.39</v>
      </c>
      <c r="H522">
        <v>3</v>
      </c>
    </row>
    <row r="523" spans="1:8" x14ac:dyDescent="0.25">
      <c r="A523" t="s">
        <v>516</v>
      </c>
      <c r="B523" t="s">
        <v>3211</v>
      </c>
      <c r="C523" t="s">
        <v>3221</v>
      </c>
      <c r="D523" t="s">
        <v>3224</v>
      </c>
      <c r="E523" t="s">
        <v>3226</v>
      </c>
      <c r="F523">
        <v>158147.06</v>
      </c>
      <c r="H523">
        <v>3</v>
      </c>
    </row>
    <row r="524" spans="1:8" x14ac:dyDescent="0.25">
      <c r="A524" t="s">
        <v>517</v>
      </c>
      <c r="B524" t="s">
        <v>3213</v>
      </c>
      <c r="C524" t="s">
        <v>3219</v>
      </c>
      <c r="D524" t="s">
        <v>3222</v>
      </c>
      <c r="E524" t="s">
        <v>3226</v>
      </c>
      <c r="F524">
        <v>35161.980000000003</v>
      </c>
      <c r="G524">
        <v>19637.939999999999</v>
      </c>
      <c r="H524">
        <v>2</v>
      </c>
    </row>
    <row r="525" spans="1:8" x14ac:dyDescent="0.25">
      <c r="A525" t="s">
        <v>518</v>
      </c>
      <c r="C525" t="s">
        <v>3218</v>
      </c>
      <c r="D525" t="s">
        <v>3224</v>
      </c>
      <c r="E525" t="s">
        <v>3226</v>
      </c>
      <c r="F525">
        <v>114227.4</v>
      </c>
      <c r="G525">
        <v>90386.87</v>
      </c>
      <c r="H525">
        <v>2</v>
      </c>
    </row>
    <row r="526" spans="1:8" x14ac:dyDescent="0.25">
      <c r="A526" t="s">
        <v>519</v>
      </c>
      <c r="B526" t="s">
        <v>3213</v>
      </c>
      <c r="C526" t="s">
        <v>3218</v>
      </c>
      <c r="D526" t="s">
        <v>3222</v>
      </c>
      <c r="E526" t="s">
        <v>3226</v>
      </c>
      <c r="F526">
        <v>47220.83</v>
      </c>
      <c r="G526">
        <v>30018.52</v>
      </c>
      <c r="H526">
        <v>3</v>
      </c>
    </row>
    <row r="527" spans="1:8" x14ac:dyDescent="0.25">
      <c r="A527" t="s">
        <v>520</v>
      </c>
      <c r="B527" t="s">
        <v>3215</v>
      </c>
      <c r="C527" t="s">
        <v>3220</v>
      </c>
      <c r="D527" t="s">
        <v>3225</v>
      </c>
      <c r="E527" t="s">
        <v>3226</v>
      </c>
      <c r="F527">
        <v>80213.95</v>
      </c>
      <c r="G527">
        <v>59584.02</v>
      </c>
      <c r="H527">
        <v>4</v>
      </c>
    </row>
    <row r="528" spans="1:8" x14ac:dyDescent="0.25">
      <c r="A528" t="s">
        <v>10</v>
      </c>
      <c r="B528" t="s">
        <v>3212</v>
      </c>
      <c r="C528" t="s">
        <v>3218</v>
      </c>
      <c r="D528" t="s">
        <v>3225</v>
      </c>
      <c r="E528" t="s">
        <v>3226</v>
      </c>
      <c r="G528">
        <v>65385.66</v>
      </c>
      <c r="H528">
        <v>5</v>
      </c>
    </row>
    <row r="529" spans="1:8" x14ac:dyDescent="0.25">
      <c r="A529" t="s">
        <v>521</v>
      </c>
      <c r="B529" t="s">
        <v>3212</v>
      </c>
      <c r="C529" t="s">
        <v>3221</v>
      </c>
      <c r="D529" t="s">
        <v>3223</v>
      </c>
      <c r="E529" t="s">
        <v>3226</v>
      </c>
      <c r="F529">
        <v>45627.01</v>
      </c>
      <c r="G529">
        <v>33753.78</v>
      </c>
      <c r="H529">
        <v>5</v>
      </c>
    </row>
    <row r="530" spans="1:8" x14ac:dyDescent="0.25">
      <c r="A530" t="s">
        <v>522</v>
      </c>
      <c r="B530" t="s">
        <v>3211</v>
      </c>
      <c r="C530" t="s">
        <v>3220</v>
      </c>
      <c r="D530" t="s">
        <v>3225</v>
      </c>
      <c r="E530" t="s">
        <v>3226</v>
      </c>
      <c r="F530">
        <v>22149.98</v>
      </c>
      <c r="G530">
        <v>12116.81</v>
      </c>
    </row>
    <row r="531" spans="1:8" x14ac:dyDescent="0.25">
      <c r="A531" t="s">
        <v>523</v>
      </c>
      <c r="B531" t="s">
        <v>3211</v>
      </c>
      <c r="C531" t="s">
        <v>3217</v>
      </c>
      <c r="D531" t="s">
        <v>3224</v>
      </c>
      <c r="E531" t="s">
        <v>3226</v>
      </c>
      <c r="F531">
        <v>108595.6</v>
      </c>
      <c r="H531">
        <v>2</v>
      </c>
    </row>
    <row r="532" spans="1:8" x14ac:dyDescent="0.25">
      <c r="A532" t="s">
        <v>524</v>
      </c>
      <c r="B532" t="s">
        <v>3215</v>
      </c>
      <c r="C532" t="s">
        <v>3216</v>
      </c>
      <c r="D532" t="s">
        <v>3223</v>
      </c>
      <c r="E532" t="s">
        <v>3226</v>
      </c>
      <c r="F532">
        <v>41989.89</v>
      </c>
      <c r="G532">
        <v>36457.71</v>
      </c>
      <c r="H532">
        <v>5</v>
      </c>
    </row>
    <row r="533" spans="1:8" x14ac:dyDescent="0.25">
      <c r="A533" t="s">
        <v>525</v>
      </c>
      <c r="B533" t="s">
        <v>3215</v>
      </c>
      <c r="C533" t="s">
        <v>3219</v>
      </c>
      <c r="D533" t="s">
        <v>3225</v>
      </c>
      <c r="E533" t="s">
        <v>3226</v>
      </c>
      <c r="F533">
        <v>64444.19</v>
      </c>
      <c r="G533">
        <v>38745.46</v>
      </c>
      <c r="H533">
        <v>3</v>
      </c>
    </row>
    <row r="534" spans="1:8" x14ac:dyDescent="0.25">
      <c r="A534" t="s">
        <v>168</v>
      </c>
      <c r="B534" t="s">
        <v>3213</v>
      </c>
      <c r="C534" t="s">
        <v>3219</v>
      </c>
      <c r="D534" t="s">
        <v>3224</v>
      </c>
      <c r="E534" t="s">
        <v>3226</v>
      </c>
      <c r="F534">
        <v>259751.91</v>
      </c>
      <c r="G534">
        <v>194843.24</v>
      </c>
      <c r="H534">
        <v>5</v>
      </c>
    </row>
    <row r="535" spans="1:8" x14ac:dyDescent="0.25">
      <c r="A535" t="s">
        <v>526</v>
      </c>
      <c r="B535" t="s">
        <v>3213</v>
      </c>
      <c r="C535" t="s">
        <v>3220</v>
      </c>
      <c r="D535" t="s">
        <v>3224</v>
      </c>
      <c r="E535" t="s">
        <v>3226</v>
      </c>
      <c r="F535">
        <v>312385.57</v>
      </c>
      <c r="G535">
        <v>195733.97</v>
      </c>
      <c r="H535">
        <v>5</v>
      </c>
    </row>
    <row r="536" spans="1:8" x14ac:dyDescent="0.25">
      <c r="A536" t="s">
        <v>527</v>
      </c>
      <c r="B536" t="s">
        <v>3213</v>
      </c>
      <c r="C536" t="s">
        <v>3221</v>
      </c>
      <c r="D536" t="s">
        <v>3223</v>
      </c>
      <c r="E536" t="s">
        <v>3226</v>
      </c>
      <c r="F536">
        <v>50746.81</v>
      </c>
      <c r="G536">
        <v>31429.61</v>
      </c>
      <c r="H536">
        <v>5</v>
      </c>
    </row>
    <row r="537" spans="1:8" x14ac:dyDescent="0.25">
      <c r="A537" t="s">
        <v>528</v>
      </c>
      <c r="B537" t="s">
        <v>3211</v>
      </c>
      <c r="C537" t="s">
        <v>3220</v>
      </c>
      <c r="D537" t="s">
        <v>3222</v>
      </c>
      <c r="E537" t="s">
        <v>3226</v>
      </c>
      <c r="F537">
        <v>66154.83</v>
      </c>
      <c r="G537">
        <v>38741.58</v>
      </c>
    </row>
    <row r="538" spans="1:8" x14ac:dyDescent="0.25">
      <c r="A538" t="s">
        <v>529</v>
      </c>
      <c r="B538" t="s">
        <v>3213</v>
      </c>
      <c r="C538" t="s">
        <v>3216</v>
      </c>
      <c r="D538" t="s">
        <v>3222</v>
      </c>
      <c r="E538" t="s">
        <v>3226</v>
      </c>
      <c r="F538">
        <v>63910.59</v>
      </c>
      <c r="G538">
        <v>45044.19</v>
      </c>
      <c r="H538">
        <v>5</v>
      </c>
    </row>
    <row r="539" spans="1:8" x14ac:dyDescent="0.25">
      <c r="A539" t="s">
        <v>530</v>
      </c>
      <c r="B539" t="s">
        <v>3211</v>
      </c>
      <c r="C539" t="s">
        <v>3219</v>
      </c>
      <c r="D539" t="s">
        <v>3225</v>
      </c>
      <c r="E539" t="s">
        <v>3226</v>
      </c>
      <c r="F539">
        <v>92072.37</v>
      </c>
      <c r="G539">
        <v>60154.45</v>
      </c>
      <c r="H539">
        <v>5</v>
      </c>
    </row>
    <row r="540" spans="1:8" x14ac:dyDescent="0.25">
      <c r="A540" t="s">
        <v>531</v>
      </c>
      <c r="B540" t="s">
        <v>3215</v>
      </c>
      <c r="C540" t="s">
        <v>3218</v>
      </c>
      <c r="D540" t="s">
        <v>3225</v>
      </c>
      <c r="E540" t="s">
        <v>3226</v>
      </c>
      <c r="F540">
        <v>44022.77</v>
      </c>
      <c r="G540">
        <v>30389.34</v>
      </c>
      <c r="H540">
        <v>2</v>
      </c>
    </row>
    <row r="541" spans="1:8" x14ac:dyDescent="0.25">
      <c r="A541" t="s">
        <v>532</v>
      </c>
      <c r="C541" t="s">
        <v>3216</v>
      </c>
      <c r="D541" t="s">
        <v>3223</v>
      </c>
      <c r="E541" t="s">
        <v>3226</v>
      </c>
      <c r="F541">
        <v>26457.63</v>
      </c>
      <c r="G541">
        <v>22039.49</v>
      </c>
      <c r="H541">
        <v>3</v>
      </c>
    </row>
    <row r="542" spans="1:8" x14ac:dyDescent="0.25">
      <c r="A542" t="s">
        <v>533</v>
      </c>
      <c r="B542" t="s">
        <v>3214</v>
      </c>
      <c r="C542" t="s">
        <v>3221</v>
      </c>
      <c r="D542" t="s">
        <v>3222</v>
      </c>
      <c r="E542" t="s">
        <v>3226</v>
      </c>
      <c r="F542">
        <v>24563.91</v>
      </c>
      <c r="G542">
        <v>18694.07</v>
      </c>
      <c r="H542">
        <v>2</v>
      </c>
    </row>
    <row r="543" spans="1:8" x14ac:dyDescent="0.25">
      <c r="A543" t="s">
        <v>534</v>
      </c>
      <c r="B543" t="s">
        <v>3212</v>
      </c>
      <c r="C543" t="s">
        <v>3219</v>
      </c>
      <c r="D543" t="s">
        <v>3225</v>
      </c>
      <c r="E543" t="s">
        <v>3226</v>
      </c>
      <c r="F543">
        <v>18609.759999999998</v>
      </c>
      <c r="G543">
        <v>14546.67</v>
      </c>
      <c r="H543">
        <v>1</v>
      </c>
    </row>
    <row r="544" spans="1:8" x14ac:dyDescent="0.25">
      <c r="A544" t="s">
        <v>535</v>
      </c>
      <c r="C544" t="s">
        <v>3217</v>
      </c>
      <c r="D544" t="s">
        <v>3224</v>
      </c>
      <c r="E544" t="s">
        <v>3226</v>
      </c>
      <c r="F544">
        <v>101675.44</v>
      </c>
      <c r="G544">
        <v>97963.77</v>
      </c>
      <c r="H544">
        <v>2</v>
      </c>
    </row>
    <row r="545" spans="1:8" x14ac:dyDescent="0.25">
      <c r="A545" t="s">
        <v>536</v>
      </c>
      <c r="B545" t="s">
        <v>3214</v>
      </c>
      <c r="C545" t="s">
        <v>3221</v>
      </c>
      <c r="D545" t="s">
        <v>3223</v>
      </c>
      <c r="E545" t="s">
        <v>3226</v>
      </c>
      <c r="F545">
        <v>9129.26</v>
      </c>
      <c r="G545">
        <v>6974.27</v>
      </c>
      <c r="H545">
        <v>1</v>
      </c>
    </row>
    <row r="546" spans="1:8" x14ac:dyDescent="0.25">
      <c r="A546" t="s">
        <v>537</v>
      </c>
      <c r="B546" t="s">
        <v>3213</v>
      </c>
      <c r="C546" t="s">
        <v>3221</v>
      </c>
      <c r="D546" t="s">
        <v>3225</v>
      </c>
      <c r="E546" t="s">
        <v>3226</v>
      </c>
      <c r="F546">
        <v>21738.1</v>
      </c>
      <c r="G546">
        <v>13937.25</v>
      </c>
      <c r="H546">
        <v>1</v>
      </c>
    </row>
    <row r="547" spans="1:8" x14ac:dyDescent="0.25">
      <c r="A547" t="s">
        <v>538</v>
      </c>
      <c r="B547" t="s">
        <v>3213</v>
      </c>
      <c r="C547" t="s">
        <v>3219</v>
      </c>
      <c r="D547" t="s">
        <v>3225</v>
      </c>
      <c r="E547" t="s">
        <v>3226</v>
      </c>
      <c r="F547">
        <v>16665.78</v>
      </c>
      <c r="G547">
        <v>14920.36</v>
      </c>
      <c r="H547">
        <v>1</v>
      </c>
    </row>
    <row r="548" spans="1:8" x14ac:dyDescent="0.25">
      <c r="A548" t="s">
        <v>539</v>
      </c>
      <c r="B548" t="s">
        <v>3211</v>
      </c>
      <c r="C548" t="s">
        <v>3219</v>
      </c>
      <c r="D548" t="s">
        <v>3222</v>
      </c>
      <c r="E548" t="s">
        <v>3226</v>
      </c>
      <c r="F548">
        <v>61866.15</v>
      </c>
      <c r="G548">
        <v>52783.79</v>
      </c>
      <c r="H548">
        <v>5</v>
      </c>
    </row>
    <row r="549" spans="1:8" x14ac:dyDescent="0.25">
      <c r="A549" t="s">
        <v>540</v>
      </c>
      <c r="B549" t="s">
        <v>3212</v>
      </c>
      <c r="C549" t="s">
        <v>3218</v>
      </c>
      <c r="D549" t="s">
        <v>3225</v>
      </c>
      <c r="E549" t="s">
        <v>3226</v>
      </c>
      <c r="F549">
        <v>73531.5</v>
      </c>
      <c r="G549">
        <v>58520.67</v>
      </c>
      <c r="H549">
        <v>4</v>
      </c>
    </row>
    <row r="550" spans="1:8" x14ac:dyDescent="0.25">
      <c r="A550" t="s">
        <v>541</v>
      </c>
      <c r="B550" t="s">
        <v>3214</v>
      </c>
      <c r="C550" t="s">
        <v>3218</v>
      </c>
      <c r="D550" t="s">
        <v>3222</v>
      </c>
      <c r="E550" t="s">
        <v>3226</v>
      </c>
      <c r="F550">
        <v>29480.77</v>
      </c>
      <c r="H550">
        <v>2</v>
      </c>
    </row>
    <row r="551" spans="1:8" x14ac:dyDescent="0.25">
      <c r="A551" t="s">
        <v>542</v>
      </c>
      <c r="B551" t="s">
        <v>3213</v>
      </c>
      <c r="C551" t="s">
        <v>3218</v>
      </c>
      <c r="D551" t="s">
        <v>3223</v>
      </c>
      <c r="E551" t="s">
        <v>3226</v>
      </c>
      <c r="G551">
        <v>6443.19</v>
      </c>
    </row>
    <row r="552" spans="1:8" x14ac:dyDescent="0.25">
      <c r="A552" t="s">
        <v>543</v>
      </c>
      <c r="B552" t="s">
        <v>3213</v>
      </c>
      <c r="C552" t="s">
        <v>3219</v>
      </c>
      <c r="D552" t="s">
        <v>3223</v>
      </c>
      <c r="E552" t="s">
        <v>3226</v>
      </c>
      <c r="F552">
        <v>24325.279999999999</v>
      </c>
      <c r="H552">
        <v>3</v>
      </c>
    </row>
    <row r="553" spans="1:8" x14ac:dyDescent="0.25">
      <c r="A553" t="s">
        <v>57</v>
      </c>
      <c r="B553" t="s">
        <v>3213</v>
      </c>
      <c r="C553" t="s">
        <v>3216</v>
      </c>
      <c r="D553" t="s">
        <v>3223</v>
      </c>
      <c r="E553" t="s">
        <v>3226</v>
      </c>
      <c r="F553">
        <v>20077.25</v>
      </c>
      <c r="G553">
        <v>15081.03</v>
      </c>
      <c r="H553">
        <v>2</v>
      </c>
    </row>
    <row r="554" spans="1:8" x14ac:dyDescent="0.25">
      <c r="A554" t="s">
        <v>544</v>
      </c>
      <c r="B554" t="s">
        <v>3211</v>
      </c>
      <c r="C554" t="s">
        <v>3221</v>
      </c>
      <c r="D554" t="s">
        <v>3225</v>
      </c>
      <c r="E554" t="s">
        <v>3226</v>
      </c>
      <c r="F554">
        <v>23670.97</v>
      </c>
      <c r="G554">
        <v>12399.85</v>
      </c>
      <c r="H554">
        <v>1</v>
      </c>
    </row>
    <row r="555" spans="1:8" x14ac:dyDescent="0.25">
      <c r="A555" t="s">
        <v>178</v>
      </c>
      <c r="B555" t="s">
        <v>3211</v>
      </c>
      <c r="C555" t="s">
        <v>3219</v>
      </c>
      <c r="D555" t="s">
        <v>3225</v>
      </c>
      <c r="E555" t="s">
        <v>3226</v>
      </c>
      <c r="F555">
        <v>95690.68</v>
      </c>
      <c r="G555">
        <v>67332.160000000003</v>
      </c>
      <c r="H555">
        <v>5</v>
      </c>
    </row>
    <row r="556" spans="1:8" x14ac:dyDescent="0.25">
      <c r="A556" t="s">
        <v>545</v>
      </c>
      <c r="B556" t="s">
        <v>3212</v>
      </c>
      <c r="C556" t="s">
        <v>3219</v>
      </c>
      <c r="D556" t="s">
        <v>3224</v>
      </c>
      <c r="E556" t="s">
        <v>3226</v>
      </c>
      <c r="F556">
        <v>162627.19</v>
      </c>
      <c r="G556">
        <v>126467.74</v>
      </c>
      <c r="H556">
        <v>3</v>
      </c>
    </row>
    <row r="557" spans="1:8" x14ac:dyDescent="0.25">
      <c r="A557" t="s">
        <v>546</v>
      </c>
      <c r="B557" t="s">
        <v>3214</v>
      </c>
      <c r="C557" t="s">
        <v>3220</v>
      </c>
      <c r="D557" t="s">
        <v>3222</v>
      </c>
      <c r="E557" t="s">
        <v>3226</v>
      </c>
      <c r="F557">
        <v>66916.820000000007</v>
      </c>
      <c r="G557">
        <v>34240.410000000003</v>
      </c>
      <c r="H557">
        <v>4</v>
      </c>
    </row>
    <row r="558" spans="1:8" x14ac:dyDescent="0.25">
      <c r="A558" t="s">
        <v>547</v>
      </c>
      <c r="C558" t="s">
        <v>3218</v>
      </c>
      <c r="D558" t="s">
        <v>3222</v>
      </c>
      <c r="E558" t="s">
        <v>3226</v>
      </c>
      <c r="F558">
        <v>50327.49</v>
      </c>
      <c r="G558">
        <v>34557.07</v>
      </c>
      <c r="H558">
        <v>4</v>
      </c>
    </row>
    <row r="559" spans="1:8" x14ac:dyDescent="0.25">
      <c r="A559" t="s">
        <v>548</v>
      </c>
      <c r="B559" t="s">
        <v>3213</v>
      </c>
      <c r="C559" t="s">
        <v>3220</v>
      </c>
      <c r="D559" t="s">
        <v>3225</v>
      </c>
      <c r="E559" t="s">
        <v>3226</v>
      </c>
      <c r="F559">
        <v>47844.56</v>
      </c>
      <c r="G559">
        <v>28079.39</v>
      </c>
      <c r="H559">
        <v>2</v>
      </c>
    </row>
    <row r="560" spans="1:8" x14ac:dyDescent="0.25">
      <c r="A560" t="s">
        <v>208</v>
      </c>
      <c r="B560" t="s">
        <v>3215</v>
      </c>
      <c r="C560" t="s">
        <v>3219</v>
      </c>
      <c r="D560" t="s">
        <v>3222</v>
      </c>
      <c r="E560" t="s">
        <v>3226</v>
      </c>
      <c r="F560">
        <v>59620.15</v>
      </c>
      <c r="G560">
        <v>41940.14</v>
      </c>
      <c r="H560">
        <v>4</v>
      </c>
    </row>
    <row r="561" spans="1:8" x14ac:dyDescent="0.25">
      <c r="A561" t="s">
        <v>549</v>
      </c>
      <c r="B561" t="s">
        <v>3214</v>
      </c>
      <c r="C561" t="s">
        <v>3220</v>
      </c>
      <c r="D561" t="s">
        <v>3222</v>
      </c>
      <c r="E561" t="s">
        <v>3226</v>
      </c>
      <c r="F561">
        <v>36163.57</v>
      </c>
      <c r="G561">
        <v>30362.23</v>
      </c>
      <c r="H561">
        <v>3</v>
      </c>
    </row>
    <row r="562" spans="1:8" x14ac:dyDescent="0.25">
      <c r="A562" t="s">
        <v>550</v>
      </c>
      <c r="B562" t="s">
        <v>3215</v>
      </c>
      <c r="C562" t="s">
        <v>3217</v>
      </c>
      <c r="D562" t="s">
        <v>3224</v>
      </c>
      <c r="E562" t="s">
        <v>3226</v>
      </c>
      <c r="F562">
        <v>137663.01999999999</v>
      </c>
      <c r="G562">
        <v>89619.88</v>
      </c>
      <c r="H562">
        <v>2</v>
      </c>
    </row>
    <row r="563" spans="1:8" x14ac:dyDescent="0.25">
      <c r="A563" t="s">
        <v>551</v>
      </c>
      <c r="B563" t="s">
        <v>3214</v>
      </c>
      <c r="C563" t="s">
        <v>3217</v>
      </c>
      <c r="D563" t="s">
        <v>3223</v>
      </c>
      <c r="E563" t="s">
        <v>3226</v>
      </c>
      <c r="F563">
        <v>35497.660000000003</v>
      </c>
      <c r="G563">
        <v>19150.07</v>
      </c>
      <c r="H563">
        <v>3</v>
      </c>
    </row>
    <row r="564" spans="1:8" x14ac:dyDescent="0.25">
      <c r="A564" t="s">
        <v>552</v>
      </c>
      <c r="B564" t="s">
        <v>3211</v>
      </c>
      <c r="C564" t="s">
        <v>3216</v>
      </c>
      <c r="D564" t="s">
        <v>3225</v>
      </c>
      <c r="E564" t="s">
        <v>3226</v>
      </c>
      <c r="F564">
        <v>71370.22</v>
      </c>
      <c r="G564">
        <v>49089.760000000002</v>
      </c>
      <c r="H564">
        <v>4</v>
      </c>
    </row>
    <row r="565" spans="1:8" x14ac:dyDescent="0.25">
      <c r="A565" t="s">
        <v>553</v>
      </c>
      <c r="C565" t="s">
        <v>3220</v>
      </c>
      <c r="D565" t="s">
        <v>3225</v>
      </c>
      <c r="E565" t="s">
        <v>3226</v>
      </c>
      <c r="F565">
        <v>36951.51</v>
      </c>
      <c r="G565">
        <v>30624.33</v>
      </c>
      <c r="H565">
        <v>2</v>
      </c>
    </row>
    <row r="566" spans="1:8" x14ac:dyDescent="0.25">
      <c r="A566" t="s">
        <v>554</v>
      </c>
      <c r="B566" t="s">
        <v>3213</v>
      </c>
      <c r="C566" t="s">
        <v>3217</v>
      </c>
      <c r="D566" t="s">
        <v>3222</v>
      </c>
      <c r="E566" t="s">
        <v>3226</v>
      </c>
      <c r="F566">
        <v>46931.839999999997</v>
      </c>
      <c r="G566">
        <v>26164.34</v>
      </c>
      <c r="H566">
        <v>3</v>
      </c>
    </row>
    <row r="567" spans="1:8" x14ac:dyDescent="0.25">
      <c r="A567" t="s">
        <v>555</v>
      </c>
      <c r="B567" t="s">
        <v>3215</v>
      </c>
      <c r="C567" t="s">
        <v>3218</v>
      </c>
      <c r="D567" t="s">
        <v>3225</v>
      </c>
      <c r="E567" t="s">
        <v>3226</v>
      </c>
      <c r="F567">
        <v>38678.269999999997</v>
      </c>
      <c r="G567">
        <v>25967.68</v>
      </c>
      <c r="H567">
        <v>2</v>
      </c>
    </row>
    <row r="568" spans="1:8" x14ac:dyDescent="0.25">
      <c r="A568" t="s">
        <v>556</v>
      </c>
      <c r="B568" t="s">
        <v>3214</v>
      </c>
      <c r="C568" t="s">
        <v>3221</v>
      </c>
      <c r="D568" t="s">
        <v>3223</v>
      </c>
      <c r="E568" t="s">
        <v>3226</v>
      </c>
      <c r="F568">
        <v>17005.150000000001</v>
      </c>
      <c r="G568">
        <v>12914.05</v>
      </c>
      <c r="H568">
        <v>2</v>
      </c>
    </row>
    <row r="569" spans="1:8" x14ac:dyDescent="0.25">
      <c r="A569" t="s">
        <v>557</v>
      </c>
      <c r="B569" t="s">
        <v>3211</v>
      </c>
      <c r="C569" t="s">
        <v>3221</v>
      </c>
      <c r="D569" t="s">
        <v>3222</v>
      </c>
      <c r="E569" t="s">
        <v>3226</v>
      </c>
      <c r="F569">
        <v>53799.81</v>
      </c>
      <c r="G569">
        <v>34680.370000000003</v>
      </c>
      <c r="H569">
        <v>4</v>
      </c>
    </row>
    <row r="570" spans="1:8" x14ac:dyDescent="0.25">
      <c r="A570" t="s">
        <v>558</v>
      </c>
      <c r="B570" t="s">
        <v>3214</v>
      </c>
      <c r="C570" t="s">
        <v>3221</v>
      </c>
      <c r="D570" t="s">
        <v>3225</v>
      </c>
      <c r="E570" t="s">
        <v>3226</v>
      </c>
      <c r="F570">
        <v>17462.919999999998</v>
      </c>
      <c r="G570">
        <v>12713.41</v>
      </c>
      <c r="H570">
        <v>1</v>
      </c>
    </row>
    <row r="571" spans="1:8" x14ac:dyDescent="0.25">
      <c r="A571" t="s">
        <v>559</v>
      </c>
      <c r="B571" t="s">
        <v>3211</v>
      </c>
      <c r="C571" t="s">
        <v>3218</v>
      </c>
      <c r="D571" t="s">
        <v>3225</v>
      </c>
      <c r="E571" t="s">
        <v>3226</v>
      </c>
      <c r="F571">
        <v>67479.05</v>
      </c>
      <c r="G571">
        <v>38786.129999999997</v>
      </c>
      <c r="H571">
        <v>3</v>
      </c>
    </row>
    <row r="572" spans="1:8" x14ac:dyDescent="0.25">
      <c r="A572" t="s">
        <v>560</v>
      </c>
      <c r="B572" t="s">
        <v>3212</v>
      </c>
      <c r="C572" t="s">
        <v>3221</v>
      </c>
      <c r="D572" t="s">
        <v>3223</v>
      </c>
      <c r="E572" t="s">
        <v>3226</v>
      </c>
      <c r="F572">
        <v>58301.97</v>
      </c>
      <c r="G572">
        <v>31118.17</v>
      </c>
      <c r="H572">
        <v>5</v>
      </c>
    </row>
    <row r="573" spans="1:8" x14ac:dyDescent="0.25">
      <c r="A573" t="s">
        <v>561</v>
      </c>
      <c r="C573" t="s">
        <v>3220</v>
      </c>
      <c r="D573" t="s">
        <v>3225</v>
      </c>
      <c r="E573" t="s">
        <v>3226</v>
      </c>
      <c r="F573">
        <v>102772.2</v>
      </c>
      <c r="G573">
        <v>70555.14</v>
      </c>
      <c r="H573">
        <v>5</v>
      </c>
    </row>
    <row r="574" spans="1:8" x14ac:dyDescent="0.25">
      <c r="A574" t="s">
        <v>562</v>
      </c>
      <c r="C574" t="s">
        <v>3217</v>
      </c>
      <c r="D574" t="s">
        <v>3222</v>
      </c>
      <c r="E574" t="s">
        <v>3226</v>
      </c>
      <c r="F574">
        <v>55747.44</v>
      </c>
      <c r="G574">
        <v>36581.08</v>
      </c>
      <c r="H574">
        <v>4</v>
      </c>
    </row>
    <row r="575" spans="1:8" x14ac:dyDescent="0.25">
      <c r="A575" t="s">
        <v>563</v>
      </c>
      <c r="C575" t="s">
        <v>3219</v>
      </c>
      <c r="D575" t="s">
        <v>3225</v>
      </c>
      <c r="E575" t="s">
        <v>3226</v>
      </c>
      <c r="G575">
        <v>28198.85</v>
      </c>
      <c r="H575">
        <v>2</v>
      </c>
    </row>
    <row r="576" spans="1:8" x14ac:dyDescent="0.25">
      <c r="A576" t="s">
        <v>564</v>
      </c>
      <c r="B576" t="s">
        <v>3213</v>
      </c>
      <c r="C576" t="s">
        <v>3219</v>
      </c>
      <c r="D576" t="s">
        <v>3222</v>
      </c>
      <c r="E576" t="s">
        <v>3226</v>
      </c>
      <c r="F576">
        <v>61031.31</v>
      </c>
      <c r="H576">
        <v>5</v>
      </c>
    </row>
    <row r="577" spans="1:8" x14ac:dyDescent="0.25">
      <c r="A577" t="s">
        <v>565</v>
      </c>
      <c r="B577" t="s">
        <v>3213</v>
      </c>
      <c r="C577" t="s">
        <v>3218</v>
      </c>
      <c r="D577" t="s">
        <v>3222</v>
      </c>
      <c r="E577" t="s">
        <v>3226</v>
      </c>
      <c r="F577">
        <v>12619.3</v>
      </c>
      <c r="G577">
        <v>9962.59</v>
      </c>
      <c r="H577">
        <v>1</v>
      </c>
    </row>
    <row r="578" spans="1:8" x14ac:dyDescent="0.25">
      <c r="A578" t="s">
        <v>566</v>
      </c>
      <c r="B578" t="s">
        <v>3213</v>
      </c>
      <c r="C578" t="s">
        <v>3219</v>
      </c>
      <c r="D578" t="s">
        <v>3222</v>
      </c>
      <c r="E578" t="s">
        <v>3226</v>
      </c>
      <c r="F578">
        <v>82268.960000000006</v>
      </c>
      <c r="G578">
        <v>50538.8</v>
      </c>
      <c r="H578">
        <v>5</v>
      </c>
    </row>
    <row r="579" spans="1:8" x14ac:dyDescent="0.25">
      <c r="A579" t="s">
        <v>567</v>
      </c>
      <c r="B579" t="s">
        <v>3214</v>
      </c>
      <c r="C579" t="s">
        <v>3218</v>
      </c>
      <c r="D579" t="s">
        <v>3224</v>
      </c>
      <c r="E579" t="s">
        <v>3226</v>
      </c>
      <c r="F579">
        <v>120335.98</v>
      </c>
      <c r="G579">
        <v>89373.87</v>
      </c>
      <c r="H579">
        <v>2</v>
      </c>
    </row>
    <row r="580" spans="1:8" x14ac:dyDescent="0.25">
      <c r="A580" t="s">
        <v>568</v>
      </c>
      <c r="B580" t="s">
        <v>3214</v>
      </c>
      <c r="C580" t="s">
        <v>3219</v>
      </c>
      <c r="D580" t="s">
        <v>3223</v>
      </c>
      <c r="E580" t="s">
        <v>3226</v>
      </c>
      <c r="F580">
        <v>24295.73</v>
      </c>
      <c r="G580">
        <v>21507.62</v>
      </c>
      <c r="H580">
        <v>3</v>
      </c>
    </row>
    <row r="581" spans="1:8" x14ac:dyDescent="0.25">
      <c r="A581" t="s">
        <v>64</v>
      </c>
      <c r="B581" t="s">
        <v>3212</v>
      </c>
      <c r="C581" t="s">
        <v>3219</v>
      </c>
      <c r="D581" t="s">
        <v>3222</v>
      </c>
      <c r="E581" t="s">
        <v>3226</v>
      </c>
      <c r="F581">
        <v>15085.36</v>
      </c>
      <c r="G581">
        <v>9847.98</v>
      </c>
      <c r="H581">
        <v>1</v>
      </c>
    </row>
    <row r="582" spans="1:8" x14ac:dyDescent="0.25">
      <c r="A582" t="s">
        <v>569</v>
      </c>
      <c r="C582" t="s">
        <v>3218</v>
      </c>
      <c r="D582" t="s">
        <v>3225</v>
      </c>
      <c r="E582" t="s">
        <v>3226</v>
      </c>
      <c r="F582">
        <v>82966.27</v>
      </c>
      <c r="G582">
        <v>59150.49</v>
      </c>
      <c r="H582">
        <v>4</v>
      </c>
    </row>
    <row r="583" spans="1:8" x14ac:dyDescent="0.25">
      <c r="A583" t="s">
        <v>570</v>
      </c>
      <c r="B583" t="s">
        <v>3211</v>
      </c>
      <c r="C583" t="s">
        <v>3217</v>
      </c>
      <c r="D583" t="s">
        <v>3224</v>
      </c>
      <c r="E583" t="s">
        <v>3226</v>
      </c>
      <c r="F583">
        <v>71545.08</v>
      </c>
      <c r="G583">
        <v>45695.37</v>
      </c>
      <c r="H583">
        <v>1</v>
      </c>
    </row>
    <row r="584" spans="1:8" x14ac:dyDescent="0.25">
      <c r="A584" t="s">
        <v>571</v>
      </c>
      <c r="B584" t="s">
        <v>3211</v>
      </c>
      <c r="C584" t="s">
        <v>3219</v>
      </c>
      <c r="D584" t="s">
        <v>3222</v>
      </c>
      <c r="E584" t="s">
        <v>3226</v>
      </c>
      <c r="F584">
        <v>37845.53</v>
      </c>
      <c r="G584">
        <v>25589.38</v>
      </c>
      <c r="H584">
        <v>3</v>
      </c>
    </row>
    <row r="585" spans="1:8" x14ac:dyDescent="0.25">
      <c r="A585" t="s">
        <v>572</v>
      </c>
      <c r="C585" t="s">
        <v>3218</v>
      </c>
      <c r="D585" t="s">
        <v>3225</v>
      </c>
      <c r="E585" t="s">
        <v>3226</v>
      </c>
      <c r="F585">
        <v>67710.23</v>
      </c>
      <c r="G585">
        <v>38268.879999999997</v>
      </c>
      <c r="H585">
        <v>3</v>
      </c>
    </row>
    <row r="586" spans="1:8" x14ac:dyDescent="0.25">
      <c r="A586" t="s">
        <v>573</v>
      </c>
      <c r="C586" t="s">
        <v>3219</v>
      </c>
      <c r="D586" t="s">
        <v>3223</v>
      </c>
      <c r="E586" t="s">
        <v>3226</v>
      </c>
      <c r="F586">
        <v>31572.59</v>
      </c>
      <c r="G586">
        <v>17981.169999999998</v>
      </c>
      <c r="H586">
        <v>3</v>
      </c>
    </row>
    <row r="587" spans="1:8" x14ac:dyDescent="0.25">
      <c r="A587" t="s">
        <v>574</v>
      </c>
      <c r="B587" t="s">
        <v>3213</v>
      </c>
      <c r="C587" t="s">
        <v>3217</v>
      </c>
      <c r="D587" t="s">
        <v>3225</v>
      </c>
      <c r="E587" t="s">
        <v>3226</v>
      </c>
      <c r="F587">
        <v>109098.1</v>
      </c>
      <c r="G587">
        <v>74718.289999999994</v>
      </c>
      <c r="H587">
        <v>5</v>
      </c>
    </row>
    <row r="588" spans="1:8" x14ac:dyDescent="0.25">
      <c r="A588" t="s">
        <v>575</v>
      </c>
      <c r="B588" t="s">
        <v>3213</v>
      </c>
      <c r="C588" t="s">
        <v>3218</v>
      </c>
      <c r="D588" t="s">
        <v>3222</v>
      </c>
      <c r="E588" t="s">
        <v>3226</v>
      </c>
      <c r="F588">
        <v>69802.17</v>
      </c>
      <c r="G588">
        <v>46870.18</v>
      </c>
    </row>
    <row r="589" spans="1:8" x14ac:dyDescent="0.25">
      <c r="A589" t="s">
        <v>576</v>
      </c>
      <c r="B589" t="s">
        <v>3212</v>
      </c>
      <c r="C589" t="s">
        <v>3219</v>
      </c>
      <c r="D589" t="s">
        <v>3224</v>
      </c>
      <c r="E589" t="s">
        <v>3226</v>
      </c>
      <c r="F589">
        <v>105882.34</v>
      </c>
      <c r="G589">
        <v>84430.82</v>
      </c>
      <c r="H589">
        <v>2</v>
      </c>
    </row>
    <row r="590" spans="1:8" x14ac:dyDescent="0.25">
      <c r="A590" t="s">
        <v>577</v>
      </c>
      <c r="C590" t="s">
        <v>3218</v>
      </c>
      <c r="D590" t="s">
        <v>3223</v>
      </c>
      <c r="E590" t="s">
        <v>3226</v>
      </c>
      <c r="F590">
        <v>8422.6</v>
      </c>
      <c r="G590">
        <v>7372.49</v>
      </c>
      <c r="H590">
        <v>1</v>
      </c>
    </row>
    <row r="591" spans="1:8" x14ac:dyDescent="0.25">
      <c r="A591" t="s">
        <v>578</v>
      </c>
      <c r="B591" t="s">
        <v>3214</v>
      </c>
      <c r="C591" t="s">
        <v>3217</v>
      </c>
      <c r="D591" t="s">
        <v>3223</v>
      </c>
      <c r="E591" t="s">
        <v>3226</v>
      </c>
      <c r="G591">
        <v>25999.13</v>
      </c>
      <c r="H591">
        <v>4</v>
      </c>
    </row>
    <row r="592" spans="1:8" x14ac:dyDescent="0.25">
      <c r="A592" t="s">
        <v>579</v>
      </c>
      <c r="B592" t="s">
        <v>3214</v>
      </c>
      <c r="C592" t="s">
        <v>3220</v>
      </c>
      <c r="D592" t="s">
        <v>3223</v>
      </c>
      <c r="E592" t="s">
        <v>3226</v>
      </c>
      <c r="F592">
        <v>32769.26</v>
      </c>
      <c r="H592">
        <v>4</v>
      </c>
    </row>
    <row r="593" spans="1:8" x14ac:dyDescent="0.25">
      <c r="A593" t="s">
        <v>580</v>
      </c>
      <c r="B593" t="s">
        <v>3215</v>
      </c>
      <c r="C593" t="s">
        <v>3219</v>
      </c>
      <c r="D593" t="s">
        <v>3222</v>
      </c>
      <c r="E593" t="s">
        <v>3226</v>
      </c>
      <c r="F593">
        <v>14104.67</v>
      </c>
      <c r="G593">
        <v>10581.73</v>
      </c>
      <c r="H593">
        <v>1</v>
      </c>
    </row>
    <row r="594" spans="1:8" x14ac:dyDescent="0.25">
      <c r="A594" t="s">
        <v>581</v>
      </c>
      <c r="B594" t="s">
        <v>3213</v>
      </c>
      <c r="C594" t="s">
        <v>3216</v>
      </c>
      <c r="D594" t="s">
        <v>3225</v>
      </c>
      <c r="E594" t="s">
        <v>3226</v>
      </c>
      <c r="F594">
        <v>58987.32</v>
      </c>
      <c r="G594">
        <v>38419.1</v>
      </c>
      <c r="H594">
        <v>3</v>
      </c>
    </row>
    <row r="595" spans="1:8" x14ac:dyDescent="0.25">
      <c r="A595" t="s">
        <v>582</v>
      </c>
      <c r="B595" t="s">
        <v>3212</v>
      </c>
      <c r="C595" t="s">
        <v>3221</v>
      </c>
      <c r="D595" t="s">
        <v>3225</v>
      </c>
      <c r="E595" t="s">
        <v>3226</v>
      </c>
      <c r="F595">
        <v>117828.6</v>
      </c>
      <c r="G595">
        <v>71344.350000000006</v>
      </c>
      <c r="H595">
        <v>5</v>
      </c>
    </row>
    <row r="596" spans="1:8" x14ac:dyDescent="0.25">
      <c r="A596" t="s">
        <v>583</v>
      </c>
      <c r="B596" t="s">
        <v>3211</v>
      </c>
      <c r="C596" t="s">
        <v>3219</v>
      </c>
      <c r="D596" t="s">
        <v>3224</v>
      </c>
      <c r="E596" t="s">
        <v>3226</v>
      </c>
      <c r="F596">
        <v>256966.03</v>
      </c>
      <c r="G596">
        <v>198580.52</v>
      </c>
      <c r="H596">
        <v>5</v>
      </c>
    </row>
    <row r="597" spans="1:8" x14ac:dyDescent="0.25">
      <c r="A597" t="s">
        <v>584</v>
      </c>
      <c r="B597" t="s">
        <v>3215</v>
      </c>
      <c r="C597" t="s">
        <v>3216</v>
      </c>
      <c r="D597" t="s">
        <v>3225</v>
      </c>
      <c r="E597" t="s">
        <v>3226</v>
      </c>
      <c r="F597">
        <v>18927.189999999999</v>
      </c>
      <c r="G597">
        <v>12702.88</v>
      </c>
    </row>
    <row r="598" spans="1:8" x14ac:dyDescent="0.25">
      <c r="A598" t="s">
        <v>585</v>
      </c>
      <c r="B598" t="s">
        <v>3212</v>
      </c>
      <c r="C598" t="s">
        <v>3219</v>
      </c>
      <c r="D598" t="s">
        <v>3222</v>
      </c>
      <c r="E598" t="s">
        <v>3226</v>
      </c>
      <c r="F598">
        <v>50983.040000000001</v>
      </c>
      <c r="G598">
        <v>32937.18</v>
      </c>
      <c r="H598">
        <v>3</v>
      </c>
    </row>
    <row r="599" spans="1:8" x14ac:dyDescent="0.25">
      <c r="A599" t="s">
        <v>586</v>
      </c>
      <c r="C599" t="s">
        <v>3216</v>
      </c>
      <c r="D599" t="s">
        <v>3222</v>
      </c>
      <c r="E599" t="s">
        <v>3226</v>
      </c>
      <c r="F599">
        <v>50374.01</v>
      </c>
      <c r="G599">
        <v>26302.720000000001</v>
      </c>
      <c r="H599">
        <v>3</v>
      </c>
    </row>
    <row r="600" spans="1:8" x14ac:dyDescent="0.25">
      <c r="A600" t="s">
        <v>587</v>
      </c>
      <c r="B600" t="s">
        <v>3213</v>
      </c>
      <c r="C600" t="s">
        <v>3216</v>
      </c>
      <c r="D600" t="s">
        <v>3222</v>
      </c>
      <c r="E600" t="s">
        <v>3226</v>
      </c>
      <c r="F600">
        <v>82863.89</v>
      </c>
      <c r="G600">
        <v>54202.21</v>
      </c>
      <c r="H600">
        <v>5</v>
      </c>
    </row>
    <row r="601" spans="1:8" x14ac:dyDescent="0.25">
      <c r="A601" t="s">
        <v>588</v>
      </c>
      <c r="B601" t="s">
        <v>3213</v>
      </c>
      <c r="C601" t="s">
        <v>3219</v>
      </c>
      <c r="D601" t="s">
        <v>3225</v>
      </c>
      <c r="E601" t="s">
        <v>3226</v>
      </c>
      <c r="F601">
        <v>18171.45</v>
      </c>
      <c r="G601">
        <v>11912.96</v>
      </c>
      <c r="H601">
        <v>1</v>
      </c>
    </row>
    <row r="602" spans="1:8" x14ac:dyDescent="0.25">
      <c r="A602" t="s">
        <v>589</v>
      </c>
      <c r="B602" t="s">
        <v>3212</v>
      </c>
      <c r="C602" t="s">
        <v>3219</v>
      </c>
      <c r="D602" t="s">
        <v>3225</v>
      </c>
      <c r="E602" t="s">
        <v>3226</v>
      </c>
      <c r="F602">
        <v>16764.47</v>
      </c>
      <c r="G602">
        <v>15043.51</v>
      </c>
      <c r="H602">
        <v>1</v>
      </c>
    </row>
    <row r="603" spans="1:8" x14ac:dyDescent="0.25">
      <c r="A603" t="s">
        <v>590</v>
      </c>
      <c r="B603" t="s">
        <v>3213</v>
      </c>
      <c r="C603" t="s">
        <v>3219</v>
      </c>
      <c r="D603" t="s">
        <v>3222</v>
      </c>
      <c r="E603" t="s">
        <v>3226</v>
      </c>
      <c r="F603">
        <v>67672.25</v>
      </c>
      <c r="G603">
        <v>43993.5</v>
      </c>
      <c r="H603">
        <v>4</v>
      </c>
    </row>
    <row r="604" spans="1:8" x14ac:dyDescent="0.25">
      <c r="A604" t="s">
        <v>591</v>
      </c>
      <c r="B604" t="s">
        <v>3211</v>
      </c>
      <c r="C604" t="s">
        <v>3221</v>
      </c>
      <c r="D604" t="s">
        <v>3223</v>
      </c>
      <c r="E604" t="s">
        <v>3226</v>
      </c>
      <c r="F604">
        <v>42714.92</v>
      </c>
      <c r="G604">
        <v>38302.58</v>
      </c>
      <c r="H604">
        <v>5</v>
      </c>
    </row>
    <row r="605" spans="1:8" x14ac:dyDescent="0.25">
      <c r="A605" t="s">
        <v>592</v>
      </c>
      <c r="B605" t="s">
        <v>3214</v>
      </c>
      <c r="C605" t="s">
        <v>3220</v>
      </c>
      <c r="D605" t="s">
        <v>3225</v>
      </c>
      <c r="E605" t="s">
        <v>3226</v>
      </c>
      <c r="F605">
        <v>18085.29</v>
      </c>
      <c r="G605">
        <v>12223.85</v>
      </c>
      <c r="H605">
        <v>1</v>
      </c>
    </row>
    <row r="606" spans="1:8" x14ac:dyDescent="0.25">
      <c r="A606" t="s">
        <v>593</v>
      </c>
      <c r="B606" t="s">
        <v>3212</v>
      </c>
      <c r="C606" t="s">
        <v>3219</v>
      </c>
      <c r="D606" t="s">
        <v>3225</v>
      </c>
      <c r="E606" t="s">
        <v>3226</v>
      </c>
      <c r="F606">
        <v>85744.86</v>
      </c>
      <c r="G606">
        <v>71014.12</v>
      </c>
      <c r="H606">
        <v>5</v>
      </c>
    </row>
    <row r="607" spans="1:8" x14ac:dyDescent="0.25">
      <c r="A607" t="s">
        <v>594</v>
      </c>
      <c r="B607" t="s">
        <v>3211</v>
      </c>
      <c r="C607" t="s">
        <v>3221</v>
      </c>
      <c r="D607" t="s">
        <v>3223</v>
      </c>
      <c r="E607" t="s">
        <v>3226</v>
      </c>
      <c r="F607">
        <v>21854.98</v>
      </c>
      <c r="G607">
        <v>12508.87</v>
      </c>
      <c r="H607">
        <v>2</v>
      </c>
    </row>
    <row r="608" spans="1:8" x14ac:dyDescent="0.25">
      <c r="A608" t="s">
        <v>595</v>
      </c>
      <c r="B608" t="s">
        <v>3214</v>
      </c>
      <c r="C608" t="s">
        <v>3219</v>
      </c>
      <c r="D608" t="s">
        <v>3225</v>
      </c>
      <c r="E608" t="s">
        <v>3226</v>
      </c>
      <c r="F608">
        <v>22528.45</v>
      </c>
      <c r="G608">
        <v>13412.24</v>
      </c>
      <c r="H608">
        <v>1</v>
      </c>
    </row>
    <row r="609" spans="1:8" x14ac:dyDescent="0.25">
      <c r="A609" t="s">
        <v>596</v>
      </c>
      <c r="B609" t="s">
        <v>3211</v>
      </c>
      <c r="C609" t="s">
        <v>3216</v>
      </c>
      <c r="D609" t="s">
        <v>3225</v>
      </c>
      <c r="E609" t="s">
        <v>3226</v>
      </c>
      <c r="F609">
        <v>34308.99</v>
      </c>
      <c r="H609">
        <v>2</v>
      </c>
    </row>
    <row r="610" spans="1:8" x14ac:dyDescent="0.25">
      <c r="A610" t="s">
        <v>597</v>
      </c>
      <c r="B610" t="s">
        <v>3214</v>
      </c>
      <c r="C610" t="s">
        <v>3219</v>
      </c>
      <c r="D610" t="s">
        <v>3225</v>
      </c>
      <c r="E610" t="s">
        <v>3226</v>
      </c>
      <c r="F610">
        <v>34600.18</v>
      </c>
      <c r="G610">
        <v>30518.22</v>
      </c>
      <c r="H610">
        <v>2</v>
      </c>
    </row>
    <row r="611" spans="1:8" x14ac:dyDescent="0.25">
      <c r="A611" t="s">
        <v>598</v>
      </c>
      <c r="B611" t="s">
        <v>3212</v>
      </c>
      <c r="C611" t="s">
        <v>3216</v>
      </c>
      <c r="D611" t="s">
        <v>3222</v>
      </c>
      <c r="E611" t="s">
        <v>3226</v>
      </c>
      <c r="F611">
        <v>45324.28</v>
      </c>
      <c r="G611">
        <v>25555.97</v>
      </c>
      <c r="H611">
        <v>3</v>
      </c>
    </row>
    <row r="612" spans="1:8" x14ac:dyDescent="0.25">
      <c r="A612" t="s">
        <v>599</v>
      </c>
      <c r="B612" t="s">
        <v>3214</v>
      </c>
      <c r="C612" t="s">
        <v>3219</v>
      </c>
      <c r="D612" t="s">
        <v>3223</v>
      </c>
      <c r="E612" t="s">
        <v>3226</v>
      </c>
      <c r="F612">
        <v>48803.61</v>
      </c>
      <c r="G612">
        <v>30356.44</v>
      </c>
      <c r="H612">
        <v>5</v>
      </c>
    </row>
    <row r="613" spans="1:8" x14ac:dyDescent="0.25">
      <c r="A613" t="s">
        <v>600</v>
      </c>
      <c r="B613" t="s">
        <v>3212</v>
      </c>
      <c r="C613" t="s">
        <v>3217</v>
      </c>
      <c r="D613" t="s">
        <v>3225</v>
      </c>
      <c r="E613" t="s">
        <v>3226</v>
      </c>
      <c r="F613">
        <v>105072.11</v>
      </c>
      <c r="G613">
        <v>65777.990000000005</v>
      </c>
      <c r="H613">
        <v>5</v>
      </c>
    </row>
    <row r="614" spans="1:8" x14ac:dyDescent="0.25">
      <c r="A614" t="s">
        <v>601</v>
      </c>
      <c r="C614" t="s">
        <v>3217</v>
      </c>
      <c r="D614" t="s">
        <v>3225</v>
      </c>
      <c r="E614" t="s">
        <v>3226</v>
      </c>
      <c r="F614">
        <v>41379.769999999997</v>
      </c>
      <c r="G614">
        <v>27246.57</v>
      </c>
      <c r="H614">
        <v>2</v>
      </c>
    </row>
    <row r="615" spans="1:8" x14ac:dyDescent="0.25">
      <c r="A615" t="s">
        <v>602</v>
      </c>
      <c r="B615" t="s">
        <v>3214</v>
      </c>
      <c r="C615" t="s">
        <v>3220</v>
      </c>
      <c r="D615" t="s">
        <v>3225</v>
      </c>
      <c r="E615" t="s">
        <v>3226</v>
      </c>
      <c r="F615">
        <v>84209.42</v>
      </c>
      <c r="G615">
        <v>55201.17</v>
      </c>
      <c r="H615">
        <v>4</v>
      </c>
    </row>
    <row r="616" spans="1:8" x14ac:dyDescent="0.25">
      <c r="A616" t="s">
        <v>603</v>
      </c>
      <c r="B616" t="s">
        <v>3215</v>
      </c>
      <c r="C616" t="s">
        <v>3221</v>
      </c>
      <c r="D616" t="s">
        <v>3222</v>
      </c>
      <c r="E616" t="s">
        <v>3226</v>
      </c>
      <c r="F616">
        <v>57751.97</v>
      </c>
      <c r="G616">
        <v>43265.85</v>
      </c>
      <c r="H616">
        <v>4</v>
      </c>
    </row>
    <row r="617" spans="1:8" x14ac:dyDescent="0.25">
      <c r="A617" t="s">
        <v>604</v>
      </c>
      <c r="B617" t="s">
        <v>3213</v>
      </c>
      <c r="C617" t="s">
        <v>3218</v>
      </c>
      <c r="D617" t="s">
        <v>3222</v>
      </c>
      <c r="E617" t="s">
        <v>3226</v>
      </c>
      <c r="F617">
        <v>35590.04</v>
      </c>
      <c r="G617">
        <v>17873.919999999998</v>
      </c>
      <c r="H617">
        <v>2</v>
      </c>
    </row>
    <row r="618" spans="1:8" x14ac:dyDescent="0.25">
      <c r="A618" t="s">
        <v>605</v>
      </c>
      <c r="B618" t="s">
        <v>3212</v>
      </c>
      <c r="C618" t="s">
        <v>3217</v>
      </c>
      <c r="D618" t="s">
        <v>3225</v>
      </c>
      <c r="E618" t="s">
        <v>3226</v>
      </c>
      <c r="F618">
        <v>66516.05</v>
      </c>
      <c r="G618">
        <v>52232.81</v>
      </c>
      <c r="H618">
        <v>4</v>
      </c>
    </row>
    <row r="619" spans="1:8" x14ac:dyDescent="0.25">
      <c r="A619" t="s">
        <v>606</v>
      </c>
      <c r="B619" t="s">
        <v>3212</v>
      </c>
      <c r="C619" t="s">
        <v>3219</v>
      </c>
      <c r="D619" t="s">
        <v>3224</v>
      </c>
      <c r="E619" t="s">
        <v>3226</v>
      </c>
      <c r="F619">
        <v>189739.08</v>
      </c>
      <c r="G619">
        <v>116152.64</v>
      </c>
      <c r="H619">
        <v>3</v>
      </c>
    </row>
    <row r="620" spans="1:8" x14ac:dyDescent="0.25">
      <c r="A620" t="s">
        <v>607</v>
      </c>
      <c r="B620" t="s">
        <v>3212</v>
      </c>
      <c r="C620" t="s">
        <v>3219</v>
      </c>
      <c r="D620" t="s">
        <v>3225</v>
      </c>
      <c r="E620" t="s">
        <v>3226</v>
      </c>
      <c r="F620">
        <v>57790.51</v>
      </c>
      <c r="G620">
        <v>45992.74</v>
      </c>
    </row>
    <row r="621" spans="1:8" x14ac:dyDescent="0.25">
      <c r="A621" t="s">
        <v>608</v>
      </c>
      <c r="B621" t="s">
        <v>3214</v>
      </c>
      <c r="C621" t="s">
        <v>3219</v>
      </c>
      <c r="D621" t="s">
        <v>3224</v>
      </c>
      <c r="E621" t="s">
        <v>3226</v>
      </c>
      <c r="F621">
        <v>337312.22</v>
      </c>
      <c r="G621">
        <v>213770.06</v>
      </c>
      <c r="H621">
        <v>5</v>
      </c>
    </row>
    <row r="622" spans="1:8" x14ac:dyDescent="0.25">
      <c r="A622" t="s">
        <v>609</v>
      </c>
      <c r="B622" t="s">
        <v>3211</v>
      </c>
      <c r="C622" t="s">
        <v>3221</v>
      </c>
      <c r="D622" t="s">
        <v>3223</v>
      </c>
      <c r="E622" t="s">
        <v>3226</v>
      </c>
      <c r="F622">
        <v>33906.42</v>
      </c>
      <c r="G622">
        <v>22004.38</v>
      </c>
      <c r="H622">
        <v>3</v>
      </c>
    </row>
    <row r="623" spans="1:8" x14ac:dyDescent="0.25">
      <c r="A623" t="s">
        <v>610</v>
      </c>
      <c r="B623" t="s">
        <v>3215</v>
      </c>
      <c r="C623" t="s">
        <v>3219</v>
      </c>
      <c r="D623" t="s">
        <v>3222</v>
      </c>
      <c r="E623" t="s">
        <v>3226</v>
      </c>
      <c r="F623">
        <v>14262.05</v>
      </c>
      <c r="G623">
        <v>10912.32</v>
      </c>
      <c r="H623">
        <v>1</v>
      </c>
    </row>
    <row r="624" spans="1:8" x14ac:dyDescent="0.25">
      <c r="A624" t="s">
        <v>611</v>
      </c>
      <c r="B624" t="s">
        <v>3211</v>
      </c>
      <c r="C624" t="s">
        <v>3217</v>
      </c>
      <c r="D624" t="s">
        <v>3223</v>
      </c>
      <c r="E624" t="s">
        <v>3226</v>
      </c>
      <c r="F624">
        <v>8057.49</v>
      </c>
      <c r="G624">
        <v>6036.65</v>
      </c>
      <c r="H624">
        <v>1</v>
      </c>
    </row>
    <row r="625" spans="1:8" x14ac:dyDescent="0.25">
      <c r="A625" t="s">
        <v>612</v>
      </c>
      <c r="B625" t="s">
        <v>3214</v>
      </c>
      <c r="C625" t="s">
        <v>3216</v>
      </c>
      <c r="D625" t="s">
        <v>3223</v>
      </c>
      <c r="E625" t="s">
        <v>3226</v>
      </c>
      <c r="F625">
        <v>17004.66</v>
      </c>
      <c r="G625">
        <v>14579.4</v>
      </c>
      <c r="H625">
        <v>2</v>
      </c>
    </row>
    <row r="626" spans="1:8" x14ac:dyDescent="0.25">
      <c r="A626" t="s">
        <v>613</v>
      </c>
      <c r="B626" t="s">
        <v>3214</v>
      </c>
      <c r="C626" t="s">
        <v>3216</v>
      </c>
      <c r="D626" t="s">
        <v>3223</v>
      </c>
      <c r="E626" t="s">
        <v>3226</v>
      </c>
      <c r="F626">
        <v>8335.16</v>
      </c>
      <c r="G626">
        <v>7075.36</v>
      </c>
      <c r="H626">
        <v>1</v>
      </c>
    </row>
    <row r="627" spans="1:8" x14ac:dyDescent="0.25">
      <c r="A627" t="s">
        <v>614</v>
      </c>
      <c r="B627" t="s">
        <v>3213</v>
      </c>
      <c r="C627" t="s">
        <v>3216</v>
      </c>
      <c r="D627" t="s">
        <v>3224</v>
      </c>
      <c r="E627" t="s">
        <v>3226</v>
      </c>
      <c r="F627">
        <v>240179.47</v>
      </c>
      <c r="G627">
        <v>173473.06</v>
      </c>
      <c r="H627">
        <v>4</v>
      </c>
    </row>
    <row r="628" spans="1:8" x14ac:dyDescent="0.25">
      <c r="A628" t="s">
        <v>615</v>
      </c>
      <c r="B628" t="s">
        <v>3212</v>
      </c>
      <c r="C628" t="s">
        <v>3218</v>
      </c>
      <c r="D628" t="s">
        <v>3224</v>
      </c>
      <c r="E628" t="s">
        <v>3226</v>
      </c>
      <c r="F628">
        <v>240075.3</v>
      </c>
      <c r="G628">
        <v>245424.04</v>
      </c>
      <c r="H628">
        <v>5</v>
      </c>
    </row>
    <row r="629" spans="1:8" x14ac:dyDescent="0.25">
      <c r="A629" t="s">
        <v>616</v>
      </c>
      <c r="B629" t="s">
        <v>3215</v>
      </c>
      <c r="C629" t="s">
        <v>3219</v>
      </c>
      <c r="D629" t="s">
        <v>3223</v>
      </c>
      <c r="E629" t="s">
        <v>3226</v>
      </c>
      <c r="F629">
        <v>34834.42</v>
      </c>
      <c r="H629">
        <v>3</v>
      </c>
    </row>
    <row r="630" spans="1:8" x14ac:dyDescent="0.25">
      <c r="A630" t="s">
        <v>617</v>
      </c>
      <c r="B630" t="s">
        <v>3215</v>
      </c>
      <c r="C630" t="s">
        <v>3220</v>
      </c>
      <c r="D630" t="s">
        <v>3222</v>
      </c>
      <c r="E630" t="s">
        <v>3226</v>
      </c>
      <c r="F630">
        <v>62245.81</v>
      </c>
      <c r="G630">
        <v>35271.1</v>
      </c>
      <c r="H630">
        <v>4</v>
      </c>
    </row>
    <row r="631" spans="1:8" x14ac:dyDescent="0.25">
      <c r="A631" t="s">
        <v>618</v>
      </c>
      <c r="C631" t="s">
        <v>3220</v>
      </c>
      <c r="D631" t="s">
        <v>3222</v>
      </c>
      <c r="E631" t="s">
        <v>3226</v>
      </c>
      <c r="F631">
        <v>14152.36</v>
      </c>
      <c r="G631">
        <v>9823.17</v>
      </c>
      <c r="H631">
        <v>1</v>
      </c>
    </row>
    <row r="632" spans="1:8" x14ac:dyDescent="0.25">
      <c r="A632" t="s">
        <v>619</v>
      </c>
      <c r="B632" t="s">
        <v>3213</v>
      </c>
      <c r="C632" t="s">
        <v>3220</v>
      </c>
      <c r="D632" t="s">
        <v>3222</v>
      </c>
      <c r="E632" t="s">
        <v>3226</v>
      </c>
      <c r="F632">
        <v>31054.83</v>
      </c>
      <c r="G632">
        <v>21672.7</v>
      </c>
      <c r="H632">
        <v>2</v>
      </c>
    </row>
    <row r="633" spans="1:8" x14ac:dyDescent="0.25">
      <c r="A633" t="s">
        <v>620</v>
      </c>
      <c r="B633" t="s">
        <v>3214</v>
      </c>
      <c r="C633" t="s">
        <v>3219</v>
      </c>
      <c r="D633" t="s">
        <v>3223</v>
      </c>
      <c r="E633" t="s">
        <v>3226</v>
      </c>
      <c r="F633">
        <v>17910.759999999998</v>
      </c>
      <c r="G633">
        <v>15222.48</v>
      </c>
      <c r="H633">
        <v>2</v>
      </c>
    </row>
    <row r="634" spans="1:8" x14ac:dyDescent="0.25">
      <c r="A634" t="s">
        <v>621</v>
      </c>
      <c r="B634" t="s">
        <v>3215</v>
      </c>
      <c r="C634" t="s">
        <v>3219</v>
      </c>
      <c r="D634" t="s">
        <v>3223</v>
      </c>
      <c r="E634" t="s">
        <v>3226</v>
      </c>
      <c r="F634">
        <v>36775.89</v>
      </c>
      <c r="G634">
        <v>28506.53</v>
      </c>
      <c r="H634">
        <v>4</v>
      </c>
    </row>
    <row r="635" spans="1:8" x14ac:dyDescent="0.25">
      <c r="A635" t="s">
        <v>622</v>
      </c>
      <c r="B635" t="s">
        <v>3211</v>
      </c>
      <c r="C635" t="s">
        <v>3219</v>
      </c>
      <c r="D635" t="s">
        <v>3224</v>
      </c>
      <c r="E635" t="s">
        <v>3226</v>
      </c>
      <c r="F635">
        <v>255747.17</v>
      </c>
      <c r="G635">
        <v>163690.20000000001</v>
      </c>
      <c r="H635">
        <v>4</v>
      </c>
    </row>
    <row r="636" spans="1:8" x14ac:dyDescent="0.25">
      <c r="A636" t="s">
        <v>623</v>
      </c>
      <c r="C636" t="s">
        <v>3216</v>
      </c>
      <c r="D636" t="s">
        <v>3224</v>
      </c>
      <c r="E636" t="s">
        <v>3226</v>
      </c>
      <c r="F636">
        <v>137971.10999999999</v>
      </c>
      <c r="G636">
        <v>84431.91</v>
      </c>
      <c r="H636">
        <v>2</v>
      </c>
    </row>
    <row r="637" spans="1:8" x14ac:dyDescent="0.25">
      <c r="A637" t="s">
        <v>624</v>
      </c>
      <c r="B637" t="s">
        <v>3212</v>
      </c>
      <c r="C637" t="s">
        <v>3220</v>
      </c>
      <c r="D637" t="s">
        <v>3223</v>
      </c>
      <c r="E637" t="s">
        <v>3226</v>
      </c>
      <c r="F637">
        <v>17567.84</v>
      </c>
      <c r="G637">
        <v>15203.18</v>
      </c>
      <c r="H637">
        <v>2</v>
      </c>
    </row>
    <row r="638" spans="1:8" x14ac:dyDescent="0.25">
      <c r="A638" t="s">
        <v>625</v>
      </c>
      <c r="B638" t="s">
        <v>3214</v>
      </c>
      <c r="C638" t="s">
        <v>3220</v>
      </c>
      <c r="D638" t="s">
        <v>3223</v>
      </c>
      <c r="E638" t="s">
        <v>3226</v>
      </c>
      <c r="F638">
        <v>35869.5</v>
      </c>
      <c r="G638">
        <v>19241.5</v>
      </c>
      <c r="H638">
        <v>3</v>
      </c>
    </row>
    <row r="639" spans="1:8" x14ac:dyDescent="0.25">
      <c r="A639" t="s">
        <v>626</v>
      </c>
      <c r="B639" t="s">
        <v>3212</v>
      </c>
      <c r="C639" t="s">
        <v>3216</v>
      </c>
      <c r="D639" t="s">
        <v>3223</v>
      </c>
      <c r="E639" t="s">
        <v>3226</v>
      </c>
      <c r="F639">
        <v>43640.58</v>
      </c>
      <c r="G639">
        <v>24606.09</v>
      </c>
      <c r="H639">
        <v>4</v>
      </c>
    </row>
    <row r="640" spans="1:8" x14ac:dyDescent="0.25">
      <c r="A640" t="s">
        <v>627</v>
      </c>
      <c r="B640" t="s">
        <v>3212</v>
      </c>
      <c r="C640" t="s">
        <v>3221</v>
      </c>
      <c r="D640" t="s">
        <v>3225</v>
      </c>
      <c r="E640" t="s">
        <v>3226</v>
      </c>
      <c r="F640">
        <v>67274.63</v>
      </c>
      <c r="G640">
        <v>53346.98</v>
      </c>
      <c r="H640">
        <v>4</v>
      </c>
    </row>
    <row r="641" spans="1:8" x14ac:dyDescent="0.25">
      <c r="A641" t="s">
        <v>214</v>
      </c>
      <c r="B641" t="s">
        <v>3213</v>
      </c>
      <c r="C641" t="s">
        <v>3221</v>
      </c>
      <c r="D641" t="s">
        <v>3223</v>
      </c>
      <c r="E641" t="s">
        <v>3226</v>
      </c>
      <c r="H641">
        <v>5</v>
      </c>
    </row>
    <row r="642" spans="1:8" x14ac:dyDescent="0.25">
      <c r="A642" t="s">
        <v>628</v>
      </c>
      <c r="B642" t="s">
        <v>3212</v>
      </c>
      <c r="C642" t="s">
        <v>3218</v>
      </c>
      <c r="D642" t="s">
        <v>3224</v>
      </c>
      <c r="E642" t="s">
        <v>3226</v>
      </c>
      <c r="F642">
        <v>257277.28</v>
      </c>
      <c r="G642">
        <v>162129.29</v>
      </c>
      <c r="H642">
        <v>4</v>
      </c>
    </row>
    <row r="643" spans="1:8" x14ac:dyDescent="0.25">
      <c r="A643" t="s">
        <v>629</v>
      </c>
      <c r="B643" t="s">
        <v>3215</v>
      </c>
      <c r="C643" t="s">
        <v>3221</v>
      </c>
      <c r="D643" t="s">
        <v>3224</v>
      </c>
      <c r="E643" t="s">
        <v>3226</v>
      </c>
      <c r="F643">
        <v>197920.76</v>
      </c>
      <c r="G643">
        <v>173252.89</v>
      </c>
      <c r="H643">
        <v>4</v>
      </c>
    </row>
    <row r="644" spans="1:8" x14ac:dyDescent="0.25">
      <c r="A644" t="s">
        <v>630</v>
      </c>
      <c r="B644" t="s">
        <v>3215</v>
      </c>
      <c r="C644" t="s">
        <v>3217</v>
      </c>
      <c r="D644" t="s">
        <v>3222</v>
      </c>
      <c r="E644" t="s">
        <v>3226</v>
      </c>
      <c r="F644">
        <v>34626.71</v>
      </c>
      <c r="G644">
        <v>17050.05</v>
      </c>
      <c r="H644">
        <v>2</v>
      </c>
    </row>
    <row r="645" spans="1:8" x14ac:dyDescent="0.25">
      <c r="A645" t="s">
        <v>631</v>
      </c>
      <c r="B645" t="s">
        <v>3212</v>
      </c>
      <c r="C645" t="s">
        <v>3221</v>
      </c>
      <c r="D645" t="s">
        <v>3223</v>
      </c>
      <c r="E645" t="s">
        <v>3226</v>
      </c>
      <c r="F645">
        <v>35857.03</v>
      </c>
      <c r="G645">
        <v>23909.87</v>
      </c>
      <c r="H645">
        <v>4</v>
      </c>
    </row>
    <row r="646" spans="1:8" x14ac:dyDescent="0.25">
      <c r="A646" t="s">
        <v>632</v>
      </c>
      <c r="B646" t="s">
        <v>3213</v>
      </c>
      <c r="C646" t="s">
        <v>3218</v>
      </c>
      <c r="D646" t="s">
        <v>3225</v>
      </c>
      <c r="E646" t="s">
        <v>3226</v>
      </c>
      <c r="F646">
        <v>23365.03</v>
      </c>
      <c r="G646">
        <v>12227.72</v>
      </c>
    </row>
    <row r="647" spans="1:8" x14ac:dyDescent="0.25">
      <c r="A647" t="s">
        <v>633</v>
      </c>
      <c r="B647" t="s">
        <v>3214</v>
      </c>
      <c r="C647" t="s">
        <v>3216</v>
      </c>
      <c r="D647" t="s">
        <v>3225</v>
      </c>
      <c r="E647" t="s">
        <v>3226</v>
      </c>
      <c r="F647">
        <v>79478.11</v>
      </c>
      <c r="G647">
        <v>52017.75</v>
      </c>
      <c r="H647">
        <v>4</v>
      </c>
    </row>
    <row r="648" spans="1:8" x14ac:dyDescent="0.25">
      <c r="A648" t="s">
        <v>634</v>
      </c>
      <c r="B648" t="s">
        <v>3213</v>
      </c>
      <c r="C648" t="s">
        <v>3217</v>
      </c>
      <c r="D648" t="s">
        <v>3224</v>
      </c>
      <c r="E648" t="s">
        <v>3226</v>
      </c>
      <c r="F648">
        <v>67276.09</v>
      </c>
      <c r="G648">
        <v>39975.89</v>
      </c>
      <c r="H648">
        <v>1</v>
      </c>
    </row>
    <row r="649" spans="1:8" x14ac:dyDescent="0.25">
      <c r="A649" t="s">
        <v>635</v>
      </c>
      <c r="B649" t="s">
        <v>3213</v>
      </c>
      <c r="C649" t="s">
        <v>3218</v>
      </c>
      <c r="D649" t="s">
        <v>3222</v>
      </c>
      <c r="E649" t="s">
        <v>3226</v>
      </c>
      <c r="F649">
        <v>49133.4</v>
      </c>
      <c r="G649">
        <v>35764.400000000001</v>
      </c>
      <c r="H649">
        <v>4</v>
      </c>
    </row>
    <row r="650" spans="1:8" x14ac:dyDescent="0.25">
      <c r="A650" t="s">
        <v>636</v>
      </c>
      <c r="B650" t="s">
        <v>3211</v>
      </c>
      <c r="C650" t="s">
        <v>3217</v>
      </c>
      <c r="D650" t="s">
        <v>3222</v>
      </c>
      <c r="E650" t="s">
        <v>3226</v>
      </c>
      <c r="F650">
        <v>52187.96</v>
      </c>
      <c r="G650">
        <v>37787.03</v>
      </c>
      <c r="H650">
        <v>4</v>
      </c>
    </row>
    <row r="651" spans="1:8" x14ac:dyDescent="0.25">
      <c r="A651" t="s">
        <v>637</v>
      </c>
      <c r="B651" t="s">
        <v>3213</v>
      </c>
      <c r="C651" t="s">
        <v>3220</v>
      </c>
      <c r="D651" t="s">
        <v>3225</v>
      </c>
      <c r="E651" t="s">
        <v>3226</v>
      </c>
      <c r="F651">
        <v>43667.38</v>
      </c>
      <c r="G651">
        <v>27302.03</v>
      </c>
      <c r="H651">
        <v>2</v>
      </c>
    </row>
    <row r="652" spans="1:8" x14ac:dyDescent="0.25">
      <c r="A652" t="s">
        <v>638</v>
      </c>
      <c r="B652" t="s">
        <v>3214</v>
      </c>
      <c r="C652" t="s">
        <v>3217</v>
      </c>
      <c r="D652" t="s">
        <v>3222</v>
      </c>
      <c r="E652" t="s">
        <v>3226</v>
      </c>
      <c r="F652">
        <v>36325.46</v>
      </c>
      <c r="G652">
        <v>28502.47</v>
      </c>
      <c r="H652">
        <v>3</v>
      </c>
    </row>
    <row r="653" spans="1:8" x14ac:dyDescent="0.25">
      <c r="A653" t="s">
        <v>639</v>
      </c>
      <c r="B653" t="s">
        <v>3211</v>
      </c>
      <c r="C653" t="s">
        <v>3221</v>
      </c>
      <c r="D653" t="s">
        <v>3225</v>
      </c>
      <c r="E653" t="s">
        <v>3226</v>
      </c>
      <c r="F653">
        <v>52573.83</v>
      </c>
      <c r="G653">
        <v>40551.410000000003</v>
      </c>
      <c r="H653">
        <v>3</v>
      </c>
    </row>
    <row r="654" spans="1:8" x14ac:dyDescent="0.25">
      <c r="A654" t="s">
        <v>640</v>
      </c>
      <c r="B654" t="s">
        <v>3215</v>
      </c>
      <c r="C654" t="s">
        <v>3217</v>
      </c>
      <c r="D654" t="s">
        <v>3225</v>
      </c>
      <c r="E654" t="s">
        <v>3226</v>
      </c>
      <c r="F654">
        <v>46853.96</v>
      </c>
      <c r="G654">
        <v>24259.38</v>
      </c>
      <c r="H654">
        <v>2</v>
      </c>
    </row>
    <row r="655" spans="1:8" x14ac:dyDescent="0.25">
      <c r="A655" t="s">
        <v>641</v>
      </c>
      <c r="B655" t="s">
        <v>3215</v>
      </c>
      <c r="C655" t="s">
        <v>3219</v>
      </c>
      <c r="D655" t="s">
        <v>3223</v>
      </c>
      <c r="E655" t="s">
        <v>3226</v>
      </c>
      <c r="F655">
        <v>51253.11</v>
      </c>
      <c r="G655">
        <v>36419.14</v>
      </c>
      <c r="H655">
        <v>5</v>
      </c>
    </row>
    <row r="656" spans="1:8" x14ac:dyDescent="0.25">
      <c r="A656" t="s">
        <v>125</v>
      </c>
      <c r="C656" t="s">
        <v>3219</v>
      </c>
      <c r="D656" t="s">
        <v>3225</v>
      </c>
      <c r="E656" t="s">
        <v>3226</v>
      </c>
      <c r="F656">
        <v>17142.29</v>
      </c>
      <c r="G656">
        <v>13263.02</v>
      </c>
      <c r="H656">
        <v>1</v>
      </c>
    </row>
    <row r="657" spans="1:8" x14ac:dyDescent="0.25">
      <c r="A657" t="s">
        <v>642</v>
      </c>
      <c r="B657" t="s">
        <v>3213</v>
      </c>
      <c r="C657" t="s">
        <v>3220</v>
      </c>
      <c r="D657" t="s">
        <v>3225</v>
      </c>
      <c r="E657" t="s">
        <v>3226</v>
      </c>
      <c r="F657">
        <v>64876.79</v>
      </c>
      <c r="G657">
        <v>35927.85</v>
      </c>
      <c r="H657">
        <v>3</v>
      </c>
    </row>
    <row r="658" spans="1:8" x14ac:dyDescent="0.25">
      <c r="A658" t="s">
        <v>643</v>
      </c>
      <c r="B658" t="s">
        <v>3212</v>
      </c>
      <c r="C658" t="s">
        <v>3217</v>
      </c>
      <c r="D658" t="s">
        <v>3224</v>
      </c>
      <c r="E658" t="s">
        <v>3226</v>
      </c>
      <c r="F658">
        <v>261928.56</v>
      </c>
      <c r="G658">
        <v>167240.46</v>
      </c>
      <c r="H658">
        <v>4</v>
      </c>
    </row>
    <row r="659" spans="1:8" x14ac:dyDescent="0.25">
      <c r="A659" t="s">
        <v>644</v>
      </c>
      <c r="B659" t="s">
        <v>3214</v>
      </c>
      <c r="C659" t="s">
        <v>3216</v>
      </c>
      <c r="D659" t="s">
        <v>3223</v>
      </c>
      <c r="E659" t="s">
        <v>3226</v>
      </c>
      <c r="F659">
        <v>30114.11</v>
      </c>
      <c r="G659">
        <v>20715.189999999999</v>
      </c>
      <c r="H659">
        <v>3</v>
      </c>
    </row>
    <row r="660" spans="1:8" x14ac:dyDescent="0.25">
      <c r="A660" t="s">
        <v>645</v>
      </c>
      <c r="C660" t="s">
        <v>3216</v>
      </c>
      <c r="D660" t="s">
        <v>3225</v>
      </c>
      <c r="E660" t="s">
        <v>3226</v>
      </c>
      <c r="F660">
        <v>17899.89</v>
      </c>
      <c r="G660">
        <v>15326.22</v>
      </c>
      <c r="H660">
        <v>1</v>
      </c>
    </row>
    <row r="661" spans="1:8" x14ac:dyDescent="0.25">
      <c r="A661" t="s">
        <v>646</v>
      </c>
      <c r="B661" t="s">
        <v>3214</v>
      </c>
      <c r="C661" t="s">
        <v>3220</v>
      </c>
      <c r="D661" t="s">
        <v>3224</v>
      </c>
      <c r="E661" t="s">
        <v>3226</v>
      </c>
      <c r="F661">
        <v>215756.45</v>
      </c>
      <c r="G661">
        <v>182035.69</v>
      </c>
      <c r="H661">
        <v>4</v>
      </c>
    </row>
    <row r="662" spans="1:8" x14ac:dyDescent="0.25">
      <c r="A662" t="s">
        <v>647</v>
      </c>
      <c r="B662" t="s">
        <v>3215</v>
      </c>
      <c r="C662" t="s">
        <v>3220</v>
      </c>
      <c r="D662" t="s">
        <v>3225</v>
      </c>
      <c r="E662" t="s">
        <v>3226</v>
      </c>
      <c r="F662">
        <v>119973.45</v>
      </c>
      <c r="H662">
        <v>5</v>
      </c>
    </row>
    <row r="663" spans="1:8" x14ac:dyDescent="0.25">
      <c r="A663" t="s">
        <v>648</v>
      </c>
      <c r="B663" t="s">
        <v>3214</v>
      </c>
      <c r="C663" t="s">
        <v>3220</v>
      </c>
      <c r="D663" t="s">
        <v>3225</v>
      </c>
      <c r="E663" t="s">
        <v>3226</v>
      </c>
      <c r="F663">
        <v>92447.79</v>
      </c>
      <c r="G663">
        <v>63158.52</v>
      </c>
      <c r="H663">
        <v>5</v>
      </c>
    </row>
    <row r="664" spans="1:8" x14ac:dyDescent="0.25">
      <c r="A664" t="s">
        <v>247</v>
      </c>
      <c r="B664" t="s">
        <v>3211</v>
      </c>
      <c r="C664" t="s">
        <v>3218</v>
      </c>
      <c r="D664" t="s">
        <v>3223</v>
      </c>
      <c r="E664" t="s">
        <v>3226</v>
      </c>
      <c r="F664">
        <v>21312.1</v>
      </c>
      <c r="G664">
        <v>13084.29</v>
      </c>
      <c r="H664">
        <v>2</v>
      </c>
    </row>
    <row r="665" spans="1:8" x14ac:dyDescent="0.25">
      <c r="A665" t="s">
        <v>649</v>
      </c>
      <c r="B665" t="s">
        <v>3214</v>
      </c>
      <c r="C665" t="s">
        <v>3217</v>
      </c>
      <c r="D665" t="s">
        <v>3223</v>
      </c>
      <c r="E665" t="s">
        <v>3226</v>
      </c>
      <c r="G665">
        <v>14001.87</v>
      </c>
      <c r="H665">
        <v>2</v>
      </c>
    </row>
    <row r="666" spans="1:8" x14ac:dyDescent="0.25">
      <c r="A666" t="s">
        <v>650</v>
      </c>
      <c r="C666" t="s">
        <v>3217</v>
      </c>
      <c r="D666" t="s">
        <v>3224</v>
      </c>
      <c r="E666" t="s">
        <v>3226</v>
      </c>
      <c r="F666">
        <v>339983</v>
      </c>
      <c r="G666">
        <v>215256.95999999999</v>
      </c>
      <c r="H666">
        <v>5</v>
      </c>
    </row>
    <row r="667" spans="1:8" x14ac:dyDescent="0.25">
      <c r="A667" t="s">
        <v>651</v>
      </c>
      <c r="C667" t="s">
        <v>3217</v>
      </c>
      <c r="D667" t="s">
        <v>3222</v>
      </c>
      <c r="E667" t="s">
        <v>3226</v>
      </c>
      <c r="F667">
        <v>68566.8</v>
      </c>
      <c r="G667">
        <v>40842.089999999997</v>
      </c>
      <c r="H667">
        <v>4</v>
      </c>
    </row>
    <row r="668" spans="1:8" x14ac:dyDescent="0.25">
      <c r="A668" t="s">
        <v>652</v>
      </c>
      <c r="B668" t="s">
        <v>3215</v>
      </c>
      <c r="C668" t="s">
        <v>3219</v>
      </c>
      <c r="D668" t="s">
        <v>3224</v>
      </c>
      <c r="E668" t="s">
        <v>3226</v>
      </c>
      <c r="F668">
        <v>352882.82</v>
      </c>
      <c r="G668">
        <v>193937.7</v>
      </c>
      <c r="H668">
        <v>5</v>
      </c>
    </row>
    <row r="669" spans="1:8" x14ac:dyDescent="0.25">
      <c r="A669" t="s">
        <v>653</v>
      </c>
      <c r="B669" t="s">
        <v>3215</v>
      </c>
      <c r="C669" t="s">
        <v>3217</v>
      </c>
      <c r="D669" t="s">
        <v>3222</v>
      </c>
      <c r="E669" t="s">
        <v>3226</v>
      </c>
      <c r="F669">
        <v>34649.300000000003</v>
      </c>
      <c r="G669">
        <v>17686.52</v>
      </c>
      <c r="H669">
        <v>2</v>
      </c>
    </row>
    <row r="670" spans="1:8" x14ac:dyDescent="0.25">
      <c r="A670" t="s">
        <v>654</v>
      </c>
      <c r="B670" t="s">
        <v>3212</v>
      </c>
      <c r="C670" t="s">
        <v>3221</v>
      </c>
      <c r="D670" t="s">
        <v>3225</v>
      </c>
      <c r="E670" t="s">
        <v>3226</v>
      </c>
      <c r="F670">
        <v>87086.37</v>
      </c>
      <c r="G670">
        <v>60777.91</v>
      </c>
      <c r="H670">
        <v>4</v>
      </c>
    </row>
    <row r="671" spans="1:8" x14ac:dyDescent="0.25">
      <c r="A671" t="s">
        <v>655</v>
      </c>
      <c r="B671" t="s">
        <v>3212</v>
      </c>
      <c r="C671" t="s">
        <v>3220</v>
      </c>
      <c r="D671" t="s">
        <v>3224</v>
      </c>
      <c r="E671" t="s">
        <v>3226</v>
      </c>
      <c r="F671">
        <v>191290.7</v>
      </c>
      <c r="G671">
        <v>121439.46</v>
      </c>
      <c r="H671">
        <v>3</v>
      </c>
    </row>
    <row r="672" spans="1:8" x14ac:dyDescent="0.25">
      <c r="A672" t="s">
        <v>168</v>
      </c>
      <c r="B672" t="s">
        <v>3214</v>
      </c>
      <c r="C672" t="s">
        <v>3221</v>
      </c>
      <c r="D672" t="s">
        <v>3225</v>
      </c>
      <c r="E672" t="s">
        <v>3226</v>
      </c>
      <c r="F672">
        <v>21769.8</v>
      </c>
      <c r="G672">
        <v>12706.38</v>
      </c>
      <c r="H672">
        <v>1</v>
      </c>
    </row>
    <row r="673" spans="1:8" x14ac:dyDescent="0.25">
      <c r="A673" t="s">
        <v>656</v>
      </c>
      <c r="B673" t="s">
        <v>3212</v>
      </c>
      <c r="C673" t="s">
        <v>3216</v>
      </c>
      <c r="D673" t="s">
        <v>3225</v>
      </c>
      <c r="E673" t="s">
        <v>3226</v>
      </c>
      <c r="F673">
        <v>70718.37</v>
      </c>
      <c r="G673">
        <v>43326.19</v>
      </c>
      <c r="H673">
        <v>3</v>
      </c>
    </row>
    <row r="674" spans="1:8" x14ac:dyDescent="0.25">
      <c r="A674" t="s">
        <v>657</v>
      </c>
      <c r="C674" t="s">
        <v>3219</v>
      </c>
      <c r="D674" t="s">
        <v>3224</v>
      </c>
      <c r="E674" t="s">
        <v>3226</v>
      </c>
      <c r="F674">
        <v>50809.55</v>
      </c>
      <c r="G674">
        <v>44192</v>
      </c>
      <c r="H674">
        <v>1</v>
      </c>
    </row>
    <row r="675" spans="1:8" x14ac:dyDescent="0.25">
      <c r="A675" t="s">
        <v>658</v>
      </c>
      <c r="B675" t="s">
        <v>3215</v>
      </c>
      <c r="C675" t="s">
        <v>3219</v>
      </c>
      <c r="D675" t="s">
        <v>3223</v>
      </c>
      <c r="E675" t="s">
        <v>3226</v>
      </c>
      <c r="F675">
        <v>29092.46</v>
      </c>
      <c r="G675">
        <v>21602.15</v>
      </c>
      <c r="H675">
        <v>3</v>
      </c>
    </row>
    <row r="676" spans="1:8" x14ac:dyDescent="0.25">
      <c r="A676" t="s">
        <v>659</v>
      </c>
      <c r="B676" t="s">
        <v>3213</v>
      </c>
      <c r="C676" t="s">
        <v>3220</v>
      </c>
      <c r="D676" t="s">
        <v>3224</v>
      </c>
      <c r="E676" t="s">
        <v>3226</v>
      </c>
      <c r="G676">
        <v>195753.57</v>
      </c>
      <c r="H676">
        <v>5</v>
      </c>
    </row>
    <row r="677" spans="1:8" x14ac:dyDescent="0.25">
      <c r="A677" t="s">
        <v>660</v>
      </c>
      <c r="B677" t="s">
        <v>3212</v>
      </c>
      <c r="C677" t="s">
        <v>3220</v>
      </c>
      <c r="D677" t="s">
        <v>3224</v>
      </c>
      <c r="E677" t="s">
        <v>3226</v>
      </c>
      <c r="F677">
        <v>193188.64</v>
      </c>
      <c r="G677">
        <v>116516.23</v>
      </c>
      <c r="H677">
        <v>3</v>
      </c>
    </row>
    <row r="678" spans="1:8" x14ac:dyDescent="0.25">
      <c r="A678" t="s">
        <v>661</v>
      </c>
      <c r="C678" t="s">
        <v>3218</v>
      </c>
      <c r="D678" t="s">
        <v>3222</v>
      </c>
      <c r="E678" t="s">
        <v>3226</v>
      </c>
      <c r="F678">
        <v>26707.97</v>
      </c>
      <c r="G678">
        <v>18058.990000000002</v>
      </c>
      <c r="H678">
        <v>2</v>
      </c>
    </row>
    <row r="679" spans="1:8" x14ac:dyDescent="0.25">
      <c r="A679" t="s">
        <v>662</v>
      </c>
      <c r="B679" t="s">
        <v>3211</v>
      </c>
      <c r="C679" t="s">
        <v>3221</v>
      </c>
      <c r="D679" t="s">
        <v>3224</v>
      </c>
      <c r="E679" t="s">
        <v>3226</v>
      </c>
      <c r="F679">
        <v>107164.99</v>
      </c>
      <c r="G679">
        <v>79098.880000000005</v>
      </c>
      <c r="H679">
        <v>2</v>
      </c>
    </row>
    <row r="680" spans="1:8" x14ac:dyDescent="0.25">
      <c r="A680" t="s">
        <v>663</v>
      </c>
      <c r="B680" t="s">
        <v>3214</v>
      </c>
      <c r="C680" t="s">
        <v>3217</v>
      </c>
      <c r="D680" t="s">
        <v>3222</v>
      </c>
      <c r="E680" t="s">
        <v>3226</v>
      </c>
      <c r="F680">
        <v>31283.68</v>
      </c>
      <c r="G680">
        <v>17942.5</v>
      </c>
      <c r="H680">
        <v>2</v>
      </c>
    </row>
    <row r="681" spans="1:8" x14ac:dyDescent="0.25">
      <c r="A681" t="s">
        <v>664</v>
      </c>
      <c r="B681" t="s">
        <v>3214</v>
      </c>
      <c r="C681" t="s">
        <v>3220</v>
      </c>
      <c r="D681" t="s">
        <v>3225</v>
      </c>
      <c r="E681" t="s">
        <v>3226</v>
      </c>
      <c r="F681">
        <v>39073.06</v>
      </c>
      <c r="G681">
        <v>26138.73</v>
      </c>
    </row>
    <row r="682" spans="1:8" x14ac:dyDescent="0.25">
      <c r="A682" t="s">
        <v>665</v>
      </c>
      <c r="C682" t="s">
        <v>3216</v>
      </c>
      <c r="D682" t="s">
        <v>3222</v>
      </c>
      <c r="E682" t="s">
        <v>3226</v>
      </c>
      <c r="F682">
        <v>68496.570000000007</v>
      </c>
      <c r="G682">
        <v>53517.63</v>
      </c>
      <c r="H682">
        <v>5</v>
      </c>
    </row>
    <row r="683" spans="1:8" x14ac:dyDescent="0.25">
      <c r="A683" t="s">
        <v>666</v>
      </c>
      <c r="B683" t="s">
        <v>3211</v>
      </c>
      <c r="C683" t="s">
        <v>3217</v>
      </c>
      <c r="D683" t="s">
        <v>3224</v>
      </c>
      <c r="E683" t="s">
        <v>3226</v>
      </c>
      <c r="F683">
        <v>318720.15999999997</v>
      </c>
      <c r="G683">
        <v>210439.65</v>
      </c>
      <c r="H683">
        <v>5</v>
      </c>
    </row>
    <row r="684" spans="1:8" x14ac:dyDescent="0.25">
      <c r="A684" t="s">
        <v>450</v>
      </c>
      <c r="C684" t="s">
        <v>3220</v>
      </c>
      <c r="D684" t="s">
        <v>3223</v>
      </c>
      <c r="E684" t="s">
        <v>3226</v>
      </c>
      <c r="F684">
        <v>38019.67</v>
      </c>
      <c r="G684">
        <v>30279.08</v>
      </c>
      <c r="H684">
        <v>4</v>
      </c>
    </row>
    <row r="685" spans="1:8" x14ac:dyDescent="0.25">
      <c r="A685" t="s">
        <v>667</v>
      </c>
      <c r="B685" t="s">
        <v>3215</v>
      </c>
      <c r="C685" t="s">
        <v>3217</v>
      </c>
      <c r="D685" t="s">
        <v>3222</v>
      </c>
      <c r="E685" t="s">
        <v>3226</v>
      </c>
      <c r="F685">
        <v>61474.45</v>
      </c>
      <c r="G685">
        <v>44888.28</v>
      </c>
      <c r="H685">
        <v>5</v>
      </c>
    </row>
    <row r="686" spans="1:8" x14ac:dyDescent="0.25">
      <c r="A686" t="s">
        <v>668</v>
      </c>
      <c r="B686" t="s">
        <v>3215</v>
      </c>
      <c r="C686" t="s">
        <v>3220</v>
      </c>
      <c r="D686" t="s">
        <v>3222</v>
      </c>
      <c r="E686" t="s">
        <v>3226</v>
      </c>
      <c r="F686">
        <v>54047.96</v>
      </c>
      <c r="G686">
        <v>43207.56</v>
      </c>
      <c r="H686">
        <v>4</v>
      </c>
    </row>
    <row r="687" spans="1:8" x14ac:dyDescent="0.25">
      <c r="A687" t="s">
        <v>669</v>
      </c>
      <c r="B687" t="s">
        <v>3211</v>
      </c>
      <c r="C687" t="s">
        <v>3217</v>
      </c>
      <c r="D687" t="s">
        <v>3225</v>
      </c>
      <c r="E687" t="s">
        <v>3226</v>
      </c>
      <c r="F687">
        <v>36134.28</v>
      </c>
      <c r="G687">
        <v>29530.15</v>
      </c>
      <c r="H687">
        <v>2</v>
      </c>
    </row>
    <row r="688" spans="1:8" x14ac:dyDescent="0.25">
      <c r="A688" t="s">
        <v>670</v>
      </c>
      <c r="B688" t="s">
        <v>3214</v>
      </c>
      <c r="C688" t="s">
        <v>3219</v>
      </c>
      <c r="D688" t="s">
        <v>3224</v>
      </c>
      <c r="E688" t="s">
        <v>3226</v>
      </c>
      <c r="F688">
        <v>130967.71</v>
      </c>
      <c r="G688">
        <v>80992.570000000007</v>
      </c>
      <c r="H688">
        <v>2</v>
      </c>
    </row>
    <row r="689" spans="1:8" x14ac:dyDescent="0.25">
      <c r="A689" t="s">
        <v>671</v>
      </c>
      <c r="B689" t="s">
        <v>3213</v>
      </c>
      <c r="C689" t="s">
        <v>3220</v>
      </c>
      <c r="D689" t="s">
        <v>3224</v>
      </c>
      <c r="E689" t="s">
        <v>3226</v>
      </c>
      <c r="F689">
        <v>285378.12</v>
      </c>
      <c r="H689">
        <v>4</v>
      </c>
    </row>
    <row r="690" spans="1:8" x14ac:dyDescent="0.25">
      <c r="A690" t="s">
        <v>672</v>
      </c>
      <c r="B690" t="s">
        <v>3214</v>
      </c>
      <c r="C690" t="s">
        <v>3221</v>
      </c>
      <c r="D690" t="s">
        <v>3224</v>
      </c>
      <c r="E690" t="s">
        <v>3226</v>
      </c>
      <c r="F690">
        <v>141497.45000000001</v>
      </c>
      <c r="G690">
        <v>78059.350000000006</v>
      </c>
      <c r="H690">
        <v>2</v>
      </c>
    </row>
    <row r="691" spans="1:8" x14ac:dyDescent="0.25">
      <c r="A691" t="s">
        <v>673</v>
      </c>
      <c r="B691" t="s">
        <v>3213</v>
      </c>
      <c r="C691" t="s">
        <v>3220</v>
      </c>
      <c r="D691" t="s">
        <v>3222</v>
      </c>
      <c r="E691" t="s">
        <v>3226</v>
      </c>
      <c r="F691">
        <v>37628.93</v>
      </c>
      <c r="G691">
        <v>29231.47</v>
      </c>
      <c r="H691">
        <v>3</v>
      </c>
    </row>
    <row r="692" spans="1:8" x14ac:dyDescent="0.25">
      <c r="A692" t="s">
        <v>674</v>
      </c>
      <c r="B692" t="s">
        <v>3211</v>
      </c>
      <c r="C692" t="s">
        <v>3216</v>
      </c>
      <c r="D692" t="s">
        <v>3223</v>
      </c>
      <c r="E692" t="s">
        <v>3226</v>
      </c>
      <c r="F692">
        <v>17914.96</v>
      </c>
      <c r="G692">
        <v>13362.89</v>
      </c>
      <c r="H692">
        <v>2</v>
      </c>
    </row>
    <row r="693" spans="1:8" x14ac:dyDescent="0.25">
      <c r="A693" t="s">
        <v>675</v>
      </c>
      <c r="B693" t="s">
        <v>3213</v>
      </c>
      <c r="C693" t="s">
        <v>3218</v>
      </c>
      <c r="D693" t="s">
        <v>3224</v>
      </c>
      <c r="E693" t="s">
        <v>3226</v>
      </c>
      <c r="F693">
        <v>330814.71000000002</v>
      </c>
      <c r="G693">
        <v>209925.04</v>
      </c>
      <c r="H693">
        <v>5</v>
      </c>
    </row>
    <row r="694" spans="1:8" x14ac:dyDescent="0.25">
      <c r="A694" t="s">
        <v>448</v>
      </c>
      <c r="B694" t="s">
        <v>3215</v>
      </c>
      <c r="C694" t="s">
        <v>3221</v>
      </c>
      <c r="D694" t="s">
        <v>3222</v>
      </c>
      <c r="E694" t="s">
        <v>3226</v>
      </c>
      <c r="F694">
        <v>51161.03</v>
      </c>
      <c r="G694">
        <v>42587.45</v>
      </c>
      <c r="H694">
        <v>4</v>
      </c>
    </row>
    <row r="695" spans="1:8" x14ac:dyDescent="0.25">
      <c r="A695" t="s">
        <v>676</v>
      </c>
      <c r="B695" t="s">
        <v>3212</v>
      </c>
      <c r="C695" t="s">
        <v>3221</v>
      </c>
      <c r="D695" t="s">
        <v>3222</v>
      </c>
      <c r="E695" t="s">
        <v>3226</v>
      </c>
      <c r="F695">
        <v>41568.629999999997</v>
      </c>
      <c r="H695">
        <v>3</v>
      </c>
    </row>
    <row r="696" spans="1:8" x14ac:dyDescent="0.25">
      <c r="A696" t="s">
        <v>677</v>
      </c>
      <c r="B696" t="s">
        <v>3212</v>
      </c>
      <c r="C696" t="s">
        <v>3219</v>
      </c>
      <c r="D696" t="s">
        <v>3225</v>
      </c>
      <c r="E696" t="s">
        <v>3226</v>
      </c>
      <c r="F696">
        <v>85665.21</v>
      </c>
      <c r="G696">
        <v>58844.97</v>
      </c>
      <c r="H696">
        <v>4</v>
      </c>
    </row>
    <row r="697" spans="1:8" x14ac:dyDescent="0.25">
      <c r="A697" t="s">
        <v>678</v>
      </c>
      <c r="B697" t="s">
        <v>3211</v>
      </c>
      <c r="C697" t="s">
        <v>3216</v>
      </c>
      <c r="D697" t="s">
        <v>3224</v>
      </c>
      <c r="E697" t="s">
        <v>3226</v>
      </c>
      <c r="F697">
        <v>213811.94</v>
      </c>
      <c r="G697">
        <v>171288.28</v>
      </c>
      <c r="H697">
        <v>4</v>
      </c>
    </row>
    <row r="698" spans="1:8" x14ac:dyDescent="0.25">
      <c r="A698" t="s">
        <v>679</v>
      </c>
      <c r="B698" t="s">
        <v>3211</v>
      </c>
      <c r="C698" t="s">
        <v>3220</v>
      </c>
      <c r="D698" t="s">
        <v>3224</v>
      </c>
      <c r="E698" t="s">
        <v>3226</v>
      </c>
      <c r="G698">
        <v>40705.57</v>
      </c>
      <c r="H698">
        <v>1</v>
      </c>
    </row>
    <row r="699" spans="1:8" x14ac:dyDescent="0.25">
      <c r="A699" t="s">
        <v>680</v>
      </c>
      <c r="C699" t="s">
        <v>3216</v>
      </c>
      <c r="D699" t="s">
        <v>3222</v>
      </c>
      <c r="E699" t="s">
        <v>3226</v>
      </c>
      <c r="F699">
        <v>86665.65</v>
      </c>
      <c r="H699">
        <v>5</v>
      </c>
    </row>
    <row r="700" spans="1:8" x14ac:dyDescent="0.25">
      <c r="A700" t="s">
        <v>681</v>
      </c>
      <c r="B700" t="s">
        <v>3212</v>
      </c>
      <c r="C700" t="s">
        <v>3220</v>
      </c>
      <c r="D700" t="s">
        <v>3223</v>
      </c>
      <c r="E700" t="s">
        <v>3226</v>
      </c>
      <c r="F700">
        <v>16088.11</v>
      </c>
      <c r="G700">
        <v>13358.23</v>
      </c>
      <c r="H700">
        <v>2</v>
      </c>
    </row>
    <row r="701" spans="1:8" x14ac:dyDescent="0.25">
      <c r="A701" t="s">
        <v>682</v>
      </c>
      <c r="B701" t="s">
        <v>3214</v>
      </c>
      <c r="C701" t="s">
        <v>3220</v>
      </c>
      <c r="D701" t="s">
        <v>3225</v>
      </c>
      <c r="E701" t="s">
        <v>3226</v>
      </c>
      <c r="F701">
        <v>66959.39</v>
      </c>
      <c r="G701">
        <v>42412.6</v>
      </c>
      <c r="H701">
        <v>3</v>
      </c>
    </row>
    <row r="702" spans="1:8" x14ac:dyDescent="0.25">
      <c r="A702" t="s">
        <v>683</v>
      </c>
      <c r="B702" t="s">
        <v>3212</v>
      </c>
      <c r="C702" t="s">
        <v>3220</v>
      </c>
      <c r="D702" t="s">
        <v>3224</v>
      </c>
      <c r="E702" t="s">
        <v>3226</v>
      </c>
      <c r="F702">
        <v>50740.41</v>
      </c>
      <c r="G702">
        <v>44081.09</v>
      </c>
      <c r="H702">
        <v>1</v>
      </c>
    </row>
    <row r="703" spans="1:8" x14ac:dyDescent="0.25">
      <c r="A703" t="s">
        <v>684</v>
      </c>
      <c r="B703" t="s">
        <v>3213</v>
      </c>
      <c r="C703" t="s">
        <v>3218</v>
      </c>
      <c r="D703" t="s">
        <v>3223</v>
      </c>
      <c r="E703" t="s">
        <v>3226</v>
      </c>
      <c r="F703">
        <v>45609.1</v>
      </c>
      <c r="G703">
        <v>31147.81</v>
      </c>
      <c r="H703">
        <v>5</v>
      </c>
    </row>
    <row r="704" spans="1:8" x14ac:dyDescent="0.25">
      <c r="A704" t="s">
        <v>612</v>
      </c>
      <c r="B704" t="s">
        <v>3212</v>
      </c>
      <c r="C704" t="s">
        <v>3218</v>
      </c>
      <c r="D704" t="s">
        <v>3222</v>
      </c>
      <c r="E704" t="s">
        <v>3226</v>
      </c>
      <c r="G704">
        <v>19556.7</v>
      </c>
      <c r="H704">
        <v>2</v>
      </c>
    </row>
    <row r="705" spans="1:8" x14ac:dyDescent="0.25">
      <c r="A705" t="s">
        <v>685</v>
      </c>
      <c r="B705" t="s">
        <v>3212</v>
      </c>
      <c r="C705" t="s">
        <v>3220</v>
      </c>
      <c r="D705" t="s">
        <v>3224</v>
      </c>
      <c r="E705" t="s">
        <v>3226</v>
      </c>
      <c r="F705">
        <v>124230.9</v>
      </c>
      <c r="G705">
        <v>79611.37</v>
      </c>
      <c r="H705">
        <v>2</v>
      </c>
    </row>
    <row r="706" spans="1:8" x14ac:dyDescent="0.25">
      <c r="A706" t="s">
        <v>686</v>
      </c>
      <c r="B706" t="s">
        <v>3211</v>
      </c>
      <c r="C706" t="s">
        <v>3221</v>
      </c>
      <c r="D706" t="s">
        <v>3225</v>
      </c>
      <c r="E706" t="s">
        <v>3226</v>
      </c>
      <c r="F706">
        <v>91580.17</v>
      </c>
      <c r="G706">
        <v>55499.97</v>
      </c>
      <c r="H706">
        <v>4</v>
      </c>
    </row>
    <row r="707" spans="1:8" x14ac:dyDescent="0.25">
      <c r="A707" t="s">
        <v>687</v>
      </c>
      <c r="B707" t="s">
        <v>3215</v>
      </c>
      <c r="C707" t="s">
        <v>3219</v>
      </c>
      <c r="D707" t="s">
        <v>3224</v>
      </c>
      <c r="E707" t="s">
        <v>3226</v>
      </c>
      <c r="F707">
        <v>50368.45</v>
      </c>
      <c r="G707">
        <v>44772.81</v>
      </c>
      <c r="H707">
        <v>1</v>
      </c>
    </row>
    <row r="708" spans="1:8" x14ac:dyDescent="0.25">
      <c r="A708" t="s">
        <v>688</v>
      </c>
      <c r="B708" t="s">
        <v>3215</v>
      </c>
      <c r="C708" t="s">
        <v>3216</v>
      </c>
      <c r="D708" t="s">
        <v>3223</v>
      </c>
      <c r="E708" t="s">
        <v>3226</v>
      </c>
      <c r="F708">
        <v>51296.83</v>
      </c>
      <c r="H708">
        <v>5</v>
      </c>
    </row>
    <row r="709" spans="1:8" x14ac:dyDescent="0.25">
      <c r="A709" t="s">
        <v>689</v>
      </c>
      <c r="B709" t="s">
        <v>3212</v>
      </c>
      <c r="C709" t="s">
        <v>3217</v>
      </c>
      <c r="D709" t="s">
        <v>3223</v>
      </c>
      <c r="E709" t="s">
        <v>3226</v>
      </c>
      <c r="F709">
        <v>22876.02</v>
      </c>
      <c r="G709">
        <v>14384.25</v>
      </c>
      <c r="H709">
        <v>2</v>
      </c>
    </row>
    <row r="710" spans="1:8" x14ac:dyDescent="0.25">
      <c r="A710" t="s">
        <v>690</v>
      </c>
      <c r="C710" t="s">
        <v>3218</v>
      </c>
      <c r="D710" t="s">
        <v>3225</v>
      </c>
      <c r="E710" t="s">
        <v>3226</v>
      </c>
      <c r="F710">
        <v>33990.949999999997</v>
      </c>
      <c r="G710">
        <v>30535.37</v>
      </c>
      <c r="H710">
        <v>2</v>
      </c>
    </row>
    <row r="711" spans="1:8" x14ac:dyDescent="0.25">
      <c r="A711" t="s">
        <v>691</v>
      </c>
      <c r="C711" t="s">
        <v>3220</v>
      </c>
      <c r="D711" t="s">
        <v>3225</v>
      </c>
      <c r="E711" t="s">
        <v>3226</v>
      </c>
      <c r="F711">
        <v>56799.3</v>
      </c>
      <c r="G711">
        <v>42200.77</v>
      </c>
      <c r="H711">
        <v>3</v>
      </c>
    </row>
    <row r="712" spans="1:8" x14ac:dyDescent="0.25">
      <c r="A712" t="s">
        <v>692</v>
      </c>
      <c r="B712" t="s">
        <v>3214</v>
      </c>
      <c r="C712" t="s">
        <v>3220</v>
      </c>
      <c r="D712" t="s">
        <v>3225</v>
      </c>
      <c r="E712" t="s">
        <v>3226</v>
      </c>
      <c r="F712">
        <v>68098.820000000007</v>
      </c>
      <c r="G712">
        <v>38953.589999999997</v>
      </c>
      <c r="H712">
        <v>3</v>
      </c>
    </row>
    <row r="713" spans="1:8" x14ac:dyDescent="0.25">
      <c r="A713" t="s">
        <v>693</v>
      </c>
      <c r="B713" t="s">
        <v>3212</v>
      </c>
      <c r="C713" t="s">
        <v>3219</v>
      </c>
      <c r="D713" t="s">
        <v>3225</v>
      </c>
      <c r="E713" t="s">
        <v>3226</v>
      </c>
      <c r="F713">
        <v>105118.35</v>
      </c>
      <c r="G713">
        <v>64315.83</v>
      </c>
      <c r="H713">
        <v>5</v>
      </c>
    </row>
    <row r="714" spans="1:8" x14ac:dyDescent="0.25">
      <c r="A714" t="s">
        <v>694</v>
      </c>
      <c r="B714" t="s">
        <v>3211</v>
      </c>
      <c r="C714" t="s">
        <v>3217</v>
      </c>
      <c r="D714" t="s">
        <v>3224</v>
      </c>
      <c r="E714" t="s">
        <v>3226</v>
      </c>
      <c r="F714">
        <v>221122.97</v>
      </c>
      <c r="G714">
        <v>170677.76000000001</v>
      </c>
      <c r="H714">
        <v>4</v>
      </c>
    </row>
    <row r="715" spans="1:8" x14ac:dyDescent="0.25">
      <c r="A715" t="s">
        <v>695</v>
      </c>
      <c r="B715" t="s">
        <v>3214</v>
      </c>
      <c r="C715" t="s">
        <v>3217</v>
      </c>
      <c r="D715" t="s">
        <v>3225</v>
      </c>
      <c r="E715" t="s">
        <v>3226</v>
      </c>
      <c r="F715">
        <v>58432.28</v>
      </c>
      <c r="G715">
        <v>37724.82</v>
      </c>
      <c r="H715">
        <v>3</v>
      </c>
    </row>
    <row r="716" spans="1:8" x14ac:dyDescent="0.25">
      <c r="A716" t="s">
        <v>696</v>
      </c>
      <c r="B716" t="s">
        <v>3212</v>
      </c>
      <c r="C716" t="s">
        <v>3216</v>
      </c>
      <c r="D716" t="s">
        <v>3225</v>
      </c>
      <c r="E716" t="s">
        <v>3226</v>
      </c>
      <c r="F716">
        <v>70479.87</v>
      </c>
      <c r="G716">
        <v>36815.919999999998</v>
      </c>
      <c r="H716">
        <v>3</v>
      </c>
    </row>
    <row r="717" spans="1:8" x14ac:dyDescent="0.25">
      <c r="A717" t="s">
        <v>697</v>
      </c>
      <c r="B717" t="s">
        <v>3214</v>
      </c>
      <c r="C717" t="s">
        <v>3221</v>
      </c>
      <c r="D717" t="s">
        <v>3222</v>
      </c>
      <c r="E717" t="s">
        <v>3226</v>
      </c>
      <c r="F717">
        <v>29800.83</v>
      </c>
      <c r="G717">
        <v>17558.18</v>
      </c>
      <c r="H717">
        <v>2</v>
      </c>
    </row>
    <row r="718" spans="1:8" x14ac:dyDescent="0.25">
      <c r="A718" t="s">
        <v>698</v>
      </c>
      <c r="B718" t="s">
        <v>3214</v>
      </c>
      <c r="C718" t="s">
        <v>3218</v>
      </c>
      <c r="D718" t="s">
        <v>3223</v>
      </c>
      <c r="E718" t="s">
        <v>3226</v>
      </c>
      <c r="F718">
        <v>9096.33</v>
      </c>
      <c r="G718">
        <v>7352.04</v>
      </c>
      <c r="H718">
        <v>1</v>
      </c>
    </row>
    <row r="719" spans="1:8" x14ac:dyDescent="0.25">
      <c r="A719" t="s">
        <v>699</v>
      </c>
      <c r="B719" t="s">
        <v>3213</v>
      </c>
      <c r="C719" t="s">
        <v>3221</v>
      </c>
      <c r="D719" t="s">
        <v>3222</v>
      </c>
      <c r="E719" t="s">
        <v>3226</v>
      </c>
      <c r="F719">
        <v>49591.09</v>
      </c>
      <c r="G719">
        <v>30542.45</v>
      </c>
      <c r="H719">
        <v>3</v>
      </c>
    </row>
    <row r="720" spans="1:8" x14ac:dyDescent="0.25">
      <c r="A720" t="s">
        <v>700</v>
      </c>
      <c r="B720" t="s">
        <v>3214</v>
      </c>
      <c r="C720" t="s">
        <v>3221</v>
      </c>
      <c r="D720" t="s">
        <v>3224</v>
      </c>
      <c r="E720" t="s">
        <v>3226</v>
      </c>
      <c r="F720">
        <v>288364.65000000002</v>
      </c>
      <c r="G720">
        <v>227764.91</v>
      </c>
      <c r="H720">
        <v>5</v>
      </c>
    </row>
    <row r="721" spans="1:8" x14ac:dyDescent="0.25">
      <c r="A721" t="s">
        <v>701</v>
      </c>
      <c r="B721" t="s">
        <v>3213</v>
      </c>
      <c r="C721" t="s">
        <v>3220</v>
      </c>
      <c r="D721" t="s">
        <v>3224</v>
      </c>
      <c r="E721" t="s">
        <v>3226</v>
      </c>
      <c r="F721">
        <v>245921.95</v>
      </c>
      <c r="G721">
        <v>223275.07</v>
      </c>
      <c r="H721">
        <v>5</v>
      </c>
    </row>
    <row r="722" spans="1:8" x14ac:dyDescent="0.25">
      <c r="A722" t="s">
        <v>702</v>
      </c>
      <c r="B722" t="s">
        <v>3213</v>
      </c>
      <c r="C722" t="s">
        <v>3217</v>
      </c>
      <c r="D722" t="s">
        <v>3224</v>
      </c>
      <c r="E722" t="s">
        <v>3226</v>
      </c>
      <c r="F722">
        <v>325307.32</v>
      </c>
      <c r="G722">
        <v>246001.87</v>
      </c>
      <c r="H722">
        <v>5</v>
      </c>
    </row>
    <row r="723" spans="1:8" x14ac:dyDescent="0.25">
      <c r="A723" t="s">
        <v>703</v>
      </c>
      <c r="B723" t="s">
        <v>3213</v>
      </c>
      <c r="C723" t="s">
        <v>3217</v>
      </c>
      <c r="D723" t="s">
        <v>3223</v>
      </c>
      <c r="E723" t="s">
        <v>3226</v>
      </c>
      <c r="F723">
        <v>32127.61</v>
      </c>
      <c r="G723">
        <v>21538.81</v>
      </c>
      <c r="H723">
        <v>3</v>
      </c>
    </row>
    <row r="724" spans="1:8" x14ac:dyDescent="0.25">
      <c r="A724" t="s">
        <v>704</v>
      </c>
      <c r="C724" t="s">
        <v>3216</v>
      </c>
      <c r="D724" t="s">
        <v>3222</v>
      </c>
      <c r="E724" t="s">
        <v>3226</v>
      </c>
      <c r="F724">
        <v>17102.580000000002</v>
      </c>
      <c r="G724">
        <v>9535.82</v>
      </c>
      <c r="H724">
        <v>1</v>
      </c>
    </row>
    <row r="725" spans="1:8" x14ac:dyDescent="0.25">
      <c r="A725" t="s">
        <v>705</v>
      </c>
      <c r="B725" t="s">
        <v>3215</v>
      </c>
      <c r="C725" t="s">
        <v>3217</v>
      </c>
      <c r="D725" t="s">
        <v>3222</v>
      </c>
      <c r="E725" t="s">
        <v>3226</v>
      </c>
      <c r="G725">
        <v>52849.06</v>
      </c>
      <c r="H725">
        <v>5</v>
      </c>
    </row>
    <row r="726" spans="1:8" x14ac:dyDescent="0.25">
      <c r="A726" t="s">
        <v>706</v>
      </c>
      <c r="B726" t="s">
        <v>3215</v>
      </c>
      <c r="C726" t="s">
        <v>3217</v>
      </c>
      <c r="D726" t="s">
        <v>3224</v>
      </c>
      <c r="E726" t="s">
        <v>3226</v>
      </c>
      <c r="F726">
        <v>118683.64</v>
      </c>
      <c r="H726">
        <v>2</v>
      </c>
    </row>
    <row r="727" spans="1:8" x14ac:dyDescent="0.25">
      <c r="A727" t="s">
        <v>707</v>
      </c>
      <c r="B727" t="s">
        <v>3214</v>
      </c>
      <c r="C727" t="s">
        <v>3220</v>
      </c>
      <c r="D727" t="s">
        <v>3222</v>
      </c>
      <c r="E727" t="s">
        <v>3226</v>
      </c>
      <c r="F727">
        <v>61913.69</v>
      </c>
      <c r="G727">
        <v>40670.370000000003</v>
      </c>
      <c r="H727">
        <v>4</v>
      </c>
    </row>
    <row r="728" spans="1:8" x14ac:dyDescent="0.25">
      <c r="A728" t="s">
        <v>708</v>
      </c>
      <c r="B728" t="s">
        <v>3214</v>
      </c>
      <c r="C728" t="s">
        <v>3218</v>
      </c>
      <c r="D728" t="s">
        <v>3224</v>
      </c>
      <c r="E728" t="s">
        <v>3226</v>
      </c>
      <c r="G728">
        <v>127467.36</v>
      </c>
      <c r="H728">
        <v>3</v>
      </c>
    </row>
    <row r="729" spans="1:8" x14ac:dyDescent="0.25">
      <c r="A729" t="s">
        <v>311</v>
      </c>
      <c r="B729" t="s">
        <v>3211</v>
      </c>
      <c r="C729" t="s">
        <v>3218</v>
      </c>
      <c r="D729" t="s">
        <v>3223</v>
      </c>
      <c r="E729" t="s">
        <v>3226</v>
      </c>
      <c r="F729">
        <v>11610.17</v>
      </c>
      <c r="G729">
        <v>6078.29</v>
      </c>
      <c r="H729">
        <v>1</v>
      </c>
    </row>
    <row r="730" spans="1:8" x14ac:dyDescent="0.25">
      <c r="A730" t="s">
        <v>709</v>
      </c>
      <c r="B730" t="s">
        <v>3215</v>
      </c>
      <c r="C730" t="s">
        <v>3218</v>
      </c>
      <c r="D730" t="s">
        <v>3222</v>
      </c>
      <c r="E730" t="s">
        <v>3226</v>
      </c>
      <c r="H730">
        <v>3</v>
      </c>
    </row>
    <row r="731" spans="1:8" x14ac:dyDescent="0.25">
      <c r="A731" t="s">
        <v>710</v>
      </c>
      <c r="B731" t="s">
        <v>3214</v>
      </c>
      <c r="C731" t="s">
        <v>3220</v>
      </c>
      <c r="D731" t="s">
        <v>3223</v>
      </c>
      <c r="E731" t="s">
        <v>3226</v>
      </c>
      <c r="F731">
        <v>34033.42</v>
      </c>
      <c r="G731">
        <v>19241.080000000002</v>
      </c>
      <c r="H731">
        <v>3</v>
      </c>
    </row>
    <row r="732" spans="1:8" x14ac:dyDescent="0.25">
      <c r="A732" t="s">
        <v>711</v>
      </c>
      <c r="B732" t="s">
        <v>3215</v>
      </c>
      <c r="C732" t="s">
        <v>3217</v>
      </c>
      <c r="D732" t="s">
        <v>3225</v>
      </c>
      <c r="E732" t="s">
        <v>3226</v>
      </c>
      <c r="G732">
        <v>26481.41</v>
      </c>
      <c r="H732">
        <v>2</v>
      </c>
    </row>
    <row r="733" spans="1:8" x14ac:dyDescent="0.25">
      <c r="A733" t="s">
        <v>712</v>
      </c>
      <c r="C733" t="s">
        <v>3218</v>
      </c>
      <c r="D733" t="s">
        <v>3225</v>
      </c>
      <c r="E733" t="s">
        <v>3226</v>
      </c>
      <c r="F733">
        <v>46205.41</v>
      </c>
      <c r="G733">
        <v>26985.87</v>
      </c>
      <c r="H733">
        <v>2</v>
      </c>
    </row>
    <row r="734" spans="1:8" x14ac:dyDescent="0.25">
      <c r="A734" t="s">
        <v>169</v>
      </c>
      <c r="B734" t="s">
        <v>3211</v>
      </c>
      <c r="C734" t="s">
        <v>3220</v>
      </c>
      <c r="D734" t="s">
        <v>3223</v>
      </c>
      <c r="E734" t="s">
        <v>3226</v>
      </c>
      <c r="F734">
        <v>28657.18</v>
      </c>
      <c r="G734">
        <v>19122.04</v>
      </c>
    </row>
    <row r="735" spans="1:8" x14ac:dyDescent="0.25">
      <c r="A735" t="s">
        <v>713</v>
      </c>
      <c r="B735" t="s">
        <v>3214</v>
      </c>
      <c r="C735" t="s">
        <v>3218</v>
      </c>
      <c r="D735" t="s">
        <v>3223</v>
      </c>
      <c r="E735" t="s">
        <v>3226</v>
      </c>
      <c r="F735">
        <v>10226.84</v>
      </c>
      <c r="G735">
        <v>7242.02</v>
      </c>
      <c r="H735">
        <v>1</v>
      </c>
    </row>
    <row r="736" spans="1:8" x14ac:dyDescent="0.25">
      <c r="A736" t="s">
        <v>714</v>
      </c>
      <c r="B736" t="s">
        <v>3213</v>
      </c>
      <c r="C736" t="s">
        <v>3219</v>
      </c>
      <c r="D736" t="s">
        <v>3223</v>
      </c>
      <c r="E736" t="s">
        <v>3226</v>
      </c>
      <c r="F736">
        <v>31423.02</v>
      </c>
      <c r="H736">
        <v>3</v>
      </c>
    </row>
    <row r="737" spans="1:8" x14ac:dyDescent="0.25">
      <c r="A737" t="s">
        <v>715</v>
      </c>
      <c r="B737" t="s">
        <v>3212</v>
      </c>
      <c r="C737" t="s">
        <v>3217</v>
      </c>
      <c r="D737" t="s">
        <v>3222</v>
      </c>
      <c r="E737" t="s">
        <v>3226</v>
      </c>
      <c r="F737">
        <v>85067.15</v>
      </c>
      <c r="G737">
        <v>43045.760000000002</v>
      </c>
    </row>
    <row r="738" spans="1:8" x14ac:dyDescent="0.25">
      <c r="A738" t="s">
        <v>716</v>
      </c>
      <c r="B738" t="s">
        <v>3211</v>
      </c>
      <c r="C738" t="s">
        <v>3216</v>
      </c>
      <c r="D738" t="s">
        <v>3223</v>
      </c>
      <c r="E738" t="s">
        <v>3226</v>
      </c>
      <c r="F738">
        <v>21312.81</v>
      </c>
      <c r="G738">
        <v>13748.17</v>
      </c>
      <c r="H738">
        <v>2</v>
      </c>
    </row>
    <row r="739" spans="1:8" x14ac:dyDescent="0.25">
      <c r="A739" t="s">
        <v>717</v>
      </c>
      <c r="B739" t="s">
        <v>3214</v>
      </c>
      <c r="C739" t="s">
        <v>3219</v>
      </c>
      <c r="D739" t="s">
        <v>3224</v>
      </c>
      <c r="E739" t="s">
        <v>3226</v>
      </c>
      <c r="F739">
        <v>269219.94</v>
      </c>
      <c r="G739">
        <v>155962.34</v>
      </c>
      <c r="H739">
        <v>4</v>
      </c>
    </row>
    <row r="740" spans="1:8" x14ac:dyDescent="0.25">
      <c r="A740" t="s">
        <v>718</v>
      </c>
      <c r="C740" t="s">
        <v>3219</v>
      </c>
      <c r="D740" t="s">
        <v>3225</v>
      </c>
      <c r="E740" t="s">
        <v>3226</v>
      </c>
      <c r="F740">
        <v>16563.689999999999</v>
      </c>
      <c r="G740">
        <v>12873.5</v>
      </c>
      <c r="H740">
        <v>1</v>
      </c>
    </row>
    <row r="741" spans="1:8" x14ac:dyDescent="0.25">
      <c r="A741" t="s">
        <v>719</v>
      </c>
      <c r="B741" t="s">
        <v>3214</v>
      </c>
      <c r="C741" t="s">
        <v>3217</v>
      </c>
      <c r="D741" t="s">
        <v>3222</v>
      </c>
      <c r="E741" t="s">
        <v>3226</v>
      </c>
      <c r="F741">
        <v>13184.69</v>
      </c>
      <c r="G741">
        <v>10960.3</v>
      </c>
      <c r="H741">
        <v>1</v>
      </c>
    </row>
    <row r="742" spans="1:8" x14ac:dyDescent="0.25">
      <c r="A742" t="s">
        <v>720</v>
      </c>
      <c r="C742" t="s">
        <v>3221</v>
      </c>
      <c r="D742" t="s">
        <v>3225</v>
      </c>
      <c r="E742" t="s">
        <v>3226</v>
      </c>
      <c r="F742">
        <v>83085.77</v>
      </c>
      <c r="G742">
        <v>64858.43</v>
      </c>
      <c r="H742">
        <v>5</v>
      </c>
    </row>
    <row r="743" spans="1:8" x14ac:dyDescent="0.25">
      <c r="A743" t="s">
        <v>86</v>
      </c>
      <c r="B743" t="s">
        <v>3214</v>
      </c>
      <c r="C743" t="s">
        <v>3218</v>
      </c>
      <c r="D743" t="s">
        <v>3222</v>
      </c>
      <c r="E743" t="s">
        <v>3226</v>
      </c>
      <c r="F743">
        <v>54905.24</v>
      </c>
      <c r="H743">
        <v>4</v>
      </c>
    </row>
    <row r="744" spans="1:8" x14ac:dyDescent="0.25">
      <c r="A744" t="s">
        <v>721</v>
      </c>
      <c r="B744" t="s">
        <v>3212</v>
      </c>
      <c r="C744" t="s">
        <v>3221</v>
      </c>
      <c r="D744" t="s">
        <v>3223</v>
      </c>
      <c r="E744" t="s">
        <v>3226</v>
      </c>
      <c r="F744">
        <v>29499.040000000001</v>
      </c>
      <c r="G744">
        <v>19227.68</v>
      </c>
      <c r="H744">
        <v>3</v>
      </c>
    </row>
    <row r="745" spans="1:8" x14ac:dyDescent="0.25">
      <c r="A745" t="s">
        <v>722</v>
      </c>
      <c r="B745" t="s">
        <v>3211</v>
      </c>
      <c r="C745" t="s">
        <v>3216</v>
      </c>
      <c r="D745" t="s">
        <v>3223</v>
      </c>
      <c r="E745" t="s">
        <v>3226</v>
      </c>
      <c r="F745">
        <v>23695.11</v>
      </c>
      <c r="G745">
        <v>14184.11</v>
      </c>
      <c r="H745">
        <v>2</v>
      </c>
    </row>
    <row r="746" spans="1:8" x14ac:dyDescent="0.25">
      <c r="A746" t="s">
        <v>723</v>
      </c>
      <c r="C746" t="s">
        <v>3220</v>
      </c>
      <c r="D746" t="s">
        <v>3225</v>
      </c>
      <c r="E746" t="s">
        <v>3226</v>
      </c>
      <c r="F746">
        <v>23377.79</v>
      </c>
      <c r="G746">
        <v>13973.99</v>
      </c>
      <c r="H746">
        <v>1</v>
      </c>
    </row>
    <row r="747" spans="1:8" x14ac:dyDescent="0.25">
      <c r="A747" t="s">
        <v>724</v>
      </c>
      <c r="B747" t="s">
        <v>3215</v>
      </c>
      <c r="C747" t="s">
        <v>3221</v>
      </c>
      <c r="D747" t="s">
        <v>3224</v>
      </c>
      <c r="E747" t="s">
        <v>3226</v>
      </c>
      <c r="F747">
        <v>183006.74</v>
      </c>
      <c r="G747">
        <v>119173.95</v>
      </c>
      <c r="H747">
        <v>3</v>
      </c>
    </row>
    <row r="748" spans="1:8" x14ac:dyDescent="0.25">
      <c r="A748" t="s">
        <v>725</v>
      </c>
      <c r="C748" t="s">
        <v>3220</v>
      </c>
      <c r="D748" t="s">
        <v>3225</v>
      </c>
      <c r="E748" t="s">
        <v>3226</v>
      </c>
      <c r="F748">
        <v>90110.63</v>
      </c>
      <c r="G748">
        <v>66616.14</v>
      </c>
      <c r="H748">
        <v>5</v>
      </c>
    </row>
    <row r="749" spans="1:8" x14ac:dyDescent="0.25">
      <c r="A749" t="s">
        <v>726</v>
      </c>
      <c r="B749" t="s">
        <v>3212</v>
      </c>
      <c r="C749" t="s">
        <v>3217</v>
      </c>
      <c r="D749" t="s">
        <v>3223</v>
      </c>
      <c r="E749" t="s">
        <v>3226</v>
      </c>
      <c r="F749">
        <v>30788.97</v>
      </c>
      <c r="G749">
        <v>21602.19</v>
      </c>
      <c r="H749">
        <v>3</v>
      </c>
    </row>
    <row r="750" spans="1:8" x14ac:dyDescent="0.25">
      <c r="A750" t="s">
        <v>727</v>
      </c>
      <c r="B750" t="s">
        <v>3213</v>
      </c>
      <c r="C750" t="s">
        <v>3216</v>
      </c>
      <c r="D750" t="s">
        <v>3223</v>
      </c>
      <c r="E750" t="s">
        <v>3226</v>
      </c>
      <c r="F750">
        <v>57186.5</v>
      </c>
      <c r="G750">
        <v>30712.66</v>
      </c>
    </row>
    <row r="751" spans="1:8" x14ac:dyDescent="0.25">
      <c r="A751" t="s">
        <v>728</v>
      </c>
      <c r="B751" t="s">
        <v>3214</v>
      </c>
      <c r="C751" t="s">
        <v>3218</v>
      </c>
      <c r="D751" t="s">
        <v>3224</v>
      </c>
      <c r="E751" t="s">
        <v>3226</v>
      </c>
      <c r="F751">
        <v>194103.47</v>
      </c>
      <c r="G751">
        <v>120304.51</v>
      </c>
      <c r="H751">
        <v>3</v>
      </c>
    </row>
    <row r="752" spans="1:8" x14ac:dyDescent="0.25">
      <c r="A752" t="s">
        <v>729</v>
      </c>
      <c r="C752" t="s">
        <v>3220</v>
      </c>
      <c r="D752" t="s">
        <v>3225</v>
      </c>
      <c r="E752" t="s">
        <v>3226</v>
      </c>
      <c r="F752">
        <v>59522.59</v>
      </c>
      <c r="G752">
        <v>41321.39</v>
      </c>
      <c r="H752">
        <v>3</v>
      </c>
    </row>
    <row r="753" spans="1:8" x14ac:dyDescent="0.25">
      <c r="A753" t="s">
        <v>69</v>
      </c>
      <c r="C753" t="s">
        <v>3218</v>
      </c>
      <c r="D753" t="s">
        <v>3223</v>
      </c>
      <c r="E753" t="s">
        <v>3226</v>
      </c>
      <c r="F753">
        <v>21762.99</v>
      </c>
      <c r="G753">
        <v>13455.68</v>
      </c>
      <c r="H753">
        <v>2</v>
      </c>
    </row>
    <row r="754" spans="1:8" x14ac:dyDescent="0.25">
      <c r="A754" t="s">
        <v>730</v>
      </c>
      <c r="B754" t="s">
        <v>3212</v>
      </c>
      <c r="C754" t="s">
        <v>3219</v>
      </c>
      <c r="D754" t="s">
        <v>3222</v>
      </c>
      <c r="E754" t="s">
        <v>3226</v>
      </c>
      <c r="F754">
        <v>42952.26</v>
      </c>
      <c r="G754">
        <v>29136.44</v>
      </c>
      <c r="H754">
        <v>3</v>
      </c>
    </row>
    <row r="755" spans="1:8" x14ac:dyDescent="0.25">
      <c r="A755" t="s">
        <v>731</v>
      </c>
      <c r="B755" t="s">
        <v>3215</v>
      </c>
      <c r="C755" t="s">
        <v>3220</v>
      </c>
      <c r="D755" t="s">
        <v>3224</v>
      </c>
      <c r="E755" t="s">
        <v>3226</v>
      </c>
      <c r="F755">
        <v>251346.76</v>
      </c>
      <c r="G755">
        <v>233909.14</v>
      </c>
      <c r="H755">
        <v>5</v>
      </c>
    </row>
    <row r="756" spans="1:8" x14ac:dyDescent="0.25">
      <c r="A756" t="s">
        <v>732</v>
      </c>
      <c r="B756" t="s">
        <v>3215</v>
      </c>
      <c r="C756" t="s">
        <v>3221</v>
      </c>
      <c r="D756" t="s">
        <v>3222</v>
      </c>
      <c r="E756" t="s">
        <v>3226</v>
      </c>
      <c r="F756">
        <v>14046.12</v>
      </c>
      <c r="G756">
        <v>10904.66</v>
      </c>
      <c r="H756">
        <v>1</v>
      </c>
    </row>
    <row r="757" spans="1:8" x14ac:dyDescent="0.25">
      <c r="A757" t="s">
        <v>733</v>
      </c>
      <c r="B757" t="s">
        <v>3214</v>
      </c>
      <c r="C757" t="s">
        <v>3221</v>
      </c>
      <c r="D757" t="s">
        <v>3223</v>
      </c>
      <c r="E757" t="s">
        <v>3226</v>
      </c>
      <c r="F757">
        <v>28369.45</v>
      </c>
      <c r="G757">
        <v>21206.78</v>
      </c>
      <c r="H757">
        <v>3</v>
      </c>
    </row>
    <row r="758" spans="1:8" x14ac:dyDescent="0.25">
      <c r="A758" t="s">
        <v>734</v>
      </c>
      <c r="B758" t="s">
        <v>3211</v>
      </c>
      <c r="C758" t="s">
        <v>3217</v>
      </c>
      <c r="D758" t="s">
        <v>3224</v>
      </c>
      <c r="E758" t="s">
        <v>3226</v>
      </c>
      <c r="F758">
        <v>133885.95000000001</v>
      </c>
      <c r="G758">
        <v>77202.31</v>
      </c>
      <c r="H758">
        <v>2</v>
      </c>
    </row>
    <row r="759" spans="1:8" x14ac:dyDescent="0.25">
      <c r="A759" t="s">
        <v>735</v>
      </c>
      <c r="B759" t="s">
        <v>3214</v>
      </c>
      <c r="C759" t="s">
        <v>3221</v>
      </c>
      <c r="D759" t="s">
        <v>3223</v>
      </c>
      <c r="E759" t="s">
        <v>3226</v>
      </c>
      <c r="F759">
        <v>19541.89</v>
      </c>
      <c r="G759">
        <v>15221.21</v>
      </c>
      <c r="H759">
        <v>2</v>
      </c>
    </row>
    <row r="760" spans="1:8" x14ac:dyDescent="0.25">
      <c r="A760" t="s">
        <v>736</v>
      </c>
      <c r="C760" t="s">
        <v>3218</v>
      </c>
      <c r="D760" t="s">
        <v>3225</v>
      </c>
      <c r="E760" t="s">
        <v>3226</v>
      </c>
      <c r="F760">
        <v>42585.46</v>
      </c>
      <c r="H760">
        <v>2</v>
      </c>
    </row>
    <row r="761" spans="1:8" x14ac:dyDescent="0.25">
      <c r="A761" t="s">
        <v>737</v>
      </c>
      <c r="B761" t="s">
        <v>3215</v>
      </c>
      <c r="C761" t="s">
        <v>3218</v>
      </c>
      <c r="D761" t="s">
        <v>3225</v>
      </c>
      <c r="E761" t="s">
        <v>3226</v>
      </c>
      <c r="F761">
        <v>72592</v>
      </c>
      <c r="G761">
        <v>56759.3</v>
      </c>
      <c r="H761">
        <v>4</v>
      </c>
    </row>
    <row r="762" spans="1:8" x14ac:dyDescent="0.25">
      <c r="A762" t="s">
        <v>738</v>
      </c>
      <c r="B762" t="s">
        <v>3211</v>
      </c>
      <c r="C762" t="s">
        <v>3219</v>
      </c>
      <c r="D762" t="s">
        <v>3222</v>
      </c>
      <c r="E762" t="s">
        <v>3226</v>
      </c>
      <c r="F762">
        <v>44189.11</v>
      </c>
      <c r="G762">
        <v>29030.89</v>
      </c>
      <c r="H762">
        <v>3</v>
      </c>
    </row>
    <row r="763" spans="1:8" x14ac:dyDescent="0.25">
      <c r="A763" t="s">
        <v>739</v>
      </c>
      <c r="B763" t="s">
        <v>3213</v>
      </c>
      <c r="C763" t="s">
        <v>3221</v>
      </c>
      <c r="D763" t="s">
        <v>3224</v>
      </c>
      <c r="E763" t="s">
        <v>3226</v>
      </c>
      <c r="F763">
        <v>257163.67</v>
      </c>
      <c r="G763">
        <v>160923.72</v>
      </c>
      <c r="H763">
        <v>4</v>
      </c>
    </row>
    <row r="764" spans="1:8" x14ac:dyDescent="0.25">
      <c r="A764" t="s">
        <v>740</v>
      </c>
      <c r="B764" t="s">
        <v>3214</v>
      </c>
      <c r="C764" t="s">
        <v>3217</v>
      </c>
      <c r="D764" t="s">
        <v>3224</v>
      </c>
      <c r="E764" t="s">
        <v>3226</v>
      </c>
      <c r="F764">
        <v>119046.48</v>
      </c>
      <c r="G764">
        <v>84897.17</v>
      </c>
      <c r="H764">
        <v>2</v>
      </c>
    </row>
    <row r="765" spans="1:8" x14ac:dyDescent="0.25">
      <c r="A765" t="s">
        <v>741</v>
      </c>
      <c r="C765" t="s">
        <v>3217</v>
      </c>
      <c r="D765" t="s">
        <v>3225</v>
      </c>
      <c r="E765" t="s">
        <v>3226</v>
      </c>
      <c r="F765">
        <v>84838.43</v>
      </c>
      <c r="G765">
        <v>60877.21</v>
      </c>
      <c r="H765">
        <v>5</v>
      </c>
    </row>
    <row r="766" spans="1:8" x14ac:dyDescent="0.25">
      <c r="A766" t="s">
        <v>742</v>
      </c>
      <c r="B766" t="s">
        <v>3211</v>
      </c>
      <c r="C766" t="s">
        <v>3217</v>
      </c>
      <c r="D766" t="s">
        <v>3225</v>
      </c>
      <c r="E766" t="s">
        <v>3226</v>
      </c>
      <c r="F766">
        <v>102446.01</v>
      </c>
      <c r="G766">
        <v>71530.149999999994</v>
      </c>
      <c r="H766">
        <v>5</v>
      </c>
    </row>
    <row r="767" spans="1:8" x14ac:dyDescent="0.25">
      <c r="A767" t="s">
        <v>743</v>
      </c>
      <c r="B767" t="s">
        <v>3213</v>
      </c>
      <c r="C767" t="s">
        <v>3217</v>
      </c>
      <c r="D767" t="s">
        <v>3225</v>
      </c>
      <c r="E767" t="s">
        <v>3226</v>
      </c>
      <c r="G767">
        <v>58976.58</v>
      </c>
      <c r="H767">
        <v>4</v>
      </c>
    </row>
    <row r="768" spans="1:8" x14ac:dyDescent="0.25">
      <c r="A768" t="s">
        <v>744</v>
      </c>
      <c r="B768" t="s">
        <v>3211</v>
      </c>
      <c r="C768" t="s">
        <v>3216</v>
      </c>
      <c r="D768" t="s">
        <v>3225</v>
      </c>
      <c r="E768" t="s">
        <v>3226</v>
      </c>
      <c r="F768">
        <v>103403.11</v>
      </c>
      <c r="G768">
        <v>68480.479999999996</v>
      </c>
      <c r="H768">
        <v>5</v>
      </c>
    </row>
    <row r="769" spans="1:8" x14ac:dyDescent="0.25">
      <c r="A769" t="s">
        <v>745</v>
      </c>
      <c r="B769" t="s">
        <v>3211</v>
      </c>
      <c r="C769" t="s">
        <v>3216</v>
      </c>
      <c r="D769" t="s">
        <v>3224</v>
      </c>
      <c r="E769" t="s">
        <v>3226</v>
      </c>
      <c r="F769">
        <v>276580.58</v>
      </c>
      <c r="G769">
        <v>229944.94</v>
      </c>
      <c r="H769">
        <v>5</v>
      </c>
    </row>
    <row r="770" spans="1:8" x14ac:dyDescent="0.25">
      <c r="A770" t="s">
        <v>746</v>
      </c>
      <c r="B770" t="s">
        <v>3215</v>
      </c>
      <c r="C770" t="s">
        <v>3221</v>
      </c>
      <c r="D770" t="s">
        <v>3225</v>
      </c>
      <c r="E770" t="s">
        <v>3226</v>
      </c>
      <c r="F770">
        <v>77304.789999999994</v>
      </c>
      <c r="G770">
        <v>54168.480000000003</v>
      </c>
      <c r="H770">
        <v>4</v>
      </c>
    </row>
    <row r="771" spans="1:8" x14ac:dyDescent="0.25">
      <c r="A771" t="s">
        <v>747</v>
      </c>
      <c r="B771" t="s">
        <v>3211</v>
      </c>
      <c r="C771" t="s">
        <v>3218</v>
      </c>
      <c r="D771" t="s">
        <v>3223</v>
      </c>
      <c r="E771" t="s">
        <v>3226</v>
      </c>
      <c r="F771">
        <v>48633.2</v>
      </c>
      <c r="G771">
        <v>36903.699999999997</v>
      </c>
      <c r="H771">
        <v>5</v>
      </c>
    </row>
    <row r="772" spans="1:8" x14ac:dyDescent="0.25">
      <c r="A772" t="s">
        <v>748</v>
      </c>
      <c r="B772" t="s">
        <v>3211</v>
      </c>
      <c r="C772" t="s">
        <v>3218</v>
      </c>
      <c r="D772" t="s">
        <v>3225</v>
      </c>
      <c r="E772" t="s">
        <v>3226</v>
      </c>
      <c r="F772">
        <v>33202.29</v>
      </c>
      <c r="G772">
        <v>24739.42</v>
      </c>
      <c r="H772">
        <v>2</v>
      </c>
    </row>
    <row r="773" spans="1:8" x14ac:dyDescent="0.25">
      <c r="A773" t="s">
        <v>749</v>
      </c>
      <c r="B773" t="s">
        <v>3215</v>
      </c>
      <c r="C773" t="s">
        <v>3216</v>
      </c>
      <c r="D773" t="s">
        <v>3222</v>
      </c>
      <c r="E773" t="s">
        <v>3226</v>
      </c>
      <c r="F773">
        <v>86778.34</v>
      </c>
      <c r="G773">
        <v>48233.120000000003</v>
      </c>
      <c r="H773">
        <v>5</v>
      </c>
    </row>
    <row r="774" spans="1:8" x14ac:dyDescent="0.25">
      <c r="A774" t="s">
        <v>539</v>
      </c>
      <c r="B774" t="s">
        <v>3213</v>
      </c>
      <c r="C774" t="s">
        <v>3221</v>
      </c>
      <c r="D774" t="s">
        <v>3224</v>
      </c>
      <c r="E774" t="s">
        <v>3226</v>
      </c>
      <c r="G774">
        <v>143287.35</v>
      </c>
      <c r="H774">
        <v>3</v>
      </c>
    </row>
    <row r="775" spans="1:8" x14ac:dyDescent="0.25">
      <c r="A775" t="s">
        <v>675</v>
      </c>
      <c r="B775" t="s">
        <v>3212</v>
      </c>
      <c r="C775" t="s">
        <v>3219</v>
      </c>
      <c r="D775" t="s">
        <v>3225</v>
      </c>
      <c r="E775" t="s">
        <v>3226</v>
      </c>
      <c r="G775">
        <v>13076.56</v>
      </c>
      <c r="H775">
        <v>1</v>
      </c>
    </row>
    <row r="776" spans="1:8" x14ac:dyDescent="0.25">
      <c r="A776" t="s">
        <v>750</v>
      </c>
      <c r="B776" t="s">
        <v>3211</v>
      </c>
      <c r="C776" t="s">
        <v>3221</v>
      </c>
      <c r="D776" t="s">
        <v>3224</v>
      </c>
      <c r="E776" t="s">
        <v>3226</v>
      </c>
      <c r="F776">
        <v>293608.74</v>
      </c>
      <c r="G776">
        <v>210541.87</v>
      </c>
      <c r="H776">
        <v>5</v>
      </c>
    </row>
    <row r="777" spans="1:8" x14ac:dyDescent="0.25">
      <c r="A777" t="s">
        <v>751</v>
      </c>
      <c r="B777" t="s">
        <v>3215</v>
      </c>
      <c r="C777" t="s">
        <v>3218</v>
      </c>
      <c r="D777" t="s">
        <v>3224</v>
      </c>
      <c r="E777" t="s">
        <v>3226</v>
      </c>
      <c r="F777">
        <v>281599.62</v>
      </c>
      <c r="G777">
        <v>191643.41</v>
      </c>
      <c r="H777">
        <v>4</v>
      </c>
    </row>
    <row r="778" spans="1:8" x14ac:dyDescent="0.25">
      <c r="A778" t="s">
        <v>752</v>
      </c>
      <c r="B778" t="s">
        <v>3212</v>
      </c>
      <c r="C778" t="s">
        <v>3220</v>
      </c>
      <c r="D778" t="s">
        <v>3224</v>
      </c>
      <c r="E778" t="s">
        <v>3226</v>
      </c>
      <c r="F778">
        <v>283456.59999999998</v>
      </c>
      <c r="G778">
        <v>171218.7</v>
      </c>
      <c r="H778">
        <v>4</v>
      </c>
    </row>
    <row r="779" spans="1:8" x14ac:dyDescent="0.25">
      <c r="A779" t="s">
        <v>753</v>
      </c>
      <c r="C779" t="s">
        <v>3216</v>
      </c>
      <c r="D779" t="s">
        <v>3223</v>
      </c>
      <c r="E779" t="s">
        <v>3226</v>
      </c>
      <c r="F779">
        <v>20491.82</v>
      </c>
      <c r="G779">
        <v>12550.77</v>
      </c>
      <c r="H779">
        <v>2</v>
      </c>
    </row>
    <row r="780" spans="1:8" x14ac:dyDescent="0.25">
      <c r="A780" t="s">
        <v>754</v>
      </c>
      <c r="C780" t="s">
        <v>3218</v>
      </c>
      <c r="D780" t="s">
        <v>3225</v>
      </c>
      <c r="E780" t="s">
        <v>3226</v>
      </c>
      <c r="F780">
        <v>87947.55</v>
      </c>
      <c r="G780">
        <v>58575</v>
      </c>
      <c r="H780">
        <v>4</v>
      </c>
    </row>
    <row r="781" spans="1:8" x14ac:dyDescent="0.25">
      <c r="A781" t="s">
        <v>755</v>
      </c>
      <c r="C781" t="s">
        <v>3221</v>
      </c>
      <c r="D781" t="s">
        <v>3222</v>
      </c>
      <c r="E781" t="s">
        <v>3226</v>
      </c>
      <c r="F781">
        <v>31024.51</v>
      </c>
      <c r="G781">
        <v>19738.080000000002</v>
      </c>
      <c r="H781">
        <v>2</v>
      </c>
    </row>
    <row r="782" spans="1:8" x14ac:dyDescent="0.25">
      <c r="A782" t="s">
        <v>756</v>
      </c>
      <c r="B782" t="s">
        <v>3212</v>
      </c>
      <c r="C782" t="s">
        <v>3220</v>
      </c>
      <c r="D782" t="s">
        <v>3224</v>
      </c>
      <c r="E782" t="s">
        <v>3226</v>
      </c>
      <c r="F782">
        <v>334684.87</v>
      </c>
      <c r="G782">
        <v>210992.38</v>
      </c>
      <c r="H782">
        <v>5</v>
      </c>
    </row>
    <row r="783" spans="1:8" x14ac:dyDescent="0.25">
      <c r="A783" t="s">
        <v>757</v>
      </c>
      <c r="B783" t="s">
        <v>3213</v>
      </c>
      <c r="C783" t="s">
        <v>3220</v>
      </c>
      <c r="D783" t="s">
        <v>3225</v>
      </c>
      <c r="E783" t="s">
        <v>3226</v>
      </c>
      <c r="F783">
        <v>81867.39</v>
      </c>
      <c r="G783">
        <v>73141.8</v>
      </c>
      <c r="H783">
        <v>5</v>
      </c>
    </row>
    <row r="784" spans="1:8" x14ac:dyDescent="0.25">
      <c r="A784" t="s">
        <v>624</v>
      </c>
      <c r="B784" t="s">
        <v>3215</v>
      </c>
      <c r="C784" t="s">
        <v>3218</v>
      </c>
      <c r="D784" t="s">
        <v>3222</v>
      </c>
      <c r="E784" t="s">
        <v>3226</v>
      </c>
      <c r="F784">
        <v>73487.97</v>
      </c>
      <c r="G784">
        <v>44857.9</v>
      </c>
      <c r="H784">
        <v>5</v>
      </c>
    </row>
    <row r="785" spans="1:8" x14ac:dyDescent="0.25">
      <c r="A785" t="s">
        <v>758</v>
      </c>
      <c r="C785" t="s">
        <v>3216</v>
      </c>
      <c r="D785" t="s">
        <v>3223</v>
      </c>
      <c r="E785" t="s">
        <v>3226</v>
      </c>
      <c r="G785">
        <v>18139.57</v>
      </c>
      <c r="H785">
        <v>3</v>
      </c>
    </row>
    <row r="786" spans="1:8" x14ac:dyDescent="0.25">
      <c r="A786" t="s">
        <v>198</v>
      </c>
      <c r="B786" t="s">
        <v>3213</v>
      </c>
      <c r="C786" t="s">
        <v>3220</v>
      </c>
      <c r="D786" t="s">
        <v>3222</v>
      </c>
      <c r="E786" t="s">
        <v>3226</v>
      </c>
      <c r="F786">
        <v>65145.3</v>
      </c>
      <c r="G786">
        <v>43166.43</v>
      </c>
      <c r="H786">
        <v>4</v>
      </c>
    </row>
    <row r="787" spans="1:8" x14ac:dyDescent="0.25">
      <c r="A787" t="s">
        <v>759</v>
      </c>
      <c r="B787" t="s">
        <v>3212</v>
      </c>
      <c r="C787" t="s">
        <v>3220</v>
      </c>
      <c r="D787" t="s">
        <v>3224</v>
      </c>
      <c r="E787" t="s">
        <v>3226</v>
      </c>
      <c r="F787">
        <v>135582.06</v>
      </c>
      <c r="G787">
        <v>90187.88</v>
      </c>
    </row>
    <row r="788" spans="1:8" x14ac:dyDescent="0.25">
      <c r="A788" t="s">
        <v>216</v>
      </c>
      <c r="B788" t="s">
        <v>3215</v>
      </c>
      <c r="C788" t="s">
        <v>3219</v>
      </c>
      <c r="D788" t="s">
        <v>3222</v>
      </c>
      <c r="E788" t="s">
        <v>3226</v>
      </c>
      <c r="F788">
        <v>71229.179999999993</v>
      </c>
      <c r="G788">
        <v>45391.43</v>
      </c>
      <c r="H788">
        <v>5</v>
      </c>
    </row>
    <row r="789" spans="1:8" x14ac:dyDescent="0.25">
      <c r="A789" t="s">
        <v>760</v>
      </c>
      <c r="C789" t="s">
        <v>3217</v>
      </c>
      <c r="D789" t="s">
        <v>3224</v>
      </c>
      <c r="E789" t="s">
        <v>3226</v>
      </c>
      <c r="F789">
        <v>68343.37</v>
      </c>
      <c r="G789">
        <v>46930.16</v>
      </c>
      <c r="H789">
        <v>1</v>
      </c>
    </row>
    <row r="790" spans="1:8" x14ac:dyDescent="0.25">
      <c r="A790" t="s">
        <v>761</v>
      </c>
      <c r="B790" t="s">
        <v>3215</v>
      </c>
      <c r="C790" t="s">
        <v>3221</v>
      </c>
      <c r="D790" t="s">
        <v>3222</v>
      </c>
      <c r="E790" t="s">
        <v>3226</v>
      </c>
      <c r="F790">
        <v>63325.05</v>
      </c>
      <c r="G790">
        <v>34505.97</v>
      </c>
      <c r="H790">
        <v>4</v>
      </c>
    </row>
    <row r="791" spans="1:8" x14ac:dyDescent="0.25">
      <c r="A791" t="s">
        <v>762</v>
      </c>
      <c r="B791" t="s">
        <v>3211</v>
      </c>
      <c r="C791" t="s">
        <v>3220</v>
      </c>
      <c r="D791" t="s">
        <v>3222</v>
      </c>
      <c r="E791" t="s">
        <v>3226</v>
      </c>
      <c r="F791">
        <v>15080.61</v>
      </c>
      <c r="G791">
        <v>10126.52</v>
      </c>
      <c r="H791">
        <v>1</v>
      </c>
    </row>
    <row r="792" spans="1:8" x14ac:dyDescent="0.25">
      <c r="A792" t="s">
        <v>763</v>
      </c>
      <c r="B792" t="s">
        <v>3212</v>
      </c>
      <c r="C792" t="s">
        <v>3220</v>
      </c>
      <c r="D792" t="s">
        <v>3223</v>
      </c>
      <c r="E792" t="s">
        <v>3226</v>
      </c>
      <c r="F792">
        <v>23090.95</v>
      </c>
      <c r="G792">
        <v>14832.56</v>
      </c>
      <c r="H792">
        <v>2</v>
      </c>
    </row>
    <row r="793" spans="1:8" x14ac:dyDescent="0.25">
      <c r="A793" t="s">
        <v>764</v>
      </c>
      <c r="B793" t="s">
        <v>3213</v>
      </c>
      <c r="C793" t="s">
        <v>3219</v>
      </c>
      <c r="D793" t="s">
        <v>3224</v>
      </c>
      <c r="E793" t="s">
        <v>3226</v>
      </c>
      <c r="F793">
        <v>58519.17</v>
      </c>
      <c r="G793">
        <v>41205.300000000003</v>
      </c>
      <c r="H793">
        <v>1</v>
      </c>
    </row>
    <row r="794" spans="1:8" x14ac:dyDescent="0.25">
      <c r="A794" t="s">
        <v>765</v>
      </c>
      <c r="B794" t="s">
        <v>3211</v>
      </c>
      <c r="C794" t="s">
        <v>3220</v>
      </c>
      <c r="D794" t="s">
        <v>3223</v>
      </c>
      <c r="E794" t="s">
        <v>3226</v>
      </c>
      <c r="F794">
        <v>17179.62</v>
      </c>
      <c r="G794">
        <v>12156.36</v>
      </c>
      <c r="H794">
        <v>2</v>
      </c>
    </row>
    <row r="795" spans="1:8" x14ac:dyDescent="0.25">
      <c r="A795" t="s">
        <v>766</v>
      </c>
      <c r="B795" t="s">
        <v>3211</v>
      </c>
      <c r="C795" t="s">
        <v>3218</v>
      </c>
      <c r="D795" t="s">
        <v>3222</v>
      </c>
      <c r="E795" t="s">
        <v>3226</v>
      </c>
      <c r="G795">
        <v>46457.48</v>
      </c>
      <c r="H795">
        <v>5</v>
      </c>
    </row>
    <row r="796" spans="1:8" x14ac:dyDescent="0.25">
      <c r="A796" t="s">
        <v>767</v>
      </c>
      <c r="B796" t="s">
        <v>3214</v>
      </c>
      <c r="C796" t="s">
        <v>3221</v>
      </c>
      <c r="D796" t="s">
        <v>3223</v>
      </c>
      <c r="E796" t="s">
        <v>3226</v>
      </c>
      <c r="F796">
        <v>46445.21</v>
      </c>
      <c r="G796">
        <v>38275.17</v>
      </c>
      <c r="H796">
        <v>5</v>
      </c>
    </row>
    <row r="797" spans="1:8" x14ac:dyDescent="0.25">
      <c r="A797" t="s">
        <v>768</v>
      </c>
      <c r="B797" t="s">
        <v>3215</v>
      </c>
      <c r="C797" t="s">
        <v>3218</v>
      </c>
      <c r="D797" t="s">
        <v>3222</v>
      </c>
      <c r="E797" t="s">
        <v>3226</v>
      </c>
      <c r="F797">
        <v>62757.67</v>
      </c>
      <c r="H797">
        <v>4</v>
      </c>
    </row>
    <row r="798" spans="1:8" x14ac:dyDescent="0.25">
      <c r="A798" t="s">
        <v>769</v>
      </c>
      <c r="B798" t="s">
        <v>3213</v>
      </c>
      <c r="C798" t="s">
        <v>3220</v>
      </c>
      <c r="D798" t="s">
        <v>3225</v>
      </c>
      <c r="E798" t="s">
        <v>3226</v>
      </c>
      <c r="F798">
        <v>92195.36</v>
      </c>
      <c r="G798">
        <v>51193.26</v>
      </c>
      <c r="H798">
        <v>4</v>
      </c>
    </row>
    <row r="799" spans="1:8" x14ac:dyDescent="0.25">
      <c r="A799" t="s">
        <v>770</v>
      </c>
      <c r="C799" t="s">
        <v>3216</v>
      </c>
      <c r="D799" t="s">
        <v>3223</v>
      </c>
      <c r="E799" t="s">
        <v>3226</v>
      </c>
      <c r="F799">
        <v>59933.67</v>
      </c>
      <c r="G799">
        <v>36319.410000000003</v>
      </c>
    </row>
    <row r="800" spans="1:8" x14ac:dyDescent="0.25">
      <c r="A800" t="s">
        <v>771</v>
      </c>
      <c r="B800" t="s">
        <v>3214</v>
      </c>
      <c r="C800" t="s">
        <v>3217</v>
      </c>
      <c r="D800" t="s">
        <v>3225</v>
      </c>
      <c r="E800" t="s">
        <v>3226</v>
      </c>
      <c r="F800">
        <v>48380.49</v>
      </c>
      <c r="G800">
        <v>36665.839999999997</v>
      </c>
      <c r="H800">
        <v>3</v>
      </c>
    </row>
    <row r="801" spans="1:8" x14ac:dyDescent="0.25">
      <c r="A801" t="s">
        <v>772</v>
      </c>
      <c r="B801" t="s">
        <v>3212</v>
      </c>
      <c r="C801" t="s">
        <v>3217</v>
      </c>
      <c r="D801" t="s">
        <v>3225</v>
      </c>
      <c r="E801" t="s">
        <v>3226</v>
      </c>
      <c r="F801">
        <v>38814.29</v>
      </c>
      <c r="G801">
        <v>30698.67</v>
      </c>
    </row>
    <row r="802" spans="1:8" x14ac:dyDescent="0.25">
      <c r="A802" t="s">
        <v>773</v>
      </c>
      <c r="C802" t="s">
        <v>3218</v>
      </c>
      <c r="D802" t="s">
        <v>3223</v>
      </c>
      <c r="E802" t="s">
        <v>3226</v>
      </c>
      <c r="F802">
        <v>32490.43</v>
      </c>
      <c r="G802">
        <v>20279.11</v>
      </c>
      <c r="H802">
        <v>3</v>
      </c>
    </row>
    <row r="803" spans="1:8" x14ac:dyDescent="0.25">
      <c r="A803" t="s">
        <v>774</v>
      </c>
      <c r="B803" t="s">
        <v>3215</v>
      </c>
      <c r="C803" t="s">
        <v>3219</v>
      </c>
      <c r="D803" t="s">
        <v>3224</v>
      </c>
      <c r="E803" t="s">
        <v>3226</v>
      </c>
      <c r="F803">
        <v>106015.29</v>
      </c>
      <c r="H803">
        <v>2</v>
      </c>
    </row>
    <row r="804" spans="1:8" x14ac:dyDescent="0.25">
      <c r="A804" t="s">
        <v>775</v>
      </c>
      <c r="B804" t="s">
        <v>3215</v>
      </c>
      <c r="C804" t="s">
        <v>3218</v>
      </c>
      <c r="D804" t="s">
        <v>3224</v>
      </c>
      <c r="E804" t="s">
        <v>3226</v>
      </c>
      <c r="F804">
        <v>263197.23</v>
      </c>
      <c r="G804">
        <v>166618.82</v>
      </c>
      <c r="H804">
        <v>4</v>
      </c>
    </row>
    <row r="805" spans="1:8" x14ac:dyDescent="0.25">
      <c r="A805" t="s">
        <v>776</v>
      </c>
      <c r="C805" t="s">
        <v>3221</v>
      </c>
      <c r="D805" t="s">
        <v>3225</v>
      </c>
      <c r="E805" t="s">
        <v>3226</v>
      </c>
      <c r="F805">
        <v>35143.06</v>
      </c>
      <c r="H805">
        <v>2</v>
      </c>
    </row>
    <row r="806" spans="1:8" x14ac:dyDescent="0.25">
      <c r="A806" t="s">
        <v>777</v>
      </c>
      <c r="B806" t="s">
        <v>3212</v>
      </c>
      <c r="C806" t="s">
        <v>3221</v>
      </c>
      <c r="D806" t="s">
        <v>3224</v>
      </c>
      <c r="E806" t="s">
        <v>3226</v>
      </c>
      <c r="F806">
        <v>326282.74</v>
      </c>
      <c r="G806">
        <v>219593.74</v>
      </c>
      <c r="H806">
        <v>5</v>
      </c>
    </row>
    <row r="807" spans="1:8" x14ac:dyDescent="0.25">
      <c r="A807" t="s">
        <v>778</v>
      </c>
      <c r="C807" t="s">
        <v>3221</v>
      </c>
      <c r="D807" t="s">
        <v>3224</v>
      </c>
      <c r="E807" t="s">
        <v>3226</v>
      </c>
      <c r="F807">
        <v>175489.03</v>
      </c>
      <c r="G807">
        <v>146226.64000000001</v>
      </c>
      <c r="H807">
        <v>3</v>
      </c>
    </row>
    <row r="808" spans="1:8" x14ac:dyDescent="0.25">
      <c r="A808" t="s">
        <v>779</v>
      </c>
      <c r="B808" t="s">
        <v>3215</v>
      </c>
      <c r="C808" t="s">
        <v>3221</v>
      </c>
      <c r="D808" t="s">
        <v>3225</v>
      </c>
      <c r="E808" t="s">
        <v>3226</v>
      </c>
      <c r="F808">
        <v>80975.64</v>
      </c>
      <c r="G808">
        <v>69674.94</v>
      </c>
      <c r="H808">
        <v>5</v>
      </c>
    </row>
    <row r="809" spans="1:8" x14ac:dyDescent="0.25">
      <c r="A809" t="s">
        <v>780</v>
      </c>
      <c r="B809" t="s">
        <v>3211</v>
      </c>
      <c r="C809" t="s">
        <v>3218</v>
      </c>
      <c r="D809" t="s">
        <v>3223</v>
      </c>
      <c r="E809" t="s">
        <v>3226</v>
      </c>
      <c r="F809">
        <v>8934.32</v>
      </c>
      <c r="H809">
        <v>1</v>
      </c>
    </row>
    <row r="810" spans="1:8" x14ac:dyDescent="0.25">
      <c r="A810" t="s">
        <v>781</v>
      </c>
      <c r="B810" t="s">
        <v>3215</v>
      </c>
      <c r="C810" t="s">
        <v>3218</v>
      </c>
      <c r="D810" t="s">
        <v>3222</v>
      </c>
      <c r="E810" t="s">
        <v>3226</v>
      </c>
      <c r="F810">
        <v>53942.81</v>
      </c>
      <c r="G810">
        <v>39064.559999999998</v>
      </c>
      <c r="H810">
        <v>4</v>
      </c>
    </row>
    <row r="811" spans="1:8" x14ac:dyDescent="0.25">
      <c r="A811" t="s">
        <v>782</v>
      </c>
      <c r="B811" t="s">
        <v>3212</v>
      </c>
      <c r="C811" t="s">
        <v>3217</v>
      </c>
      <c r="D811" t="s">
        <v>3222</v>
      </c>
      <c r="E811" t="s">
        <v>3226</v>
      </c>
      <c r="F811">
        <v>62984.94</v>
      </c>
      <c r="H811">
        <v>4</v>
      </c>
    </row>
    <row r="812" spans="1:8" x14ac:dyDescent="0.25">
      <c r="A812" t="s">
        <v>783</v>
      </c>
      <c r="B812" t="s">
        <v>3213</v>
      </c>
      <c r="C812" t="s">
        <v>3217</v>
      </c>
      <c r="D812" t="s">
        <v>3224</v>
      </c>
      <c r="E812" t="s">
        <v>3226</v>
      </c>
      <c r="F812">
        <v>205684.56</v>
      </c>
      <c r="G812">
        <v>146613.20000000001</v>
      </c>
      <c r="H812">
        <v>3</v>
      </c>
    </row>
    <row r="813" spans="1:8" x14ac:dyDescent="0.25">
      <c r="A813" t="s">
        <v>784</v>
      </c>
      <c r="B813" t="s">
        <v>3214</v>
      </c>
      <c r="C813" t="s">
        <v>3219</v>
      </c>
      <c r="D813" t="s">
        <v>3225</v>
      </c>
      <c r="E813" t="s">
        <v>3226</v>
      </c>
      <c r="F813">
        <v>86331.45</v>
      </c>
      <c r="G813">
        <v>67474.06</v>
      </c>
      <c r="H813">
        <v>5</v>
      </c>
    </row>
    <row r="814" spans="1:8" x14ac:dyDescent="0.25">
      <c r="A814" t="s">
        <v>665</v>
      </c>
      <c r="B814" t="s">
        <v>3215</v>
      </c>
      <c r="C814" t="s">
        <v>3217</v>
      </c>
      <c r="D814" t="s">
        <v>3224</v>
      </c>
      <c r="E814" t="s">
        <v>3226</v>
      </c>
      <c r="F814">
        <v>153485.54999999999</v>
      </c>
      <c r="G814">
        <v>137708.01999999999</v>
      </c>
      <c r="H814">
        <v>3</v>
      </c>
    </row>
    <row r="815" spans="1:8" x14ac:dyDescent="0.25">
      <c r="A815" t="s">
        <v>785</v>
      </c>
      <c r="B815" t="s">
        <v>3212</v>
      </c>
      <c r="C815" t="s">
        <v>3218</v>
      </c>
      <c r="D815" t="s">
        <v>3225</v>
      </c>
      <c r="E815" t="s">
        <v>3226</v>
      </c>
      <c r="F815">
        <v>18000.66</v>
      </c>
      <c r="G815">
        <v>14827.93</v>
      </c>
      <c r="H815">
        <v>1</v>
      </c>
    </row>
    <row r="816" spans="1:8" x14ac:dyDescent="0.25">
      <c r="A816" t="s">
        <v>786</v>
      </c>
      <c r="B816" t="s">
        <v>3214</v>
      </c>
      <c r="C816" t="s">
        <v>3220</v>
      </c>
      <c r="D816" t="s">
        <v>3223</v>
      </c>
      <c r="E816" t="s">
        <v>3226</v>
      </c>
      <c r="F816">
        <v>38436.400000000001</v>
      </c>
      <c r="G816">
        <v>26422.54</v>
      </c>
      <c r="H816">
        <v>4</v>
      </c>
    </row>
    <row r="817" spans="1:8" x14ac:dyDescent="0.25">
      <c r="A817" t="s">
        <v>787</v>
      </c>
      <c r="B817" t="s">
        <v>3212</v>
      </c>
      <c r="C817" t="s">
        <v>3220</v>
      </c>
      <c r="D817" t="s">
        <v>3223</v>
      </c>
      <c r="E817" t="s">
        <v>3226</v>
      </c>
      <c r="F817">
        <v>31330.32</v>
      </c>
      <c r="H817">
        <v>3</v>
      </c>
    </row>
    <row r="818" spans="1:8" x14ac:dyDescent="0.25">
      <c r="A818" t="s">
        <v>788</v>
      </c>
      <c r="B818" t="s">
        <v>3215</v>
      </c>
      <c r="C818" t="s">
        <v>3220</v>
      </c>
      <c r="D818" t="s">
        <v>3223</v>
      </c>
      <c r="E818" t="s">
        <v>3226</v>
      </c>
      <c r="F818">
        <v>41027.120000000003</v>
      </c>
      <c r="G818">
        <v>27259.1</v>
      </c>
      <c r="H818">
        <v>4</v>
      </c>
    </row>
    <row r="819" spans="1:8" x14ac:dyDescent="0.25">
      <c r="A819" t="s">
        <v>789</v>
      </c>
      <c r="B819" t="s">
        <v>3214</v>
      </c>
      <c r="C819" t="s">
        <v>3219</v>
      </c>
      <c r="D819" t="s">
        <v>3222</v>
      </c>
      <c r="E819" t="s">
        <v>3226</v>
      </c>
      <c r="F819">
        <v>43947.61</v>
      </c>
      <c r="G819">
        <v>29179.599999999999</v>
      </c>
      <c r="H819">
        <v>3</v>
      </c>
    </row>
    <row r="820" spans="1:8" x14ac:dyDescent="0.25">
      <c r="A820" t="s">
        <v>790</v>
      </c>
      <c r="B820" t="s">
        <v>3213</v>
      </c>
      <c r="C820" t="s">
        <v>3221</v>
      </c>
      <c r="D820" t="s">
        <v>3224</v>
      </c>
      <c r="E820" t="s">
        <v>3226</v>
      </c>
      <c r="G820">
        <v>140366.10999999999</v>
      </c>
      <c r="H820">
        <v>3</v>
      </c>
    </row>
    <row r="821" spans="1:8" x14ac:dyDescent="0.25">
      <c r="A821" t="s">
        <v>791</v>
      </c>
      <c r="C821" t="s">
        <v>3220</v>
      </c>
      <c r="D821" t="s">
        <v>3223</v>
      </c>
      <c r="E821" t="s">
        <v>3226</v>
      </c>
      <c r="F821">
        <v>30449.93</v>
      </c>
      <c r="H821">
        <v>3</v>
      </c>
    </row>
    <row r="822" spans="1:8" x14ac:dyDescent="0.25">
      <c r="A822" t="s">
        <v>792</v>
      </c>
      <c r="B822" t="s">
        <v>3215</v>
      </c>
      <c r="C822" t="s">
        <v>3216</v>
      </c>
      <c r="D822" t="s">
        <v>3222</v>
      </c>
      <c r="E822" t="s">
        <v>3226</v>
      </c>
      <c r="F822">
        <v>71326.820000000007</v>
      </c>
      <c r="G822">
        <v>34375.519999999997</v>
      </c>
      <c r="H822">
        <v>4</v>
      </c>
    </row>
    <row r="823" spans="1:8" x14ac:dyDescent="0.25">
      <c r="A823" t="s">
        <v>793</v>
      </c>
      <c r="B823" t="s">
        <v>3212</v>
      </c>
      <c r="C823" t="s">
        <v>3217</v>
      </c>
      <c r="D823" t="s">
        <v>3225</v>
      </c>
      <c r="E823" t="s">
        <v>3226</v>
      </c>
      <c r="F823">
        <v>88616.02</v>
      </c>
      <c r="G823">
        <v>55954.12</v>
      </c>
      <c r="H823">
        <v>4</v>
      </c>
    </row>
    <row r="824" spans="1:8" x14ac:dyDescent="0.25">
      <c r="A824" t="s">
        <v>794</v>
      </c>
      <c r="B824" t="s">
        <v>3212</v>
      </c>
      <c r="C824" t="s">
        <v>3216</v>
      </c>
      <c r="D824" t="s">
        <v>3224</v>
      </c>
      <c r="E824" t="s">
        <v>3226</v>
      </c>
      <c r="F824">
        <v>51934.09</v>
      </c>
      <c r="G824">
        <v>42540.85</v>
      </c>
      <c r="H824">
        <v>1</v>
      </c>
    </row>
    <row r="825" spans="1:8" x14ac:dyDescent="0.25">
      <c r="A825" t="s">
        <v>795</v>
      </c>
      <c r="B825" t="s">
        <v>3214</v>
      </c>
      <c r="C825" t="s">
        <v>3219</v>
      </c>
      <c r="D825" t="s">
        <v>3222</v>
      </c>
      <c r="E825" t="s">
        <v>3226</v>
      </c>
      <c r="F825">
        <v>31236.17</v>
      </c>
      <c r="G825">
        <v>17285.66</v>
      </c>
      <c r="H825">
        <v>2</v>
      </c>
    </row>
    <row r="826" spans="1:8" x14ac:dyDescent="0.25">
      <c r="A826" t="s">
        <v>796</v>
      </c>
      <c r="B826" t="s">
        <v>3211</v>
      </c>
      <c r="C826" t="s">
        <v>3219</v>
      </c>
      <c r="D826" t="s">
        <v>3225</v>
      </c>
      <c r="E826" t="s">
        <v>3226</v>
      </c>
      <c r="F826">
        <v>74077.86</v>
      </c>
      <c r="G826">
        <v>49405.7</v>
      </c>
    </row>
    <row r="827" spans="1:8" x14ac:dyDescent="0.25">
      <c r="A827" t="s">
        <v>719</v>
      </c>
      <c r="B827" t="s">
        <v>3215</v>
      </c>
      <c r="C827" t="s">
        <v>3218</v>
      </c>
      <c r="D827" t="s">
        <v>3222</v>
      </c>
      <c r="E827" t="s">
        <v>3226</v>
      </c>
      <c r="G827">
        <v>17421.939999999999</v>
      </c>
    </row>
    <row r="828" spans="1:8" x14ac:dyDescent="0.25">
      <c r="A828" t="s">
        <v>797</v>
      </c>
      <c r="B828" t="s">
        <v>3211</v>
      </c>
      <c r="C828" t="s">
        <v>3218</v>
      </c>
      <c r="D828" t="s">
        <v>3224</v>
      </c>
      <c r="E828" t="s">
        <v>3226</v>
      </c>
      <c r="F828">
        <v>108985.05</v>
      </c>
      <c r="G828">
        <v>94606.33</v>
      </c>
      <c r="H828">
        <v>2</v>
      </c>
    </row>
    <row r="829" spans="1:8" x14ac:dyDescent="0.25">
      <c r="A829" t="s">
        <v>798</v>
      </c>
      <c r="B829" t="s">
        <v>3214</v>
      </c>
      <c r="C829" t="s">
        <v>3221</v>
      </c>
      <c r="D829" t="s">
        <v>3222</v>
      </c>
      <c r="E829" t="s">
        <v>3226</v>
      </c>
      <c r="F829">
        <v>83765.7</v>
      </c>
      <c r="G829">
        <v>52982.77</v>
      </c>
      <c r="H829">
        <v>5</v>
      </c>
    </row>
    <row r="830" spans="1:8" x14ac:dyDescent="0.25">
      <c r="A830" t="s">
        <v>799</v>
      </c>
      <c r="B830" t="s">
        <v>3213</v>
      </c>
      <c r="C830" t="s">
        <v>3216</v>
      </c>
      <c r="D830" t="s">
        <v>3223</v>
      </c>
      <c r="E830" t="s">
        <v>3226</v>
      </c>
      <c r="F830">
        <v>10821.23</v>
      </c>
      <c r="G830">
        <v>7237.01</v>
      </c>
      <c r="H830">
        <v>1</v>
      </c>
    </row>
    <row r="831" spans="1:8" x14ac:dyDescent="0.25">
      <c r="A831" t="s">
        <v>800</v>
      </c>
      <c r="B831" t="s">
        <v>3212</v>
      </c>
      <c r="C831" t="s">
        <v>3217</v>
      </c>
      <c r="D831" t="s">
        <v>3224</v>
      </c>
      <c r="E831" t="s">
        <v>3226</v>
      </c>
      <c r="F831">
        <v>129288.47</v>
      </c>
      <c r="G831">
        <v>77393.5</v>
      </c>
      <c r="H831">
        <v>2</v>
      </c>
    </row>
    <row r="832" spans="1:8" x14ac:dyDescent="0.25">
      <c r="A832" t="s">
        <v>801</v>
      </c>
      <c r="C832" t="s">
        <v>3219</v>
      </c>
      <c r="D832" t="s">
        <v>3222</v>
      </c>
      <c r="E832" t="s">
        <v>3226</v>
      </c>
      <c r="F832">
        <v>32675.32</v>
      </c>
      <c r="G832">
        <v>18030.990000000002</v>
      </c>
      <c r="H832">
        <v>2</v>
      </c>
    </row>
    <row r="833" spans="1:8" x14ac:dyDescent="0.25">
      <c r="A833" t="s">
        <v>802</v>
      </c>
      <c r="C833" t="s">
        <v>3221</v>
      </c>
      <c r="D833" t="s">
        <v>3224</v>
      </c>
      <c r="E833" t="s">
        <v>3226</v>
      </c>
      <c r="F833">
        <v>213852.72</v>
      </c>
      <c r="G833">
        <v>176599.64</v>
      </c>
      <c r="H833">
        <v>4</v>
      </c>
    </row>
    <row r="834" spans="1:8" x14ac:dyDescent="0.25">
      <c r="A834" t="s">
        <v>803</v>
      </c>
      <c r="B834" t="s">
        <v>3211</v>
      </c>
      <c r="C834" t="s">
        <v>3221</v>
      </c>
      <c r="D834" t="s">
        <v>3225</v>
      </c>
      <c r="E834" t="s">
        <v>3226</v>
      </c>
      <c r="F834">
        <v>40535.660000000003</v>
      </c>
      <c r="G834">
        <v>24169.3</v>
      </c>
      <c r="H834">
        <v>2</v>
      </c>
    </row>
    <row r="835" spans="1:8" x14ac:dyDescent="0.25">
      <c r="A835" t="s">
        <v>804</v>
      </c>
      <c r="C835" t="s">
        <v>3216</v>
      </c>
      <c r="D835" t="s">
        <v>3224</v>
      </c>
      <c r="E835" t="s">
        <v>3226</v>
      </c>
      <c r="F835">
        <v>205310.64</v>
      </c>
      <c r="G835">
        <v>158729.03</v>
      </c>
      <c r="H835">
        <v>4</v>
      </c>
    </row>
    <row r="836" spans="1:8" x14ac:dyDescent="0.25">
      <c r="A836" t="s">
        <v>805</v>
      </c>
      <c r="B836" t="s">
        <v>3215</v>
      </c>
      <c r="C836" t="s">
        <v>3219</v>
      </c>
      <c r="D836" t="s">
        <v>3224</v>
      </c>
      <c r="E836" t="s">
        <v>3226</v>
      </c>
      <c r="F836">
        <v>55866.51</v>
      </c>
      <c r="G836">
        <v>47925.83</v>
      </c>
      <c r="H836">
        <v>1</v>
      </c>
    </row>
    <row r="837" spans="1:8" x14ac:dyDescent="0.25">
      <c r="A837" t="s">
        <v>806</v>
      </c>
      <c r="B837" t="s">
        <v>3215</v>
      </c>
      <c r="C837" t="s">
        <v>3217</v>
      </c>
      <c r="D837" t="s">
        <v>3222</v>
      </c>
      <c r="E837" t="s">
        <v>3226</v>
      </c>
      <c r="F837">
        <v>16921.66</v>
      </c>
      <c r="G837">
        <v>9023.2999999999993</v>
      </c>
      <c r="H837">
        <v>1</v>
      </c>
    </row>
    <row r="838" spans="1:8" x14ac:dyDescent="0.25">
      <c r="A838" t="s">
        <v>331</v>
      </c>
      <c r="B838" t="s">
        <v>3213</v>
      </c>
      <c r="C838" t="s">
        <v>3220</v>
      </c>
      <c r="D838" t="s">
        <v>3225</v>
      </c>
      <c r="E838" t="s">
        <v>3226</v>
      </c>
      <c r="F838">
        <v>43686.66</v>
      </c>
      <c r="G838">
        <v>27530.14</v>
      </c>
      <c r="H838">
        <v>2</v>
      </c>
    </row>
    <row r="839" spans="1:8" x14ac:dyDescent="0.25">
      <c r="A839" t="s">
        <v>807</v>
      </c>
      <c r="B839" t="s">
        <v>3213</v>
      </c>
      <c r="C839" t="s">
        <v>3217</v>
      </c>
      <c r="D839" t="s">
        <v>3223</v>
      </c>
      <c r="E839" t="s">
        <v>3226</v>
      </c>
      <c r="F839">
        <v>42571.64</v>
      </c>
      <c r="G839">
        <v>30454.240000000002</v>
      </c>
      <c r="H839">
        <v>4</v>
      </c>
    </row>
    <row r="840" spans="1:8" x14ac:dyDescent="0.25">
      <c r="A840" t="s">
        <v>808</v>
      </c>
      <c r="B840" t="s">
        <v>3212</v>
      </c>
      <c r="C840" t="s">
        <v>3219</v>
      </c>
      <c r="D840" t="s">
        <v>3224</v>
      </c>
      <c r="E840" t="s">
        <v>3226</v>
      </c>
      <c r="F840">
        <v>121550.61</v>
      </c>
      <c r="H840">
        <v>2</v>
      </c>
    </row>
    <row r="841" spans="1:8" x14ac:dyDescent="0.25">
      <c r="A841" t="s">
        <v>809</v>
      </c>
      <c r="B841" t="s">
        <v>3212</v>
      </c>
      <c r="C841" t="s">
        <v>3217</v>
      </c>
      <c r="D841" t="s">
        <v>3223</v>
      </c>
      <c r="E841" t="s">
        <v>3226</v>
      </c>
      <c r="F841">
        <v>8189.66</v>
      </c>
      <c r="G841">
        <v>7352.05</v>
      </c>
      <c r="H841">
        <v>1</v>
      </c>
    </row>
    <row r="842" spans="1:8" x14ac:dyDescent="0.25">
      <c r="A842" t="s">
        <v>810</v>
      </c>
      <c r="B842" t="s">
        <v>3212</v>
      </c>
      <c r="C842" t="s">
        <v>3218</v>
      </c>
      <c r="D842" t="s">
        <v>3225</v>
      </c>
      <c r="E842" t="s">
        <v>3226</v>
      </c>
      <c r="F842">
        <v>48433.45</v>
      </c>
      <c r="G842">
        <v>40768.65</v>
      </c>
      <c r="H842">
        <v>3</v>
      </c>
    </row>
    <row r="843" spans="1:8" x14ac:dyDescent="0.25">
      <c r="A843" t="s">
        <v>315</v>
      </c>
      <c r="B843" t="s">
        <v>3214</v>
      </c>
      <c r="C843" t="s">
        <v>3219</v>
      </c>
      <c r="D843" t="s">
        <v>3224</v>
      </c>
      <c r="E843" t="s">
        <v>3226</v>
      </c>
      <c r="F843">
        <v>214916.42</v>
      </c>
      <c r="G843">
        <v>115723.23</v>
      </c>
      <c r="H843">
        <v>3</v>
      </c>
    </row>
    <row r="844" spans="1:8" x14ac:dyDescent="0.25">
      <c r="A844" t="s">
        <v>811</v>
      </c>
      <c r="B844" t="s">
        <v>3214</v>
      </c>
      <c r="C844" t="s">
        <v>3219</v>
      </c>
      <c r="D844" t="s">
        <v>3224</v>
      </c>
      <c r="E844" t="s">
        <v>3226</v>
      </c>
      <c r="F844">
        <v>250422.87</v>
      </c>
      <c r="G844">
        <v>196690.71</v>
      </c>
      <c r="H844">
        <v>4</v>
      </c>
    </row>
    <row r="845" spans="1:8" x14ac:dyDescent="0.25">
      <c r="A845" t="s">
        <v>812</v>
      </c>
      <c r="B845" t="s">
        <v>3214</v>
      </c>
      <c r="C845" t="s">
        <v>3220</v>
      </c>
      <c r="D845" t="s">
        <v>3223</v>
      </c>
      <c r="E845" t="s">
        <v>3226</v>
      </c>
      <c r="F845">
        <v>19323.95</v>
      </c>
      <c r="H845">
        <v>2</v>
      </c>
    </row>
    <row r="846" spans="1:8" x14ac:dyDescent="0.25">
      <c r="A846" t="s">
        <v>813</v>
      </c>
      <c r="B846" t="s">
        <v>3214</v>
      </c>
      <c r="C846" t="s">
        <v>3218</v>
      </c>
      <c r="D846" t="s">
        <v>3222</v>
      </c>
      <c r="E846" t="s">
        <v>3226</v>
      </c>
      <c r="F846">
        <v>48099.61</v>
      </c>
      <c r="G846">
        <v>26975.69</v>
      </c>
      <c r="H846">
        <v>3</v>
      </c>
    </row>
    <row r="847" spans="1:8" x14ac:dyDescent="0.25">
      <c r="A847" t="s">
        <v>814</v>
      </c>
      <c r="B847" t="s">
        <v>3213</v>
      </c>
      <c r="C847" t="s">
        <v>3219</v>
      </c>
      <c r="D847" t="s">
        <v>3222</v>
      </c>
      <c r="E847" t="s">
        <v>3226</v>
      </c>
      <c r="F847">
        <v>29896.89</v>
      </c>
      <c r="G847">
        <v>20609.88</v>
      </c>
    </row>
    <row r="848" spans="1:8" x14ac:dyDescent="0.25">
      <c r="A848" t="s">
        <v>815</v>
      </c>
      <c r="B848" t="s">
        <v>3215</v>
      </c>
      <c r="C848" t="s">
        <v>3221</v>
      </c>
      <c r="D848" t="s">
        <v>3225</v>
      </c>
      <c r="E848" t="s">
        <v>3226</v>
      </c>
      <c r="F848">
        <v>55162.82</v>
      </c>
      <c r="G848">
        <v>42399.97</v>
      </c>
      <c r="H848">
        <v>3</v>
      </c>
    </row>
    <row r="849" spans="1:8" x14ac:dyDescent="0.25">
      <c r="A849" t="s">
        <v>816</v>
      </c>
      <c r="B849" t="s">
        <v>3213</v>
      </c>
      <c r="C849" t="s">
        <v>3217</v>
      </c>
      <c r="D849" t="s">
        <v>3222</v>
      </c>
      <c r="E849" t="s">
        <v>3226</v>
      </c>
      <c r="F849">
        <v>89874.07</v>
      </c>
      <c r="G849">
        <v>46110.12</v>
      </c>
      <c r="H849">
        <v>5</v>
      </c>
    </row>
    <row r="850" spans="1:8" x14ac:dyDescent="0.25">
      <c r="A850" t="s">
        <v>817</v>
      </c>
      <c r="B850" t="s">
        <v>3214</v>
      </c>
      <c r="C850" t="s">
        <v>3217</v>
      </c>
      <c r="D850" t="s">
        <v>3224</v>
      </c>
      <c r="E850" t="s">
        <v>3226</v>
      </c>
      <c r="F850">
        <v>112080.41</v>
      </c>
      <c r="G850">
        <v>81163.86</v>
      </c>
      <c r="H850">
        <v>2</v>
      </c>
    </row>
    <row r="851" spans="1:8" x14ac:dyDescent="0.25">
      <c r="A851" t="s">
        <v>818</v>
      </c>
      <c r="B851" t="s">
        <v>3212</v>
      </c>
      <c r="C851" t="s">
        <v>3216</v>
      </c>
      <c r="D851" t="s">
        <v>3222</v>
      </c>
      <c r="E851" t="s">
        <v>3226</v>
      </c>
      <c r="F851">
        <v>52756.17</v>
      </c>
      <c r="G851">
        <v>26331.9</v>
      </c>
      <c r="H851">
        <v>3</v>
      </c>
    </row>
    <row r="852" spans="1:8" x14ac:dyDescent="0.25">
      <c r="A852" t="s">
        <v>667</v>
      </c>
      <c r="B852" t="s">
        <v>3212</v>
      </c>
      <c r="C852" t="s">
        <v>3218</v>
      </c>
      <c r="D852" t="s">
        <v>3222</v>
      </c>
      <c r="E852" t="s">
        <v>3226</v>
      </c>
      <c r="F852">
        <v>86943.72</v>
      </c>
      <c r="G852">
        <v>51645.05</v>
      </c>
      <c r="H852">
        <v>5</v>
      </c>
    </row>
    <row r="853" spans="1:8" x14ac:dyDescent="0.25">
      <c r="A853" t="s">
        <v>367</v>
      </c>
      <c r="C853" t="s">
        <v>3221</v>
      </c>
      <c r="D853" t="s">
        <v>3225</v>
      </c>
      <c r="E853" t="s">
        <v>3226</v>
      </c>
      <c r="F853">
        <v>87703.27</v>
      </c>
      <c r="G853">
        <v>61208.33</v>
      </c>
      <c r="H853">
        <v>5</v>
      </c>
    </row>
    <row r="854" spans="1:8" x14ac:dyDescent="0.25">
      <c r="A854" t="s">
        <v>819</v>
      </c>
      <c r="C854" t="s">
        <v>3218</v>
      </c>
      <c r="D854" t="s">
        <v>3225</v>
      </c>
      <c r="E854" t="s">
        <v>3226</v>
      </c>
      <c r="F854">
        <v>70495.789999999994</v>
      </c>
      <c r="G854">
        <v>53926.17</v>
      </c>
      <c r="H854">
        <v>4</v>
      </c>
    </row>
    <row r="855" spans="1:8" x14ac:dyDescent="0.25">
      <c r="A855" t="s">
        <v>820</v>
      </c>
      <c r="B855" t="s">
        <v>3211</v>
      </c>
      <c r="C855" t="s">
        <v>3218</v>
      </c>
      <c r="D855" t="s">
        <v>3225</v>
      </c>
      <c r="E855" t="s">
        <v>3226</v>
      </c>
      <c r="F855">
        <v>65572.88</v>
      </c>
      <c r="G855">
        <v>47674.400000000001</v>
      </c>
      <c r="H855">
        <v>4</v>
      </c>
    </row>
    <row r="856" spans="1:8" x14ac:dyDescent="0.25">
      <c r="A856" t="s">
        <v>248</v>
      </c>
      <c r="B856" t="s">
        <v>3215</v>
      </c>
      <c r="C856" t="s">
        <v>3220</v>
      </c>
      <c r="D856" t="s">
        <v>3222</v>
      </c>
      <c r="E856" t="s">
        <v>3226</v>
      </c>
      <c r="G856">
        <v>32410.93</v>
      </c>
      <c r="H856">
        <v>3</v>
      </c>
    </row>
    <row r="857" spans="1:8" x14ac:dyDescent="0.25">
      <c r="A857" t="s">
        <v>821</v>
      </c>
      <c r="B857" t="s">
        <v>3213</v>
      </c>
      <c r="C857" t="s">
        <v>3218</v>
      </c>
      <c r="D857" t="s">
        <v>3223</v>
      </c>
      <c r="E857" t="s">
        <v>3226</v>
      </c>
      <c r="G857">
        <v>31355.26</v>
      </c>
      <c r="H857">
        <v>5</v>
      </c>
    </row>
    <row r="858" spans="1:8" x14ac:dyDescent="0.25">
      <c r="A858" t="s">
        <v>822</v>
      </c>
      <c r="B858" t="s">
        <v>3214</v>
      </c>
      <c r="C858" t="s">
        <v>3220</v>
      </c>
      <c r="D858" t="s">
        <v>3223</v>
      </c>
      <c r="E858" t="s">
        <v>3226</v>
      </c>
      <c r="F858">
        <v>10784.13</v>
      </c>
      <c r="G858">
        <v>6549.33</v>
      </c>
      <c r="H858">
        <v>1</v>
      </c>
    </row>
    <row r="859" spans="1:8" x14ac:dyDescent="0.25">
      <c r="A859" t="s">
        <v>823</v>
      </c>
      <c r="B859" t="s">
        <v>3211</v>
      </c>
      <c r="C859" t="s">
        <v>3216</v>
      </c>
      <c r="D859" t="s">
        <v>3224</v>
      </c>
      <c r="E859" t="s">
        <v>3226</v>
      </c>
      <c r="F859">
        <v>243173.63</v>
      </c>
      <c r="G859">
        <v>210125.09</v>
      </c>
      <c r="H859">
        <v>5</v>
      </c>
    </row>
    <row r="860" spans="1:8" x14ac:dyDescent="0.25">
      <c r="A860" t="s">
        <v>824</v>
      </c>
      <c r="B860" t="s">
        <v>3213</v>
      </c>
      <c r="C860" t="s">
        <v>3216</v>
      </c>
      <c r="D860" t="s">
        <v>3224</v>
      </c>
      <c r="E860" t="s">
        <v>3226</v>
      </c>
      <c r="F860">
        <v>128269.38</v>
      </c>
      <c r="G860">
        <v>96694.39</v>
      </c>
      <c r="H860">
        <v>2</v>
      </c>
    </row>
    <row r="861" spans="1:8" x14ac:dyDescent="0.25">
      <c r="A861" t="s">
        <v>825</v>
      </c>
      <c r="B861" t="s">
        <v>3211</v>
      </c>
      <c r="C861" t="s">
        <v>3216</v>
      </c>
      <c r="D861" t="s">
        <v>3225</v>
      </c>
      <c r="E861" t="s">
        <v>3226</v>
      </c>
      <c r="G861">
        <v>43031.86</v>
      </c>
      <c r="H861">
        <v>3</v>
      </c>
    </row>
    <row r="862" spans="1:8" x14ac:dyDescent="0.25">
      <c r="A862" t="s">
        <v>826</v>
      </c>
      <c r="B862" t="s">
        <v>3212</v>
      </c>
      <c r="C862" t="s">
        <v>3216</v>
      </c>
      <c r="D862" t="s">
        <v>3224</v>
      </c>
      <c r="E862" t="s">
        <v>3226</v>
      </c>
      <c r="F862">
        <v>265368.53999999998</v>
      </c>
      <c r="G862">
        <v>197691.93</v>
      </c>
      <c r="H862">
        <v>4</v>
      </c>
    </row>
    <row r="863" spans="1:8" x14ac:dyDescent="0.25">
      <c r="A863" t="s">
        <v>827</v>
      </c>
      <c r="B863" t="s">
        <v>3215</v>
      </c>
      <c r="C863" t="s">
        <v>3217</v>
      </c>
      <c r="D863" t="s">
        <v>3222</v>
      </c>
      <c r="E863" t="s">
        <v>3226</v>
      </c>
      <c r="F863">
        <v>51604.94</v>
      </c>
      <c r="G863">
        <v>31100.57</v>
      </c>
      <c r="H863">
        <v>3</v>
      </c>
    </row>
    <row r="864" spans="1:8" x14ac:dyDescent="0.25">
      <c r="A864" t="s">
        <v>828</v>
      </c>
      <c r="C864" t="s">
        <v>3218</v>
      </c>
      <c r="D864" t="s">
        <v>3224</v>
      </c>
      <c r="E864" t="s">
        <v>3226</v>
      </c>
      <c r="F864">
        <v>339037.01</v>
      </c>
      <c r="G864">
        <v>198334.16</v>
      </c>
      <c r="H864">
        <v>5</v>
      </c>
    </row>
    <row r="865" spans="1:8" x14ac:dyDescent="0.25">
      <c r="A865" t="s">
        <v>829</v>
      </c>
      <c r="B865" t="s">
        <v>3214</v>
      </c>
      <c r="C865" t="s">
        <v>3219</v>
      </c>
      <c r="D865" t="s">
        <v>3224</v>
      </c>
      <c r="E865" t="s">
        <v>3226</v>
      </c>
      <c r="F865">
        <v>133718.81</v>
      </c>
      <c r="G865">
        <v>86905.279999999999</v>
      </c>
      <c r="H865">
        <v>2</v>
      </c>
    </row>
    <row r="866" spans="1:8" x14ac:dyDescent="0.25">
      <c r="A866" t="s">
        <v>830</v>
      </c>
      <c r="B866" t="s">
        <v>3213</v>
      </c>
      <c r="C866" t="s">
        <v>3220</v>
      </c>
      <c r="D866" t="s">
        <v>3224</v>
      </c>
      <c r="E866" t="s">
        <v>3226</v>
      </c>
      <c r="F866">
        <v>66071.67</v>
      </c>
      <c r="H866">
        <v>1</v>
      </c>
    </row>
    <row r="867" spans="1:8" x14ac:dyDescent="0.25">
      <c r="A867" t="s">
        <v>831</v>
      </c>
      <c r="B867" t="s">
        <v>3215</v>
      </c>
      <c r="C867" t="s">
        <v>3216</v>
      </c>
      <c r="D867" t="s">
        <v>3225</v>
      </c>
      <c r="E867" t="s">
        <v>3226</v>
      </c>
      <c r="F867">
        <v>17578.509999999998</v>
      </c>
      <c r="G867">
        <v>13010.39</v>
      </c>
      <c r="H867">
        <v>1</v>
      </c>
    </row>
    <row r="868" spans="1:8" x14ac:dyDescent="0.25">
      <c r="A868" t="s">
        <v>832</v>
      </c>
      <c r="B868" t="s">
        <v>3213</v>
      </c>
      <c r="C868" t="s">
        <v>3217</v>
      </c>
      <c r="D868" t="s">
        <v>3223</v>
      </c>
      <c r="E868" t="s">
        <v>3226</v>
      </c>
      <c r="F868">
        <v>50342.42</v>
      </c>
      <c r="G868">
        <v>36431.589999999997</v>
      </c>
      <c r="H868">
        <v>5</v>
      </c>
    </row>
    <row r="869" spans="1:8" x14ac:dyDescent="0.25">
      <c r="A869" t="s">
        <v>833</v>
      </c>
      <c r="B869" t="s">
        <v>3214</v>
      </c>
      <c r="C869" t="s">
        <v>3216</v>
      </c>
      <c r="D869" t="s">
        <v>3224</v>
      </c>
      <c r="E869" t="s">
        <v>3226</v>
      </c>
      <c r="F869">
        <v>123875.38</v>
      </c>
      <c r="G869">
        <v>85232.99</v>
      </c>
      <c r="H869">
        <v>2</v>
      </c>
    </row>
    <row r="870" spans="1:8" x14ac:dyDescent="0.25">
      <c r="A870" t="s">
        <v>834</v>
      </c>
      <c r="B870" t="s">
        <v>3214</v>
      </c>
      <c r="C870" t="s">
        <v>3216</v>
      </c>
      <c r="D870" t="s">
        <v>3224</v>
      </c>
      <c r="E870" t="s">
        <v>3226</v>
      </c>
      <c r="F870">
        <v>256399.35999999999</v>
      </c>
      <c r="G870">
        <v>184639.23</v>
      </c>
      <c r="H870">
        <v>4</v>
      </c>
    </row>
    <row r="871" spans="1:8" x14ac:dyDescent="0.25">
      <c r="A871" t="s">
        <v>835</v>
      </c>
      <c r="B871" t="s">
        <v>3212</v>
      </c>
      <c r="C871" t="s">
        <v>3218</v>
      </c>
      <c r="D871" t="s">
        <v>3222</v>
      </c>
      <c r="E871" t="s">
        <v>3226</v>
      </c>
      <c r="F871">
        <v>12387.22</v>
      </c>
      <c r="G871">
        <v>9944.15</v>
      </c>
      <c r="H871">
        <v>1</v>
      </c>
    </row>
    <row r="872" spans="1:8" x14ac:dyDescent="0.25">
      <c r="A872" t="s">
        <v>836</v>
      </c>
      <c r="B872" t="s">
        <v>3215</v>
      </c>
      <c r="C872" t="s">
        <v>3216</v>
      </c>
      <c r="D872" t="s">
        <v>3224</v>
      </c>
      <c r="E872" t="s">
        <v>3226</v>
      </c>
      <c r="F872">
        <v>113105.60000000001</v>
      </c>
      <c r="G872">
        <v>95231.22</v>
      </c>
      <c r="H872">
        <v>2</v>
      </c>
    </row>
    <row r="873" spans="1:8" x14ac:dyDescent="0.25">
      <c r="A873" t="s">
        <v>434</v>
      </c>
      <c r="B873" t="s">
        <v>3211</v>
      </c>
      <c r="C873" t="s">
        <v>3216</v>
      </c>
      <c r="D873" t="s">
        <v>3222</v>
      </c>
      <c r="E873" t="s">
        <v>3226</v>
      </c>
      <c r="G873">
        <v>38521.83</v>
      </c>
      <c r="H873">
        <v>4</v>
      </c>
    </row>
    <row r="874" spans="1:8" x14ac:dyDescent="0.25">
      <c r="A874" t="s">
        <v>837</v>
      </c>
      <c r="B874" t="s">
        <v>3215</v>
      </c>
      <c r="C874" t="s">
        <v>3218</v>
      </c>
      <c r="D874" t="s">
        <v>3225</v>
      </c>
      <c r="E874" t="s">
        <v>3226</v>
      </c>
      <c r="F874">
        <v>71297.98</v>
      </c>
      <c r="G874">
        <v>47761.36</v>
      </c>
      <c r="H874">
        <v>4</v>
      </c>
    </row>
    <row r="875" spans="1:8" x14ac:dyDescent="0.25">
      <c r="A875" t="s">
        <v>838</v>
      </c>
      <c r="B875" t="s">
        <v>3213</v>
      </c>
      <c r="C875" t="s">
        <v>3217</v>
      </c>
      <c r="D875" t="s">
        <v>3222</v>
      </c>
      <c r="E875" t="s">
        <v>3226</v>
      </c>
      <c r="F875">
        <v>36832.65</v>
      </c>
      <c r="G875">
        <v>27496.84</v>
      </c>
      <c r="H875">
        <v>3</v>
      </c>
    </row>
    <row r="876" spans="1:8" x14ac:dyDescent="0.25">
      <c r="A876" t="s">
        <v>142</v>
      </c>
      <c r="B876" t="s">
        <v>3212</v>
      </c>
      <c r="C876" t="s">
        <v>3220</v>
      </c>
      <c r="D876" t="s">
        <v>3222</v>
      </c>
      <c r="E876" t="s">
        <v>3226</v>
      </c>
      <c r="F876">
        <v>61591.38</v>
      </c>
      <c r="G876">
        <v>49286.58</v>
      </c>
      <c r="H876">
        <v>5</v>
      </c>
    </row>
    <row r="877" spans="1:8" x14ac:dyDescent="0.25">
      <c r="A877" t="s">
        <v>839</v>
      </c>
      <c r="B877" t="s">
        <v>3211</v>
      </c>
      <c r="C877" t="s">
        <v>3218</v>
      </c>
      <c r="D877" t="s">
        <v>3222</v>
      </c>
      <c r="E877" t="s">
        <v>3226</v>
      </c>
      <c r="F877">
        <v>43947.85</v>
      </c>
      <c r="G877">
        <v>32587.39</v>
      </c>
      <c r="H877">
        <v>3</v>
      </c>
    </row>
    <row r="878" spans="1:8" x14ac:dyDescent="0.25">
      <c r="A878" t="s">
        <v>840</v>
      </c>
      <c r="B878" t="s">
        <v>3215</v>
      </c>
      <c r="C878" t="s">
        <v>3216</v>
      </c>
      <c r="D878" t="s">
        <v>3222</v>
      </c>
      <c r="E878" t="s">
        <v>3226</v>
      </c>
      <c r="F878">
        <v>15196.11</v>
      </c>
      <c r="G878">
        <v>10096.82</v>
      </c>
      <c r="H878">
        <v>1</v>
      </c>
    </row>
    <row r="879" spans="1:8" x14ac:dyDescent="0.25">
      <c r="A879" t="s">
        <v>841</v>
      </c>
      <c r="B879" t="s">
        <v>3211</v>
      </c>
      <c r="C879" t="s">
        <v>3217</v>
      </c>
      <c r="D879" t="s">
        <v>3225</v>
      </c>
      <c r="E879" t="s">
        <v>3226</v>
      </c>
      <c r="F879">
        <v>65676.98</v>
      </c>
      <c r="G879">
        <v>60309.42</v>
      </c>
      <c r="H879">
        <v>4</v>
      </c>
    </row>
    <row r="880" spans="1:8" x14ac:dyDescent="0.25">
      <c r="A880" t="s">
        <v>842</v>
      </c>
      <c r="B880" t="s">
        <v>3213</v>
      </c>
      <c r="C880" t="s">
        <v>3216</v>
      </c>
      <c r="D880" t="s">
        <v>3224</v>
      </c>
      <c r="E880" t="s">
        <v>3226</v>
      </c>
      <c r="G880">
        <v>214847.65</v>
      </c>
      <c r="H880">
        <v>5</v>
      </c>
    </row>
    <row r="881" spans="1:8" x14ac:dyDescent="0.25">
      <c r="A881" t="s">
        <v>843</v>
      </c>
      <c r="B881" t="s">
        <v>3215</v>
      </c>
      <c r="C881" t="s">
        <v>3220</v>
      </c>
      <c r="D881" t="s">
        <v>3223</v>
      </c>
      <c r="E881" t="s">
        <v>3226</v>
      </c>
      <c r="F881">
        <v>42700.76</v>
      </c>
      <c r="G881">
        <v>33850.699999999997</v>
      </c>
      <c r="H881">
        <v>5</v>
      </c>
    </row>
    <row r="882" spans="1:8" x14ac:dyDescent="0.25">
      <c r="A882" t="s">
        <v>844</v>
      </c>
      <c r="B882" t="s">
        <v>3213</v>
      </c>
      <c r="C882" t="s">
        <v>3217</v>
      </c>
      <c r="D882" t="s">
        <v>3222</v>
      </c>
      <c r="E882" t="s">
        <v>3226</v>
      </c>
      <c r="F882">
        <v>61299.09</v>
      </c>
      <c r="G882">
        <v>40087.230000000003</v>
      </c>
      <c r="H882">
        <v>4</v>
      </c>
    </row>
    <row r="883" spans="1:8" x14ac:dyDescent="0.25">
      <c r="A883" t="s">
        <v>845</v>
      </c>
      <c r="B883" t="s">
        <v>3211</v>
      </c>
      <c r="C883" t="s">
        <v>3219</v>
      </c>
      <c r="D883" t="s">
        <v>3223</v>
      </c>
      <c r="E883" t="s">
        <v>3226</v>
      </c>
      <c r="F883">
        <v>58458.6</v>
      </c>
      <c r="G883">
        <v>37485.660000000003</v>
      </c>
    </row>
    <row r="884" spans="1:8" x14ac:dyDescent="0.25">
      <c r="A884" t="s">
        <v>846</v>
      </c>
      <c r="B884" t="s">
        <v>3215</v>
      </c>
      <c r="C884" t="s">
        <v>3221</v>
      </c>
      <c r="D884" t="s">
        <v>3222</v>
      </c>
      <c r="E884" t="s">
        <v>3226</v>
      </c>
      <c r="F884">
        <v>56555.44</v>
      </c>
      <c r="G884">
        <v>35627.760000000002</v>
      </c>
      <c r="H884">
        <v>4</v>
      </c>
    </row>
    <row r="885" spans="1:8" x14ac:dyDescent="0.25">
      <c r="A885" t="s">
        <v>847</v>
      </c>
      <c r="B885" t="s">
        <v>3213</v>
      </c>
      <c r="C885" t="s">
        <v>3218</v>
      </c>
      <c r="D885" t="s">
        <v>3223</v>
      </c>
      <c r="E885" t="s">
        <v>3226</v>
      </c>
      <c r="G885">
        <v>35307.620000000003</v>
      </c>
      <c r="H885">
        <v>5</v>
      </c>
    </row>
    <row r="886" spans="1:8" x14ac:dyDescent="0.25">
      <c r="A886" t="s">
        <v>848</v>
      </c>
      <c r="B886" t="s">
        <v>3213</v>
      </c>
      <c r="C886" t="s">
        <v>3217</v>
      </c>
      <c r="D886" t="s">
        <v>3225</v>
      </c>
      <c r="E886" t="s">
        <v>3226</v>
      </c>
      <c r="F886">
        <v>94587.839999999997</v>
      </c>
      <c r="G886">
        <v>57877.52</v>
      </c>
      <c r="H886">
        <v>4</v>
      </c>
    </row>
    <row r="887" spans="1:8" x14ac:dyDescent="0.25">
      <c r="A887" t="s">
        <v>849</v>
      </c>
      <c r="B887" t="s">
        <v>3212</v>
      </c>
      <c r="C887" t="s">
        <v>3216</v>
      </c>
      <c r="D887" t="s">
        <v>3222</v>
      </c>
      <c r="E887" t="s">
        <v>3226</v>
      </c>
      <c r="F887">
        <v>50772.43</v>
      </c>
      <c r="G887">
        <v>43693.61</v>
      </c>
      <c r="H887">
        <v>4</v>
      </c>
    </row>
    <row r="888" spans="1:8" x14ac:dyDescent="0.25">
      <c r="A888" t="s">
        <v>850</v>
      </c>
      <c r="B888" t="s">
        <v>3212</v>
      </c>
      <c r="C888" t="s">
        <v>3216</v>
      </c>
      <c r="D888" t="s">
        <v>3222</v>
      </c>
      <c r="E888" t="s">
        <v>3226</v>
      </c>
      <c r="F888">
        <v>79924.58</v>
      </c>
      <c r="G888">
        <v>47742.35</v>
      </c>
      <c r="H888">
        <v>5</v>
      </c>
    </row>
    <row r="889" spans="1:8" x14ac:dyDescent="0.25">
      <c r="A889" t="s">
        <v>851</v>
      </c>
      <c r="B889" t="s">
        <v>3212</v>
      </c>
      <c r="C889" t="s">
        <v>3218</v>
      </c>
      <c r="D889" t="s">
        <v>3224</v>
      </c>
      <c r="E889" t="s">
        <v>3226</v>
      </c>
      <c r="F889">
        <v>293779.3</v>
      </c>
      <c r="G889">
        <v>206685.71</v>
      </c>
      <c r="H889">
        <v>5</v>
      </c>
    </row>
    <row r="890" spans="1:8" x14ac:dyDescent="0.25">
      <c r="A890" t="s">
        <v>542</v>
      </c>
      <c r="B890" t="s">
        <v>3215</v>
      </c>
      <c r="C890" t="s">
        <v>3220</v>
      </c>
      <c r="D890" t="s">
        <v>3225</v>
      </c>
      <c r="E890" t="s">
        <v>3226</v>
      </c>
      <c r="F890">
        <v>55891.24</v>
      </c>
      <c r="G890">
        <v>42622.95</v>
      </c>
      <c r="H890">
        <v>3</v>
      </c>
    </row>
    <row r="891" spans="1:8" x14ac:dyDescent="0.25">
      <c r="A891" t="s">
        <v>852</v>
      </c>
      <c r="B891" t="s">
        <v>3211</v>
      </c>
      <c r="C891" t="s">
        <v>3221</v>
      </c>
      <c r="D891" t="s">
        <v>3222</v>
      </c>
      <c r="E891" t="s">
        <v>3226</v>
      </c>
      <c r="F891">
        <v>33153.589999999997</v>
      </c>
      <c r="G891">
        <v>19565.39</v>
      </c>
    </row>
    <row r="892" spans="1:8" x14ac:dyDescent="0.25">
      <c r="A892" t="s">
        <v>853</v>
      </c>
      <c r="B892" t="s">
        <v>3212</v>
      </c>
      <c r="C892" t="s">
        <v>3216</v>
      </c>
      <c r="D892" t="s">
        <v>3224</v>
      </c>
      <c r="E892" t="s">
        <v>3226</v>
      </c>
      <c r="F892">
        <v>210781.23</v>
      </c>
      <c r="G892">
        <v>116987.29</v>
      </c>
    </row>
    <row r="893" spans="1:8" x14ac:dyDescent="0.25">
      <c r="A893" t="s">
        <v>854</v>
      </c>
      <c r="C893" t="s">
        <v>3216</v>
      </c>
      <c r="D893" t="s">
        <v>3224</v>
      </c>
      <c r="E893" t="s">
        <v>3226</v>
      </c>
      <c r="F893">
        <v>161990.46</v>
      </c>
      <c r="G893">
        <v>136358.47</v>
      </c>
      <c r="H893">
        <v>3</v>
      </c>
    </row>
    <row r="894" spans="1:8" x14ac:dyDescent="0.25">
      <c r="A894" t="s">
        <v>855</v>
      </c>
      <c r="B894" t="s">
        <v>3211</v>
      </c>
      <c r="C894" t="s">
        <v>3220</v>
      </c>
      <c r="D894" t="s">
        <v>3225</v>
      </c>
      <c r="E894" t="s">
        <v>3226</v>
      </c>
      <c r="F894">
        <v>60275.55</v>
      </c>
      <c r="G894">
        <v>42462.28</v>
      </c>
      <c r="H894">
        <v>3</v>
      </c>
    </row>
    <row r="895" spans="1:8" x14ac:dyDescent="0.25">
      <c r="A895" t="s">
        <v>856</v>
      </c>
      <c r="B895" t="s">
        <v>3214</v>
      </c>
      <c r="C895" t="s">
        <v>3221</v>
      </c>
      <c r="D895" t="s">
        <v>3223</v>
      </c>
      <c r="E895" t="s">
        <v>3226</v>
      </c>
      <c r="F895">
        <v>18267.689999999999</v>
      </c>
      <c r="G895">
        <v>14303.65</v>
      </c>
    </row>
    <row r="896" spans="1:8" x14ac:dyDescent="0.25">
      <c r="A896" t="s">
        <v>857</v>
      </c>
      <c r="B896" t="s">
        <v>3211</v>
      </c>
      <c r="C896" t="s">
        <v>3220</v>
      </c>
      <c r="D896" t="s">
        <v>3223</v>
      </c>
      <c r="E896" t="s">
        <v>3226</v>
      </c>
      <c r="F896">
        <v>35364.480000000003</v>
      </c>
      <c r="G896">
        <v>20500.59</v>
      </c>
      <c r="H896">
        <v>3</v>
      </c>
    </row>
    <row r="897" spans="1:8" x14ac:dyDescent="0.25">
      <c r="A897" t="s">
        <v>858</v>
      </c>
      <c r="B897" t="s">
        <v>3212</v>
      </c>
      <c r="C897" t="s">
        <v>3216</v>
      </c>
      <c r="D897" t="s">
        <v>3224</v>
      </c>
      <c r="E897" t="s">
        <v>3226</v>
      </c>
      <c r="F897">
        <v>58779.56</v>
      </c>
      <c r="H897">
        <v>1</v>
      </c>
    </row>
    <row r="898" spans="1:8" x14ac:dyDescent="0.25">
      <c r="A898" t="s">
        <v>859</v>
      </c>
      <c r="B898" t="s">
        <v>3214</v>
      </c>
      <c r="C898" t="s">
        <v>3217</v>
      </c>
      <c r="D898" t="s">
        <v>3223</v>
      </c>
      <c r="E898" t="s">
        <v>3226</v>
      </c>
      <c r="F898">
        <v>18971.71</v>
      </c>
      <c r="G898">
        <v>13471.19</v>
      </c>
      <c r="H898">
        <v>2</v>
      </c>
    </row>
    <row r="899" spans="1:8" x14ac:dyDescent="0.25">
      <c r="A899" t="s">
        <v>860</v>
      </c>
      <c r="C899" t="s">
        <v>3221</v>
      </c>
      <c r="D899" t="s">
        <v>3222</v>
      </c>
      <c r="E899" t="s">
        <v>3226</v>
      </c>
      <c r="G899">
        <v>32483.4</v>
      </c>
      <c r="H899">
        <v>3</v>
      </c>
    </row>
    <row r="900" spans="1:8" x14ac:dyDescent="0.25">
      <c r="A900" t="s">
        <v>861</v>
      </c>
      <c r="B900" t="s">
        <v>3211</v>
      </c>
      <c r="C900" t="s">
        <v>3218</v>
      </c>
      <c r="D900" t="s">
        <v>3223</v>
      </c>
      <c r="E900" t="s">
        <v>3226</v>
      </c>
      <c r="F900">
        <v>17087.46</v>
      </c>
      <c r="G900">
        <v>13641.77</v>
      </c>
      <c r="H900">
        <v>2</v>
      </c>
    </row>
    <row r="901" spans="1:8" x14ac:dyDescent="0.25">
      <c r="A901" t="s">
        <v>862</v>
      </c>
      <c r="B901" t="s">
        <v>3215</v>
      </c>
      <c r="C901" t="s">
        <v>3216</v>
      </c>
      <c r="D901" t="s">
        <v>3222</v>
      </c>
      <c r="E901" t="s">
        <v>3226</v>
      </c>
      <c r="F901">
        <v>51870.14</v>
      </c>
      <c r="G901">
        <v>28459.95</v>
      </c>
      <c r="H901">
        <v>3</v>
      </c>
    </row>
    <row r="902" spans="1:8" x14ac:dyDescent="0.25">
      <c r="A902" t="s">
        <v>863</v>
      </c>
      <c r="B902" t="s">
        <v>3213</v>
      </c>
      <c r="C902" t="s">
        <v>3221</v>
      </c>
      <c r="D902" t="s">
        <v>3225</v>
      </c>
      <c r="E902" t="s">
        <v>3226</v>
      </c>
      <c r="F902">
        <v>18110.45</v>
      </c>
      <c r="G902">
        <v>11942.24</v>
      </c>
      <c r="H902">
        <v>1</v>
      </c>
    </row>
    <row r="903" spans="1:8" x14ac:dyDescent="0.25">
      <c r="A903" t="s">
        <v>864</v>
      </c>
      <c r="C903" t="s">
        <v>3217</v>
      </c>
      <c r="D903" t="s">
        <v>3224</v>
      </c>
      <c r="E903" t="s">
        <v>3226</v>
      </c>
      <c r="F903">
        <v>225585.62</v>
      </c>
      <c r="G903">
        <v>181237.78</v>
      </c>
      <c r="H903">
        <v>4</v>
      </c>
    </row>
    <row r="904" spans="1:8" x14ac:dyDescent="0.25">
      <c r="A904" t="s">
        <v>865</v>
      </c>
      <c r="B904" t="s">
        <v>3211</v>
      </c>
      <c r="C904" t="s">
        <v>3216</v>
      </c>
      <c r="D904" t="s">
        <v>3222</v>
      </c>
      <c r="E904" t="s">
        <v>3226</v>
      </c>
      <c r="F904">
        <v>84179.1</v>
      </c>
      <c r="G904">
        <v>46118.720000000001</v>
      </c>
      <c r="H904">
        <v>5</v>
      </c>
    </row>
    <row r="905" spans="1:8" x14ac:dyDescent="0.25">
      <c r="A905" t="s">
        <v>612</v>
      </c>
      <c r="B905" t="s">
        <v>3213</v>
      </c>
      <c r="C905" t="s">
        <v>3219</v>
      </c>
      <c r="D905" t="s">
        <v>3224</v>
      </c>
      <c r="E905" t="s">
        <v>3226</v>
      </c>
      <c r="F905">
        <v>67767.820000000007</v>
      </c>
      <c r="G905">
        <v>45930.68</v>
      </c>
      <c r="H905">
        <v>1</v>
      </c>
    </row>
    <row r="906" spans="1:8" x14ac:dyDescent="0.25">
      <c r="A906" t="s">
        <v>866</v>
      </c>
      <c r="B906" t="s">
        <v>3214</v>
      </c>
      <c r="C906" t="s">
        <v>3218</v>
      </c>
      <c r="D906" t="s">
        <v>3223</v>
      </c>
      <c r="E906" t="s">
        <v>3226</v>
      </c>
      <c r="F906">
        <v>26113.07</v>
      </c>
      <c r="G906">
        <v>21752.5</v>
      </c>
      <c r="H906">
        <v>3</v>
      </c>
    </row>
    <row r="907" spans="1:8" x14ac:dyDescent="0.25">
      <c r="A907" t="s">
        <v>867</v>
      </c>
      <c r="B907" t="s">
        <v>3214</v>
      </c>
      <c r="C907" t="s">
        <v>3220</v>
      </c>
      <c r="D907" t="s">
        <v>3224</v>
      </c>
      <c r="E907" t="s">
        <v>3226</v>
      </c>
      <c r="F907">
        <v>207390.77</v>
      </c>
      <c r="G907">
        <v>165697</v>
      </c>
    </row>
    <row r="908" spans="1:8" x14ac:dyDescent="0.25">
      <c r="A908" t="s">
        <v>868</v>
      </c>
      <c r="C908" t="s">
        <v>3217</v>
      </c>
      <c r="D908" t="s">
        <v>3222</v>
      </c>
      <c r="E908" t="s">
        <v>3226</v>
      </c>
      <c r="F908">
        <v>46974.75</v>
      </c>
      <c r="G908">
        <v>26973.62</v>
      </c>
      <c r="H908">
        <v>3</v>
      </c>
    </row>
    <row r="909" spans="1:8" x14ac:dyDescent="0.25">
      <c r="A909" t="s">
        <v>869</v>
      </c>
      <c r="B909" t="s">
        <v>3215</v>
      </c>
      <c r="C909" t="s">
        <v>3218</v>
      </c>
      <c r="D909" t="s">
        <v>3224</v>
      </c>
      <c r="E909" t="s">
        <v>3226</v>
      </c>
      <c r="F909">
        <v>216307.92</v>
      </c>
      <c r="G909">
        <v>164201.79999999999</v>
      </c>
    </row>
    <row r="910" spans="1:8" x14ac:dyDescent="0.25">
      <c r="A910" t="s">
        <v>870</v>
      </c>
      <c r="C910" t="s">
        <v>3216</v>
      </c>
      <c r="D910" t="s">
        <v>3222</v>
      </c>
      <c r="E910" t="s">
        <v>3226</v>
      </c>
      <c r="F910">
        <v>46012.26</v>
      </c>
      <c r="G910">
        <v>28585.58</v>
      </c>
      <c r="H910">
        <v>3</v>
      </c>
    </row>
    <row r="911" spans="1:8" x14ac:dyDescent="0.25">
      <c r="A911" t="s">
        <v>871</v>
      </c>
      <c r="B911" t="s">
        <v>3214</v>
      </c>
      <c r="C911" t="s">
        <v>3219</v>
      </c>
      <c r="D911" t="s">
        <v>3222</v>
      </c>
      <c r="E911" t="s">
        <v>3226</v>
      </c>
      <c r="F911">
        <v>33743.78</v>
      </c>
      <c r="G911">
        <v>18597.61</v>
      </c>
      <c r="H911">
        <v>2</v>
      </c>
    </row>
    <row r="912" spans="1:8" x14ac:dyDescent="0.25">
      <c r="A912" t="s">
        <v>872</v>
      </c>
      <c r="B912" t="s">
        <v>3215</v>
      </c>
      <c r="C912" t="s">
        <v>3219</v>
      </c>
      <c r="D912" t="s">
        <v>3224</v>
      </c>
      <c r="E912" t="s">
        <v>3226</v>
      </c>
      <c r="F912">
        <v>60221.34</v>
      </c>
      <c r="G912">
        <v>45310.01</v>
      </c>
    </row>
    <row r="913" spans="1:8" x14ac:dyDescent="0.25">
      <c r="A913" t="s">
        <v>705</v>
      </c>
      <c r="B913" t="s">
        <v>3211</v>
      </c>
      <c r="C913" t="s">
        <v>3220</v>
      </c>
      <c r="D913" t="s">
        <v>3224</v>
      </c>
      <c r="E913" t="s">
        <v>3226</v>
      </c>
      <c r="F913">
        <v>331633.84000000003</v>
      </c>
      <c r="G913">
        <v>205777.37</v>
      </c>
      <c r="H913">
        <v>5</v>
      </c>
    </row>
    <row r="914" spans="1:8" x14ac:dyDescent="0.25">
      <c r="A914" t="s">
        <v>873</v>
      </c>
      <c r="B914" t="s">
        <v>3213</v>
      </c>
      <c r="C914" t="s">
        <v>3218</v>
      </c>
      <c r="D914" t="s">
        <v>3223</v>
      </c>
      <c r="E914" t="s">
        <v>3226</v>
      </c>
      <c r="F914">
        <v>16983.29</v>
      </c>
      <c r="G914">
        <v>12610.75</v>
      </c>
      <c r="H914">
        <v>2</v>
      </c>
    </row>
    <row r="915" spans="1:8" x14ac:dyDescent="0.25">
      <c r="A915" t="s">
        <v>874</v>
      </c>
      <c r="B915" t="s">
        <v>3212</v>
      </c>
      <c r="C915" t="s">
        <v>3221</v>
      </c>
      <c r="D915" t="s">
        <v>3222</v>
      </c>
      <c r="E915" t="s">
        <v>3226</v>
      </c>
      <c r="F915">
        <v>55537.06</v>
      </c>
      <c r="G915">
        <v>38596</v>
      </c>
      <c r="H915">
        <v>4</v>
      </c>
    </row>
    <row r="916" spans="1:8" x14ac:dyDescent="0.25">
      <c r="A916" t="s">
        <v>875</v>
      </c>
      <c r="B916" t="s">
        <v>3211</v>
      </c>
      <c r="C916" t="s">
        <v>3218</v>
      </c>
      <c r="D916" t="s">
        <v>3223</v>
      </c>
      <c r="E916" t="s">
        <v>3226</v>
      </c>
      <c r="F916">
        <v>50684.94</v>
      </c>
      <c r="G916">
        <v>37116.89</v>
      </c>
      <c r="H916">
        <v>5</v>
      </c>
    </row>
    <row r="917" spans="1:8" x14ac:dyDescent="0.25">
      <c r="A917" t="s">
        <v>876</v>
      </c>
      <c r="B917" t="s">
        <v>3214</v>
      </c>
      <c r="C917" t="s">
        <v>3219</v>
      </c>
      <c r="D917" t="s">
        <v>3224</v>
      </c>
      <c r="E917" t="s">
        <v>3226</v>
      </c>
      <c r="F917">
        <v>245899.02</v>
      </c>
      <c r="G917">
        <v>223509.35</v>
      </c>
      <c r="H917">
        <v>5</v>
      </c>
    </row>
    <row r="918" spans="1:8" x14ac:dyDescent="0.25">
      <c r="A918" t="s">
        <v>877</v>
      </c>
      <c r="B918" t="s">
        <v>3211</v>
      </c>
      <c r="C918" t="s">
        <v>3221</v>
      </c>
      <c r="D918" t="s">
        <v>3225</v>
      </c>
      <c r="E918" t="s">
        <v>3226</v>
      </c>
      <c r="F918">
        <v>21220.91</v>
      </c>
      <c r="G918">
        <v>12114.55</v>
      </c>
      <c r="H918">
        <v>1</v>
      </c>
    </row>
    <row r="919" spans="1:8" x14ac:dyDescent="0.25">
      <c r="A919" t="s">
        <v>878</v>
      </c>
      <c r="B919" t="s">
        <v>3211</v>
      </c>
      <c r="C919" t="s">
        <v>3221</v>
      </c>
      <c r="D919" t="s">
        <v>3222</v>
      </c>
      <c r="E919" t="s">
        <v>3226</v>
      </c>
      <c r="F919">
        <v>50514.3</v>
      </c>
      <c r="G919">
        <v>38542.28</v>
      </c>
      <c r="H919">
        <v>4</v>
      </c>
    </row>
    <row r="920" spans="1:8" x14ac:dyDescent="0.25">
      <c r="A920" t="s">
        <v>879</v>
      </c>
      <c r="B920" t="s">
        <v>3214</v>
      </c>
      <c r="C920" t="s">
        <v>3221</v>
      </c>
      <c r="D920" t="s">
        <v>3223</v>
      </c>
      <c r="E920" t="s">
        <v>3226</v>
      </c>
      <c r="F920">
        <v>53836.94</v>
      </c>
      <c r="G920">
        <v>35327.18</v>
      </c>
      <c r="H920">
        <v>5</v>
      </c>
    </row>
    <row r="921" spans="1:8" x14ac:dyDescent="0.25">
      <c r="A921" t="s">
        <v>880</v>
      </c>
      <c r="C921" t="s">
        <v>3217</v>
      </c>
      <c r="D921" t="s">
        <v>3222</v>
      </c>
      <c r="E921" t="s">
        <v>3226</v>
      </c>
      <c r="F921">
        <v>34979.160000000003</v>
      </c>
      <c r="G921">
        <v>17847.82</v>
      </c>
      <c r="H921">
        <v>2</v>
      </c>
    </row>
    <row r="922" spans="1:8" x14ac:dyDescent="0.25">
      <c r="A922" t="s">
        <v>881</v>
      </c>
      <c r="B922" t="s">
        <v>3213</v>
      </c>
      <c r="C922" t="s">
        <v>3220</v>
      </c>
      <c r="D922" t="s">
        <v>3223</v>
      </c>
      <c r="E922" t="s">
        <v>3226</v>
      </c>
      <c r="F922">
        <v>9243.89</v>
      </c>
      <c r="G922">
        <v>6124.41</v>
      </c>
      <c r="H922">
        <v>1</v>
      </c>
    </row>
    <row r="923" spans="1:8" x14ac:dyDescent="0.25">
      <c r="A923" t="s">
        <v>733</v>
      </c>
      <c r="B923" t="s">
        <v>3214</v>
      </c>
      <c r="C923" t="s">
        <v>3221</v>
      </c>
      <c r="D923" t="s">
        <v>3222</v>
      </c>
      <c r="E923" t="s">
        <v>3226</v>
      </c>
      <c r="F923">
        <v>12311.29</v>
      </c>
      <c r="G923">
        <v>10855.58</v>
      </c>
      <c r="H923">
        <v>1</v>
      </c>
    </row>
    <row r="924" spans="1:8" x14ac:dyDescent="0.25">
      <c r="A924" t="s">
        <v>882</v>
      </c>
      <c r="B924" t="s">
        <v>3215</v>
      </c>
      <c r="C924" t="s">
        <v>3218</v>
      </c>
      <c r="D924" t="s">
        <v>3225</v>
      </c>
      <c r="E924" t="s">
        <v>3226</v>
      </c>
      <c r="F924">
        <v>105148.86</v>
      </c>
      <c r="G924">
        <v>69190.240000000005</v>
      </c>
      <c r="H924">
        <v>5</v>
      </c>
    </row>
    <row r="925" spans="1:8" x14ac:dyDescent="0.25">
      <c r="A925" t="s">
        <v>883</v>
      </c>
      <c r="C925" t="s">
        <v>3217</v>
      </c>
      <c r="D925" t="s">
        <v>3223</v>
      </c>
      <c r="E925" t="s">
        <v>3226</v>
      </c>
      <c r="G925">
        <v>27795.97</v>
      </c>
      <c r="H925">
        <v>4</v>
      </c>
    </row>
    <row r="926" spans="1:8" x14ac:dyDescent="0.25">
      <c r="A926" t="s">
        <v>828</v>
      </c>
      <c r="B926" t="s">
        <v>3211</v>
      </c>
      <c r="C926" t="s">
        <v>3220</v>
      </c>
      <c r="D926" t="s">
        <v>3224</v>
      </c>
      <c r="E926" t="s">
        <v>3226</v>
      </c>
      <c r="F926">
        <v>202395.78</v>
      </c>
      <c r="G926">
        <v>171939.48</v>
      </c>
      <c r="H926">
        <v>4</v>
      </c>
    </row>
    <row r="927" spans="1:8" x14ac:dyDescent="0.25">
      <c r="A927" t="s">
        <v>884</v>
      </c>
      <c r="C927" t="s">
        <v>3218</v>
      </c>
      <c r="D927" t="s">
        <v>3225</v>
      </c>
      <c r="E927" t="s">
        <v>3226</v>
      </c>
      <c r="F927">
        <v>78795.570000000007</v>
      </c>
      <c r="G927">
        <v>53060.92</v>
      </c>
      <c r="H927">
        <v>4</v>
      </c>
    </row>
    <row r="928" spans="1:8" x14ac:dyDescent="0.25">
      <c r="A928" t="s">
        <v>885</v>
      </c>
      <c r="B928" t="s">
        <v>3213</v>
      </c>
      <c r="C928" t="s">
        <v>3221</v>
      </c>
      <c r="D928" t="s">
        <v>3222</v>
      </c>
      <c r="E928" t="s">
        <v>3226</v>
      </c>
      <c r="F928">
        <v>30777.83</v>
      </c>
      <c r="G928">
        <v>18696.02</v>
      </c>
      <c r="H928">
        <v>2</v>
      </c>
    </row>
    <row r="929" spans="1:8" x14ac:dyDescent="0.25">
      <c r="A929" t="s">
        <v>886</v>
      </c>
      <c r="B929" t="s">
        <v>3215</v>
      </c>
      <c r="C929" t="s">
        <v>3216</v>
      </c>
      <c r="D929" t="s">
        <v>3224</v>
      </c>
      <c r="E929" t="s">
        <v>3226</v>
      </c>
      <c r="F929">
        <v>144838.43</v>
      </c>
      <c r="G929">
        <v>133542.41</v>
      </c>
      <c r="H929">
        <v>3</v>
      </c>
    </row>
    <row r="930" spans="1:8" x14ac:dyDescent="0.25">
      <c r="A930" t="s">
        <v>887</v>
      </c>
      <c r="B930" t="s">
        <v>3215</v>
      </c>
      <c r="C930" t="s">
        <v>3220</v>
      </c>
      <c r="D930" t="s">
        <v>3224</v>
      </c>
      <c r="E930" t="s">
        <v>3226</v>
      </c>
      <c r="F930">
        <v>57455.47</v>
      </c>
      <c r="G930">
        <v>41234.769999999997</v>
      </c>
      <c r="H930">
        <v>1</v>
      </c>
    </row>
    <row r="931" spans="1:8" x14ac:dyDescent="0.25">
      <c r="A931" t="s">
        <v>888</v>
      </c>
      <c r="B931" t="s">
        <v>3215</v>
      </c>
      <c r="C931" t="s">
        <v>3218</v>
      </c>
      <c r="D931" t="s">
        <v>3223</v>
      </c>
      <c r="E931" t="s">
        <v>3226</v>
      </c>
      <c r="F931">
        <v>20427.419999999998</v>
      </c>
      <c r="G931">
        <v>11939.86</v>
      </c>
      <c r="H931">
        <v>2</v>
      </c>
    </row>
    <row r="932" spans="1:8" x14ac:dyDescent="0.25">
      <c r="A932" t="s">
        <v>889</v>
      </c>
      <c r="B932" t="s">
        <v>3215</v>
      </c>
      <c r="C932" t="s">
        <v>3220</v>
      </c>
      <c r="D932" t="s">
        <v>3222</v>
      </c>
      <c r="E932" t="s">
        <v>3226</v>
      </c>
      <c r="F932">
        <v>76761.88</v>
      </c>
      <c r="H932">
        <v>5</v>
      </c>
    </row>
    <row r="933" spans="1:8" x14ac:dyDescent="0.25">
      <c r="A933" t="s">
        <v>890</v>
      </c>
      <c r="B933" t="s">
        <v>3215</v>
      </c>
      <c r="C933" t="s">
        <v>3220</v>
      </c>
      <c r="D933" t="s">
        <v>3222</v>
      </c>
      <c r="E933" t="s">
        <v>3226</v>
      </c>
      <c r="F933">
        <v>30710.23</v>
      </c>
      <c r="G933">
        <v>19660.66</v>
      </c>
      <c r="H933">
        <v>2</v>
      </c>
    </row>
    <row r="934" spans="1:8" x14ac:dyDescent="0.25">
      <c r="A934" t="s">
        <v>891</v>
      </c>
      <c r="B934" t="s">
        <v>3214</v>
      </c>
      <c r="C934" t="s">
        <v>3216</v>
      </c>
      <c r="D934" t="s">
        <v>3222</v>
      </c>
      <c r="E934" t="s">
        <v>3226</v>
      </c>
      <c r="F934">
        <v>17486.75</v>
      </c>
      <c r="G934">
        <v>8725.2800000000007</v>
      </c>
      <c r="H934">
        <v>1</v>
      </c>
    </row>
    <row r="935" spans="1:8" x14ac:dyDescent="0.25">
      <c r="A935" t="s">
        <v>892</v>
      </c>
      <c r="B935" t="s">
        <v>3212</v>
      </c>
      <c r="C935" t="s">
        <v>3216</v>
      </c>
      <c r="D935" t="s">
        <v>3222</v>
      </c>
      <c r="E935" t="s">
        <v>3226</v>
      </c>
      <c r="F935">
        <v>55333.84</v>
      </c>
      <c r="G935">
        <v>39176.39</v>
      </c>
      <c r="H935">
        <v>4</v>
      </c>
    </row>
    <row r="936" spans="1:8" x14ac:dyDescent="0.25">
      <c r="A936" t="s">
        <v>497</v>
      </c>
      <c r="B936" t="s">
        <v>3213</v>
      </c>
      <c r="C936" t="s">
        <v>3219</v>
      </c>
      <c r="D936" t="s">
        <v>3225</v>
      </c>
      <c r="E936" t="s">
        <v>3226</v>
      </c>
      <c r="F936">
        <v>37822.39</v>
      </c>
      <c r="G936">
        <v>29632.92</v>
      </c>
      <c r="H936">
        <v>2</v>
      </c>
    </row>
    <row r="937" spans="1:8" x14ac:dyDescent="0.25">
      <c r="A937" t="s">
        <v>893</v>
      </c>
      <c r="B937" t="s">
        <v>3212</v>
      </c>
      <c r="C937" t="s">
        <v>3219</v>
      </c>
      <c r="D937" t="s">
        <v>3224</v>
      </c>
      <c r="E937" t="s">
        <v>3226</v>
      </c>
      <c r="G937">
        <v>205696.78</v>
      </c>
      <c r="H937">
        <v>5</v>
      </c>
    </row>
    <row r="938" spans="1:8" x14ac:dyDescent="0.25">
      <c r="A938" t="s">
        <v>894</v>
      </c>
      <c r="C938" t="s">
        <v>3217</v>
      </c>
      <c r="D938" t="s">
        <v>3223</v>
      </c>
      <c r="E938" t="s">
        <v>3226</v>
      </c>
      <c r="F938">
        <v>18461.79</v>
      </c>
      <c r="G938">
        <v>12290.58</v>
      </c>
      <c r="H938">
        <v>2</v>
      </c>
    </row>
    <row r="939" spans="1:8" x14ac:dyDescent="0.25">
      <c r="A939" t="s">
        <v>895</v>
      </c>
      <c r="B939" t="s">
        <v>3211</v>
      </c>
      <c r="C939" t="s">
        <v>3216</v>
      </c>
      <c r="D939" t="s">
        <v>3225</v>
      </c>
      <c r="E939" t="s">
        <v>3226</v>
      </c>
      <c r="F939">
        <v>70139.97</v>
      </c>
      <c r="G939">
        <v>44652.99</v>
      </c>
      <c r="H939">
        <v>3</v>
      </c>
    </row>
    <row r="940" spans="1:8" x14ac:dyDescent="0.25">
      <c r="A940" t="s">
        <v>896</v>
      </c>
      <c r="B940" t="s">
        <v>3213</v>
      </c>
      <c r="C940" t="s">
        <v>3220</v>
      </c>
      <c r="D940" t="s">
        <v>3222</v>
      </c>
      <c r="E940" t="s">
        <v>3226</v>
      </c>
      <c r="F940">
        <v>38372.589999999997</v>
      </c>
      <c r="G940">
        <v>32149.42</v>
      </c>
      <c r="H940">
        <v>3</v>
      </c>
    </row>
    <row r="941" spans="1:8" x14ac:dyDescent="0.25">
      <c r="A941" t="s">
        <v>897</v>
      </c>
      <c r="B941" t="s">
        <v>3211</v>
      </c>
      <c r="C941" t="s">
        <v>3216</v>
      </c>
      <c r="D941" t="s">
        <v>3224</v>
      </c>
      <c r="E941" t="s">
        <v>3226</v>
      </c>
      <c r="F941">
        <v>280556.40000000002</v>
      </c>
      <c r="G941">
        <v>217678.81</v>
      </c>
      <c r="H941">
        <v>5</v>
      </c>
    </row>
    <row r="942" spans="1:8" x14ac:dyDescent="0.25">
      <c r="A942" t="s">
        <v>898</v>
      </c>
      <c r="B942" t="s">
        <v>3213</v>
      </c>
      <c r="C942" t="s">
        <v>3220</v>
      </c>
      <c r="D942" t="s">
        <v>3223</v>
      </c>
      <c r="E942" t="s">
        <v>3226</v>
      </c>
      <c r="F942">
        <v>31345.9</v>
      </c>
      <c r="H942">
        <v>3</v>
      </c>
    </row>
    <row r="943" spans="1:8" x14ac:dyDescent="0.25">
      <c r="A943" t="s">
        <v>899</v>
      </c>
      <c r="B943" t="s">
        <v>3215</v>
      </c>
      <c r="C943" t="s">
        <v>3218</v>
      </c>
      <c r="D943" t="s">
        <v>3222</v>
      </c>
      <c r="E943" t="s">
        <v>3226</v>
      </c>
      <c r="F943">
        <v>66517.710000000006</v>
      </c>
      <c r="G943">
        <v>39226.94</v>
      </c>
      <c r="H943">
        <v>4</v>
      </c>
    </row>
    <row r="944" spans="1:8" x14ac:dyDescent="0.25">
      <c r="A944" t="s">
        <v>191</v>
      </c>
      <c r="C944" t="s">
        <v>3216</v>
      </c>
      <c r="D944" t="s">
        <v>3224</v>
      </c>
      <c r="E944" t="s">
        <v>3226</v>
      </c>
      <c r="F944">
        <v>299169.21000000002</v>
      </c>
      <c r="G944">
        <v>206190.53</v>
      </c>
      <c r="H944">
        <v>5</v>
      </c>
    </row>
    <row r="945" spans="1:8" x14ac:dyDescent="0.25">
      <c r="A945" t="s">
        <v>900</v>
      </c>
      <c r="C945" t="s">
        <v>3218</v>
      </c>
      <c r="D945" t="s">
        <v>3222</v>
      </c>
      <c r="E945" t="s">
        <v>3226</v>
      </c>
      <c r="F945">
        <v>52879.76</v>
      </c>
      <c r="G945">
        <v>31966.15</v>
      </c>
      <c r="H945">
        <v>3</v>
      </c>
    </row>
    <row r="946" spans="1:8" x14ac:dyDescent="0.25">
      <c r="A946" t="s">
        <v>901</v>
      </c>
      <c r="C946" t="s">
        <v>3216</v>
      </c>
      <c r="D946" t="s">
        <v>3222</v>
      </c>
      <c r="E946" t="s">
        <v>3226</v>
      </c>
      <c r="F946">
        <v>31019.91</v>
      </c>
      <c r="G946">
        <v>20446.310000000001</v>
      </c>
      <c r="H946">
        <v>2</v>
      </c>
    </row>
    <row r="947" spans="1:8" x14ac:dyDescent="0.25">
      <c r="A947" t="s">
        <v>902</v>
      </c>
      <c r="B947" t="s">
        <v>3212</v>
      </c>
      <c r="C947" t="s">
        <v>3219</v>
      </c>
      <c r="D947" t="s">
        <v>3224</v>
      </c>
      <c r="E947" t="s">
        <v>3226</v>
      </c>
      <c r="F947">
        <v>191590.12</v>
      </c>
      <c r="G947">
        <v>125647.91</v>
      </c>
      <c r="H947">
        <v>3</v>
      </c>
    </row>
    <row r="948" spans="1:8" x14ac:dyDescent="0.25">
      <c r="A948" t="s">
        <v>903</v>
      </c>
      <c r="B948" t="s">
        <v>3212</v>
      </c>
      <c r="C948" t="s">
        <v>3216</v>
      </c>
      <c r="D948" t="s">
        <v>3224</v>
      </c>
      <c r="E948" t="s">
        <v>3226</v>
      </c>
      <c r="F948">
        <v>174230.67</v>
      </c>
      <c r="H948">
        <v>3</v>
      </c>
    </row>
    <row r="949" spans="1:8" x14ac:dyDescent="0.25">
      <c r="A949" t="s">
        <v>756</v>
      </c>
      <c r="B949" t="s">
        <v>3215</v>
      </c>
      <c r="C949" t="s">
        <v>3216</v>
      </c>
      <c r="D949" t="s">
        <v>3224</v>
      </c>
      <c r="E949" t="s">
        <v>3226</v>
      </c>
      <c r="F949">
        <v>208233.97</v>
      </c>
      <c r="G949">
        <v>158676.10999999999</v>
      </c>
      <c r="H949">
        <v>4</v>
      </c>
    </row>
    <row r="950" spans="1:8" x14ac:dyDescent="0.25">
      <c r="A950" t="s">
        <v>904</v>
      </c>
      <c r="B950" t="s">
        <v>3213</v>
      </c>
      <c r="C950" t="s">
        <v>3217</v>
      </c>
      <c r="D950" t="s">
        <v>3222</v>
      </c>
      <c r="E950" t="s">
        <v>3226</v>
      </c>
      <c r="F950">
        <v>68309.929999999993</v>
      </c>
      <c r="G950">
        <v>49186.3</v>
      </c>
      <c r="H950">
        <v>5</v>
      </c>
    </row>
    <row r="951" spans="1:8" x14ac:dyDescent="0.25">
      <c r="A951" t="s">
        <v>905</v>
      </c>
      <c r="B951" t="s">
        <v>3215</v>
      </c>
      <c r="C951" t="s">
        <v>3217</v>
      </c>
      <c r="D951" t="s">
        <v>3222</v>
      </c>
      <c r="E951" t="s">
        <v>3226</v>
      </c>
      <c r="F951">
        <v>13643.49</v>
      </c>
      <c r="G951">
        <v>8999.68</v>
      </c>
      <c r="H951">
        <v>1</v>
      </c>
    </row>
    <row r="952" spans="1:8" x14ac:dyDescent="0.25">
      <c r="A952" t="s">
        <v>906</v>
      </c>
      <c r="B952" t="s">
        <v>3213</v>
      </c>
      <c r="C952" t="s">
        <v>3216</v>
      </c>
      <c r="D952" t="s">
        <v>3225</v>
      </c>
      <c r="E952" t="s">
        <v>3226</v>
      </c>
      <c r="F952">
        <v>21375.55</v>
      </c>
      <c r="G952">
        <v>13508.19</v>
      </c>
      <c r="H952">
        <v>1</v>
      </c>
    </row>
    <row r="953" spans="1:8" x14ac:dyDescent="0.25">
      <c r="A953" t="s">
        <v>907</v>
      </c>
      <c r="B953" t="s">
        <v>3213</v>
      </c>
      <c r="C953" t="s">
        <v>3217</v>
      </c>
      <c r="D953" t="s">
        <v>3225</v>
      </c>
      <c r="E953" t="s">
        <v>3226</v>
      </c>
      <c r="F953">
        <v>79391.37</v>
      </c>
      <c r="G953">
        <v>50484.33</v>
      </c>
      <c r="H953">
        <v>4</v>
      </c>
    </row>
    <row r="954" spans="1:8" x14ac:dyDescent="0.25">
      <c r="A954" t="s">
        <v>908</v>
      </c>
      <c r="B954" t="s">
        <v>3215</v>
      </c>
      <c r="C954" t="s">
        <v>3220</v>
      </c>
      <c r="D954" t="s">
        <v>3223</v>
      </c>
      <c r="E954" t="s">
        <v>3226</v>
      </c>
      <c r="F954">
        <v>28852.37</v>
      </c>
      <c r="G954">
        <v>18700.330000000002</v>
      </c>
      <c r="H954">
        <v>3</v>
      </c>
    </row>
    <row r="955" spans="1:8" x14ac:dyDescent="0.25">
      <c r="A955" t="s">
        <v>909</v>
      </c>
      <c r="B955" t="s">
        <v>3212</v>
      </c>
      <c r="C955" t="s">
        <v>3221</v>
      </c>
      <c r="D955" t="s">
        <v>3224</v>
      </c>
      <c r="E955" t="s">
        <v>3226</v>
      </c>
      <c r="F955">
        <v>189459.18</v>
      </c>
      <c r="G955">
        <v>134882.42000000001</v>
      </c>
      <c r="H955">
        <v>3</v>
      </c>
    </row>
    <row r="956" spans="1:8" x14ac:dyDescent="0.25">
      <c r="A956" t="s">
        <v>707</v>
      </c>
      <c r="B956" t="s">
        <v>3212</v>
      </c>
      <c r="C956" t="s">
        <v>3221</v>
      </c>
      <c r="D956" t="s">
        <v>3223</v>
      </c>
      <c r="E956" t="s">
        <v>3226</v>
      </c>
      <c r="F956">
        <v>9165.5400000000009</v>
      </c>
      <c r="G956">
        <v>7389.79</v>
      </c>
      <c r="H956">
        <v>1</v>
      </c>
    </row>
    <row r="957" spans="1:8" x14ac:dyDescent="0.25">
      <c r="A957" t="s">
        <v>910</v>
      </c>
      <c r="B957" t="s">
        <v>3214</v>
      </c>
      <c r="C957" t="s">
        <v>3218</v>
      </c>
      <c r="D957" t="s">
        <v>3222</v>
      </c>
      <c r="E957" t="s">
        <v>3226</v>
      </c>
      <c r="F957">
        <v>70270.42</v>
      </c>
      <c r="G957">
        <v>38540.97</v>
      </c>
    </row>
    <row r="958" spans="1:8" x14ac:dyDescent="0.25">
      <c r="A958" t="s">
        <v>911</v>
      </c>
      <c r="C958" t="s">
        <v>3220</v>
      </c>
      <c r="D958" t="s">
        <v>3223</v>
      </c>
      <c r="E958" t="s">
        <v>3226</v>
      </c>
      <c r="F958">
        <v>21563.91</v>
      </c>
      <c r="G958">
        <v>14345.22</v>
      </c>
      <c r="H958">
        <v>2</v>
      </c>
    </row>
    <row r="959" spans="1:8" x14ac:dyDescent="0.25">
      <c r="A959" t="s">
        <v>912</v>
      </c>
      <c r="B959" t="s">
        <v>3214</v>
      </c>
      <c r="C959" t="s">
        <v>3220</v>
      </c>
      <c r="D959" t="s">
        <v>3222</v>
      </c>
      <c r="E959" t="s">
        <v>3226</v>
      </c>
      <c r="F959">
        <v>63204.85</v>
      </c>
      <c r="G959">
        <v>36485.360000000001</v>
      </c>
      <c r="H959">
        <v>4</v>
      </c>
    </row>
    <row r="960" spans="1:8" x14ac:dyDescent="0.25">
      <c r="A960" t="s">
        <v>856</v>
      </c>
      <c r="B960" t="s">
        <v>3211</v>
      </c>
      <c r="C960" t="s">
        <v>3218</v>
      </c>
      <c r="D960" t="s">
        <v>3223</v>
      </c>
      <c r="E960" t="s">
        <v>3226</v>
      </c>
      <c r="F960">
        <v>39260.06</v>
      </c>
      <c r="G960">
        <v>27348.51</v>
      </c>
      <c r="H960">
        <v>4</v>
      </c>
    </row>
    <row r="961" spans="1:8" x14ac:dyDescent="0.25">
      <c r="A961" t="s">
        <v>913</v>
      </c>
      <c r="B961" t="s">
        <v>3213</v>
      </c>
      <c r="C961" t="s">
        <v>3220</v>
      </c>
      <c r="D961" t="s">
        <v>3223</v>
      </c>
      <c r="E961" t="s">
        <v>3226</v>
      </c>
      <c r="F961">
        <v>18313.43</v>
      </c>
      <c r="G961">
        <v>12984.18</v>
      </c>
      <c r="H961">
        <v>2</v>
      </c>
    </row>
    <row r="962" spans="1:8" x14ac:dyDescent="0.25">
      <c r="A962" t="s">
        <v>727</v>
      </c>
      <c r="B962" t="s">
        <v>3211</v>
      </c>
      <c r="C962" t="s">
        <v>3217</v>
      </c>
      <c r="D962" t="s">
        <v>3222</v>
      </c>
      <c r="E962" t="s">
        <v>3226</v>
      </c>
      <c r="F962">
        <v>49914.94</v>
      </c>
      <c r="G962">
        <v>38179.699999999997</v>
      </c>
      <c r="H962">
        <v>4</v>
      </c>
    </row>
    <row r="963" spans="1:8" x14ac:dyDescent="0.25">
      <c r="A963" t="s">
        <v>914</v>
      </c>
      <c r="B963" t="s">
        <v>3215</v>
      </c>
      <c r="C963" t="s">
        <v>3218</v>
      </c>
      <c r="D963" t="s">
        <v>3223</v>
      </c>
      <c r="E963" t="s">
        <v>3226</v>
      </c>
      <c r="F963">
        <v>39477.72</v>
      </c>
      <c r="G963">
        <v>28185.4</v>
      </c>
      <c r="H963">
        <v>4</v>
      </c>
    </row>
    <row r="964" spans="1:8" x14ac:dyDescent="0.25">
      <c r="A964" t="s">
        <v>915</v>
      </c>
      <c r="B964" t="s">
        <v>3212</v>
      </c>
      <c r="C964" t="s">
        <v>3219</v>
      </c>
      <c r="D964" t="s">
        <v>3224</v>
      </c>
      <c r="E964" t="s">
        <v>3226</v>
      </c>
      <c r="F964">
        <v>211926.82</v>
      </c>
      <c r="G964">
        <v>118074.19</v>
      </c>
      <c r="H964">
        <v>3</v>
      </c>
    </row>
    <row r="965" spans="1:8" x14ac:dyDescent="0.25">
      <c r="A965" t="s">
        <v>916</v>
      </c>
      <c r="B965" t="s">
        <v>3211</v>
      </c>
      <c r="C965" t="s">
        <v>3221</v>
      </c>
      <c r="D965" t="s">
        <v>3223</v>
      </c>
      <c r="E965" t="s">
        <v>3226</v>
      </c>
      <c r="F965">
        <v>9588.9699999999993</v>
      </c>
      <c r="G965">
        <v>6420.23</v>
      </c>
      <c r="H965">
        <v>1</v>
      </c>
    </row>
    <row r="966" spans="1:8" x14ac:dyDescent="0.25">
      <c r="A966" t="s">
        <v>917</v>
      </c>
      <c r="B966" t="s">
        <v>3214</v>
      </c>
      <c r="C966" t="s">
        <v>3217</v>
      </c>
      <c r="D966" t="s">
        <v>3223</v>
      </c>
      <c r="E966" t="s">
        <v>3226</v>
      </c>
      <c r="F966">
        <v>11790.14</v>
      </c>
      <c r="G966">
        <v>6572.73</v>
      </c>
      <c r="H966">
        <v>1</v>
      </c>
    </row>
    <row r="967" spans="1:8" x14ac:dyDescent="0.25">
      <c r="A967" t="s">
        <v>918</v>
      </c>
      <c r="B967" t="s">
        <v>3215</v>
      </c>
      <c r="C967" t="s">
        <v>3218</v>
      </c>
      <c r="D967" t="s">
        <v>3224</v>
      </c>
      <c r="E967" t="s">
        <v>3226</v>
      </c>
      <c r="F967">
        <v>158977.76999999999</v>
      </c>
      <c r="G967">
        <v>126147.74</v>
      </c>
      <c r="H967">
        <v>3</v>
      </c>
    </row>
    <row r="968" spans="1:8" x14ac:dyDescent="0.25">
      <c r="A968" t="s">
        <v>919</v>
      </c>
      <c r="B968" t="s">
        <v>3214</v>
      </c>
      <c r="C968" t="s">
        <v>3219</v>
      </c>
      <c r="D968" t="s">
        <v>3224</v>
      </c>
      <c r="E968" t="s">
        <v>3226</v>
      </c>
      <c r="F968">
        <v>315921.24</v>
      </c>
      <c r="G968">
        <v>246150.78</v>
      </c>
      <c r="H968">
        <v>5</v>
      </c>
    </row>
    <row r="969" spans="1:8" x14ac:dyDescent="0.25">
      <c r="A969" t="s">
        <v>920</v>
      </c>
      <c r="B969" t="s">
        <v>3215</v>
      </c>
      <c r="C969" t="s">
        <v>3219</v>
      </c>
      <c r="D969" t="s">
        <v>3223</v>
      </c>
      <c r="E969" t="s">
        <v>3226</v>
      </c>
      <c r="F969">
        <v>31250.47</v>
      </c>
      <c r="G969">
        <v>22469.22</v>
      </c>
      <c r="H969">
        <v>3</v>
      </c>
    </row>
    <row r="970" spans="1:8" x14ac:dyDescent="0.25">
      <c r="A970" t="s">
        <v>921</v>
      </c>
      <c r="C970" t="s">
        <v>3218</v>
      </c>
      <c r="D970" t="s">
        <v>3223</v>
      </c>
      <c r="E970" t="s">
        <v>3226</v>
      </c>
      <c r="F970">
        <v>55762.38</v>
      </c>
      <c r="G970">
        <v>37060.5</v>
      </c>
      <c r="H970">
        <v>5</v>
      </c>
    </row>
    <row r="971" spans="1:8" x14ac:dyDescent="0.25">
      <c r="A971" t="s">
        <v>922</v>
      </c>
      <c r="B971" t="s">
        <v>3212</v>
      </c>
      <c r="C971" t="s">
        <v>3218</v>
      </c>
      <c r="D971" t="s">
        <v>3223</v>
      </c>
      <c r="E971" t="s">
        <v>3226</v>
      </c>
      <c r="F971">
        <v>33110.33</v>
      </c>
      <c r="G971">
        <v>29418.75</v>
      </c>
      <c r="H971">
        <v>4</v>
      </c>
    </row>
    <row r="972" spans="1:8" x14ac:dyDescent="0.25">
      <c r="A972" t="s">
        <v>923</v>
      </c>
      <c r="B972" t="s">
        <v>3215</v>
      </c>
      <c r="C972" t="s">
        <v>3219</v>
      </c>
      <c r="D972" t="s">
        <v>3223</v>
      </c>
      <c r="E972" t="s">
        <v>3226</v>
      </c>
      <c r="F972">
        <v>20513.02</v>
      </c>
      <c r="G972">
        <v>14188.76</v>
      </c>
    </row>
    <row r="973" spans="1:8" x14ac:dyDescent="0.25">
      <c r="A973" t="s">
        <v>924</v>
      </c>
      <c r="B973" t="s">
        <v>3215</v>
      </c>
      <c r="C973" t="s">
        <v>3221</v>
      </c>
      <c r="D973" t="s">
        <v>3222</v>
      </c>
      <c r="E973" t="s">
        <v>3226</v>
      </c>
      <c r="F973">
        <v>69098.649999999994</v>
      </c>
      <c r="G973">
        <v>42127.57</v>
      </c>
      <c r="H973">
        <v>4</v>
      </c>
    </row>
    <row r="974" spans="1:8" x14ac:dyDescent="0.25">
      <c r="A974" t="s">
        <v>925</v>
      </c>
      <c r="B974" t="s">
        <v>3213</v>
      </c>
      <c r="C974" t="s">
        <v>3220</v>
      </c>
      <c r="D974" t="s">
        <v>3223</v>
      </c>
      <c r="E974" t="s">
        <v>3226</v>
      </c>
      <c r="F974">
        <v>11056.98</v>
      </c>
      <c r="G974">
        <v>6894.33</v>
      </c>
      <c r="H974">
        <v>1</v>
      </c>
    </row>
    <row r="975" spans="1:8" x14ac:dyDescent="0.25">
      <c r="A975" t="s">
        <v>926</v>
      </c>
      <c r="B975" t="s">
        <v>3215</v>
      </c>
      <c r="C975" t="s">
        <v>3220</v>
      </c>
      <c r="D975" t="s">
        <v>3222</v>
      </c>
      <c r="E975" t="s">
        <v>3226</v>
      </c>
      <c r="F975">
        <v>24151.14</v>
      </c>
      <c r="G975">
        <v>17480.03</v>
      </c>
      <c r="H975">
        <v>2</v>
      </c>
    </row>
    <row r="976" spans="1:8" x14ac:dyDescent="0.25">
      <c r="A976" t="s">
        <v>927</v>
      </c>
      <c r="B976" t="s">
        <v>3212</v>
      </c>
      <c r="C976" t="s">
        <v>3220</v>
      </c>
      <c r="D976" t="s">
        <v>3225</v>
      </c>
      <c r="E976" t="s">
        <v>3226</v>
      </c>
      <c r="F976">
        <v>115862.86</v>
      </c>
      <c r="G976">
        <v>70724.38</v>
      </c>
      <c r="H976">
        <v>5</v>
      </c>
    </row>
    <row r="977" spans="1:8" x14ac:dyDescent="0.25">
      <c r="A977" t="s">
        <v>928</v>
      </c>
      <c r="B977" t="s">
        <v>3214</v>
      </c>
      <c r="C977" t="s">
        <v>3220</v>
      </c>
      <c r="D977" t="s">
        <v>3224</v>
      </c>
      <c r="E977" t="s">
        <v>3226</v>
      </c>
      <c r="F977">
        <v>66652.460000000006</v>
      </c>
      <c r="G977">
        <v>41460.81</v>
      </c>
      <c r="H977">
        <v>1</v>
      </c>
    </row>
    <row r="978" spans="1:8" x14ac:dyDescent="0.25">
      <c r="A978" t="s">
        <v>829</v>
      </c>
      <c r="C978" t="s">
        <v>3219</v>
      </c>
      <c r="D978" t="s">
        <v>3224</v>
      </c>
      <c r="E978" t="s">
        <v>3226</v>
      </c>
      <c r="F978">
        <v>215963.74</v>
      </c>
      <c r="G978">
        <v>123628.6</v>
      </c>
      <c r="H978">
        <v>3</v>
      </c>
    </row>
    <row r="979" spans="1:8" x14ac:dyDescent="0.25">
      <c r="A979" t="s">
        <v>572</v>
      </c>
      <c r="C979" t="s">
        <v>3221</v>
      </c>
      <c r="D979" t="s">
        <v>3222</v>
      </c>
      <c r="E979" t="s">
        <v>3226</v>
      </c>
      <c r="F979">
        <v>48342.65</v>
      </c>
      <c r="G979">
        <v>40013.17</v>
      </c>
      <c r="H979">
        <v>4</v>
      </c>
    </row>
    <row r="980" spans="1:8" x14ac:dyDescent="0.25">
      <c r="A980" t="s">
        <v>929</v>
      </c>
      <c r="B980" t="s">
        <v>3211</v>
      </c>
      <c r="C980" t="s">
        <v>3216</v>
      </c>
      <c r="D980" t="s">
        <v>3223</v>
      </c>
      <c r="E980" t="s">
        <v>3226</v>
      </c>
      <c r="F980">
        <v>33160.75</v>
      </c>
      <c r="G980">
        <v>28512.43</v>
      </c>
      <c r="H980">
        <v>4</v>
      </c>
    </row>
    <row r="981" spans="1:8" x14ac:dyDescent="0.25">
      <c r="A981" t="s">
        <v>930</v>
      </c>
      <c r="C981" t="s">
        <v>3218</v>
      </c>
      <c r="D981" t="s">
        <v>3224</v>
      </c>
      <c r="E981" t="s">
        <v>3226</v>
      </c>
      <c r="F981">
        <v>238753.54</v>
      </c>
      <c r="G981">
        <v>189593.2</v>
      </c>
      <c r="H981">
        <v>4</v>
      </c>
    </row>
    <row r="982" spans="1:8" x14ac:dyDescent="0.25">
      <c r="A982" t="s">
        <v>931</v>
      </c>
      <c r="B982" t="s">
        <v>3214</v>
      </c>
      <c r="C982" t="s">
        <v>3216</v>
      </c>
      <c r="D982" t="s">
        <v>3223</v>
      </c>
      <c r="E982" t="s">
        <v>3226</v>
      </c>
      <c r="F982">
        <v>8827.9500000000007</v>
      </c>
      <c r="G982">
        <v>7556.84</v>
      </c>
      <c r="H982">
        <v>1</v>
      </c>
    </row>
    <row r="983" spans="1:8" x14ac:dyDescent="0.25">
      <c r="A983" t="s">
        <v>932</v>
      </c>
      <c r="B983" t="s">
        <v>3213</v>
      </c>
      <c r="C983" t="s">
        <v>3218</v>
      </c>
      <c r="D983" t="s">
        <v>3225</v>
      </c>
      <c r="E983" t="s">
        <v>3226</v>
      </c>
      <c r="G983">
        <v>15047.38</v>
      </c>
      <c r="H983">
        <v>1</v>
      </c>
    </row>
    <row r="984" spans="1:8" x14ac:dyDescent="0.25">
      <c r="A984" t="s">
        <v>933</v>
      </c>
      <c r="B984" t="s">
        <v>3214</v>
      </c>
      <c r="C984" t="s">
        <v>3219</v>
      </c>
      <c r="D984" t="s">
        <v>3224</v>
      </c>
      <c r="E984" t="s">
        <v>3226</v>
      </c>
      <c r="F984">
        <v>254118.74</v>
      </c>
      <c r="G984">
        <v>173892.26</v>
      </c>
      <c r="H984">
        <v>4</v>
      </c>
    </row>
    <row r="985" spans="1:8" x14ac:dyDescent="0.25">
      <c r="A985" t="s">
        <v>934</v>
      </c>
      <c r="B985" t="s">
        <v>3211</v>
      </c>
      <c r="C985" t="s">
        <v>3219</v>
      </c>
      <c r="D985" t="s">
        <v>3225</v>
      </c>
      <c r="E985" t="s">
        <v>3226</v>
      </c>
      <c r="G985">
        <v>60900.97</v>
      </c>
    </row>
    <row r="986" spans="1:8" x14ac:dyDescent="0.25">
      <c r="A986" t="s">
        <v>935</v>
      </c>
      <c r="B986" t="s">
        <v>3211</v>
      </c>
      <c r="C986" t="s">
        <v>3216</v>
      </c>
      <c r="D986" t="s">
        <v>3222</v>
      </c>
      <c r="E986" t="s">
        <v>3226</v>
      </c>
      <c r="F986">
        <v>15742.63</v>
      </c>
      <c r="G986">
        <v>8972.5400000000009</v>
      </c>
      <c r="H986">
        <v>1</v>
      </c>
    </row>
    <row r="987" spans="1:8" x14ac:dyDescent="0.25">
      <c r="A987" t="s">
        <v>936</v>
      </c>
      <c r="B987" t="s">
        <v>3212</v>
      </c>
      <c r="C987" t="s">
        <v>3217</v>
      </c>
      <c r="D987" t="s">
        <v>3222</v>
      </c>
      <c r="E987" t="s">
        <v>3226</v>
      </c>
      <c r="F987">
        <v>41122.980000000003</v>
      </c>
      <c r="G987">
        <v>28225.3</v>
      </c>
      <c r="H987">
        <v>3</v>
      </c>
    </row>
    <row r="988" spans="1:8" x14ac:dyDescent="0.25">
      <c r="A988" t="s">
        <v>937</v>
      </c>
      <c r="B988" t="s">
        <v>3211</v>
      </c>
      <c r="C988" t="s">
        <v>3221</v>
      </c>
      <c r="D988" t="s">
        <v>3223</v>
      </c>
      <c r="E988" t="s">
        <v>3226</v>
      </c>
      <c r="F988">
        <v>44547.6</v>
      </c>
      <c r="H988">
        <v>5</v>
      </c>
    </row>
    <row r="989" spans="1:8" x14ac:dyDescent="0.25">
      <c r="A989" t="s">
        <v>938</v>
      </c>
      <c r="B989" t="s">
        <v>3212</v>
      </c>
      <c r="C989" t="s">
        <v>3219</v>
      </c>
      <c r="D989" t="s">
        <v>3223</v>
      </c>
      <c r="E989" t="s">
        <v>3226</v>
      </c>
      <c r="F989">
        <v>39504.97</v>
      </c>
      <c r="G989">
        <v>26138.95</v>
      </c>
    </row>
    <row r="990" spans="1:8" x14ac:dyDescent="0.25">
      <c r="A990" t="s">
        <v>939</v>
      </c>
      <c r="B990" t="s">
        <v>3215</v>
      </c>
      <c r="C990" t="s">
        <v>3216</v>
      </c>
      <c r="D990" t="s">
        <v>3225</v>
      </c>
      <c r="E990" t="s">
        <v>3226</v>
      </c>
      <c r="F990">
        <v>35975.5</v>
      </c>
      <c r="G990">
        <v>28297.72</v>
      </c>
      <c r="H990">
        <v>2</v>
      </c>
    </row>
    <row r="991" spans="1:8" x14ac:dyDescent="0.25">
      <c r="A991" t="s">
        <v>940</v>
      </c>
      <c r="B991" t="s">
        <v>3213</v>
      </c>
      <c r="C991" t="s">
        <v>3217</v>
      </c>
      <c r="D991" t="s">
        <v>3224</v>
      </c>
      <c r="E991" t="s">
        <v>3226</v>
      </c>
      <c r="F991">
        <v>168499.8</v>
      </c>
      <c r="G991">
        <v>135703.1</v>
      </c>
      <c r="H991">
        <v>3</v>
      </c>
    </row>
    <row r="992" spans="1:8" x14ac:dyDescent="0.25">
      <c r="A992" t="s">
        <v>941</v>
      </c>
      <c r="B992" t="s">
        <v>3214</v>
      </c>
      <c r="C992" t="s">
        <v>3218</v>
      </c>
      <c r="D992" t="s">
        <v>3225</v>
      </c>
      <c r="E992" t="s">
        <v>3226</v>
      </c>
      <c r="F992">
        <v>43486.99</v>
      </c>
      <c r="H992">
        <v>2</v>
      </c>
    </row>
    <row r="993" spans="1:8" x14ac:dyDescent="0.25">
      <c r="A993" t="s">
        <v>859</v>
      </c>
      <c r="C993" t="s">
        <v>3219</v>
      </c>
      <c r="D993" t="s">
        <v>3224</v>
      </c>
      <c r="E993" t="s">
        <v>3226</v>
      </c>
      <c r="F993">
        <v>116214.52</v>
      </c>
      <c r="G993">
        <v>78041.31</v>
      </c>
      <c r="H993">
        <v>2</v>
      </c>
    </row>
    <row r="994" spans="1:8" x14ac:dyDescent="0.25">
      <c r="A994" t="s">
        <v>942</v>
      </c>
      <c r="B994" t="s">
        <v>3211</v>
      </c>
      <c r="C994" t="s">
        <v>3217</v>
      </c>
      <c r="D994" t="s">
        <v>3224</v>
      </c>
      <c r="E994" t="s">
        <v>3226</v>
      </c>
      <c r="F994">
        <v>258395.54</v>
      </c>
      <c r="H994">
        <v>5</v>
      </c>
    </row>
    <row r="995" spans="1:8" x14ac:dyDescent="0.25">
      <c r="A995" t="s">
        <v>943</v>
      </c>
      <c r="B995" t="s">
        <v>3211</v>
      </c>
      <c r="C995" t="s">
        <v>3216</v>
      </c>
      <c r="D995" t="s">
        <v>3225</v>
      </c>
      <c r="E995" t="s">
        <v>3226</v>
      </c>
      <c r="F995">
        <v>94331.58</v>
      </c>
      <c r="H995">
        <v>5</v>
      </c>
    </row>
    <row r="996" spans="1:8" x14ac:dyDescent="0.25">
      <c r="A996" t="s">
        <v>944</v>
      </c>
      <c r="C996" t="s">
        <v>3221</v>
      </c>
      <c r="D996" t="s">
        <v>3222</v>
      </c>
      <c r="E996" t="s">
        <v>3226</v>
      </c>
      <c r="F996">
        <v>53494.64</v>
      </c>
      <c r="G996">
        <v>31877.01</v>
      </c>
      <c r="H996">
        <v>3</v>
      </c>
    </row>
    <row r="997" spans="1:8" x14ac:dyDescent="0.25">
      <c r="A997" t="s">
        <v>945</v>
      </c>
      <c r="B997" t="s">
        <v>3212</v>
      </c>
      <c r="C997" t="s">
        <v>3219</v>
      </c>
      <c r="D997" t="s">
        <v>3223</v>
      </c>
      <c r="E997" t="s">
        <v>3226</v>
      </c>
      <c r="F997">
        <v>10966.41</v>
      </c>
      <c r="G997">
        <v>6626.28</v>
      </c>
      <c r="H997">
        <v>1</v>
      </c>
    </row>
    <row r="998" spans="1:8" x14ac:dyDescent="0.25">
      <c r="A998" t="s">
        <v>946</v>
      </c>
      <c r="B998" t="s">
        <v>3215</v>
      </c>
      <c r="C998" t="s">
        <v>3219</v>
      </c>
      <c r="D998" t="s">
        <v>3222</v>
      </c>
      <c r="E998" t="s">
        <v>3226</v>
      </c>
      <c r="G998">
        <v>44986.46</v>
      </c>
      <c r="H998">
        <v>5</v>
      </c>
    </row>
    <row r="999" spans="1:8" x14ac:dyDescent="0.25">
      <c r="A999" t="s">
        <v>947</v>
      </c>
      <c r="B999" t="s">
        <v>3215</v>
      </c>
      <c r="C999" t="s">
        <v>3216</v>
      </c>
      <c r="D999" t="s">
        <v>3225</v>
      </c>
      <c r="E999" t="s">
        <v>3226</v>
      </c>
      <c r="F999">
        <v>80251.199999999997</v>
      </c>
      <c r="G999">
        <v>49871.3</v>
      </c>
      <c r="H999">
        <v>4</v>
      </c>
    </row>
    <row r="1000" spans="1:8" x14ac:dyDescent="0.25">
      <c r="A1000" t="s">
        <v>948</v>
      </c>
      <c r="B1000" t="s">
        <v>3215</v>
      </c>
      <c r="C1000" t="s">
        <v>3217</v>
      </c>
      <c r="D1000" t="s">
        <v>3225</v>
      </c>
      <c r="E1000" t="s">
        <v>3226</v>
      </c>
      <c r="F1000">
        <v>43185.7</v>
      </c>
      <c r="G1000">
        <v>30252.52</v>
      </c>
      <c r="H1000">
        <v>2</v>
      </c>
    </row>
    <row r="1001" spans="1:8" x14ac:dyDescent="0.25">
      <c r="A1001" t="s">
        <v>949</v>
      </c>
      <c r="B1001" t="s">
        <v>3212</v>
      </c>
      <c r="C1001" t="s">
        <v>3217</v>
      </c>
      <c r="D1001" t="s">
        <v>3224</v>
      </c>
      <c r="E1001" t="s">
        <v>3226</v>
      </c>
      <c r="F1001">
        <v>98280.85</v>
      </c>
      <c r="G1001">
        <v>81434.14</v>
      </c>
      <c r="H1001">
        <v>2</v>
      </c>
    </row>
    <row r="1002" spans="1:8" x14ac:dyDescent="0.25">
      <c r="A1002" t="s">
        <v>950</v>
      </c>
      <c r="B1002" t="s">
        <v>3213</v>
      </c>
      <c r="C1002" t="s">
        <v>3218</v>
      </c>
      <c r="D1002" t="s">
        <v>3224</v>
      </c>
      <c r="E1002" t="s">
        <v>3226</v>
      </c>
      <c r="F1002">
        <v>247676.91</v>
      </c>
      <c r="H1002">
        <v>4</v>
      </c>
    </row>
    <row r="1003" spans="1:8" x14ac:dyDescent="0.25">
      <c r="A1003" t="s">
        <v>951</v>
      </c>
      <c r="B1003" t="s">
        <v>3211</v>
      </c>
      <c r="C1003" t="s">
        <v>3219</v>
      </c>
      <c r="D1003" t="s">
        <v>3222</v>
      </c>
      <c r="E1003" t="s">
        <v>3226</v>
      </c>
      <c r="G1003">
        <v>19063.349999999999</v>
      </c>
      <c r="H1003">
        <v>2</v>
      </c>
    </row>
    <row r="1004" spans="1:8" x14ac:dyDescent="0.25">
      <c r="A1004" t="s">
        <v>458</v>
      </c>
      <c r="B1004" t="s">
        <v>3211</v>
      </c>
      <c r="C1004" t="s">
        <v>3216</v>
      </c>
      <c r="D1004" t="s">
        <v>3225</v>
      </c>
      <c r="E1004" t="s">
        <v>3226</v>
      </c>
      <c r="F1004">
        <v>88276.65</v>
      </c>
      <c r="G1004">
        <v>75254.11</v>
      </c>
      <c r="H1004">
        <v>5</v>
      </c>
    </row>
    <row r="1005" spans="1:8" x14ac:dyDescent="0.25">
      <c r="A1005" t="s">
        <v>21</v>
      </c>
      <c r="B1005" t="s">
        <v>3212</v>
      </c>
      <c r="C1005" t="s">
        <v>3217</v>
      </c>
      <c r="D1005" t="s">
        <v>3223</v>
      </c>
      <c r="E1005" t="s">
        <v>3226</v>
      </c>
      <c r="F1005">
        <v>34939.42</v>
      </c>
      <c r="G1005">
        <v>20486.349999999999</v>
      </c>
      <c r="H1005">
        <v>3</v>
      </c>
    </row>
    <row r="1006" spans="1:8" x14ac:dyDescent="0.25">
      <c r="A1006" t="s">
        <v>952</v>
      </c>
      <c r="B1006" t="s">
        <v>3213</v>
      </c>
      <c r="C1006" t="s">
        <v>3217</v>
      </c>
      <c r="D1006" t="s">
        <v>3224</v>
      </c>
      <c r="E1006" t="s">
        <v>3226</v>
      </c>
      <c r="F1006">
        <v>54186.13</v>
      </c>
      <c r="G1006">
        <v>40797.33</v>
      </c>
      <c r="H1006">
        <v>1</v>
      </c>
    </row>
    <row r="1007" spans="1:8" x14ac:dyDescent="0.25">
      <c r="A1007" t="s">
        <v>953</v>
      </c>
      <c r="C1007" t="s">
        <v>3216</v>
      </c>
      <c r="D1007" t="s">
        <v>3224</v>
      </c>
      <c r="E1007" t="s">
        <v>3226</v>
      </c>
      <c r="F1007">
        <v>302236.64</v>
      </c>
      <c r="G1007">
        <v>235072.55</v>
      </c>
      <c r="H1007">
        <v>5</v>
      </c>
    </row>
    <row r="1008" spans="1:8" x14ac:dyDescent="0.25">
      <c r="A1008" t="s">
        <v>954</v>
      </c>
      <c r="B1008" t="s">
        <v>3211</v>
      </c>
      <c r="C1008" t="s">
        <v>3220</v>
      </c>
      <c r="D1008" t="s">
        <v>3223</v>
      </c>
      <c r="E1008" t="s">
        <v>3226</v>
      </c>
      <c r="F1008">
        <v>36292.519999999997</v>
      </c>
      <c r="G1008">
        <v>29694.17</v>
      </c>
      <c r="H1008">
        <v>4</v>
      </c>
    </row>
    <row r="1009" spans="1:8" x14ac:dyDescent="0.25">
      <c r="A1009" t="s">
        <v>955</v>
      </c>
      <c r="C1009" t="s">
        <v>3217</v>
      </c>
      <c r="D1009" t="s">
        <v>3222</v>
      </c>
      <c r="E1009" t="s">
        <v>3226</v>
      </c>
      <c r="F1009">
        <v>47480.800000000003</v>
      </c>
      <c r="H1009">
        <v>3</v>
      </c>
    </row>
    <row r="1010" spans="1:8" x14ac:dyDescent="0.25">
      <c r="A1010" t="s">
        <v>956</v>
      </c>
      <c r="B1010" t="s">
        <v>3213</v>
      </c>
      <c r="C1010" t="s">
        <v>3221</v>
      </c>
      <c r="D1010" t="s">
        <v>3222</v>
      </c>
      <c r="E1010" t="s">
        <v>3226</v>
      </c>
      <c r="F1010">
        <v>87930.58</v>
      </c>
      <c r="G1010">
        <v>53017.71</v>
      </c>
      <c r="H1010">
        <v>5</v>
      </c>
    </row>
    <row r="1011" spans="1:8" x14ac:dyDescent="0.25">
      <c r="A1011" t="s">
        <v>957</v>
      </c>
      <c r="B1011" t="s">
        <v>3214</v>
      </c>
      <c r="C1011" t="s">
        <v>3221</v>
      </c>
      <c r="D1011" t="s">
        <v>3225</v>
      </c>
      <c r="E1011" t="s">
        <v>3226</v>
      </c>
      <c r="G1011">
        <v>14140.11</v>
      </c>
      <c r="H1011">
        <v>1</v>
      </c>
    </row>
    <row r="1012" spans="1:8" x14ac:dyDescent="0.25">
      <c r="A1012" t="s">
        <v>958</v>
      </c>
      <c r="B1012" t="s">
        <v>3212</v>
      </c>
      <c r="C1012" t="s">
        <v>3217</v>
      </c>
      <c r="D1012" t="s">
        <v>3223</v>
      </c>
      <c r="E1012" t="s">
        <v>3226</v>
      </c>
      <c r="F1012">
        <v>59720.56</v>
      </c>
      <c r="G1012">
        <v>31328.71</v>
      </c>
      <c r="H1012">
        <v>5</v>
      </c>
    </row>
    <row r="1013" spans="1:8" x14ac:dyDescent="0.25">
      <c r="A1013" t="s">
        <v>959</v>
      </c>
      <c r="B1013" t="s">
        <v>3213</v>
      </c>
      <c r="C1013" t="s">
        <v>3220</v>
      </c>
      <c r="D1013" t="s">
        <v>3222</v>
      </c>
      <c r="E1013" t="s">
        <v>3226</v>
      </c>
      <c r="F1013">
        <v>57578.62</v>
      </c>
      <c r="G1013">
        <v>40154.01</v>
      </c>
      <c r="H1013">
        <v>4</v>
      </c>
    </row>
    <row r="1014" spans="1:8" x14ac:dyDescent="0.25">
      <c r="A1014" t="s">
        <v>960</v>
      </c>
      <c r="C1014" t="s">
        <v>3216</v>
      </c>
      <c r="D1014" t="s">
        <v>3223</v>
      </c>
      <c r="E1014" t="s">
        <v>3226</v>
      </c>
      <c r="F1014">
        <v>44223.16</v>
      </c>
      <c r="H1014">
        <v>5</v>
      </c>
    </row>
    <row r="1015" spans="1:8" x14ac:dyDescent="0.25">
      <c r="A1015" t="s">
        <v>961</v>
      </c>
      <c r="B1015" t="s">
        <v>3212</v>
      </c>
      <c r="C1015" t="s">
        <v>3217</v>
      </c>
      <c r="D1015" t="s">
        <v>3225</v>
      </c>
      <c r="E1015" t="s">
        <v>3226</v>
      </c>
      <c r="F1015">
        <v>93624.05</v>
      </c>
      <c r="G1015">
        <v>56634.84</v>
      </c>
      <c r="H1015">
        <v>4</v>
      </c>
    </row>
    <row r="1016" spans="1:8" x14ac:dyDescent="0.25">
      <c r="A1016" t="s">
        <v>962</v>
      </c>
      <c r="B1016" t="s">
        <v>3212</v>
      </c>
      <c r="C1016" t="s">
        <v>3221</v>
      </c>
      <c r="D1016" t="s">
        <v>3224</v>
      </c>
      <c r="E1016" t="s">
        <v>3226</v>
      </c>
      <c r="F1016">
        <v>233202.3</v>
      </c>
      <c r="G1016">
        <v>166716.59</v>
      </c>
    </row>
    <row r="1017" spans="1:8" x14ac:dyDescent="0.25">
      <c r="A1017" t="s">
        <v>963</v>
      </c>
      <c r="B1017" t="s">
        <v>3211</v>
      </c>
      <c r="C1017" t="s">
        <v>3217</v>
      </c>
      <c r="D1017" t="s">
        <v>3223</v>
      </c>
      <c r="E1017" t="s">
        <v>3226</v>
      </c>
      <c r="F1017">
        <v>23022.44</v>
      </c>
      <c r="H1017">
        <v>2</v>
      </c>
    </row>
    <row r="1018" spans="1:8" x14ac:dyDescent="0.25">
      <c r="A1018" t="s">
        <v>964</v>
      </c>
      <c r="B1018" t="s">
        <v>3213</v>
      </c>
      <c r="C1018" t="s">
        <v>3220</v>
      </c>
      <c r="D1018" t="s">
        <v>3225</v>
      </c>
      <c r="E1018" t="s">
        <v>3226</v>
      </c>
      <c r="F1018">
        <v>71519.67</v>
      </c>
      <c r="G1018">
        <v>44962.75</v>
      </c>
      <c r="H1018">
        <v>3</v>
      </c>
    </row>
    <row r="1019" spans="1:8" x14ac:dyDescent="0.25">
      <c r="A1019" t="s">
        <v>965</v>
      </c>
      <c r="B1019" t="s">
        <v>3214</v>
      </c>
      <c r="C1019" t="s">
        <v>3219</v>
      </c>
      <c r="D1019" t="s">
        <v>3224</v>
      </c>
      <c r="E1019" t="s">
        <v>3226</v>
      </c>
      <c r="F1019">
        <v>139988.26999999999</v>
      </c>
      <c r="G1019">
        <v>77625.5</v>
      </c>
      <c r="H1019">
        <v>2</v>
      </c>
    </row>
    <row r="1020" spans="1:8" x14ac:dyDescent="0.25">
      <c r="A1020" t="s">
        <v>697</v>
      </c>
      <c r="B1020" t="s">
        <v>3215</v>
      </c>
      <c r="C1020" t="s">
        <v>3217</v>
      </c>
      <c r="D1020" t="s">
        <v>3225</v>
      </c>
      <c r="E1020" t="s">
        <v>3226</v>
      </c>
      <c r="F1020">
        <v>90347.12</v>
      </c>
      <c r="G1020">
        <v>57128.45</v>
      </c>
      <c r="H1020">
        <v>4</v>
      </c>
    </row>
    <row r="1021" spans="1:8" x14ac:dyDescent="0.25">
      <c r="A1021" t="s">
        <v>966</v>
      </c>
      <c r="B1021" t="s">
        <v>3215</v>
      </c>
      <c r="C1021" t="s">
        <v>3220</v>
      </c>
      <c r="D1021" t="s">
        <v>3225</v>
      </c>
      <c r="E1021" t="s">
        <v>3226</v>
      </c>
      <c r="F1021">
        <v>109436.08</v>
      </c>
      <c r="G1021">
        <v>74173.77</v>
      </c>
      <c r="H1021">
        <v>5</v>
      </c>
    </row>
    <row r="1022" spans="1:8" x14ac:dyDescent="0.25">
      <c r="A1022" t="s">
        <v>967</v>
      </c>
      <c r="B1022" t="s">
        <v>3214</v>
      </c>
      <c r="C1022" t="s">
        <v>3216</v>
      </c>
      <c r="D1022" t="s">
        <v>3223</v>
      </c>
      <c r="E1022" t="s">
        <v>3226</v>
      </c>
      <c r="F1022">
        <v>10662.04</v>
      </c>
      <c r="G1022">
        <v>7662.07</v>
      </c>
      <c r="H1022">
        <v>1</v>
      </c>
    </row>
    <row r="1023" spans="1:8" x14ac:dyDescent="0.25">
      <c r="A1023" t="s">
        <v>968</v>
      </c>
      <c r="B1023" t="s">
        <v>3215</v>
      </c>
      <c r="C1023" t="s">
        <v>3219</v>
      </c>
      <c r="D1023" t="s">
        <v>3225</v>
      </c>
      <c r="E1023" t="s">
        <v>3226</v>
      </c>
      <c r="F1023">
        <v>43395.01</v>
      </c>
      <c r="G1023">
        <v>27858.46</v>
      </c>
      <c r="H1023">
        <v>2</v>
      </c>
    </row>
    <row r="1024" spans="1:8" x14ac:dyDescent="0.25">
      <c r="A1024" t="s">
        <v>969</v>
      </c>
      <c r="B1024" t="s">
        <v>3211</v>
      </c>
      <c r="C1024" t="s">
        <v>3216</v>
      </c>
      <c r="D1024" t="s">
        <v>3225</v>
      </c>
      <c r="E1024" t="s">
        <v>3226</v>
      </c>
      <c r="F1024">
        <v>22578.2</v>
      </c>
      <c r="G1024">
        <v>13869.34</v>
      </c>
      <c r="H1024">
        <v>1</v>
      </c>
    </row>
    <row r="1025" spans="1:8" x14ac:dyDescent="0.25">
      <c r="A1025" t="s">
        <v>970</v>
      </c>
      <c r="B1025" t="s">
        <v>3211</v>
      </c>
      <c r="C1025" t="s">
        <v>3216</v>
      </c>
      <c r="D1025" t="s">
        <v>3225</v>
      </c>
      <c r="E1025" t="s">
        <v>3226</v>
      </c>
      <c r="F1025">
        <v>44827.96</v>
      </c>
      <c r="G1025">
        <v>29037.94</v>
      </c>
      <c r="H1025">
        <v>2</v>
      </c>
    </row>
    <row r="1026" spans="1:8" x14ac:dyDescent="0.25">
      <c r="A1026" t="s">
        <v>971</v>
      </c>
      <c r="B1026" t="s">
        <v>3215</v>
      </c>
      <c r="C1026" t="s">
        <v>3217</v>
      </c>
      <c r="D1026" t="s">
        <v>3224</v>
      </c>
      <c r="E1026" t="s">
        <v>3226</v>
      </c>
      <c r="F1026">
        <v>173610.17</v>
      </c>
      <c r="G1026">
        <v>146135.54999999999</v>
      </c>
      <c r="H1026">
        <v>3</v>
      </c>
    </row>
    <row r="1027" spans="1:8" x14ac:dyDescent="0.25">
      <c r="A1027" t="s">
        <v>972</v>
      </c>
      <c r="B1027" t="s">
        <v>3211</v>
      </c>
      <c r="C1027" t="s">
        <v>3218</v>
      </c>
      <c r="D1027" t="s">
        <v>3223</v>
      </c>
      <c r="E1027" t="s">
        <v>3226</v>
      </c>
      <c r="F1027">
        <v>29658.48</v>
      </c>
      <c r="G1027">
        <v>18636.650000000001</v>
      </c>
      <c r="H1027">
        <v>3</v>
      </c>
    </row>
    <row r="1028" spans="1:8" x14ac:dyDescent="0.25">
      <c r="A1028" t="s">
        <v>973</v>
      </c>
      <c r="B1028" t="s">
        <v>3213</v>
      </c>
      <c r="C1028" t="s">
        <v>3216</v>
      </c>
      <c r="D1028" t="s">
        <v>3224</v>
      </c>
      <c r="E1028" t="s">
        <v>3226</v>
      </c>
      <c r="F1028">
        <v>62738.18</v>
      </c>
      <c r="H1028">
        <v>1</v>
      </c>
    </row>
    <row r="1029" spans="1:8" x14ac:dyDescent="0.25">
      <c r="A1029" t="s">
        <v>802</v>
      </c>
      <c r="B1029" t="s">
        <v>3211</v>
      </c>
      <c r="C1029" t="s">
        <v>3217</v>
      </c>
      <c r="D1029" t="s">
        <v>3224</v>
      </c>
      <c r="E1029" t="s">
        <v>3226</v>
      </c>
      <c r="F1029">
        <v>71557.899999999994</v>
      </c>
      <c r="G1029">
        <v>48354.12</v>
      </c>
      <c r="H1029">
        <v>1</v>
      </c>
    </row>
    <row r="1030" spans="1:8" x14ac:dyDescent="0.25">
      <c r="A1030" t="s">
        <v>818</v>
      </c>
      <c r="B1030" t="s">
        <v>3213</v>
      </c>
      <c r="C1030" t="s">
        <v>3219</v>
      </c>
      <c r="D1030" t="s">
        <v>3224</v>
      </c>
      <c r="E1030" t="s">
        <v>3226</v>
      </c>
      <c r="F1030">
        <v>197174.24</v>
      </c>
      <c r="G1030">
        <v>153548.09</v>
      </c>
      <c r="H1030">
        <v>4</v>
      </c>
    </row>
    <row r="1031" spans="1:8" x14ac:dyDescent="0.25">
      <c r="A1031" t="s">
        <v>80</v>
      </c>
      <c r="B1031" t="s">
        <v>3212</v>
      </c>
      <c r="C1031" t="s">
        <v>3218</v>
      </c>
      <c r="D1031" t="s">
        <v>3225</v>
      </c>
      <c r="E1031" t="s">
        <v>3226</v>
      </c>
      <c r="F1031">
        <v>20099.43</v>
      </c>
      <c r="G1031">
        <v>14254.5</v>
      </c>
      <c r="H1031">
        <v>1</v>
      </c>
    </row>
    <row r="1032" spans="1:8" x14ac:dyDescent="0.25">
      <c r="A1032" t="s">
        <v>974</v>
      </c>
      <c r="B1032" t="s">
        <v>3213</v>
      </c>
      <c r="C1032" t="s">
        <v>3218</v>
      </c>
      <c r="D1032" t="s">
        <v>3222</v>
      </c>
      <c r="E1032" t="s">
        <v>3226</v>
      </c>
      <c r="F1032">
        <v>83751.490000000005</v>
      </c>
      <c r="G1032">
        <v>54720.93</v>
      </c>
      <c r="H1032">
        <v>5</v>
      </c>
    </row>
    <row r="1033" spans="1:8" x14ac:dyDescent="0.25">
      <c r="A1033" t="s">
        <v>975</v>
      </c>
      <c r="B1033" t="s">
        <v>3213</v>
      </c>
      <c r="C1033" t="s">
        <v>3219</v>
      </c>
      <c r="D1033" t="s">
        <v>3224</v>
      </c>
      <c r="E1033" t="s">
        <v>3226</v>
      </c>
      <c r="F1033">
        <v>101262.15</v>
      </c>
      <c r="G1033">
        <v>93366.58</v>
      </c>
      <c r="H1033">
        <v>2</v>
      </c>
    </row>
    <row r="1034" spans="1:8" x14ac:dyDescent="0.25">
      <c r="A1034" t="s">
        <v>976</v>
      </c>
      <c r="B1034" t="s">
        <v>3215</v>
      </c>
      <c r="C1034" t="s">
        <v>3221</v>
      </c>
      <c r="D1034" t="s">
        <v>3222</v>
      </c>
      <c r="E1034" t="s">
        <v>3226</v>
      </c>
      <c r="F1034">
        <v>33962.129999999997</v>
      </c>
      <c r="G1034">
        <v>21753.06</v>
      </c>
      <c r="H1034">
        <v>2</v>
      </c>
    </row>
    <row r="1035" spans="1:8" x14ac:dyDescent="0.25">
      <c r="A1035" t="s">
        <v>977</v>
      </c>
      <c r="B1035" t="s">
        <v>3211</v>
      </c>
      <c r="C1035" t="s">
        <v>3217</v>
      </c>
      <c r="D1035" t="s">
        <v>3225</v>
      </c>
      <c r="E1035" t="s">
        <v>3226</v>
      </c>
      <c r="F1035">
        <v>55795.17</v>
      </c>
      <c r="H1035">
        <v>3</v>
      </c>
    </row>
    <row r="1036" spans="1:8" x14ac:dyDescent="0.25">
      <c r="A1036" t="s">
        <v>978</v>
      </c>
      <c r="B1036" t="s">
        <v>3211</v>
      </c>
      <c r="C1036" t="s">
        <v>3217</v>
      </c>
      <c r="D1036" t="s">
        <v>3223</v>
      </c>
      <c r="E1036" t="s">
        <v>3226</v>
      </c>
      <c r="F1036">
        <v>11430.62</v>
      </c>
      <c r="G1036">
        <v>7520.64</v>
      </c>
      <c r="H1036">
        <v>1</v>
      </c>
    </row>
    <row r="1037" spans="1:8" x14ac:dyDescent="0.25">
      <c r="A1037" t="s">
        <v>979</v>
      </c>
      <c r="C1037" t="s">
        <v>3221</v>
      </c>
      <c r="D1037" t="s">
        <v>3222</v>
      </c>
      <c r="E1037" t="s">
        <v>3226</v>
      </c>
      <c r="F1037">
        <v>52800.76</v>
      </c>
      <c r="G1037">
        <v>27878.05</v>
      </c>
      <c r="H1037">
        <v>3</v>
      </c>
    </row>
    <row r="1038" spans="1:8" x14ac:dyDescent="0.25">
      <c r="A1038" t="s">
        <v>174</v>
      </c>
      <c r="B1038" t="s">
        <v>3213</v>
      </c>
      <c r="C1038" t="s">
        <v>3219</v>
      </c>
      <c r="D1038" t="s">
        <v>3225</v>
      </c>
      <c r="E1038" t="s">
        <v>3226</v>
      </c>
      <c r="F1038">
        <v>62990.33</v>
      </c>
      <c r="G1038">
        <v>40076.76</v>
      </c>
      <c r="H1038">
        <v>3</v>
      </c>
    </row>
    <row r="1039" spans="1:8" x14ac:dyDescent="0.25">
      <c r="A1039" t="s">
        <v>980</v>
      </c>
      <c r="C1039" t="s">
        <v>3218</v>
      </c>
      <c r="D1039" t="s">
        <v>3222</v>
      </c>
      <c r="E1039" t="s">
        <v>3226</v>
      </c>
      <c r="F1039">
        <v>13674.51</v>
      </c>
      <c r="G1039">
        <v>9948.4500000000007</v>
      </c>
      <c r="H1039">
        <v>1</v>
      </c>
    </row>
    <row r="1040" spans="1:8" x14ac:dyDescent="0.25">
      <c r="A1040" t="s">
        <v>981</v>
      </c>
      <c r="B1040" t="s">
        <v>3213</v>
      </c>
      <c r="C1040" t="s">
        <v>3221</v>
      </c>
      <c r="D1040" t="s">
        <v>3223</v>
      </c>
      <c r="E1040" t="s">
        <v>3226</v>
      </c>
      <c r="F1040">
        <v>59864.52</v>
      </c>
      <c r="G1040">
        <v>29851.26</v>
      </c>
      <c r="H1040">
        <v>5</v>
      </c>
    </row>
    <row r="1041" spans="1:8" x14ac:dyDescent="0.25">
      <c r="A1041" t="s">
        <v>982</v>
      </c>
      <c r="B1041" t="s">
        <v>3211</v>
      </c>
      <c r="C1041" t="s">
        <v>3220</v>
      </c>
      <c r="D1041" t="s">
        <v>3223</v>
      </c>
      <c r="E1041" t="s">
        <v>3226</v>
      </c>
      <c r="F1041">
        <v>11239.65</v>
      </c>
      <c r="G1041">
        <v>6755.36</v>
      </c>
      <c r="H1041">
        <v>1</v>
      </c>
    </row>
    <row r="1042" spans="1:8" x14ac:dyDescent="0.25">
      <c r="A1042" t="s">
        <v>872</v>
      </c>
      <c r="B1042" t="s">
        <v>3212</v>
      </c>
      <c r="C1042" t="s">
        <v>3221</v>
      </c>
      <c r="D1042" t="s">
        <v>3225</v>
      </c>
      <c r="E1042" t="s">
        <v>3226</v>
      </c>
      <c r="F1042">
        <v>67886.87</v>
      </c>
      <c r="G1042">
        <v>56119.49</v>
      </c>
      <c r="H1042">
        <v>4</v>
      </c>
    </row>
    <row r="1043" spans="1:8" x14ac:dyDescent="0.25">
      <c r="A1043" t="s">
        <v>983</v>
      </c>
      <c r="B1043" t="s">
        <v>3214</v>
      </c>
      <c r="C1043" t="s">
        <v>3221</v>
      </c>
      <c r="D1043" t="s">
        <v>3222</v>
      </c>
      <c r="E1043" t="s">
        <v>3226</v>
      </c>
      <c r="F1043">
        <v>53826.74</v>
      </c>
      <c r="H1043">
        <v>3</v>
      </c>
    </row>
    <row r="1044" spans="1:8" x14ac:dyDescent="0.25">
      <c r="A1044" t="s">
        <v>984</v>
      </c>
      <c r="B1044" t="s">
        <v>3214</v>
      </c>
      <c r="C1044" t="s">
        <v>3217</v>
      </c>
      <c r="D1044" t="s">
        <v>3222</v>
      </c>
      <c r="E1044" t="s">
        <v>3226</v>
      </c>
      <c r="F1044">
        <v>17452.939999999999</v>
      </c>
      <c r="G1044">
        <v>8552.93</v>
      </c>
      <c r="H1044">
        <v>1</v>
      </c>
    </row>
    <row r="1045" spans="1:8" x14ac:dyDescent="0.25">
      <c r="A1045" t="s">
        <v>985</v>
      </c>
      <c r="B1045" t="s">
        <v>3215</v>
      </c>
      <c r="C1045" t="s">
        <v>3216</v>
      </c>
      <c r="D1045" t="s">
        <v>3224</v>
      </c>
      <c r="E1045" t="s">
        <v>3226</v>
      </c>
      <c r="F1045">
        <v>225410.89</v>
      </c>
      <c r="G1045">
        <v>174906.32</v>
      </c>
      <c r="H1045">
        <v>4</v>
      </c>
    </row>
    <row r="1046" spans="1:8" x14ac:dyDescent="0.25">
      <c r="A1046" t="s">
        <v>986</v>
      </c>
      <c r="B1046" t="s">
        <v>3215</v>
      </c>
      <c r="C1046" t="s">
        <v>3221</v>
      </c>
      <c r="D1046" t="s">
        <v>3224</v>
      </c>
      <c r="E1046" t="s">
        <v>3226</v>
      </c>
      <c r="F1046">
        <v>142660.60999999999</v>
      </c>
      <c r="G1046">
        <v>90395.04</v>
      </c>
      <c r="H1046">
        <v>2</v>
      </c>
    </row>
    <row r="1047" spans="1:8" x14ac:dyDescent="0.25">
      <c r="A1047" t="s">
        <v>987</v>
      </c>
      <c r="B1047" t="s">
        <v>3215</v>
      </c>
      <c r="C1047" t="s">
        <v>3219</v>
      </c>
      <c r="D1047" t="s">
        <v>3222</v>
      </c>
      <c r="E1047" t="s">
        <v>3226</v>
      </c>
      <c r="F1047">
        <v>26011.46</v>
      </c>
      <c r="H1047">
        <v>2</v>
      </c>
    </row>
    <row r="1048" spans="1:8" x14ac:dyDescent="0.25">
      <c r="A1048" t="s">
        <v>988</v>
      </c>
      <c r="C1048" t="s">
        <v>3219</v>
      </c>
      <c r="D1048" t="s">
        <v>3223</v>
      </c>
      <c r="E1048" t="s">
        <v>3226</v>
      </c>
      <c r="F1048">
        <v>25130.52</v>
      </c>
      <c r="H1048">
        <v>3</v>
      </c>
    </row>
    <row r="1049" spans="1:8" x14ac:dyDescent="0.25">
      <c r="A1049" t="s">
        <v>579</v>
      </c>
      <c r="B1049" t="s">
        <v>3215</v>
      </c>
      <c r="C1049" t="s">
        <v>3217</v>
      </c>
      <c r="D1049" t="s">
        <v>3225</v>
      </c>
      <c r="E1049" t="s">
        <v>3226</v>
      </c>
      <c r="F1049">
        <v>21454.66</v>
      </c>
      <c r="G1049">
        <v>15377.26</v>
      </c>
      <c r="H1049">
        <v>1</v>
      </c>
    </row>
    <row r="1050" spans="1:8" x14ac:dyDescent="0.25">
      <c r="A1050" t="s">
        <v>989</v>
      </c>
      <c r="B1050" t="s">
        <v>3213</v>
      </c>
      <c r="C1050" t="s">
        <v>3217</v>
      </c>
      <c r="D1050" t="s">
        <v>3223</v>
      </c>
      <c r="E1050" t="s">
        <v>3226</v>
      </c>
      <c r="F1050">
        <v>42858.39</v>
      </c>
      <c r="G1050">
        <v>24256.400000000001</v>
      </c>
      <c r="H1050">
        <v>4</v>
      </c>
    </row>
    <row r="1051" spans="1:8" x14ac:dyDescent="0.25">
      <c r="A1051" t="s">
        <v>990</v>
      </c>
      <c r="B1051" t="s">
        <v>3213</v>
      </c>
      <c r="C1051" t="s">
        <v>3218</v>
      </c>
      <c r="D1051" t="s">
        <v>3223</v>
      </c>
      <c r="E1051" t="s">
        <v>3226</v>
      </c>
      <c r="F1051">
        <v>46211.040000000001</v>
      </c>
      <c r="G1051">
        <v>29783.22</v>
      </c>
      <c r="H1051">
        <v>4</v>
      </c>
    </row>
    <row r="1052" spans="1:8" x14ac:dyDescent="0.25">
      <c r="A1052" t="s">
        <v>991</v>
      </c>
      <c r="B1052" t="s">
        <v>3215</v>
      </c>
      <c r="C1052" t="s">
        <v>3216</v>
      </c>
      <c r="D1052" t="s">
        <v>3223</v>
      </c>
      <c r="E1052" t="s">
        <v>3226</v>
      </c>
      <c r="F1052">
        <v>37859.86</v>
      </c>
      <c r="G1052">
        <v>26839.31</v>
      </c>
      <c r="H1052">
        <v>4</v>
      </c>
    </row>
    <row r="1053" spans="1:8" x14ac:dyDescent="0.25">
      <c r="A1053" t="s">
        <v>992</v>
      </c>
      <c r="B1053" t="s">
        <v>3214</v>
      </c>
      <c r="C1053" t="s">
        <v>3218</v>
      </c>
      <c r="D1053" t="s">
        <v>3222</v>
      </c>
      <c r="E1053" t="s">
        <v>3226</v>
      </c>
      <c r="G1053">
        <v>10684.18</v>
      </c>
      <c r="H1053">
        <v>1</v>
      </c>
    </row>
    <row r="1054" spans="1:8" x14ac:dyDescent="0.25">
      <c r="A1054" t="s">
        <v>993</v>
      </c>
      <c r="C1054" t="s">
        <v>3216</v>
      </c>
      <c r="D1054" t="s">
        <v>3222</v>
      </c>
      <c r="E1054" t="s">
        <v>3226</v>
      </c>
      <c r="F1054">
        <v>32275.63</v>
      </c>
      <c r="G1054">
        <v>19346.62</v>
      </c>
      <c r="H1054">
        <v>2</v>
      </c>
    </row>
    <row r="1055" spans="1:8" x14ac:dyDescent="0.25">
      <c r="A1055" t="s">
        <v>994</v>
      </c>
      <c r="B1055" t="s">
        <v>3213</v>
      </c>
      <c r="C1055" t="s">
        <v>3218</v>
      </c>
      <c r="D1055" t="s">
        <v>3222</v>
      </c>
      <c r="E1055" t="s">
        <v>3226</v>
      </c>
      <c r="F1055">
        <v>37737.910000000003</v>
      </c>
      <c r="G1055">
        <v>25600.67</v>
      </c>
    </row>
    <row r="1056" spans="1:8" x14ac:dyDescent="0.25">
      <c r="A1056" t="s">
        <v>995</v>
      </c>
      <c r="B1056" t="s">
        <v>3211</v>
      </c>
      <c r="C1056" t="s">
        <v>3216</v>
      </c>
      <c r="D1056" t="s">
        <v>3222</v>
      </c>
      <c r="E1056" t="s">
        <v>3226</v>
      </c>
      <c r="F1056">
        <v>65218.43</v>
      </c>
      <c r="G1056">
        <v>41626.53</v>
      </c>
      <c r="H1056">
        <v>4</v>
      </c>
    </row>
    <row r="1057" spans="1:8" x14ac:dyDescent="0.25">
      <c r="A1057" t="s">
        <v>996</v>
      </c>
      <c r="C1057" t="s">
        <v>3218</v>
      </c>
      <c r="D1057" t="s">
        <v>3224</v>
      </c>
      <c r="E1057" t="s">
        <v>3226</v>
      </c>
      <c r="F1057">
        <v>190408.55</v>
      </c>
      <c r="G1057">
        <v>139331.91</v>
      </c>
      <c r="H1057">
        <v>3</v>
      </c>
    </row>
    <row r="1058" spans="1:8" x14ac:dyDescent="0.25">
      <c r="A1058" t="s">
        <v>799</v>
      </c>
      <c r="C1058" t="s">
        <v>3218</v>
      </c>
      <c r="D1058" t="s">
        <v>3225</v>
      </c>
      <c r="E1058" t="s">
        <v>3226</v>
      </c>
      <c r="F1058">
        <v>104900.63</v>
      </c>
      <c r="G1058">
        <v>65013.49</v>
      </c>
      <c r="H1058">
        <v>5</v>
      </c>
    </row>
    <row r="1059" spans="1:8" x14ac:dyDescent="0.25">
      <c r="A1059" t="s">
        <v>658</v>
      </c>
      <c r="B1059" t="s">
        <v>3214</v>
      </c>
      <c r="C1059" t="s">
        <v>3221</v>
      </c>
      <c r="D1059" t="s">
        <v>3224</v>
      </c>
      <c r="E1059" t="s">
        <v>3226</v>
      </c>
      <c r="F1059">
        <v>129925.94</v>
      </c>
      <c r="G1059">
        <v>94284.17</v>
      </c>
      <c r="H1059">
        <v>2</v>
      </c>
    </row>
    <row r="1060" spans="1:8" x14ac:dyDescent="0.25">
      <c r="A1060" t="s">
        <v>997</v>
      </c>
      <c r="B1060" t="s">
        <v>3213</v>
      </c>
      <c r="C1060" t="s">
        <v>3221</v>
      </c>
      <c r="D1060" t="s">
        <v>3225</v>
      </c>
      <c r="E1060" t="s">
        <v>3226</v>
      </c>
      <c r="F1060">
        <v>82579.83</v>
      </c>
      <c r="G1060">
        <v>58423.26</v>
      </c>
      <c r="H1060">
        <v>4</v>
      </c>
    </row>
    <row r="1061" spans="1:8" x14ac:dyDescent="0.25">
      <c r="A1061" t="s">
        <v>998</v>
      </c>
      <c r="B1061" t="s">
        <v>3211</v>
      </c>
      <c r="C1061" t="s">
        <v>3220</v>
      </c>
      <c r="D1061" t="s">
        <v>3223</v>
      </c>
      <c r="E1061" t="s">
        <v>3226</v>
      </c>
      <c r="F1061">
        <v>27200.44</v>
      </c>
      <c r="G1061">
        <v>22926.67</v>
      </c>
      <c r="H1061">
        <v>3</v>
      </c>
    </row>
    <row r="1062" spans="1:8" x14ac:dyDescent="0.25">
      <c r="A1062" t="s">
        <v>999</v>
      </c>
      <c r="B1062" t="s">
        <v>3215</v>
      </c>
      <c r="C1062" t="s">
        <v>3216</v>
      </c>
      <c r="D1062" t="s">
        <v>3223</v>
      </c>
      <c r="E1062" t="s">
        <v>3226</v>
      </c>
      <c r="F1062">
        <v>55860.160000000003</v>
      </c>
      <c r="G1062">
        <v>37821.31</v>
      </c>
      <c r="H1062">
        <v>5</v>
      </c>
    </row>
    <row r="1063" spans="1:8" x14ac:dyDescent="0.25">
      <c r="A1063" t="s">
        <v>1000</v>
      </c>
      <c r="C1063" t="s">
        <v>3216</v>
      </c>
      <c r="D1063" t="s">
        <v>3224</v>
      </c>
      <c r="E1063" t="s">
        <v>3226</v>
      </c>
      <c r="F1063">
        <v>65122.98</v>
      </c>
      <c r="H1063">
        <v>1</v>
      </c>
    </row>
    <row r="1064" spans="1:8" x14ac:dyDescent="0.25">
      <c r="A1064" t="s">
        <v>1001</v>
      </c>
      <c r="B1064" t="s">
        <v>3215</v>
      </c>
      <c r="C1064" t="s">
        <v>3217</v>
      </c>
      <c r="D1064" t="s">
        <v>3222</v>
      </c>
      <c r="E1064" t="s">
        <v>3226</v>
      </c>
      <c r="G1064">
        <v>20595.169999999998</v>
      </c>
      <c r="H1064">
        <v>2</v>
      </c>
    </row>
    <row r="1065" spans="1:8" x14ac:dyDescent="0.25">
      <c r="A1065" t="s">
        <v>1002</v>
      </c>
      <c r="B1065" t="s">
        <v>3213</v>
      </c>
      <c r="C1065" t="s">
        <v>3217</v>
      </c>
      <c r="D1065" t="s">
        <v>3223</v>
      </c>
      <c r="E1065" t="s">
        <v>3226</v>
      </c>
      <c r="F1065">
        <v>23976.17</v>
      </c>
      <c r="G1065">
        <v>13495.53</v>
      </c>
      <c r="H1065">
        <v>2</v>
      </c>
    </row>
    <row r="1066" spans="1:8" x14ac:dyDescent="0.25">
      <c r="A1066" t="s">
        <v>948</v>
      </c>
      <c r="B1066" t="s">
        <v>3213</v>
      </c>
      <c r="C1066" t="s">
        <v>3217</v>
      </c>
      <c r="D1066" t="s">
        <v>3225</v>
      </c>
      <c r="E1066" t="s">
        <v>3226</v>
      </c>
      <c r="F1066">
        <v>63781.64</v>
      </c>
      <c r="G1066">
        <v>44972.75</v>
      </c>
      <c r="H1066">
        <v>3</v>
      </c>
    </row>
    <row r="1067" spans="1:8" x14ac:dyDescent="0.25">
      <c r="A1067" t="s">
        <v>1003</v>
      </c>
      <c r="B1067" t="s">
        <v>3213</v>
      </c>
      <c r="C1067" t="s">
        <v>3216</v>
      </c>
      <c r="D1067" t="s">
        <v>3225</v>
      </c>
      <c r="E1067" t="s">
        <v>3226</v>
      </c>
      <c r="F1067">
        <v>67695.06</v>
      </c>
      <c r="G1067">
        <v>37043.47</v>
      </c>
      <c r="H1067">
        <v>3</v>
      </c>
    </row>
    <row r="1068" spans="1:8" x14ac:dyDescent="0.25">
      <c r="A1068" t="s">
        <v>763</v>
      </c>
      <c r="B1068" t="s">
        <v>3211</v>
      </c>
      <c r="C1068" t="s">
        <v>3220</v>
      </c>
      <c r="D1068" t="s">
        <v>3225</v>
      </c>
      <c r="E1068" t="s">
        <v>3226</v>
      </c>
      <c r="F1068">
        <v>23301.61</v>
      </c>
      <c r="G1068">
        <v>12574.81</v>
      </c>
      <c r="H1068">
        <v>1</v>
      </c>
    </row>
    <row r="1069" spans="1:8" x14ac:dyDescent="0.25">
      <c r="A1069" t="s">
        <v>521</v>
      </c>
      <c r="C1069" t="s">
        <v>3216</v>
      </c>
      <c r="D1069" t="s">
        <v>3225</v>
      </c>
      <c r="E1069" t="s">
        <v>3226</v>
      </c>
      <c r="F1069">
        <v>22292.39</v>
      </c>
      <c r="H1069">
        <v>1</v>
      </c>
    </row>
    <row r="1070" spans="1:8" x14ac:dyDescent="0.25">
      <c r="A1070" t="s">
        <v>1004</v>
      </c>
      <c r="C1070" t="s">
        <v>3219</v>
      </c>
      <c r="D1070" t="s">
        <v>3225</v>
      </c>
      <c r="E1070" t="s">
        <v>3226</v>
      </c>
      <c r="F1070">
        <v>83560.13</v>
      </c>
      <c r="G1070">
        <v>71644.86</v>
      </c>
      <c r="H1070">
        <v>5</v>
      </c>
    </row>
    <row r="1071" spans="1:8" x14ac:dyDescent="0.25">
      <c r="A1071" t="s">
        <v>1005</v>
      </c>
      <c r="B1071" t="s">
        <v>3212</v>
      </c>
      <c r="C1071" t="s">
        <v>3216</v>
      </c>
      <c r="D1071" t="s">
        <v>3225</v>
      </c>
      <c r="E1071" t="s">
        <v>3226</v>
      </c>
      <c r="F1071">
        <v>17136.490000000002</v>
      </c>
      <c r="G1071">
        <v>14366.79</v>
      </c>
      <c r="H1071">
        <v>1</v>
      </c>
    </row>
    <row r="1072" spans="1:8" x14ac:dyDescent="0.25">
      <c r="A1072" t="s">
        <v>1006</v>
      </c>
      <c r="C1072" t="s">
        <v>3216</v>
      </c>
      <c r="D1072" t="s">
        <v>3224</v>
      </c>
      <c r="E1072" t="s">
        <v>3226</v>
      </c>
      <c r="F1072">
        <v>202260.8</v>
      </c>
      <c r="G1072">
        <v>189949.97</v>
      </c>
      <c r="H1072">
        <v>4</v>
      </c>
    </row>
    <row r="1073" spans="1:8" x14ac:dyDescent="0.25">
      <c r="A1073" t="s">
        <v>1007</v>
      </c>
      <c r="B1073" t="s">
        <v>3213</v>
      </c>
      <c r="C1073" t="s">
        <v>3218</v>
      </c>
      <c r="D1073" t="s">
        <v>3222</v>
      </c>
      <c r="E1073" t="s">
        <v>3226</v>
      </c>
      <c r="F1073">
        <v>53237.94</v>
      </c>
      <c r="H1073">
        <v>3</v>
      </c>
    </row>
    <row r="1074" spans="1:8" x14ac:dyDescent="0.25">
      <c r="A1074" t="s">
        <v>1008</v>
      </c>
      <c r="B1074" t="s">
        <v>3212</v>
      </c>
      <c r="C1074" t="s">
        <v>3221</v>
      </c>
      <c r="D1074" t="s">
        <v>3223</v>
      </c>
      <c r="E1074" t="s">
        <v>3226</v>
      </c>
      <c r="F1074">
        <v>10219.73</v>
      </c>
      <c r="G1074">
        <v>6270.12</v>
      </c>
      <c r="H1074">
        <v>1</v>
      </c>
    </row>
    <row r="1075" spans="1:8" x14ac:dyDescent="0.25">
      <c r="A1075" t="s">
        <v>1009</v>
      </c>
      <c r="B1075" t="s">
        <v>3211</v>
      </c>
      <c r="C1075" t="s">
        <v>3216</v>
      </c>
      <c r="D1075" t="s">
        <v>3223</v>
      </c>
      <c r="E1075" t="s">
        <v>3226</v>
      </c>
      <c r="F1075">
        <v>22308.65</v>
      </c>
      <c r="G1075">
        <v>14378.08</v>
      </c>
      <c r="H1075">
        <v>2</v>
      </c>
    </row>
    <row r="1076" spans="1:8" x14ac:dyDescent="0.25">
      <c r="A1076" t="s">
        <v>1010</v>
      </c>
      <c r="B1076" t="s">
        <v>3215</v>
      </c>
      <c r="C1076" t="s">
        <v>3217</v>
      </c>
      <c r="D1076" t="s">
        <v>3223</v>
      </c>
      <c r="E1076" t="s">
        <v>3226</v>
      </c>
      <c r="F1076">
        <v>49942.81</v>
      </c>
      <c r="G1076">
        <v>36831.75</v>
      </c>
      <c r="H1076">
        <v>5</v>
      </c>
    </row>
    <row r="1077" spans="1:8" x14ac:dyDescent="0.25">
      <c r="A1077" t="s">
        <v>1011</v>
      </c>
      <c r="B1077" t="s">
        <v>3215</v>
      </c>
      <c r="C1077" t="s">
        <v>3216</v>
      </c>
      <c r="D1077" t="s">
        <v>3223</v>
      </c>
      <c r="E1077" t="s">
        <v>3226</v>
      </c>
      <c r="F1077">
        <v>8635.41</v>
      </c>
      <c r="G1077">
        <v>6292.42</v>
      </c>
      <c r="H1077">
        <v>1</v>
      </c>
    </row>
    <row r="1078" spans="1:8" x14ac:dyDescent="0.25">
      <c r="A1078" t="s">
        <v>1012</v>
      </c>
      <c r="B1078" t="s">
        <v>3214</v>
      </c>
      <c r="C1078" t="s">
        <v>3217</v>
      </c>
      <c r="D1078" t="s">
        <v>3224</v>
      </c>
      <c r="E1078" t="s">
        <v>3226</v>
      </c>
      <c r="F1078">
        <v>248690.68</v>
      </c>
      <c r="G1078">
        <v>207858.41</v>
      </c>
      <c r="H1078">
        <v>5</v>
      </c>
    </row>
    <row r="1079" spans="1:8" x14ac:dyDescent="0.25">
      <c r="A1079" t="s">
        <v>1013</v>
      </c>
      <c r="B1079" t="s">
        <v>3215</v>
      </c>
      <c r="C1079" t="s">
        <v>3217</v>
      </c>
      <c r="D1079" t="s">
        <v>3222</v>
      </c>
      <c r="E1079" t="s">
        <v>3226</v>
      </c>
      <c r="F1079">
        <v>46818.47</v>
      </c>
      <c r="G1079">
        <v>27955.33</v>
      </c>
      <c r="H1079">
        <v>3</v>
      </c>
    </row>
    <row r="1080" spans="1:8" x14ac:dyDescent="0.25">
      <c r="A1080" t="s">
        <v>1014</v>
      </c>
      <c r="B1080" t="s">
        <v>3214</v>
      </c>
      <c r="C1080" t="s">
        <v>3217</v>
      </c>
      <c r="D1080" t="s">
        <v>3222</v>
      </c>
      <c r="E1080" t="s">
        <v>3226</v>
      </c>
      <c r="F1080">
        <v>87236.72</v>
      </c>
      <c r="G1080">
        <v>47039.86</v>
      </c>
      <c r="H1080">
        <v>5</v>
      </c>
    </row>
    <row r="1081" spans="1:8" x14ac:dyDescent="0.25">
      <c r="A1081" t="s">
        <v>1015</v>
      </c>
      <c r="B1081" t="s">
        <v>3211</v>
      </c>
      <c r="C1081" t="s">
        <v>3220</v>
      </c>
      <c r="D1081" t="s">
        <v>3225</v>
      </c>
      <c r="E1081" t="s">
        <v>3226</v>
      </c>
      <c r="G1081">
        <v>42142.04</v>
      </c>
    </row>
    <row r="1082" spans="1:8" x14ac:dyDescent="0.25">
      <c r="A1082" t="s">
        <v>1016</v>
      </c>
      <c r="B1082" t="s">
        <v>3215</v>
      </c>
      <c r="C1082" t="s">
        <v>3217</v>
      </c>
      <c r="D1082" t="s">
        <v>3225</v>
      </c>
      <c r="E1082" t="s">
        <v>3226</v>
      </c>
      <c r="G1082">
        <v>25562.52</v>
      </c>
      <c r="H1082">
        <v>2</v>
      </c>
    </row>
    <row r="1083" spans="1:8" x14ac:dyDescent="0.25">
      <c r="A1083" t="s">
        <v>1017</v>
      </c>
      <c r="C1083" t="s">
        <v>3221</v>
      </c>
      <c r="D1083" t="s">
        <v>3222</v>
      </c>
      <c r="E1083" t="s">
        <v>3226</v>
      </c>
      <c r="F1083">
        <v>12619.55</v>
      </c>
      <c r="G1083">
        <v>8630.2199999999993</v>
      </c>
      <c r="H1083">
        <v>1</v>
      </c>
    </row>
    <row r="1084" spans="1:8" x14ac:dyDescent="0.25">
      <c r="A1084" t="s">
        <v>1018</v>
      </c>
      <c r="B1084" t="s">
        <v>3214</v>
      </c>
      <c r="C1084" t="s">
        <v>3219</v>
      </c>
      <c r="D1084" t="s">
        <v>3225</v>
      </c>
      <c r="E1084" t="s">
        <v>3226</v>
      </c>
      <c r="F1084">
        <v>18613.93</v>
      </c>
      <c r="G1084">
        <v>13645.56</v>
      </c>
      <c r="H1084">
        <v>1</v>
      </c>
    </row>
    <row r="1085" spans="1:8" x14ac:dyDescent="0.25">
      <c r="A1085" t="s">
        <v>526</v>
      </c>
      <c r="B1085" t="s">
        <v>3214</v>
      </c>
      <c r="C1085" t="s">
        <v>3219</v>
      </c>
      <c r="D1085" t="s">
        <v>3223</v>
      </c>
      <c r="E1085" t="s">
        <v>3226</v>
      </c>
      <c r="G1085">
        <v>13767.62</v>
      </c>
      <c r="H1085">
        <v>2</v>
      </c>
    </row>
    <row r="1086" spans="1:8" x14ac:dyDescent="0.25">
      <c r="A1086" t="s">
        <v>1019</v>
      </c>
      <c r="B1086" t="s">
        <v>3213</v>
      </c>
      <c r="C1086" t="s">
        <v>3220</v>
      </c>
      <c r="D1086" t="s">
        <v>3223</v>
      </c>
      <c r="E1086" t="s">
        <v>3226</v>
      </c>
    </row>
    <row r="1087" spans="1:8" x14ac:dyDescent="0.25">
      <c r="A1087" t="s">
        <v>1020</v>
      </c>
      <c r="B1087" t="s">
        <v>3215</v>
      </c>
      <c r="C1087" t="s">
        <v>3220</v>
      </c>
      <c r="D1087" t="s">
        <v>3223</v>
      </c>
      <c r="E1087" t="s">
        <v>3226</v>
      </c>
      <c r="F1087">
        <v>49059.96</v>
      </c>
      <c r="G1087">
        <v>34237.72</v>
      </c>
      <c r="H1087">
        <v>5</v>
      </c>
    </row>
    <row r="1088" spans="1:8" x14ac:dyDescent="0.25">
      <c r="A1088" t="s">
        <v>1021</v>
      </c>
      <c r="B1088" t="s">
        <v>3213</v>
      </c>
      <c r="C1088" t="s">
        <v>3221</v>
      </c>
      <c r="D1088" t="s">
        <v>3224</v>
      </c>
      <c r="E1088" t="s">
        <v>3226</v>
      </c>
      <c r="F1088">
        <v>314433.46000000002</v>
      </c>
      <c r="G1088">
        <v>221861.25</v>
      </c>
      <c r="H1088">
        <v>5</v>
      </c>
    </row>
    <row r="1089" spans="1:8" x14ac:dyDescent="0.25">
      <c r="A1089" t="s">
        <v>1022</v>
      </c>
      <c r="B1089" t="s">
        <v>3212</v>
      </c>
      <c r="C1089" t="s">
        <v>3216</v>
      </c>
      <c r="D1089" t="s">
        <v>3224</v>
      </c>
      <c r="E1089" t="s">
        <v>3226</v>
      </c>
      <c r="F1089">
        <v>137508.28</v>
      </c>
      <c r="G1089">
        <v>86522.82</v>
      </c>
    </row>
    <row r="1090" spans="1:8" x14ac:dyDescent="0.25">
      <c r="A1090" t="s">
        <v>1023</v>
      </c>
      <c r="B1090" t="s">
        <v>3213</v>
      </c>
      <c r="C1090" t="s">
        <v>3220</v>
      </c>
      <c r="D1090" t="s">
        <v>3224</v>
      </c>
      <c r="E1090" t="s">
        <v>3226</v>
      </c>
      <c r="F1090">
        <v>224235.51</v>
      </c>
      <c r="G1090">
        <v>153142.84</v>
      </c>
      <c r="H1090">
        <v>4</v>
      </c>
    </row>
    <row r="1091" spans="1:8" x14ac:dyDescent="0.25">
      <c r="A1091" t="s">
        <v>1024</v>
      </c>
      <c r="B1091" t="s">
        <v>3214</v>
      </c>
      <c r="C1091" t="s">
        <v>3221</v>
      </c>
      <c r="D1091" t="s">
        <v>3224</v>
      </c>
      <c r="E1091" t="s">
        <v>3226</v>
      </c>
      <c r="F1091">
        <v>115654.6</v>
      </c>
      <c r="G1091">
        <v>97944.14</v>
      </c>
      <c r="H1091">
        <v>2</v>
      </c>
    </row>
    <row r="1092" spans="1:8" x14ac:dyDescent="0.25">
      <c r="A1092" t="s">
        <v>1025</v>
      </c>
      <c r="B1092" t="s">
        <v>3212</v>
      </c>
      <c r="C1092" t="s">
        <v>3217</v>
      </c>
      <c r="D1092" t="s">
        <v>3222</v>
      </c>
      <c r="E1092" t="s">
        <v>3226</v>
      </c>
      <c r="F1092">
        <v>60237.36</v>
      </c>
      <c r="G1092">
        <v>35048.230000000003</v>
      </c>
      <c r="H1092">
        <v>4</v>
      </c>
    </row>
    <row r="1093" spans="1:8" x14ac:dyDescent="0.25">
      <c r="A1093" t="s">
        <v>336</v>
      </c>
      <c r="C1093" t="s">
        <v>3221</v>
      </c>
      <c r="D1093" t="s">
        <v>3225</v>
      </c>
      <c r="E1093" t="s">
        <v>3226</v>
      </c>
      <c r="F1093">
        <v>119889.09</v>
      </c>
      <c r="G1093">
        <v>68684.289999999994</v>
      </c>
      <c r="H1093">
        <v>5</v>
      </c>
    </row>
    <row r="1094" spans="1:8" x14ac:dyDescent="0.25">
      <c r="A1094" t="s">
        <v>1026</v>
      </c>
      <c r="B1094" t="s">
        <v>3215</v>
      </c>
      <c r="C1094" t="s">
        <v>3219</v>
      </c>
      <c r="D1094" t="s">
        <v>3225</v>
      </c>
      <c r="E1094" t="s">
        <v>3226</v>
      </c>
      <c r="F1094">
        <v>37668.25</v>
      </c>
      <c r="G1094">
        <v>30141.66</v>
      </c>
      <c r="H1094">
        <v>2</v>
      </c>
    </row>
    <row r="1095" spans="1:8" x14ac:dyDescent="0.25">
      <c r="A1095" t="s">
        <v>1027</v>
      </c>
      <c r="B1095" t="s">
        <v>3213</v>
      </c>
      <c r="C1095" t="s">
        <v>3221</v>
      </c>
      <c r="D1095" t="s">
        <v>3224</v>
      </c>
      <c r="E1095" t="s">
        <v>3226</v>
      </c>
      <c r="F1095">
        <v>242858.39</v>
      </c>
      <c r="H1095">
        <v>4</v>
      </c>
    </row>
    <row r="1096" spans="1:8" x14ac:dyDescent="0.25">
      <c r="A1096" t="s">
        <v>102</v>
      </c>
      <c r="B1096" t="s">
        <v>3211</v>
      </c>
      <c r="C1096" t="s">
        <v>3219</v>
      </c>
      <c r="D1096" t="s">
        <v>3224</v>
      </c>
      <c r="E1096" t="s">
        <v>3226</v>
      </c>
      <c r="F1096">
        <v>190052.43</v>
      </c>
      <c r="H1096">
        <v>3</v>
      </c>
    </row>
    <row r="1097" spans="1:8" x14ac:dyDescent="0.25">
      <c r="A1097" t="s">
        <v>408</v>
      </c>
      <c r="B1097" t="s">
        <v>3211</v>
      </c>
      <c r="C1097" t="s">
        <v>3221</v>
      </c>
      <c r="D1097" t="s">
        <v>3225</v>
      </c>
      <c r="E1097" t="s">
        <v>3226</v>
      </c>
      <c r="F1097">
        <v>21290.43</v>
      </c>
      <c r="G1097">
        <v>15089.4</v>
      </c>
      <c r="H1097">
        <v>1</v>
      </c>
    </row>
    <row r="1098" spans="1:8" x14ac:dyDescent="0.25">
      <c r="A1098" t="s">
        <v>1028</v>
      </c>
      <c r="B1098" t="s">
        <v>3214</v>
      </c>
      <c r="C1098" t="s">
        <v>3216</v>
      </c>
      <c r="D1098" t="s">
        <v>3222</v>
      </c>
      <c r="E1098" t="s">
        <v>3226</v>
      </c>
      <c r="F1098">
        <v>14089.65</v>
      </c>
      <c r="G1098">
        <v>9473.8700000000008</v>
      </c>
      <c r="H1098">
        <v>1</v>
      </c>
    </row>
    <row r="1099" spans="1:8" x14ac:dyDescent="0.25">
      <c r="A1099" t="s">
        <v>1029</v>
      </c>
      <c r="B1099" t="s">
        <v>3211</v>
      </c>
      <c r="C1099" t="s">
        <v>3218</v>
      </c>
      <c r="D1099" t="s">
        <v>3225</v>
      </c>
      <c r="E1099" t="s">
        <v>3226</v>
      </c>
      <c r="F1099">
        <v>41836.339999999997</v>
      </c>
      <c r="G1099">
        <v>30119.43</v>
      </c>
      <c r="H1099">
        <v>2</v>
      </c>
    </row>
    <row r="1100" spans="1:8" x14ac:dyDescent="0.25">
      <c r="A1100" t="s">
        <v>1030</v>
      </c>
      <c r="B1100" t="s">
        <v>3215</v>
      </c>
      <c r="C1100" t="s">
        <v>3220</v>
      </c>
      <c r="D1100" t="s">
        <v>3225</v>
      </c>
      <c r="E1100" t="s">
        <v>3226</v>
      </c>
      <c r="F1100">
        <v>94702.07</v>
      </c>
      <c r="G1100">
        <v>53815.23</v>
      </c>
      <c r="H1100">
        <v>4</v>
      </c>
    </row>
    <row r="1101" spans="1:8" x14ac:dyDescent="0.25">
      <c r="A1101" t="s">
        <v>1031</v>
      </c>
      <c r="B1101" t="s">
        <v>3214</v>
      </c>
      <c r="C1101" t="s">
        <v>3219</v>
      </c>
      <c r="D1101" t="s">
        <v>3223</v>
      </c>
      <c r="E1101" t="s">
        <v>3226</v>
      </c>
      <c r="F1101">
        <v>17715.669999999998</v>
      </c>
      <c r="G1101">
        <v>12159.56</v>
      </c>
      <c r="H1101">
        <v>2</v>
      </c>
    </row>
    <row r="1102" spans="1:8" x14ac:dyDescent="0.25">
      <c r="A1102" t="s">
        <v>1032</v>
      </c>
      <c r="C1102" t="s">
        <v>3219</v>
      </c>
      <c r="D1102" t="s">
        <v>3222</v>
      </c>
      <c r="E1102" t="s">
        <v>3226</v>
      </c>
      <c r="F1102">
        <v>15414.85</v>
      </c>
      <c r="G1102">
        <v>9455.91</v>
      </c>
      <c r="H1102">
        <v>1</v>
      </c>
    </row>
    <row r="1103" spans="1:8" x14ac:dyDescent="0.25">
      <c r="A1103" t="s">
        <v>1033</v>
      </c>
      <c r="B1103" t="s">
        <v>3215</v>
      </c>
      <c r="C1103" t="s">
        <v>3221</v>
      </c>
      <c r="D1103" t="s">
        <v>3225</v>
      </c>
      <c r="E1103" t="s">
        <v>3226</v>
      </c>
      <c r="F1103">
        <v>43683.91</v>
      </c>
      <c r="G1103">
        <v>27387.32</v>
      </c>
      <c r="H1103">
        <v>2</v>
      </c>
    </row>
    <row r="1104" spans="1:8" x14ac:dyDescent="0.25">
      <c r="A1104" t="s">
        <v>1034</v>
      </c>
      <c r="C1104" t="s">
        <v>3220</v>
      </c>
      <c r="D1104" t="s">
        <v>3223</v>
      </c>
      <c r="E1104" t="s">
        <v>3226</v>
      </c>
      <c r="F1104">
        <v>41471.01</v>
      </c>
      <c r="G1104">
        <v>31699.05</v>
      </c>
      <c r="H1104">
        <v>5</v>
      </c>
    </row>
    <row r="1105" spans="1:8" x14ac:dyDescent="0.25">
      <c r="A1105" t="s">
        <v>1035</v>
      </c>
      <c r="B1105" t="s">
        <v>3213</v>
      </c>
      <c r="C1105" t="s">
        <v>3217</v>
      </c>
      <c r="D1105" t="s">
        <v>3224</v>
      </c>
      <c r="E1105" t="s">
        <v>3226</v>
      </c>
      <c r="F1105">
        <v>169407.17</v>
      </c>
      <c r="G1105">
        <v>119578.3</v>
      </c>
      <c r="H1105">
        <v>3</v>
      </c>
    </row>
    <row r="1106" spans="1:8" x14ac:dyDescent="0.25">
      <c r="A1106" t="s">
        <v>1036</v>
      </c>
      <c r="B1106" t="s">
        <v>3213</v>
      </c>
      <c r="C1106" t="s">
        <v>3217</v>
      </c>
      <c r="D1106" t="s">
        <v>3223</v>
      </c>
      <c r="E1106" t="s">
        <v>3226</v>
      </c>
      <c r="F1106">
        <v>17026.21</v>
      </c>
      <c r="G1106">
        <v>12686.24</v>
      </c>
      <c r="H1106">
        <v>2</v>
      </c>
    </row>
    <row r="1107" spans="1:8" x14ac:dyDescent="0.25">
      <c r="A1107" t="s">
        <v>1037</v>
      </c>
      <c r="C1107" t="s">
        <v>3219</v>
      </c>
      <c r="D1107" t="s">
        <v>3224</v>
      </c>
      <c r="E1107" t="s">
        <v>3226</v>
      </c>
      <c r="F1107">
        <v>209699.35</v>
      </c>
      <c r="G1107">
        <v>172938.42</v>
      </c>
      <c r="H1107">
        <v>4</v>
      </c>
    </row>
    <row r="1108" spans="1:8" x14ac:dyDescent="0.25">
      <c r="A1108" t="s">
        <v>1038</v>
      </c>
      <c r="B1108" t="s">
        <v>3215</v>
      </c>
      <c r="C1108" t="s">
        <v>3216</v>
      </c>
      <c r="D1108" t="s">
        <v>3222</v>
      </c>
      <c r="E1108" t="s">
        <v>3226</v>
      </c>
      <c r="F1108">
        <v>12563.46</v>
      </c>
      <c r="G1108">
        <v>10148.44</v>
      </c>
      <c r="H1108">
        <v>1</v>
      </c>
    </row>
    <row r="1109" spans="1:8" x14ac:dyDescent="0.25">
      <c r="A1109" t="s">
        <v>1039</v>
      </c>
      <c r="B1109" t="s">
        <v>3215</v>
      </c>
      <c r="C1109" t="s">
        <v>3220</v>
      </c>
      <c r="D1109" t="s">
        <v>3223</v>
      </c>
      <c r="E1109" t="s">
        <v>3226</v>
      </c>
      <c r="F1109">
        <v>21430.21</v>
      </c>
      <c r="G1109">
        <v>12708.81</v>
      </c>
      <c r="H1109">
        <v>2</v>
      </c>
    </row>
    <row r="1110" spans="1:8" x14ac:dyDescent="0.25">
      <c r="A1110" t="s">
        <v>1040</v>
      </c>
      <c r="B1110" t="s">
        <v>3211</v>
      </c>
      <c r="C1110" t="s">
        <v>3218</v>
      </c>
      <c r="D1110" t="s">
        <v>3223</v>
      </c>
      <c r="E1110" t="s">
        <v>3226</v>
      </c>
      <c r="F1110">
        <v>8100.06</v>
      </c>
      <c r="G1110">
        <v>7006.79</v>
      </c>
      <c r="H1110">
        <v>1</v>
      </c>
    </row>
    <row r="1111" spans="1:8" x14ac:dyDescent="0.25">
      <c r="A1111" t="s">
        <v>1041</v>
      </c>
      <c r="B1111" t="s">
        <v>3215</v>
      </c>
      <c r="C1111" t="s">
        <v>3218</v>
      </c>
      <c r="D1111" t="s">
        <v>3225</v>
      </c>
      <c r="E1111" t="s">
        <v>3226</v>
      </c>
      <c r="F1111">
        <v>66651.87</v>
      </c>
      <c r="G1111">
        <v>38104.370000000003</v>
      </c>
      <c r="H1111">
        <v>3</v>
      </c>
    </row>
    <row r="1112" spans="1:8" x14ac:dyDescent="0.25">
      <c r="A1112" t="s">
        <v>1042</v>
      </c>
      <c r="B1112" t="s">
        <v>3214</v>
      </c>
      <c r="C1112" t="s">
        <v>3218</v>
      </c>
      <c r="D1112" t="s">
        <v>3224</v>
      </c>
      <c r="E1112" t="s">
        <v>3226</v>
      </c>
      <c r="F1112">
        <v>125097.29</v>
      </c>
      <c r="G1112">
        <v>89049.71</v>
      </c>
      <c r="H1112">
        <v>2</v>
      </c>
    </row>
    <row r="1113" spans="1:8" x14ac:dyDescent="0.25">
      <c r="A1113" t="s">
        <v>1043</v>
      </c>
      <c r="B1113" t="s">
        <v>3215</v>
      </c>
      <c r="C1113" t="s">
        <v>3218</v>
      </c>
      <c r="D1113" t="s">
        <v>3224</v>
      </c>
      <c r="E1113" t="s">
        <v>3226</v>
      </c>
      <c r="F1113">
        <v>52464.82</v>
      </c>
      <c r="G1113">
        <v>48763.54</v>
      </c>
      <c r="H1113">
        <v>1</v>
      </c>
    </row>
    <row r="1114" spans="1:8" x14ac:dyDescent="0.25">
      <c r="A1114" t="s">
        <v>492</v>
      </c>
      <c r="C1114" t="s">
        <v>3218</v>
      </c>
      <c r="D1114" t="s">
        <v>3224</v>
      </c>
      <c r="E1114" t="s">
        <v>3226</v>
      </c>
      <c r="F1114">
        <v>106791.02</v>
      </c>
      <c r="G1114">
        <v>98991.8</v>
      </c>
    </row>
    <row r="1115" spans="1:8" x14ac:dyDescent="0.25">
      <c r="A1115" t="s">
        <v>1044</v>
      </c>
      <c r="C1115" t="s">
        <v>3219</v>
      </c>
      <c r="D1115" t="s">
        <v>3223</v>
      </c>
      <c r="E1115" t="s">
        <v>3226</v>
      </c>
      <c r="F1115">
        <v>44706.6</v>
      </c>
      <c r="G1115">
        <v>25217.27</v>
      </c>
      <c r="H1115">
        <v>4</v>
      </c>
    </row>
    <row r="1116" spans="1:8" x14ac:dyDescent="0.25">
      <c r="A1116" t="s">
        <v>1045</v>
      </c>
      <c r="B1116" t="s">
        <v>3215</v>
      </c>
      <c r="C1116" t="s">
        <v>3218</v>
      </c>
      <c r="D1116" t="s">
        <v>3225</v>
      </c>
      <c r="E1116" t="s">
        <v>3226</v>
      </c>
      <c r="F1116">
        <v>16070.52</v>
      </c>
      <c r="G1116">
        <v>14406.45</v>
      </c>
      <c r="H1116">
        <v>1</v>
      </c>
    </row>
    <row r="1117" spans="1:8" x14ac:dyDescent="0.25">
      <c r="A1117" t="s">
        <v>1046</v>
      </c>
      <c r="B1117" t="s">
        <v>3214</v>
      </c>
      <c r="C1117" t="s">
        <v>3219</v>
      </c>
      <c r="D1117" t="s">
        <v>3225</v>
      </c>
      <c r="E1117" t="s">
        <v>3226</v>
      </c>
      <c r="F1117">
        <v>21371.66</v>
      </c>
      <c r="H1117">
        <v>1</v>
      </c>
    </row>
    <row r="1118" spans="1:8" x14ac:dyDescent="0.25">
      <c r="A1118" t="s">
        <v>1047</v>
      </c>
      <c r="B1118" t="s">
        <v>3214</v>
      </c>
      <c r="C1118" t="s">
        <v>3221</v>
      </c>
      <c r="D1118" t="s">
        <v>3222</v>
      </c>
      <c r="E1118" t="s">
        <v>3226</v>
      </c>
      <c r="F1118">
        <v>24766.94</v>
      </c>
      <c r="G1118">
        <v>17829.97</v>
      </c>
      <c r="H1118">
        <v>2</v>
      </c>
    </row>
    <row r="1119" spans="1:8" x14ac:dyDescent="0.25">
      <c r="A1119" t="s">
        <v>1048</v>
      </c>
      <c r="B1119" t="s">
        <v>3213</v>
      </c>
      <c r="C1119" t="s">
        <v>3219</v>
      </c>
      <c r="D1119" t="s">
        <v>3225</v>
      </c>
      <c r="E1119" t="s">
        <v>3226</v>
      </c>
      <c r="F1119">
        <v>108224.79</v>
      </c>
      <c r="G1119">
        <v>69603.48</v>
      </c>
      <c r="H1119">
        <v>5</v>
      </c>
    </row>
    <row r="1120" spans="1:8" x14ac:dyDescent="0.25">
      <c r="A1120" t="s">
        <v>1049</v>
      </c>
      <c r="B1120" t="s">
        <v>3211</v>
      </c>
      <c r="C1120" t="s">
        <v>3221</v>
      </c>
      <c r="D1120" t="s">
        <v>3222</v>
      </c>
      <c r="E1120" t="s">
        <v>3226</v>
      </c>
      <c r="F1120">
        <v>50562.15</v>
      </c>
      <c r="G1120">
        <v>42166.21</v>
      </c>
      <c r="H1120">
        <v>4</v>
      </c>
    </row>
    <row r="1121" spans="1:8" x14ac:dyDescent="0.25">
      <c r="A1121" t="s">
        <v>1050</v>
      </c>
      <c r="B1121" t="s">
        <v>3215</v>
      </c>
      <c r="C1121" t="s">
        <v>3219</v>
      </c>
      <c r="D1121" t="s">
        <v>3224</v>
      </c>
      <c r="E1121" t="s">
        <v>3226</v>
      </c>
      <c r="F1121">
        <v>305874.21000000002</v>
      </c>
      <c r="H1121">
        <v>5</v>
      </c>
    </row>
    <row r="1122" spans="1:8" x14ac:dyDescent="0.25">
      <c r="A1122" t="s">
        <v>1051</v>
      </c>
      <c r="B1122" t="s">
        <v>3211</v>
      </c>
      <c r="C1122" t="s">
        <v>3220</v>
      </c>
      <c r="D1122" t="s">
        <v>3224</v>
      </c>
      <c r="E1122" t="s">
        <v>3226</v>
      </c>
      <c r="F1122">
        <v>183602.79</v>
      </c>
      <c r="G1122">
        <v>118029.31</v>
      </c>
      <c r="H1122">
        <v>3</v>
      </c>
    </row>
    <row r="1123" spans="1:8" x14ac:dyDescent="0.25">
      <c r="A1123" t="s">
        <v>948</v>
      </c>
      <c r="C1123" t="s">
        <v>3219</v>
      </c>
      <c r="D1123" t="s">
        <v>3225</v>
      </c>
      <c r="E1123" t="s">
        <v>3226</v>
      </c>
      <c r="F1123">
        <v>84178.92</v>
      </c>
      <c r="G1123">
        <v>67362.679999999993</v>
      </c>
      <c r="H1123">
        <v>5</v>
      </c>
    </row>
    <row r="1124" spans="1:8" x14ac:dyDescent="0.25">
      <c r="A1124" t="s">
        <v>1052</v>
      </c>
      <c r="B1124" t="s">
        <v>3212</v>
      </c>
      <c r="C1124" t="s">
        <v>3219</v>
      </c>
      <c r="D1124" t="s">
        <v>3223</v>
      </c>
      <c r="E1124" t="s">
        <v>3226</v>
      </c>
      <c r="F1124">
        <v>8464.07</v>
      </c>
      <c r="G1124">
        <v>7127.61</v>
      </c>
      <c r="H1124">
        <v>1</v>
      </c>
    </row>
    <row r="1125" spans="1:8" x14ac:dyDescent="0.25">
      <c r="A1125" t="s">
        <v>1053</v>
      </c>
      <c r="B1125" t="s">
        <v>3211</v>
      </c>
      <c r="C1125" t="s">
        <v>3221</v>
      </c>
      <c r="D1125" t="s">
        <v>3225</v>
      </c>
      <c r="E1125" t="s">
        <v>3226</v>
      </c>
      <c r="F1125">
        <v>23922.13</v>
      </c>
      <c r="G1125">
        <v>14505.18</v>
      </c>
      <c r="H1125">
        <v>1</v>
      </c>
    </row>
    <row r="1126" spans="1:8" x14ac:dyDescent="0.25">
      <c r="A1126" t="s">
        <v>1054</v>
      </c>
      <c r="C1126" t="s">
        <v>3219</v>
      </c>
      <c r="D1126" t="s">
        <v>3225</v>
      </c>
      <c r="E1126" t="s">
        <v>3226</v>
      </c>
      <c r="F1126">
        <v>102233.62</v>
      </c>
      <c r="G1126">
        <v>66590.23</v>
      </c>
      <c r="H1126">
        <v>5</v>
      </c>
    </row>
    <row r="1127" spans="1:8" x14ac:dyDescent="0.25">
      <c r="A1127" t="s">
        <v>1055</v>
      </c>
      <c r="B1127" t="s">
        <v>3214</v>
      </c>
      <c r="C1127" t="s">
        <v>3220</v>
      </c>
      <c r="D1127" t="s">
        <v>3224</v>
      </c>
      <c r="E1127" t="s">
        <v>3226</v>
      </c>
      <c r="F1127">
        <v>251027.53</v>
      </c>
      <c r="G1127">
        <v>238188.05</v>
      </c>
      <c r="H1127">
        <v>5</v>
      </c>
    </row>
    <row r="1128" spans="1:8" x14ac:dyDescent="0.25">
      <c r="A1128" t="s">
        <v>1056</v>
      </c>
      <c r="B1128" t="s">
        <v>3211</v>
      </c>
      <c r="C1128" t="s">
        <v>3221</v>
      </c>
      <c r="D1128" t="s">
        <v>3222</v>
      </c>
      <c r="E1128" t="s">
        <v>3226</v>
      </c>
      <c r="F1128">
        <v>15229.17</v>
      </c>
      <c r="G1128">
        <v>10480.42</v>
      </c>
      <c r="H1128">
        <v>1</v>
      </c>
    </row>
    <row r="1129" spans="1:8" x14ac:dyDescent="0.25">
      <c r="A1129" t="s">
        <v>1057</v>
      </c>
      <c r="B1129" t="s">
        <v>3213</v>
      </c>
      <c r="C1129" t="s">
        <v>3219</v>
      </c>
      <c r="D1129" t="s">
        <v>3222</v>
      </c>
      <c r="E1129" t="s">
        <v>3226</v>
      </c>
      <c r="F1129">
        <v>43804.91</v>
      </c>
      <c r="G1129">
        <v>31551.75</v>
      </c>
      <c r="H1129">
        <v>3</v>
      </c>
    </row>
    <row r="1130" spans="1:8" x14ac:dyDescent="0.25">
      <c r="A1130" t="s">
        <v>1058</v>
      </c>
      <c r="B1130" t="s">
        <v>3215</v>
      </c>
      <c r="C1130" t="s">
        <v>3217</v>
      </c>
      <c r="D1130" t="s">
        <v>3223</v>
      </c>
      <c r="E1130" t="s">
        <v>3226</v>
      </c>
      <c r="F1130">
        <v>20759.330000000002</v>
      </c>
      <c r="H1130">
        <v>2</v>
      </c>
    </row>
    <row r="1131" spans="1:8" x14ac:dyDescent="0.25">
      <c r="A1131" t="s">
        <v>1009</v>
      </c>
      <c r="C1131" t="s">
        <v>3216</v>
      </c>
      <c r="D1131" t="s">
        <v>3222</v>
      </c>
      <c r="E1131" t="s">
        <v>3226</v>
      </c>
      <c r="F1131">
        <v>40607.65</v>
      </c>
      <c r="G1131">
        <v>25740.14</v>
      </c>
      <c r="H1131">
        <v>3</v>
      </c>
    </row>
    <row r="1132" spans="1:8" x14ac:dyDescent="0.25">
      <c r="A1132" t="s">
        <v>1059</v>
      </c>
      <c r="B1132" t="s">
        <v>3214</v>
      </c>
      <c r="C1132" t="s">
        <v>3219</v>
      </c>
      <c r="D1132" t="s">
        <v>3223</v>
      </c>
      <c r="E1132" t="s">
        <v>3226</v>
      </c>
      <c r="F1132">
        <v>19845.93</v>
      </c>
      <c r="G1132">
        <v>11910.37</v>
      </c>
      <c r="H1132">
        <v>2</v>
      </c>
    </row>
    <row r="1133" spans="1:8" x14ac:dyDescent="0.25">
      <c r="A1133" t="s">
        <v>1060</v>
      </c>
      <c r="B1133" t="s">
        <v>3213</v>
      </c>
      <c r="C1133" t="s">
        <v>3220</v>
      </c>
      <c r="D1133" t="s">
        <v>3222</v>
      </c>
      <c r="E1133" t="s">
        <v>3226</v>
      </c>
      <c r="F1133">
        <v>52305.78</v>
      </c>
      <c r="G1133">
        <v>32862.629999999997</v>
      </c>
      <c r="H1133">
        <v>3</v>
      </c>
    </row>
    <row r="1134" spans="1:8" x14ac:dyDescent="0.25">
      <c r="A1134" t="s">
        <v>1061</v>
      </c>
      <c r="B1134" t="s">
        <v>3214</v>
      </c>
      <c r="C1134" t="s">
        <v>3217</v>
      </c>
      <c r="D1134" t="s">
        <v>3222</v>
      </c>
      <c r="E1134" t="s">
        <v>3226</v>
      </c>
      <c r="F1134">
        <v>81071.88</v>
      </c>
      <c r="G1134">
        <v>49463.32</v>
      </c>
      <c r="H1134">
        <v>5</v>
      </c>
    </row>
    <row r="1135" spans="1:8" x14ac:dyDescent="0.25">
      <c r="A1135" t="s">
        <v>1062</v>
      </c>
      <c r="B1135" t="s">
        <v>3212</v>
      </c>
      <c r="C1135" t="s">
        <v>3219</v>
      </c>
      <c r="D1135" t="s">
        <v>3225</v>
      </c>
      <c r="E1135" t="s">
        <v>3226</v>
      </c>
      <c r="F1135">
        <v>46605.42</v>
      </c>
      <c r="G1135">
        <v>24447.89</v>
      </c>
      <c r="H1135">
        <v>2</v>
      </c>
    </row>
    <row r="1136" spans="1:8" x14ac:dyDescent="0.25">
      <c r="A1136" t="s">
        <v>1063</v>
      </c>
      <c r="B1136" t="s">
        <v>3212</v>
      </c>
      <c r="C1136" t="s">
        <v>3217</v>
      </c>
      <c r="D1136" t="s">
        <v>3225</v>
      </c>
      <c r="E1136" t="s">
        <v>3226</v>
      </c>
      <c r="F1136">
        <v>65679.759999999995</v>
      </c>
      <c r="G1136">
        <v>40508.21</v>
      </c>
      <c r="H1136">
        <v>3</v>
      </c>
    </row>
    <row r="1137" spans="1:8" x14ac:dyDescent="0.25">
      <c r="A1137" t="s">
        <v>1064</v>
      </c>
      <c r="B1137" t="s">
        <v>3215</v>
      </c>
      <c r="C1137" t="s">
        <v>3221</v>
      </c>
      <c r="D1137" t="s">
        <v>3222</v>
      </c>
      <c r="E1137" t="s">
        <v>3226</v>
      </c>
      <c r="F1137">
        <v>51137.440000000002</v>
      </c>
      <c r="G1137">
        <v>39713.64</v>
      </c>
      <c r="H1137">
        <v>4</v>
      </c>
    </row>
    <row r="1138" spans="1:8" x14ac:dyDescent="0.25">
      <c r="A1138" t="s">
        <v>1065</v>
      </c>
      <c r="B1138" t="s">
        <v>3214</v>
      </c>
      <c r="C1138" t="s">
        <v>3219</v>
      </c>
      <c r="D1138" t="s">
        <v>3222</v>
      </c>
      <c r="E1138" t="s">
        <v>3226</v>
      </c>
      <c r="F1138">
        <v>67715.31</v>
      </c>
      <c r="G1138">
        <v>49551.06</v>
      </c>
      <c r="H1138">
        <v>5</v>
      </c>
    </row>
    <row r="1139" spans="1:8" x14ac:dyDescent="0.25">
      <c r="A1139" t="s">
        <v>1066</v>
      </c>
      <c r="B1139" t="s">
        <v>3212</v>
      </c>
      <c r="C1139" t="s">
        <v>3218</v>
      </c>
      <c r="D1139" t="s">
        <v>3222</v>
      </c>
      <c r="E1139" t="s">
        <v>3226</v>
      </c>
      <c r="F1139">
        <v>48166.05</v>
      </c>
      <c r="H1139">
        <v>3</v>
      </c>
    </row>
    <row r="1140" spans="1:8" x14ac:dyDescent="0.25">
      <c r="A1140" t="s">
        <v>1067</v>
      </c>
      <c r="B1140" t="s">
        <v>3213</v>
      </c>
      <c r="C1140" t="s">
        <v>3221</v>
      </c>
      <c r="D1140" t="s">
        <v>3222</v>
      </c>
      <c r="E1140" t="s">
        <v>3226</v>
      </c>
      <c r="F1140">
        <v>52643.42</v>
      </c>
      <c r="H1140">
        <v>4</v>
      </c>
    </row>
    <row r="1141" spans="1:8" x14ac:dyDescent="0.25">
      <c r="A1141" t="s">
        <v>1068</v>
      </c>
      <c r="B1141" t="s">
        <v>3212</v>
      </c>
      <c r="C1141" t="s">
        <v>3216</v>
      </c>
      <c r="D1141" t="s">
        <v>3224</v>
      </c>
      <c r="E1141" t="s">
        <v>3226</v>
      </c>
      <c r="F1141">
        <v>307975.99</v>
      </c>
      <c r="G1141">
        <v>199652.88</v>
      </c>
    </row>
    <row r="1142" spans="1:8" x14ac:dyDescent="0.25">
      <c r="A1142" t="s">
        <v>906</v>
      </c>
      <c r="B1142" t="s">
        <v>3215</v>
      </c>
      <c r="C1142" t="s">
        <v>3219</v>
      </c>
      <c r="D1142" t="s">
        <v>3223</v>
      </c>
      <c r="E1142" t="s">
        <v>3226</v>
      </c>
      <c r="F1142">
        <v>58903.8</v>
      </c>
      <c r="G1142">
        <v>35074.42</v>
      </c>
      <c r="H1142">
        <v>5</v>
      </c>
    </row>
    <row r="1143" spans="1:8" x14ac:dyDescent="0.25">
      <c r="A1143" t="s">
        <v>115</v>
      </c>
      <c r="B1143" t="s">
        <v>3211</v>
      </c>
      <c r="C1143" t="s">
        <v>3219</v>
      </c>
      <c r="D1143" t="s">
        <v>3222</v>
      </c>
      <c r="E1143" t="s">
        <v>3226</v>
      </c>
      <c r="F1143">
        <v>13867</v>
      </c>
      <c r="G1143">
        <v>9725.9</v>
      </c>
      <c r="H1143">
        <v>1</v>
      </c>
    </row>
    <row r="1144" spans="1:8" x14ac:dyDescent="0.25">
      <c r="A1144" t="s">
        <v>1069</v>
      </c>
      <c r="B1144" t="s">
        <v>3213</v>
      </c>
      <c r="C1144" t="s">
        <v>3217</v>
      </c>
      <c r="D1144" t="s">
        <v>3223</v>
      </c>
      <c r="E1144" t="s">
        <v>3226</v>
      </c>
      <c r="F1144">
        <v>18770.91</v>
      </c>
      <c r="G1144">
        <v>13997.83</v>
      </c>
      <c r="H1144">
        <v>2</v>
      </c>
    </row>
    <row r="1145" spans="1:8" x14ac:dyDescent="0.25">
      <c r="A1145" t="s">
        <v>1070</v>
      </c>
      <c r="B1145" t="s">
        <v>3213</v>
      </c>
      <c r="C1145" t="s">
        <v>3221</v>
      </c>
      <c r="D1145" t="s">
        <v>3224</v>
      </c>
      <c r="E1145" t="s">
        <v>3226</v>
      </c>
      <c r="F1145">
        <v>318143.08</v>
      </c>
      <c r="H1145">
        <v>5</v>
      </c>
    </row>
    <row r="1146" spans="1:8" x14ac:dyDescent="0.25">
      <c r="A1146" t="s">
        <v>1071</v>
      </c>
      <c r="B1146" t="s">
        <v>3213</v>
      </c>
      <c r="C1146" t="s">
        <v>3221</v>
      </c>
      <c r="D1146" t="s">
        <v>3225</v>
      </c>
      <c r="E1146" t="s">
        <v>3226</v>
      </c>
      <c r="F1146">
        <v>39099.440000000002</v>
      </c>
      <c r="H1146">
        <v>2</v>
      </c>
    </row>
    <row r="1147" spans="1:8" x14ac:dyDescent="0.25">
      <c r="A1147" t="s">
        <v>1072</v>
      </c>
      <c r="B1147" t="s">
        <v>3215</v>
      </c>
      <c r="C1147" t="s">
        <v>3216</v>
      </c>
      <c r="D1147" t="s">
        <v>3224</v>
      </c>
      <c r="E1147" t="s">
        <v>3226</v>
      </c>
      <c r="F1147">
        <v>57141.24</v>
      </c>
      <c r="G1147">
        <v>43199.7</v>
      </c>
      <c r="H1147">
        <v>1</v>
      </c>
    </row>
    <row r="1148" spans="1:8" x14ac:dyDescent="0.25">
      <c r="A1148" t="s">
        <v>1073</v>
      </c>
      <c r="B1148" t="s">
        <v>3213</v>
      </c>
      <c r="C1148" t="s">
        <v>3217</v>
      </c>
      <c r="D1148" t="s">
        <v>3224</v>
      </c>
      <c r="E1148" t="s">
        <v>3226</v>
      </c>
      <c r="G1148">
        <v>147081.89000000001</v>
      </c>
      <c r="H1148">
        <v>3</v>
      </c>
    </row>
    <row r="1149" spans="1:8" x14ac:dyDescent="0.25">
      <c r="A1149" t="s">
        <v>1074</v>
      </c>
      <c r="B1149" t="s">
        <v>3214</v>
      </c>
      <c r="C1149" t="s">
        <v>3219</v>
      </c>
      <c r="D1149" t="s">
        <v>3222</v>
      </c>
      <c r="E1149" t="s">
        <v>3226</v>
      </c>
      <c r="F1149">
        <v>17815.900000000001</v>
      </c>
      <c r="G1149">
        <v>9296.69</v>
      </c>
    </row>
    <row r="1150" spans="1:8" x14ac:dyDescent="0.25">
      <c r="A1150" t="s">
        <v>358</v>
      </c>
      <c r="B1150" t="s">
        <v>3213</v>
      </c>
      <c r="C1150" t="s">
        <v>3218</v>
      </c>
      <c r="D1150" t="s">
        <v>3224</v>
      </c>
      <c r="E1150" t="s">
        <v>3226</v>
      </c>
      <c r="F1150">
        <v>283495.34999999998</v>
      </c>
      <c r="G1150">
        <v>172054.14</v>
      </c>
      <c r="H1150">
        <v>4</v>
      </c>
    </row>
    <row r="1151" spans="1:8" x14ac:dyDescent="0.25">
      <c r="A1151" t="s">
        <v>1075</v>
      </c>
      <c r="C1151" t="s">
        <v>3220</v>
      </c>
      <c r="D1151" t="s">
        <v>3222</v>
      </c>
      <c r="E1151" t="s">
        <v>3226</v>
      </c>
      <c r="F1151">
        <v>56905.55</v>
      </c>
      <c r="H1151">
        <v>4</v>
      </c>
    </row>
    <row r="1152" spans="1:8" x14ac:dyDescent="0.25">
      <c r="A1152" t="s">
        <v>1076</v>
      </c>
      <c r="B1152" t="s">
        <v>3212</v>
      </c>
      <c r="C1152" t="s">
        <v>3219</v>
      </c>
      <c r="D1152" t="s">
        <v>3225</v>
      </c>
      <c r="E1152" t="s">
        <v>3226</v>
      </c>
      <c r="F1152">
        <v>36610.39</v>
      </c>
      <c r="G1152">
        <v>26067.83</v>
      </c>
      <c r="H1152">
        <v>2</v>
      </c>
    </row>
    <row r="1153" spans="1:8" x14ac:dyDescent="0.25">
      <c r="A1153" t="s">
        <v>1077</v>
      </c>
      <c r="C1153" t="s">
        <v>3220</v>
      </c>
      <c r="D1153" t="s">
        <v>3222</v>
      </c>
      <c r="E1153" t="s">
        <v>3226</v>
      </c>
      <c r="F1153">
        <v>25458.61</v>
      </c>
      <c r="G1153">
        <v>17582.009999999998</v>
      </c>
      <c r="H1153">
        <v>2</v>
      </c>
    </row>
    <row r="1154" spans="1:8" x14ac:dyDescent="0.25">
      <c r="A1154" t="s">
        <v>1078</v>
      </c>
      <c r="B1154" t="s">
        <v>3213</v>
      </c>
      <c r="C1154" t="s">
        <v>3220</v>
      </c>
      <c r="D1154" t="s">
        <v>3224</v>
      </c>
      <c r="E1154" t="s">
        <v>3226</v>
      </c>
      <c r="F1154">
        <v>262994.34999999998</v>
      </c>
      <c r="G1154">
        <v>172509.53</v>
      </c>
      <c r="H1154">
        <v>4</v>
      </c>
    </row>
    <row r="1155" spans="1:8" x14ac:dyDescent="0.25">
      <c r="A1155" t="s">
        <v>1079</v>
      </c>
      <c r="B1155" t="s">
        <v>3215</v>
      </c>
      <c r="C1155" t="s">
        <v>3216</v>
      </c>
      <c r="D1155" t="s">
        <v>3223</v>
      </c>
      <c r="E1155" t="s">
        <v>3226</v>
      </c>
      <c r="F1155">
        <v>32190.47</v>
      </c>
      <c r="G1155">
        <v>27289.599999999999</v>
      </c>
      <c r="H1155">
        <v>4</v>
      </c>
    </row>
    <row r="1156" spans="1:8" x14ac:dyDescent="0.25">
      <c r="A1156" t="s">
        <v>1080</v>
      </c>
      <c r="B1156" t="s">
        <v>3211</v>
      </c>
      <c r="C1156" t="s">
        <v>3217</v>
      </c>
      <c r="D1156" t="s">
        <v>3225</v>
      </c>
      <c r="E1156" t="s">
        <v>3226</v>
      </c>
      <c r="F1156">
        <v>41489.800000000003</v>
      </c>
      <c r="G1156">
        <v>26406.2</v>
      </c>
      <c r="H1156">
        <v>2</v>
      </c>
    </row>
    <row r="1157" spans="1:8" x14ac:dyDescent="0.25">
      <c r="A1157" t="s">
        <v>1081</v>
      </c>
      <c r="B1157" t="s">
        <v>3213</v>
      </c>
      <c r="C1157" t="s">
        <v>3217</v>
      </c>
      <c r="D1157" t="s">
        <v>3225</v>
      </c>
      <c r="E1157" t="s">
        <v>3226</v>
      </c>
      <c r="F1157">
        <v>50175.89</v>
      </c>
      <c r="G1157">
        <v>42706.07</v>
      </c>
      <c r="H1157">
        <v>3</v>
      </c>
    </row>
    <row r="1158" spans="1:8" x14ac:dyDescent="0.25">
      <c r="A1158" t="s">
        <v>1082</v>
      </c>
      <c r="B1158" t="s">
        <v>3212</v>
      </c>
      <c r="C1158" t="s">
        <v>3217</v>
      </c>
      <c r="D1158" t="s">
        <v>3222</v>
      </c>
      <c r="E1158" t="s">
        <v>3226</v>
      </c>
      <c r="F1158">
        <v>65748.25</v>
      </c>
      <c r="G1158">
        <v>41836.379999999997</v>
      </c>
      <c r="H1158">
        <v>4</v>
      </c>
    </row>
    <row r="1159" spans="1:8" x14ac:dyDescent="0.25">
      <c r="A1159" t="s">
        <v>1083</v>
      </c>
      <c r="B1159" t="s">
        <v>3211</v>
      </c>
      <c r="C1159" t="s">
        <v>3218</v>
      </c>
      <c r="D1159" t="s">
        <v>3224</v>
      </c>
      <c r="E1159" t="s">
        <v>3226</v>
      </c>
      <c r="F1159">
        <v>162435.20000000001</v>
      </c>
      <c r="G1159">
        <v>118796.4</v>
      </c>
      <c r="H1159">
        <v>3</v>
      </c>
    </row>
    <row r="1160" spans="1:8" x14ac:dyDescent="0.25">
      <c r="A1160" t="s">
        <v>610</v>
      </c>
      <c r="C1160" t="s">
        <v>3216</v>
      </c>
      <c r="D1160" t="s">
        <v>3222</v>
      </c>
      <c r="E1160" t="s">
        <v>3226</v>
      </c>
      <c r="F1160">
        <v>14593.36</v>
      </c>
      <c r="G1160">
        <v>10169.83</v>
      </c>
      <c r="H1160">
        <v>1</v>
      </c>
    </row>
    <row r="1161" spans="1:8" x14ac:dyDescent="0.25">
      <c r="A1161" t="s">
        <v>1084</v>
      </c>
      <c r="B1161" t="s">
        <v>3211</v>
      </c>
      <c r="C1161" t="s">
        <v>3221</v>
      </c>
      <c r="D1161" t="s">
        <v>3223</v>
      </c>
      <c r="E1161" t="s">
        <v>3226</v>
      </c>
      <c r="F1161">
        <v>21621.02</v>
      </c>
      <c r="G1161">
        <v>15199.7</v>
      </c>
      <c r="H1161">
        <v>2</v>
      </c>
    </row>
    <row r="1162" spans="1:8" x14ac:dyDescent="0.25">
      <c r="A1162" t="s">
        <v>1085</v>
      </c>
      <c r="B1162" t="s">
        <v>3211</v>
      </c>
      <c r="C1162" t="s">
        <v>3220</v>
      </c>
      <c r="D1162" t="s">
        <v>3224</v>
      </c>
      <c r="E1162" t="s">
        <v>3226</v>
      </c>
      <c r="F1162">
        <v>146238.81</v>
      </c>
      <c r="G1162">
        <v>130322.29</v>
      </c>
      <c r="H1162">
        <v>3</v>
      </c>
    </row>
    <row r="1163" spans="1:8" x14ac:dyDescent="0.25">
      <c r="A1163" t="s">
        <v>1086</v>
      </c>
      <c r="B1163" t="s">
        <v>3215</v>
      </c>
      <c r="C1163" t="s">
        <v>3221</v>
      </c>
      <c r="D1163" t="s">
        <v>3223</v>
      </c>
      <c r="E1163" t="s">
        <v>3226</v>
      </c>
      <c r="F1163">
        <v>32020.38</v>
      </c>
      <c r="G1163">
        <v>19047.93</v>
      </c>
      <c r="H1163">
        <v>3</v>
      </c>
    </row>
    <row r="1164" spans="1:8" x14ac:dyDescent="0.25">
      <c r="A1164" t="s">
        <v>1087</v>
      </c>
      <c r="B1164" t="s">
        <v>3211</v>
      </c>
      <c r="C1164" t="s">
        <v>3217</v>
      </c>
      <c r="D1164" t="s">
        <v>3222</v>
      </c>
      <c r="E1164" t="s">
        <v>3226</v>
      </c>
      <c r="F1164">
        <v>17382.23</v>
      </c>
      <c r="G1164">
        <v>10754.35</v>
      </c>
    </row>
    <row r="1165" spans="1:8" x14ac:dyDescent="0.25">
      <c r="A1165" t="s">
        <v>1088</v>
      </c>
      <c r="B1165" t="s">
        <v>3211</v>
      </c>
      <c r="C1165" t="s">
        <v>3219</v>
      </c>
      <c r="D1165" t="s">
        <v>3222</v>
      </c>
      <c r="E1165" t="s">
        <v>3226</v>
      </c>
      <c r="F1165">
        <v>15275.16</v>
      </c>
      <c r="G1165">
        <v>9345.36</v>
      </c>
      <c r="H1165">
        <v>1</v>
      </c>
    </row>
    <row r="1166" spans="1:8" x14ac:dyDescent="0.25">
      <c r="A1166" t="s">
        <v>1089</v>
      </c>
      <c r="B1166" t="s">
        <v>3214</v>
      </c>
      <c r="C1166" t="s">
        <v>3217</v>
      </c>
      <c r="D1166" t="s">
        <v>3223</v>
      </c>
      <c r="E1166" t="s">
        <v>3226</v>
      </c>
      <c r="F1166">
        <v>42629.66</v>
      </c>
      <c r="G1166">
        <v>25520.87</v>
      </c>
    </row>
    <row r="1167" spans="1:8" x14ac:dyDescent="0.25">
      <c r="A1167" t="s">
        <v>1090</v>
      </c>
      <c r="B1167" t="s">
        <v>3211</v>
      </c>
      <c r="C1167" t="s">
        <v>3218</v>
      </c>
      <c r="D1167" t="s">
        <v>3223</v>
      </c>
      <c r="E1167" t="s">
        <v>3226</v>
      </c>
      <c r="F1167">
        <v>57594.41</v>
      </c>
      <c r="G1167">
        <v>31497.62</v>
      </c>
      <c r="H1167">
        <v>5</v>
      </c>
    </row>
    <row r="1168" spans="1:8" x14ac:dyDescent="0.25">
      <c r="A1168" t="s">
        <v>1091</v>
      </c>
      <c r="B1168" t="s">
        <v>3213</v>
      </c>
      <c r="C1168" t="s">
        <v>3219</v>
      </c>
      <c r="D1168" t="s">
        <v>3225</v>
      </c>
      <c r="E1168" t="s">
        <v>3226</v>
      </c>
      <c r="F1168">
        <v>109228.28</v>
      </c>
      <c r="H1168">
        <v>5</v>
      </c>
    </row>
    <row r="1169" spans="1:8" x14ac:dyDescent="0.25">
      <c r="A1169" t="s">
        <v>1092</v>
      </c>
      <c r="B1169" t="s">
        <v>3211</v>
      </c>
      <c r="C1169" t="s">
        <v>3219</v>
      </c>
      <c r="D1169" t="s">
        <v>3223</v>
      </c>
      <c r="E1169" t="s">
        <v>3226</v>
      </c>
      <c r="F1169">
        <v>21161.1</v>
      </c>
      <c r="G1169">
        <v>12888.28</v>
      </c>
      <c r="H1169">
        <v>2</v>
      </c>
    </row>
    <row r="1170" spans="1:8" x14ac:dyDescent="0.25">
      <c r="A1170" t="s">
        <v>1093</v>
      </c>
      <c r="B1170" t="s">
        <v>3211</v>
      </c>
      <c r="C1170" t="s">
        <v>3220</v>
      </c>
      <c r="D1170" t="s">
        <v>3222</v>
      </c>
      <c r="E1170" t="s">
        <v>3226</v>
      </c>
      <c r="F1170">
        <v>16677.650000000001</v>
      </c>
      <c r="G1170">
        <v>10005.25</v>
      </c>
      <c r="H1170">
        <v>1</v>
      </c>
    </row>
    <row r="1171" spans="1:8" x14ac:dyDescent="0.25">
      <c r="A1171" t="s">
        <v>1094</v>
      </c>
      <c r="B1171" t="s">
        <v>3213</v>
      </c>
      <c r="C1171" t="s">
        <v>3218</v>
      </c>
      <c r="D1171" t="s">
        <v>3224</v>
      </c>
      <c r="E1171" t="s">
        <v>3226</v>
      </c>
      <c r="F1171">
        <v>111059.29</v>
      </c>
      <c r="G1171">
        <v>86458.25</v>
      </c>
    </row>
    <row r="1172" spans="1:8" x14ac:dyDescent="0.25">
      <c r="A1172" t="s">
        <v>1095</v>
      </c>
      <c r="B1172" t="s">
        <v>3213</v>
      </c>
      <c r="C1172" t="s">
        <v>3217</v>
      </c>
      <c r="D1172" t="s">
        <v>3224</v>
      </c>
      <c r="E1172" t="s">
        <v>3226</v>
      </c>
      <c r="F1172">
        <v>60069.46</v>
      </c>
      <c r="G1172">
        <v>43460.08</v>
      </c>
      <c r="H1172">
        <v>1</v>
      </c>
    </row>
    <row r="1173" spans="1:8" x14ac:dyDescent="0.25">
      <c r="A1173" t="s">
        <v>1096</v>
      </c>
      <c r="B1173" t="s">
        <v>3215</v>
      </c>
      <c r="C1173" t="s">
        <v>3216</v>
      </c>
      <c r="D1173" t="s">
        <v>3223</v>
      </c>
      <c r="E1173" t="s">
        <v>3226</v>
      </c>
      <c r="F1173">
        <v>44812.53</v>
      </c>
      <c r="G1173">
        <v>27254.42</v>
      </c>
      <c r="H1173">
        <v>4</v>
      </c>
    </row>
    <row r="1174" spans="1:8" x14ac:dyDescent="0.25">
      <c r="A1174" t="s">
        <v>1097</v>
      </c>
      <c r="B1174" t="s">
        <v>3212</v>
      </c>
      <c r="C1174" t="s">
        <v>3216</v>
      </c>
      <c r="D1174" t="s">
        <v>3223</v>
      </c>
      <c r="E1174" t="s">
        <v>3226</v>
      </c>
      <c r="F1174">
        <v>31843.63</v>
      </c>
      <c r="G1174">
        <v>17949.080000000002</v>
      </c>
      <c r="H1174">
        <v>3</v>
      </c>
    </row>
    <row r="1175" spans="1:8" x14ac:dyDescent="0.25">
      <c r="A1175" t="s">
        <v>174</v>
      </c>
      <c r="B1175" t="s">
        <v>3212</v>
      </c>
      <c r="C1175" t="s">
        <v>3217</v>
      </c>
      <c r="D1175" t="s">
        <v>3222</v>
      </c>
      <c r="E1175" t="s">
        <v>3226</v>
      </c>
      <c r="F1175">
        <v>42692.45</v>
      </c>
      <c r="G1175">
        <v>27330.71</v>
      </c>
      <c r="H1175">
        <v>3</v>
      </c>
    </row>
    <row r="1176" spans="1:8" x14ac:dyDescent="0.25">
      <c r="A1176" t="s">
        <v>1098</v>
      </c>
      <c r="B1176" t="s">
        <v>3214</v>
      </c>
      <c r="C1176" t="s">
        <v>3220</v>
      </c>
      <c r="D1176" t="s">
        <v>3225</v>
      </c>
      <c r="E1176" t="s">
        <v>3226</v>
      </c>
      <c r="F1176">
        <v>38947.5</v>
      </c>
      <c r="G1176">
        <v>24746.59</v>
      </c>
      <c r="H1176">
        <v>2</v>
      </c>
    </row>
    <row r="1177" spans="1:8" x14ac:dyDescent="0.25">
      <c r="A1177" t="s">
        <v>882</v>
      </c>
      <c r="B1177" t="s">
        <v>3212</v>
      </c>
      <c r="C1177" t="s">
        <v>3221</v>
      </c>
      <c r="D1177" t="s">
        <v>3225</v>
      </c>
      <c r="E1177" t="s">
        <v>3226</v>
      </c>
      <c r="F1177">
        <v>32296.77</v>
      </c>
      <c r="G1177">
        <v>28872.93</v>
      </c>
      <c r="H1177">
        <v>2</v>
      </c>
    </row>
    <row r="1178" spans="1:8" x14ac:dyDescent="0.25">
      <c r="A1178" t="s">
        <v>1099</v>
      </c>
      <c r="B1178" t="s">
        <v>3215</v>
      </c>
      <c r="C1178" t="s">
        <v>3219</v>
      </c>
      <c r="D1178" t="s">
        <v>3224</v>
      </c>
      <c r="E1178" t="s">
        <v>3226</v>
      </c>
      <c r="F1178">
        <v>221918.51</v>
      </c>
      <c r="G1178">
        <v>197576.77</v>
      </c>
      <c r="H1178">
        <v>4</v>
      </c>
    </row>
    <row r="1179" spans="1:8" x14ac:dyDescent="0.25">
      <c r="A1179" t="s">
        <v>1100</v>
      </c>
      <c r="B1179" t="s">
        <v>3212</v>
      </c>
      <c r="C1179" t="s">
        <v>3216</v>
      </c>
      <c r="D1179" t="s">
        <v>3224</v>
      </c>
      <c r="E1179" t="s">
        <v>3226</v>
      </c>
      <c r="F1179">
        <v>204448.8</v>
      </c>
      <c r="G1179">
        <v>134671.04999999999</v>
      </c>
      <c r="H1179">
        <v>3</v>
      </c>
    </row>
    <row r="1180" spans="1:8" x14ac:dyDescent="0.25">
      <c r="A1180" t="s">
        <v>1101</v>
      </c>
      <c r="B1180" t="s">
        <v>3211</v>
      </c>
      <c r="C1180" t="s">
        <v>3219</v>
      </c>
      <c r="D1180" t="s">
        <v>3225</v>
      </c>
      <c r="E1180" t="s">
        <v>3226</v>
      </c>
      <c r="F1180">
        <v>21403.64</v>
      </c>
      <c r="G1180">
        <v>12207.53</v>
      </c>
      <c r="H1180">
        <v>1</v>
      </c>
    </row>
    <row r="1181" spans="1:8" x14ac:dyDescent="0.25">
      <c r="A1181" t="s">
        <v>89</v>
      </c>
      <c r="C1181" t="s">
        <v>3216</v>
      </c>
      <c r="D1181" t="s">
        <v>3224</v>
      </c>
      <c r="E1181" t="s">
        <v>3226</v>
      </c>
      <c r="F1181">
        <v>182166.37</v>
      </c>
      <c r="G1181">
        <v>142807.19</v>
      </c>
      <c r="H1181">
        <v>3</v>
      </c>
    </row>
    <row r="1182" spans="1:8" x14ac:dyDescent="0.25">
      <c r="A1182" t="s">
        <v>1102</v>
      </c>
      <c r="B1182" t="s">
        <v>3213</v>
      </c>
      <c r="C1182" t="s">
        <v>3217</v>
      </c>
      <c r="D1182" t="s">
        <v>3223</v>
      </c>
      <c r="E1182" t="s">
        <v>3226</v>
      </c>
      <c r="F1182">
        <v>44930.69</v>
      </c>
      <c r="G1182">
        <v>24714.28</v>
      </c>
      <c r="H1182">
        <v>4</v>
      </c>
    </row>
    <row r="1183" spans="1:8" x14ac:dyDescent="0.25">
      <c r="A1183" t="s">
        <v>1103</v>
      </c>
      <c r="B1183" t="s">
        <v>3214</v>
      </c>
      <c r="C1183" t="s">
        <v>3218</v>
      </c>
      <c r="D1183" t="s">
        <v>3224</v>
      </c>
      <c r="E1183" t="s">
        <v>3226</v>
      </c>
      <c r="F1183">
        <v>152431.72</v>
      </c>
      <c r="G1183">
        <v>124852.95</v>
      </c>
      <c r="H1183">
        <v>3</v>
      </c>
    </row>
    <row r="1184" spans="1:8" x14ac:dyDescent="0.25">
      <c r="A1184" t="s">
        <v>1104</v>
      </c>
      <c r="B1184" t="s">
        <v>3212</v>
      </c>
      <c r="C1184" t="s">
        <v>3218</v>
      </c>
      <c r="D1184" t="s">
        <v>3225</v>
      </c>
      <c r="E1184" t="s">
        <v>3226</v>
      </c>
      <c r="F1184">
        <v>90691.8</v>
      </c>
      <c r="G1184">
        <v>64357.07</v>
      </c>
      <c r="H1184">
        <v>5</v>
      </c>
    </row>
    <row r="1185" spans="1:8" x14ac:dyDescent="0.25">
      <c r="A1185" t="s">
        <v>1105</v>
      </c>
      <c r="B1185" t="s">
        <v>3211</v>
      </c>
      <c r="C1185" t="s">
        <v>3219</v>
      </c>
      <c r="D1185" t="s">
        <v>3222</v>
      </c>
      <c r="E1185" t="s">
        <v>3226</v>
      </c>
      <c r="F1185">
        <v>13426.19</v>
      </c>
      <c r="G1185">
        <v>8702.9699999999993</v>
      </c>
      <c r="H1185">
        <v>1</v>
      </c>
    </row>
    <row r="1186" spans="1:8" x14ac:dyDescent="0.25">
      <c r="A1186" t="s">
        <v>1106</v>
      </c>
      <c r="B1186" t="s">
        <v>3215</v>
      </c>
      <c r="C1186" t="s">
        <v>3216</v>
      </c>
      <c r="D1186" t="s">
        <v>3223</v>
      </c>
      <c r="E1186" t="s">
        <v>3226</v>
      </c>
      <c r="F1186">
        <v>24703.09</v>
      </c>
      <c r="G1186">
        <v>18981.28</v>
      </c>
      <c r="H1186">
        <v>3</v>
      </c>
    </row>
    <row r="1187" spans="1:8" x14ac:dyDescent="0.25">
      <c r="A1187" t="s">
        <v>1107</v>
      </c>
      <c r="B1187" t="s">
        <v>3212</v>
      </c>
      <c r="C1187" t="s">
        <v>3216</v>
      </c>
      <c r="D1187" t="s">
        <v>3225</v>
      </c>
      <c r="E1187" t="s">
        <v>3226</v>
      </c>
      <c r="F1187">
        <v>113155.88</v>
      </c>
      <c r="G1187">
        <v>70059.81</v>
      </c>
      <c r="H1187">
        <v>5</v>
      </c>
    </row>
    <row r="1188" spans="1:8" x14ac:dyDescent="0.25">
      <c r="A1188" t="s">
        <v>1108</v>
      </c>
      <c r="B1188" t="s">
        <v>3213</v>
      </c>
      <c r="C1188" t="s">
        <v>3217</v>
      </c>
      <c r="D1188" t="s">
        <v>3222</v>
      </c>
      <c r="E1188" t="s">
        <v>3226</v>
      </c>
      <c r="F1188">
        <v>30883.02</v>
      </c>
      <c r="G1188">
        <v>21716.17</v>
      </c>
      <c r="H1188">
        <v>2</v>
      </c>
    </row>
    <row r="1189" spans="1:8" x14ac:dyDescent="0.25">
      <c r="A1189" t="s">
        <v>1109</v>
      </c>
      <c r="C1189" t="s">
        <v>3219</v>
      </c>
      <c r="D1189" t="s">
        <v>3224</v>
      </c>
      <c r="E1189" t="s">
        <v>3226</v>
      </c>
      <c r="F1189">
        <v>172699.18</v>
      </c>
      <c r="G1189">
        <v>123887.26</v>
      </c>
      <c r="H1189">
        <v>3</v>
      </c>
    </row>
    <row r="1190" spans="1:8" x14ac:dyDescent="0.25">
      <c r="A1190" t="s">
        <v>493</v>
      </c>
      <c r="B1190" t="s">
        <v>3213</v>
      </c>
      <c r="C1190" t="s">
        <v>3217</v>
      </c>
      <c r="D1190" t="s">
        <v>3225</v>
      </c>
      <c r="E1190" t="s">
        <v>3226</v>
      </c>
      <c r="G1190">
        <v>13659.74</v>
      </c>
      <c r="H1190">
        <v>1</v>
      </c>
    </row>
    <row r="1191" spans="1:8" x14ac:dyDescent="0.25">
      <c r="A1191" t="s">
        <v>1110</v>
      </c>
      <c r="B1191" t="s">
        <v>3212</v>
      </c>
      <c r="C1191" t="s">
        <v>3219</v>
      </c>
      <c r="D1191" t="s">
        <v>3223</v>
      </c>
      <c r="E1191" t="s">
        <v>3226</v>
      </c>
      <c r="F1191">
        <v>28507.78</v>
      </c>
      <c r="G1191">
        <v>18590.560000000001</v>
      </c>
      <c r="H1191">
        <v>3</v>
      </c>
    </row>
    <row r="1192" spans="1:8" x14ac:dyDescent="0.25">
      <c r="A1192" t="s">
        <v>1111</v>
      </c>
      <c r="B1192" t="s">
        <v>3211</v>
      </c>
      <c r="C1192" t="s">
        <v>3219</v>
      </c>
      <c r="D1192" t="s">
        <v>3224</v>
      </c>
      <c r="E1192" t="s">
        <v>3226</v>
      </c>
      <c r="F1192">
        <v>132310.93</v>
      </c>
      <c r="G1192">
        <v>78988.03</v>
      </c>
      <c r="H1192">
        <v>2</v>
      </c>
    </row>
    <row r="1193" spans="1:8" x14ac:dyDescent="0.25">
      <c r="A1193" t="s">
        <v>1112</v>
      </c>
      <c r="B1193" t="s">
        <v>3213</v>
      </c>
      <c r="C1193" t="s">
        <v>3220</v>
      </c>
      <c r="D1193" t="s">
        <v>3224</v>
      </c>
      <c r="E1193" t="s">
        <v>3226</v>
      </c>
      <c r="F1193">
        <v>205303.59</v>
      </c>
      <c r="G1193">
        <v>145336.07999999999</v>
      </c>
      <c r="H1193">
        <v>3</v>
      </c>
    </row>
    <row r="1194" spans="1:8" x14ac:dyDescent="0.25">
      <c r="A1194" t="s">
        <v>1113</v>
      </c>
      <c r="B1194" t="s">
        <v>3215</v>
      </c>
      <c r="C1194" t="s">
        <v>3218</v>
      </c>
      <c r="D1194" t="s">
        <v>3223</v>
      </c>
      <c r="E1194" t="s">
        <v>3226</v>
      </c>
      <c r="F1194">
        <v>20902.400000000001</v>
      </c>
      <c r="G1194">
        <v>12050.51</v>
      </c>
      <c r="H1194">
        <v>2</v>
      </c>
    </row>
    <row r="1195" spans="1:8" x14ac:dyDescent="0.25">
      <c r="A1195" t="s">
        <v>1114</v>
      </c>
      <c r="B1195" t="s">
        <v>3214</v>
      </c>
      <c r="C1195" t="s">
        <v>3220</v>
      </c>
      <c r="D1195" t="s">
        <v>3225</v>
      </c>
      <c r="E1195" t="s">
        <v>3226</v>
      </c>
      <c r="F1195">
        <v>99614.02</v>
      </c>
      <c r="G1195">
        <v>65045.5</v>
      </c>
      <c r="H1195">
        <v>5</v>
      </c>
    </row>
    <row r="1196" spans="1:8" x14ac:dyDescent="0.25">
      <c r="A1196" t="s">
        <v>1094</v>
      </c>
      <c r="B1196" t="s">
        <v>3212</v>
      </c>
      <c r="C1196" t="s">
        <v>3217</v>
      </c>
      <c r="D1196" t="s">
        <v>3223</v>
      </c>
      <c r="E1196" t="s">
        <v>3226</v>
      </c>
      <c r="F1196">
        <v>56167.65</v>
      </c>
      <c r="G1196">
        <v>34304.61</v>
      </c>
    </row>
    <row r="1197" spans="1:8" x14ac:dyDescent="0.25">
      <c r="A1197" t="s">
        <v>1115</v>
      </c>
      <c r="C1197" t="s">
        <v>3218</v>
      </c>
      <c r="D1197" t="s">
        <v>3223</v>
      </c>
      <c r="E1197" t="s">
        <v>3226</v>
      </c>
      <c r="F1197">
        <v>25307.66</v>
      </c>
      <c r="G1197">
        <v>19166.34</v>
      </c>
      <c r="H1197">
        <v>3</v>
      </c>
    </row>
    <row r="1198" spans="1:8" x14ac:dyDescent="0.25">
      <c r="A1198" t="s">
        <v>1116</v>
      </c>
      <c r="B1198" t="s">
        <v>3214</v>
      </c>
      <c r="C1198" t="s">
        <v>3219</v>
      </c>
      <c r="D1198" t="s">
        <v>3223</v>
      </c>
      <c r="E1198" t="s">
        <v>3226</v>
      </c>
      <c r="F1198">
        <v>32144.560000000001</v>
      </c>
      <c r="G1198">
        <v>20332.22</v>
      </c>
      <c r="H1198">
        <v>3</v>
      </c>
    </row>
    <row r="1199" spans="1:8" x14ac:dyDescent="0.25">
      <c r="A1199" t="s">
        <v>1117</v>
      </c>
      <c r="B1199" t="s">
        <v>3211</v>
      </c>
      <c r="C1199" t="s">
        <v>3216</v>
      </c>
      <c r="D1199" t="s">
        <v>3225</v>
      </c>
      <c r="E1199" t="s">
        <v>3226</v>
      </c>
      <c r="F1199">
        <v>21605.64</v>
      </c>
      <c r="G1199">
        <v>12801.8</v>
      </c>
      <c r="H1199">
        <v>1</v>
      </c>
    </row>
    <row r="1200" spans="1:8" x14ac:dyDescent="0.25">
      <c r="A1200" t="s">
        <v>1118</v>
      </c>
      <c r="B1200" t="s">
        <v>3215</v>
      </c>
      <c r="C1200" t="s">
        <v>3221</v>
      </c>
      <c r="D1200" t="s">
        <v>3222</v>
      </c>
      <c r="E1200" t="s">
        <v>3226</v>
      </c>
      <c r="F1200">
        <v>14108.65</v>
      </c>
      <c r="H1200">
        <v>1</v>
      </c>
    </row>
    <row r="1201" spans="1:8" x14ac:dyDescent="0.25">
      <c r="A1201" t="s">
        <v>1119</v>
      </c>
      <c r="B1201" t="s">
        <v>3212</v>
      </c>
      <c r="C1201" t="s">
        <v>3219</v>
      </c>
      <c r="D1201" t="s">
        <v>3225</v>
      </c>
      <c r="E1201" t="s">
        <v>3226</v>
      </c>
      <c r="F1201">
        <v>43192.94</v>
      </c>
      <c r="G1201">
        <v>25853.49</v>
      </c>
      <c r="H1201">
        <v>2</v>
      </c>
    </row>
    <row r="1202" spans="1:8" x14ac:dyDescent="0.25">
      <c r="A1202" t="s">
        <v>1120</v>
      </c>
      <c r="C1202" t="s">
        <v>3218</v>
      </c>
      <c r="D1202" t="s">
        <v>3223</v>
      </c>
      <c r="E1202" t="s">
        <v>3226</v>
      </c>
      <c r="F1202">
        <v>9371.57</v>
      </c>
      <c r="G1202">
        <v>6682.15</v>
      </c>
      <c r="H1202">
        <v>1</v>
      </c>
    </row>
    <row r="1203" spans="1:8" x14ac:dyDescent="0.25">
      <c r="A1203" t="s">
        <v>1121</v>
      </c>
      <c r="C1203" t="s">
        <v>3219</v>
      </c>
      <c r="D1203" t="s">
        <v>3224</v>
      </c>
      <c r="E1203" t="s">
        <v>3226</v>
      </c>
      <c r="F1203">
        <v>258662.14</v>
      </c>
      <c r="G1203">
        <v>187563.89</v>
      </c>
      <c r="H1203">
        <v>4</v>
      </c>
    </row>
    <row r="1204" spans="1:8" x14ac:dyDescent="0.25">
      <c r="A1204" t="s">
        <v>1122</v>
      </c>
      <c r="B1204" t="s">
        <v>3211</v>
      </c>
      <c r="C1204" t="s">
        <v>3216</v>
      </c>
      <c r="D1204" t="s">
        <v>3222</v>
      </c>
      <c r="E1204" t="s">
        <v>3226</v>
      </c>
      <c r="F1204">
        <v>28835.67</v>
      </c>
      <c r="G1204">
        <v>17082.689999999999</v>
      </c>
      <c r="H1204">
        <v>2</v>
      </c>
    </row>
    <row r="1205" spans="1:8" x14ac:dyDescent="0.25">
      <c r="A1205" t="s">
        <v>1123</v>
      </c>
      <c r="B1205" t="s">
        <v>3215</v>
      </c>
      <c r="C1205" t="s">
        <v>3217</v>
      </c>
      <c r="D1205" t="s">
        <v>3224</v>
      </c>
      <c r="E1205" t="s">
        <v>3226</v>
      </c>
      <c r="F1205">
        <v>98609.58</v>
      </c>
      <c r="G1205">
        <v>80291.710000000006</v>
      </c>
      <c r="H1205">
        <v>2</v>
      </c>
    </row>
    <row r="1206" spans="1:8" x14ac:dyDescent="0.25">
      <c r="A1206" t="s">
        <v>1124</v>
      </c>
      <c r="B1206" t="s">
        <v>3214</v>
      </c>
      <c r="C1206" t="s">
        <v>3220</v>
      </c>
      <c r="D1206" t="s">
        <v>3224</v>
      </c>
      <c r="E1206" t="s">
        <v>3226</v>
      </c>
      <c r="F1206">
        <v>226112.61</v>
      </c>
      <c r="G1206">
        <v>178842.17</v>
      </c>
    </row>
    <row r="1207" spans="1:8" x14ac:dyDescent="0.25">
      <c r="A1207" t="s">
        <v>1125</v>
      </c>
      <c r="B1207" t="s">
        <v>3212</v>
      </c>
      <c r="C1207" t="s">
        <v>3219</v>
      </c>
      <c r="D1207" t="s">
        <v>3224</v>
      </c>
      <c r="E1207" t="s">
        <v>3226</v>
      </c>
      <c r="F1207">
        <v>57523.03</v>
      </c>
      <c r="G1207">
        <v>42930.57</v>
      </c>
      <c r="H1207">
        <v>1</v>
      </c>
    </row>
    <row r="1208" spans="1:8" x14ac:dyDescent="0.25">
      <c r="A1208" t="s">
        <v>1126</v>
      </c>
      <c r="B1208" t="s">
        <v>3213</v>
      </c>
      <c r="C1208" t="s">
        <v>3219</v>
      </c>
      <c r="D1208" t="s">
        <v>3225</v>
      </c>
      <c r="E1208" t="s">
        <v>3226</v>
      </c>
      <c r="F1208">
        <v>21988.67</v>
      </c>
      <c r="G1208">
        <v>12887.8</v>
      </c>
      <c r="H1208">
        <v>1</v>
      </c>
    </row>
    <row r="1209" spans="1:8" x14ac:dyDescent="0.25">
      <c r="A1209" t="s">
        <v>1127</v>
      </c>
      <c r="C1209" t="s">
        <v>3218</v>
      </c>
      <c r="D1209" t="s">
        <v>3224</v>
      </c>
      <c r="E1209" t="s">
        <v>3226</v>
      </c>
      <c r="F1209">
        <v>308489.25</v>
      </c>
      <c r="G1209">
        <v>234683.58</v>
      </c>
      <c r="H1209">
        <v>5</v>
      </c>
    </row>
    <row r="1210" spans="1:8" x14ac:dyDescent="0.25">
      <c r="A1210" t="s">
        <v>614</v>
      </c>
      <c r="B1210" t="s">
        <v>3215</v>
      </c>
      <c r="C1210" t="s">
        <v>3219</v>
      </c>
      <c r="D1210" t="s">
        <v>3223</v>
      </c>
      <c r="E1210" t="s">
        <v>3226</v>
      </c>
      <c r="F1210">
        <v>29946.11</v>
      </c>
      <c r="G1210">
        <v>18409.75</v>
      </c>
      <c r="H1210">
        <v>3</v>
      </c>
    </row>
    <row r="1211" spans="1:8" x14ac:dyDescent="0.25">
      <c r="A1211" t="s">
        <v>1128</v>
      </c>
      <c r="B1211" t="s">
        <v>3211</v>
      </c>
      <c r="C1211" t="s">
        <v>3218</v>
      </c>
      <c r="D1211" t="s">
        <v>3225</v>
      </c>
      <c r="E1211" t="s">
        <v>3226</v>
      </c>
      <c r="F1211">
        <v>64508.59</v>
      </c>
      <c r="G1211">
        <v>55116.62</v>
      </c>
      <c r="H1211">
        <v>4</v>
      </c>
    </row>
    <row r="1212" spans="1:8" x14ac:dyDescent="0.25">
      <c r="A1212" t="s">
        <v>1129</v>
      </c>
      <c r="B1212" t="s">
        <v>3214</v>
      </c>
      <c r="C1212" t="s">
        <v>3219</v>
      </c>
      <c r="D1212" t="s">
        <v>3223</v>
      </c>
      <c r="E1212" t="s">
        <v>3226</v>
      </c>
      <c r="F1212">
        <v>33937.300000000003</v>
      </c>
      <c r="G1212">
        <v>29852.61</v>
      </c>
      <c r="H1212">
        <v>4</v>
      </c>
    </row>
    <row r="1213" spans="1:8" x14ac:dyDescent="0.25">
      <c r="A1213" t="s">
        <v>1130</v>
      </c>
      <c r="B1213" t="s">
        <v>3211</v>
      </c>
      <c r="C1213" t="s">
        <v>3217</v>
      </c>
      <c r="D1213" t="s">
        <v>3224</v>
      </c>
      <c r="E1213" t="s">
        <v>3226</v>
      </c>
      <c r="F1213">
        <v>195130.44</v>
      </c>
      <c r="G1213">
        <v>121798.25</v>
      </c>
      <c r="H1213">
        <v>3</v>
      </c>
    </row>
    <row r="1214" spans="1:8" x14ac:dyDescent="0.25">
      <c r="A1214" t="s">
        <v>1131</v>
      </c>
      <c r="B1214" t="s">
        <v>3215</v>
      </c>
      <c r="C1214" t="s">
        <v>3216</v>
      </c>
      <c r="D1214" t="s">
        <v>3222</v>
      </c>
      <c r="E1214" t="s">
        <v>3226</v>
      </c>
      <c r="F1214">
        <v>49834.35</v>
      </c>
      <c r="G1214">
        <v>29937.439999999999</v>
      </c>
    </row>
    <row r="1215" spans="1:8" x14ac:dyDescent="0.25">
      <c r="A1215" t="s">
        <v>1132</v>
      </c>
      <c r="B1215" t="s">
        <v>3215</v>
      </c>
      <c r="C1215" t="s">
        <v>3216</v>
      </c>
      <c r="D1215" t="s">
        <v>3223</v>
      </c>
      <c r="E1215" t="s">
        <v>3226</v>
      </c>
      <c r="F1215">
        <v>48586.400000000001</v>
      </c>
      <c r="G1215">
        <v>36351.629999999997</v>
      </c>
      <c r="H1215">
        <v>5</v>
      </c>
    </row>
    <row r="1216" spans="1:8" x14ac:dyDescent="0.25">
      <c r="A1216" t="s">
        <v>1133</v>
      </c>
      <c r="B1216" t="s">
        <v>3214</v>
      </c>
      <c r="C1216" t="s">
        <v>3218</v>
      </c>
      <c r="D1216" t="s">
        <v>3224</v>
      </c>
      <c r="E1216" t="s">
        <v>3226</v>
      </c>
      <c r="F1216">
        <v>184700.81</v>
      </c>
      <c r="G1216">
        <v>123143.35</v>
      </c>
      <c r="H1216">
        <v>3</v>
      </c>
    </row>
    <row r="1217" spans="1:8" x14ac:dyDescent="0.25">
      <c r="A1217" t="s">
        <v>1134</v>
      </c>
      <c r="B1217" t="s">
        <v>3213</v>
      </c>
      <c r="C1217" t="s">
        <v>3217</v>
      </c>
      <c r="D1217" t="s">
        <v>3223</v>
      </c>
      <c r="E1217" t="s">
        <v>3226</v>
      </c>
      <c r="F1217">
        <v>17915.91</v>
      </c>
      <c r="G1217">
        <v>12674.28</v>
      </c>
      <c r="H1217">
        <v>2</v>
      </c>
    </row>
    <row r="1218" spans="1:8" x14ac:dyDescent="0.25">
      <c r="A1218" t="s">
        <v>1135</v>
      </c>
      <c r="B1218" t="s">
        <v>3213</v>
      </c>
      <c r="C1218" t="s">
        <v>3220</v>
      </c>
      <c r="D1218" t="s">
        <v>3224</v>
      </c>
      <c r="E1218" t="s">
        <v>3226</v>
      </c>
      <c r="F1218">
        <v>71407.06</v>
      </c>
      <c r="G1218">
        <v>46174.559999999998</v>
      </c>
      <c r="H1218">
        <v>1</v>
      </c>
    </row>
    <row r="1219" spans="1:8" x14ac:dyDescent="0.25">
      <c r="A1219" t="s">
        <v>1136</v>
      </c>
      <c r="B1219" t="s">
        <v>3212</v>
      </c>
      <c r="C1219" t="s">
        <v>3218</v>
      </c>
      <c r="D1219" t="s">
        <v>3224</v>
      </c>
      <c r="E1219" t="s">
        <v>3226</v>
      </c>
      <c r="F1219">
        <v>48135.65</v>
      </c>
      <c r="G1219">
        <v>49409.97</v>
      </c>
      <c r="H1219">
        <v>1</v>
      </c>
    </row>
    <row r="1220" spans="1:8" x14ac:dyDescent="0.25">
      <c r="A1220" t="s">
        <v>1137</v>
      </c>
      <c r="B1220" t="s">
        <v>3214</v>
      </c>
      <c r="C1220" t="s">
        <v>3218</v>
      </c>
      <c r="D1220" t="s">
        <v>3223</v>
      </c>
      <c r="E1220" t="s">
        <v>3226</v>
      </c>
      <c r="F1220">
        <v>8708.5400000000009</v>
      </c>
      <c r="G1220">
        <v>6586.35</v>
      </c>
      <c r="H1220">
        <v>1</v>
      </c>
    </row>
    <row r="1221" spans="1:8" x14ac:dyDescent="0.25">
      <c r="A1221" t="s">
        <v>1138</v>
      </c>
      <c r="B1221" t="s">
        <v>3212</v>
      </c>
      <c r="C1221" t="s">
        <v>3218</v>
      </c>
      <c r="D1221" t="s">
        <v>3223</v>
      </c>
      <c r="E1221" t="s">
        <v>3226</v>
      </c>
      <c r="F1221">
        <v>43236.78</v>
      </c>
      <c r="G1221">
        <v>30568.66</v>
      </c>
      <c r="H1221">
        <v>4</v>
      </c>
    </row>
    <row r="1222" spans="1:8" x14ac:dyDescent="0.25">
      <c r="A1222" t="s">
        <v>1139</v>
      </c>
      <c r="B1222" t="s">
        <v>3211</v>
      </c>
      <c r="C1222" t="s">
        <v>3218</v>
      </c>
      <c r="D1222" t="s">
        <v>3223</v>
      </c>
      <c r="E1222" t="s">
        <v>3226</v>
      </c>
      <c r="F1222">
        <v>8886.3700000000008</v>
      </c>
      <c r="G1222">
        <v>7274.09</v>
      </c>
      <c r="H1222">
        <v>1</v>
      </c>
    </row>
    <row r="1223" spans="1:8" x14ac:dyDescent="0.25">
      <c r="A1223" t="s">
        <v>623</v>
      </c>
      <c r="B1223" t="s">
        <v>3212</v>
      </c>
      <c r="C1223" t="s">
        <v>3217</v>
      </c>
      <c r="D1223" t="s">
        <v>3224</v>
      </c>
      <c r="E1223" t="s">
        <v>3226</v>
      </c>
      <c r="F1223">
        <v>107627.31</v>
      </c>
      <c r="G1223">
        <v>81975.240000000005</v>
      </c>
      <c r="H1223">
        <v>2</v>
      </c>
    </row>
    <row r="1224" spans="1:8" x14ac:dyDescent="0.25">
      <c r="A1224" t="s">
        <v>1140</v>
      </c>
      <c r="B1224" t="s">
        <v>3215</v>
      </c>
      <c r="C1224" t="s">
        <v>3221</v>
      </c>
      <c r="D1224" t="s">
        <v>3225</v>
      </c>
      <c r="E1224" t="s">
        <v>3226</v>
      </c>
      <c r="G1224">
        <v>61133.24</v>
      </c>
      <c r="H1224">
        <v>5</v>
      </c>
    </row>
    <row r="1225" spans="1:8" x14ac:dyDescent="0.25">
      <c r="A1225" t="s">
        <v>1141</v>
      </c>
      <c r="B1225" t="s">
        <v>3212</v>
      </c>
      <c r="C1225" t="s">
        <v>3218</v>
      </c>
      <c r="D1225" t="s">
        <v>3223</v>
      </c>
      <c r="E1225" t="s">
        <v>3226</v>
      </c>
      <c r="F1225">
        <v>35638.699999999997</v>
      </c>
      <c r="G1225">
        <v>22704.720000000001</v>
      </c>
      <c r="H1225">
        <v>3</v>
      </c>
    </row>
    <row r="1226" spans="1:8" x14ac:dyDescent="0.25">
      <c r="A1226" t="s">
        <v>1142</v>
      </c>
      <c r="B1226" t="s">
        <v>3214</v>
      </c>
      <c r="C1226" t="s">
        <v>3216</v>
      </c>
      <c r="D1226" t="s">
        <v>3223</v>
      </c>
      <c r="E1226" t="s">
        <v>3226</v>
      </c>
      <c r="F1226">
        <v>44686.6</v>
      </c>
      <c r="G1226">
        <v>25711.08</v>
      </c>
      <c r="H1226">
        <v>4</v>
      </c>
    </row>
    <row r="1227" spans="1:8" x14ac:dyDescent="0.25">
      <c r="A1227" t="s">
        <v>1143</v>
      </c>
      <c r="B1227" t="s">
        <v>3213</v>
      </c>
      <c r="C1227" t="s">
        <v>3221</v>
      </c>
      <c r="D1227" t="s">
        <v>3223</v>
      </c>
      <c r="E1227" t="s">
        <v>3226</v>
      </c>
      <c r="F1227">
        <v>52574.9</v>
      </c>
      <c r="G1227">
        <v>35259.64</v>
      </c>
      <c r="H1227">
        <v>5</v>
      </c>
    </row>
    <row r="1228" spans="1:8" x14ac:dyDescent="0.25">
      <c r="A1228" t="s">
        <v>1144</v>
      </c>
      <c r="B1228" t="s">
        <v>3215</v>
      </c>
      <c r="C1228" t="s">
        <v>3220</v>
      </c>
      <c r="D1228" t="s">
        <v>3224</v>
      </c>
      <c r="E1228" t="s">
        <v>3226</v>
      </c>
      <c r="F1228">
        <v>58240.18</v>
      </c>
      <c r="G1228">
        <v>45392.79</v>
      </c>
      <c r="H1228">
        <v>1</v>
      </c>
    </row>
    <row r="1229" spans="1:8" x14ac:dyDescent="0.25">
      <c r="A1229" t="s">
        <v>1145</v>
      </c>
      <c r="B1229" t="s">
        <v>3215</v>
      </c>
      <c r="C1229" t="s">
        <v>3218</v>
      </c>
      <c r="D1229" t="s">
        <v>3223</v>
      </c>
      <c r="E1229" t="s">
        <v>3226</v>
      </c>
      <c r="F1229">
        <v>39071.43</v>
      </c>
      <c r="G1229">
        <v>28311.599999999999</v>
      </c>
      <c r="H1229">
        <v>4</v>
      </c>
    </row>
    <row r="1230" spans="1:8" x14ac:dyDescent="0.25">
      <c r="A1230" t="s">
        <v>1146</v>
      </c>
      <c r="B1230" t="s">
        <v>3213</v>
      </c>
      <c r="C1230" t="s">
        <v>3219</v>
      </c>
      <c r="D1230" t="s">
        <v>3223</v>
      </c>
      <c r="E1230" t="s">
        <v>3226</v>
      </c>
      <c r="F1230">
        <v>41340.559999999998</v>
      </c>
      <c r="G1230">
        <v>37587.54</v>
      </c>
      <c r="H1230">
        <v>5</v>
      </c>
    </row>
    <row r="1231" spans="1:8" x14ac:dyDescent="0.25">
      <c r="A1231" t="s">
        <v>1147</v>
      </c>
      <c r="B1231" t="s">
        <v>3214</v>
      </c>
      <c r="C1231" t="s">
        <v>3216</v>
      </c>
      <c r="D1231" t="s">
        <v>3222</v>
      </c>
      <c r="E1231" t="s">
        <v>3226</v>
      </c>
      <c r="F1231">
        <v>49613.97</v>
      </c>
      <c r="G1231">
        <v>31349.72</v>
      </c>
    </row>
    <row r="1232" spans="1:8" x14ac:dyDescent="0.25">
      <c r="A1232" t="s">
        <v>1148</v>
      </c>
      <c r="B1232" t="s">
        <v>3211</v>
      </c>
      <c r="C1232" t="s">
        <v>3220</v>
      </c>
      <c r="D1232" t="s">
        <v>3224</v>
      </c>
      <c r="E1232" t="s">
        <v>3226</v>
      </c>
      <c r="F1232">
        <v>102255.76</v>
      </c>
      <c r="H1232">
        <v>2</v>
      </c>
    </row>
    <row r="1233" spans="1:8" x14ac:dyDescent="0.25">
      <c r="A1233" t="s">
        <v>1149</v>
      </c>
      <c r="B1233" t="s">
        <v>3214</v>
      </c>
      <c r="C1233" t="s">
        <v>3220</v>
      </c>
      <c r="D1233" t="s">
        <v>3225</v>
      </c>
      <c r="E1233" t="s">
        <v>3226</v>
      </c>
      <c r="F1233">
        <v>67276.81</v>
      </c>
      <c r="G1233">
        <v>57922.41</v>
      </c>
      <c r="H1233">
        <v>4</v>
      </c>
    </row>
    <row r="1234" spans="1:8" x14ac:dyDescent="0.25">
      <c r="A1234" t="s">
        <v>1150</v>
      </c>
      <c r="B1234" t="s">
        <v>3214</v>
      </c>
      <c r="C1234" t="s">
        <v>3220</v>
      </c>
      <c r="D1234" t="s">
        <v>3224</v>
      </c>
      <c r="E1234" t="s">
        <v>3226</v>
      </c>
      <c r="F1234">
        <v>286565.90999999997</v>
      </c>
      <c r="G1234">
        <v>201690.23</v>
      </c>
      <c r="H1234">
        <v>5</v>
      </c>
    </row>
    <row r="1235" spans="1:8" x14ac:dyDescent="0.25">
      <c r="A1235" t="s">
        <v>1151</v>
      </c>
      <c r="B1235" t="s">
        <v>3212</v>
      </c>
      <c r="C1235" t="s">
        <v>3218</v>
      </c>
      <c r="D1235" t="s">
        <v>3224</v>
      </c>
      <c r="E1235" t="s">
        <v>3226</v>
      </c>
      <c r="F1235">
        <v>330164.61</v>
      </c>
      <c r="G1235">
        <v>212065.76</v>
      </c>
      <c r="H1235">
        <v>5</v>
      </c>
    </row>
    <row r="1236" spans="1:8" x14ac:dyDescent="0.25">
      <c r="A1236" t="s">
        <v>1152</v>
      </c>
      <c r="B1236" t="s">
        <v>3214</v>
      </c>
      <c r="C1236" t="s">
        <v>3218</v>
      </c>
      <c r="D1236" t="s">
        <v>3222</v>
      </c>
      <c r="E1236" t="s">
        <v>3226</v>
      </c>
      <c r="F1236">
        <v>51198.58</v>
      </c>
      <c r="G1236">
        <v>31836.86</v>
      </c>
      <c r="H1236">
        <v>3</v>
      </c>
    </row>
    <row r="1237" spans="1:8" x14ac:dyDescent="0.25">
      <c r="A1237" t="s">
        <v>1153</v>
      </c>
      <c r="B1237" t="s">
        <v>3212</v>
      </c>
      <c r="C1237" t="s">
        <v>3220</v>
      </c>
      <c r="D1237" t="s">
        <v>3224</v>
      </c>
      <c r="E1237" t="s">
        <v>3226</v>
      </c>
      <c r="F1237">
        <v>166302.62</v>
      </c>
      <c r="G1237">
        <v>121372.28</v>
      </c>
      <c r="H1237">
        <v>3</v>
      </c>
    </row>
    <row r="1238" spans="1:8" x14ac:dyDescent="0.25">
      <c r="A1238" t="s">
        <v>1154</v>
      </c>
      <c r="B1238" t="s">
        <v>3211</v>
      </c>
      <c r="C1238" t="s">
        <v>3218</v>
      </c>
      <c r="D1238" t="s">
        <v>3224</v>
      </c>
      <c r="E1238" t="s">
        <v>3226</v>
      </c>
      <c r="F1238">
        <v>111396.69</v>
      </c>
      <c r="G1238">
        <v>85211</v>
      </c>
      <c r="H1238">
        <v>2</v>
      </c>
    </row>
    <row r="1239" spans="1:8" x14ac:dyDescent="0.25">
      <c r="A1239" t="s">
        <v>1155</v>
      </c>
      <c r="B1239" t="s">
        <v>3214</v>
      </c>
      <c r="C1239" t="s">
        <v>3218</v>
      </c>
      <c r="D1239" t="s">
        <v>3224</v>
      </c>
      <c r="E1239" t="s">
        <v>3226</v>
      </c>
      <c r="F1239">
        <v>205615.57</v>
      </c>
      <c r="G1239">
        <v>153168.53</v>
      </c>
      <c r="H1239">
        <v>4</v>
      </c>
    </row>
    <row r="1240" spans="1:8" x14ac:dyDescent="0.25">
      <c r="A1240" t="s">
        <v>1156</v>
      </c>
      <c r="B1240" t="s">
        <v>3212</v>
      </c>
      <c r="C1240" t="s">
        <v>3217</v>
      </c>
      <c r="D1240" t="s">
        <v>3224</v>
      </c>
      <c r="E1240" t="s">
        <v>3226</v>
      </c>
      <c r="F1240">
        <v>282891.95</v>
      </c>
      <c r="G1240">
        <v>157519.82</v>
      </c>
    </row>
    <row r="1241" spans="1:8" x14ac:dyDescent="0.25">
      <c r="A1241" t="s">
        <v>1157</v>
      </c>
      <c r="B1241" t="s">
        <v>3212</v>
      </c>
      <c r="C1241" t="s">
        <v>3219</v>
      </c>
      <c r="D1241" t="s">
        <v>3225</v>
      </c>
      <c r="E1241" t="s">
        <v>3226</v>
      </c>
      <c r="F1241">
        <v>20327.78</v>
      </c>
      <c r="G1241">
        <v>15023.18</v>
      </c>
      <c r="H1241">
        <v>1</v>
      </c>
    </row>
    <row r="1242" spans="1:8" x14ac:dyDescent="0.25">
      <c r="A1242" t="s">
        <v>1158</v>
      </c>
      <c r="B1242" t="s">
        <v>3211</v>
      </c>
      <c r="C1242" t="s">
        <v>3219</v>
      </c>
      <c r="D1242" t="s">
        <v>3223</v>
      </c>
      <c r="E1242" t="s">
        <v>3226</v>
      </c>
      <c r="F1242">
        <v>55831.5</v>
      </c>
      <c r="G1242">
        <v>30758.799999999999</v>
      </c>
      <c r="H1242">
        <v>5</v>
      </c>
    </row>
    <row r="1243" spans="1:8" x14ac:dyDescent="0.25">
      <c r="A1243" t="s">
        <v>232</v>
      </c>
      <c r="B1243" t="s">
        <v>3214</v>
      </c>
      <c r="C1243" t="s">
        <v>3217</v>
      </c>
      <c r="D1243" t="s">
        <v>3225</v>
      </c>
      <c r="E1243" t="s">
        <v>3226</v>
      </c>
      <c r="F1243">
        <v>42811.92</v>
      </c>
      <c r="G1243">
        <v>29445.94</v>
      </c>
      <c r="H1243">
        <v>2</v>
      </c>
    </row>
    <row r="1244" spans="1:8" x14ac:dyDescent="0.25">
      <c r="A1244" t="s">
        <v>1159</v>
      </c>
      <c r="B1244" t="s">
        <v>3214</v>
      </c>
      <c r="C1244" t="s">
        <v>3217</v>
      </c>
      <c r="D1244" t="s">
        <v>3222</v>
      </c>
      <c r="E1244" t="s">
        <v>3226</v>
      </c>
      <c r="F1244">
        <v>30028.78</v>
      </c>
      <c r="G1244">
        <v>18693.400000000001</v>
      </c>
      <c r="H1244">
        <v>2</v>
      </c>
    </row>
    <row r="1245" spans="1:8" x14ac:dyDescent="0.25">
      <c r="A1245" t="s">
        <v>1160</v>
      </c>
      <c r="B1245" t="s">
        <v>3215</v>
      </c>
      <c r="C1245" t="s">
        <v>3221</v>
      </c>
      <c r="D1245" t="s">
        <v>3223</v>
      </c>
      <c r="E1245" t="s">
        <v>3226</v>
      </c>
      <c r="F1245">
        <v>17574.32</v>
      </c>
      <c r="G1245">
        <v>14149.03</v>
      </c>
    </row>
    <row r="1246" spans="1:8" x14ac:dyDescent="0.25">
      <c r="A1246" t="s">
        <v>1161</v>
      </c>
      <c r="B1246" t="s">
        <v>3213</v>
      </c>
      <c r="C1246" t="s">
        <v>3220</v>
      </c>
      <c r="D1246" t="s">
        <v>3224</v>
      </c>
      <c r="E1246" t="s">
        <v>3226</v>
      </c>
      <c r="F1246">
        <v>103677.16</v>
      </c>
      <c r="G1246">
        <v>82749.69</v>
      </c>
      <c r="H1246">
        <v>2</v>
      </c>
    </row>
    <row r="1247" spans="1:8" x14ac:dyDescent="0.25">
      <c r="A1247" t="s">
        <v>1162</v>
      </c>
      <c r="B1247" t="s">
        <v>3212</v>
      </c>
      <c r="C1247" t="s">
        <v>3221</v>
      </c>
      <c r="D1247" t="s">
        <v>3223</v>
      </c>
      <c r="E1247" t="s">
        <v>3226</v>
      </c>
      <c r="F1247">
        <v>16138.61</v>
      </c>
      <c r="G1247">
        <v>13912.19</v>
      </c>
      <c r="H1247">
        <v>2</v>
      </c>
    </row>
    <row r="1248" spans="1:8" x14ac:dyDescent="0.25">
      <c r="A1248" t="s">
        <v>1163</v>
      </c>
      <c r="B1248" t="s">
        <v>3215</v>
      </c>
      <c r="C1248" t="s">
        <v>3221</v>
      </c>
      <c r="D1248" t="s">
        <v>3223</v>
      </c>
      <c r="E1248" t="s">
        <v>3226</v>
      </c>
      <c r="F1248">
        <v>35726.9</v>
      </c>
      <c r="G1248">
        <v>22383.08</v>
      </c>
      <c r="H1248">
        <v>3</v>
      </c>
    </row>
    <row r="1249" spans="1:8" x14ac:dyDescent="0.25">
      <c r="A1249" t="s">
        <v>1164</v>
      </c>
      <c r="B1249" t="s">
        <v>3212</v>
      </c>
      <c r="C1249" t="s">
        <v>3221</v>
      </c>
      <c r="D1249" t="s">
        <v>3222</v>
      </c>
      <c r="E1249" t="s">
        <v>3226</v>
      </c>
      <c r="F1249">
        <v>65375.62</v>
      </c>
      <c r="G1249">
        <v>40619.5</v>
      </c>
    </row>
    <row r="1250" spans="1:8" x14ac:dyDescent="0.25">
      <c r="A1250" t="s">
        <v>398</v>
      </c>
      <c r="B1250" t="s">
        <v>3212</v>
      </c>
      <c r="C1250" t="s">
        <v>3221</v>
      </c>
      <c r="D1250" t="s">
        <v>3224</v>
      </c>
      <c r="E1250" t="s">
        <v>3226</v>
      </c>
      <c r="F1250">
        <v>252234.14</v>
      </c>
      <c r="G1250">
        <v>178478.37</v>
      </c>
      <c r="H1250">
        <v>4</v>
      </c>
    </row>
    <row r="1251" spans="1:8" x14ac:dyDescent="0.25">
      <c r="A1251" t="s">
        <v>1165</v>
      </c>
      <c r="B1251" t="s">
        <v>3215</v>
      </c>
      <c r="C1251" t="s">
        <v>3217</v>
      </c>
      <c r="D1251" t="s">
        <v>3225</v>
      </c>
      <c r="E1251" t="s">
        <v>3226</v>
      </c>
      <c r="F1251">
        <v>87460.44</v>
      </c>
      <c r="G1251">
        <v>62601.16</v>
      </c>
      <c r="H1251">
        <v>5</v>
      </c>
    </row>
    <row r="1252" spans="1:8" x14ac:dyDescent="0.25">
      <c r="A1252" t="s">
        <v>815</v>
      </c>
      <c r="B1252" t="s">
        <v>3213</v>
      </c>
      <c r="C1252" t="s">
        <v>3217</v>
      </c>
      <c r="D1252" t="s">
        <v>3223</v>
      </c>
      <c r="E1252" t="s">
        <v>3226</v>
      </c>
      <c r="F1252">
        <v>18414.23</v>
      </c>
      <c r="G1252">
        <v>14866.48</v>
      </c>
      <c r="H1252">
        <v>2</v>
      </c>
    </row>
    <row r="1253" spans="1:8" x14ac:dyDescent="0.25">
      <c r="A1253" t="s">
        <v>1166</v>
      </c>
      <c r="C1253" t="s">
        <v>3220</v>
      </c>
      <c r="D1253" t="s">
        <v>3222</v>
      </c>
      <c r="E1253" t="s">
        <v>3226</v>
      </c>
      <c r="F1253">
        <v>13418.84</v>
      </c>
      <c r="G1253">
        <v>9363.5499999999993</v>
      </c>
      <c r="H1253">
        <v>1</v>
      </c>
    </row>
    <row r="1254" spans="1:8" x14ac:dyDescent="0.25">
      <c r="A1254" t="s">
        <v>1167</v>
      </c>
      <c r="B1254" t="s">
        <v>3212</v>
      </c>
      <c r="C1254" t="s">
        <v>3220</v>
      </c>
      <c r="D1254" t="s">
        <v>3222</v>
      </c>
      <c r="E1254" t="s">
        <v>3226</v>
      </c>
      <c r="F1254">
        <v>35077.730000000003</v>
      </c>
      <c r="G1254">
        <v>18346.78</v>
      </c>
      <c r="H1254">
        <v>2</v>
      </c>
    </row>
    <row r="1255" spans="1:8" x14ac:dyDescent="0.25">
      <c r="A1255" t="s">
        <v>1168</v>
      </c>
      <c r="B1255" t="s">
        <v>3212</v>
      </c>
      <c r="C1255" t="s">
        <v>3219</v>
      </c>
      <c r="D1255" t="s">
        <v>3222</v>
      </c>
      <c r="E1255" t="s">
        <v>3226</v>
      </c>
      <c r="F1255">
        <v>40135.69</v>
      </c>
      <c r="G1255">
        <v>25767.040000000001</v>
      </c>
      <c r="H1255">
        <v>3</v>
      </c>
    </row>
    <row r="1256" spans="1:8" x14ac:dyDescent="0.25">
      <c r="A1256" t="s">
        <v>1169</v>
      </c>
      <c r="B1256" t="s">
        <v>3211</v>
      </c>
      <c r="C1256" t="s">
        <v>3217</v>
      </c>
      <c r="D1256" t="s">
        <v>3224</v>
      </c>
      <c r="E1256" t="s">
        <v>3226</v>
      </c>
      <c r="H1256">
        <v>5</v>
      </c>
    </row>
    <row r="1257" spans="1:8" x14ac:dyDescent="0.25">
      <c r="A1257" t="s">
        <v>1074</v>
      </c>
      <c r="B1257" t="s">
        <v>3214</v>
      </c>
      <c r="C1257" t="s">
        <v>3217</v>
      </c>
      <c r="D1257" t="s">
        <v>3222</v>
      </c>
      <c r="E1257" t="s">
        <v>3226</v>
      </c>
      <c r="F1257">
        <v>13944.17</v>
      </c>
      <c r="G1257">
        <v>9798.57</v>
      </c>
      <c r="H1257">
        <v>1</v>
      </c>
    </row>
    <row r="1258" spans="1:8" x14ac:dyDescent="0.25">
      <c r="A1258" t="s">
        <v>1170</v>
      </c>
      <c r="C1258" t="s">
        <v>3220</v>
      </c>
      <c r="D1258" t="s">
        <v>3223</v>
      </c>
      <c r="E1258" t="s">
        <v>3226</v>
      </c>
      <c r="F1258">
        <v>52240.99</v>
      </c>
      <c r="H1258">
        <v>5</v>
      </c>
    </row>
    <row r="1259" spans="1:8" x14ac:dyDescent="0.25">
      <c r="A1259" t="s">
        <v>1171</v>
      </c>
      <c r="B1259" t="s">
        <v>3214</v>
      </c>
      <c r="C1259" t="s">
        <v>3218</v>
      </c>
      <c r="D1259" t="s">
        <v>3225</v>
      </c>
      <c r="E1259" t="s">
        <v>3226</v>
      </c>
      <c r="F1259">
        <v>64347.3</v>
      </c>
      <c r="G1259">
        <v>36098.980000000003</v>
      </c>
      <c r="H1259">
        <v>3</v>
      </c>
    </row>
    <row r="1260" spans="1:8" x14ac:dyDescent="0.25">
      <c r="A1260" t="s">
        <v>1172</v>
      </c>
      <c r="B1260" t="s">
        <v>3215</v>
      </c>
      <c r="C1260" t="s">
        <v>3217</v>
      </c>
      <c r="D1260" t="s">
        <v>3225</v>
      </c>
      <c r="E1260" t="s">
        <v>3226</v>
      </c>
      <c r="F1260">
        <v>82907.289999999994</v>
      </c>
      <c r="G1260">
        <v>71997.13</v>
      </c>
      <c r="H1260">
        <v>5</v>
      </c>
    </row>
    <row r="1261" spans="1:8" x14ac:dyDescent="0.25">
      <c r="A1261" t="s">
        <v>1173</v>
      </c>
      <c r="B1261" t="s">
        <v>3215</v>
      </c>
      <c r="C1261" t="s">
        <v>3218</v>
      </c>
      <c r="D1261" t="s">
        <v>3224</v>
      </c>
      <c r="E1261" t="s">
        <v>3226</v>
      </c>
      <c r="F1261">
        <v>277343.09000000003</v>
      </c>
      <c r="G1261">
        <v>216544.49</v>
      </c>
      <c r="H1261">
        <v>5</v>
      </c>
    </row>
    <row r="1262" spans="1:8" x14ac:dyDescent="0.25">
      <c r="A1262" t="s">
        <v>1174</v>
      </c>
      <c r="B1262" t="s">
        <v>3215</v>
      </c>
      <c r="C1262" t="s">
        <v>3217</v>
      </c>
      <c r="D1262" t="s">
        <v>3224</v>
      </c>
      <c r="E1262" t="s">
        <v>3226</v>
      </c>
      <c r="F1262">
        <v>331522.34000000003</v>
      </c>
      <c r="H1262">
        <v>5</v>
      </c>
    </row>
    <row r="1263" spans="1:8" x14ac:dyDescent="0.25">
      <c r="A1263" t="s">
        <v>1175</v>
      </c>
      <c r="C1263" t="s">
        <v>3217</v>
      </c>
      <c r="D1263" t="s">
        <v>3225</v>
      </c>
      <c r="E1263" t="s">
        <v>3226</v>
      </c>
      <c r="F1263">
        <v>60515.73</v>
      </c>
      <c r="G1263">
        <v>44750.41</v>
      </c>
    </row>
    <row r="1264" spans="1:8" x14ac:dyDescent="0.25">
      <c r="A1264" t="s">
        <v>1176</v>
      </c>
      <c r="B1264" t="s">
        <v>3215</v>
      </c>
      <c r="C1264" t="s">
        <v>3217</v>
      </c>
      <c r="D1264" t="s">
        <v>3222</v>
      </c>
      <c r="E1264" t="s">
        <v>3226</v>
      </c>
      <c r="F1264">
        <v>14800.29</v>
      </c>
      <c r="G1264">
        <v>8750.7199999999993</v>
      </c>
      <c r="H1264">
        <v>1</v>
      </c>
    </row>
    <row r="1265" spans="1:8" x14ac:dyDescent="0.25">
      <c r="A1265" t="s">
        <v>1177</v>
      </c>
      <c r="C1265" t="s">
        <v>3218</v>
      </c>
      <c r="D1265" t="s">
        <v>3224</v>
      </c>
      <c r="E1265" t="s">
        <v>3226</v>
      </c>
      <c r="F1265">
        <v>214040.38</v>
      </c>
      <c r="G1265">
        <v>160911.44</v>
      </c>
    </row>
    <row r="1266" spans="1:8" x14ac:dyDescent="0.25">
      <c r="A1266" t="s">
        <v>1178</v>
      </c>
      <c r="C1266" t="s">
        <v>3220</v>
      </c>
      <c r="D1266" t="s">
        <v>3224</v>
      </c>
      <c r="E1266" t="s">
        <v>3226</v>
      </c>
      <c r="F1266">
        <v>143617.85</v>
      </c>
      <c r="H1266">
        <v>2</v>
      </c>
    </row>
    <row r="1267" spans="1:8" x14ac:dyDescent="0.25">
      <c r="A1267" t="s">
        <v>1179</v>
      </c>
      <c r="C1267" t="s">
        <v>3217</v>
      </c>
      <c r="D1267" t="s">
        <v>3222</v>
      </c>
      <c r="E1267" t="s">
        <v>3226</v>
      </c>
      <c r="F1267">
        <v>12054.66</v>
      </c>
      <c r="G1267">
        <v>10440.06</v>
      </c>
      <c r="H1267">
        <v>1</v>
      </c>
    </row>
    <row r="1268" spans="1:8" x14ac:dyDescent="0.25">
      <c r="A1268" t="s">
        <v>1180</v>
      </c>
      <c r="B1268" t="s">
        <v>3211</v>
      </c>
      <c r="C1268" t="s">
        <v>3216</v>
      </c>
      <c r="D1268" t="s">
        <v>3225</v>
      </c>
      <c r="E1268" t="s">
        <v>3226</v>
      </c>
      <c r="F1268">
        <v>81072.27</v>
      </c>
      <c r="G1268">
        <v>59128.34</v>
      </c>
      <c r="H1268">
        <v>4</v>
      </c>
    </row>
    <row r="1269" spans="1:8" x14ac:dyDescent="0.25">
      <c r="A1269" t="s">
        <v>1181</v>
      </c>
      <c r="B1269" t="s">
        <v>3213</v>
      </c>
      <c r="C1269" t="s">
        <v>3221</v>
      </c>
      <c r="D1269" t="s">
        <v>3224</v>
      </c>
      <c r="E1269" t="s">
        <v>3226</v>
      </c>
      <c r="F1269">
        <v>52046.49</v>
      </c>
      <c r="G1269">
        <v>47152.1</v>
      </c>
      <c r="H1269">
        <v>1</v>
      </c>
    </row>
    <row r="1270" spans="1:8" x14ac:dyDescent="0.25">
      <c r="A1270" t="s">
        <v>1182</v>
      </c>
      <c r="C1270" t="s">
        <v>3216</v>
      </c>
      <c r="D1270" t="s">
        <v>3225</v>
      </c>
      <c r="E1270" t="s">
        <v>3226</v>
      </c>
      <c r="F1270">
        <v>22524.42</v>
      </c>
      <c r="G1270">
        <v>14062.77</v>
      </c>
      <c r="H1270">
        <v>1</v>
      </c>
    </row>
    <row r="1271" spans="1:8" x14ac:dyDescent="0.25">
      <c r="A1271" t="s">
        <v>1183</v>
      </c>
      <c r="B1271" t="s">
        <v>3211</v>
      </c>
      <c r="C1271" t="s">
        <v>3219</v>
      </c>
      <c r="D1271" t="s">
        <v>3222</v>
      </c>
      <c r="E1271" t="s">
        <v>3226</v>
      </c>
      <c r="F1271">
        <v>66362.679999999993</v>
      </c>
      <c r="G1271">
        <v>41640.129999999997</v>
      </c>
    </row>
    <row r="1272" spans="1:8" x14ac:dyDescent="0.25">
      <c r="A1272" t="s">
        <v>1184</v>
      </c>
      <c r="C1272" t="s">
        <v>3221</v>
      </c>
      <c r="D1272" t="s">
        <v>3225</v>
      </c>
      <c r="E1272" t="s">
        <v>3226</v>
      </c>
      <c r="F1272">
        <v>71565.06</v>
      </c>
      <c r="G1272">
        <v>43070.51</v>
      </c>
      <c r="H1272">
        <v>3</v>
      </c>
    </row>
    <row r="1273" spans="1:8" x14ac:dyDescent="0.25">
      <c r="A1273" t="s">
        <v>1185</v>
      </c>
      <c r="C1273" t="s">
        <v>3217</v>
      </c>
      <c r="D1273" t="s">
        <v>3225</v>
      </c>
      <c r="E1273" t="s">
        <v>3226</v>
      </c>
      <c r="F1273">
        <v>72767.7</v>
      </c>
      <c r="G1273">
        <v>54671.63</v>
      </c>
      <c r="H1273">
        <v>4</v>
      </c>
    </row>
    <row r="1274" spans="1:8" x14ac:dyDescent="0.25">
      <c r="A1274" t="s">
        <v>1186</v>
      </c>
      <c r="B1274" t="s">
        <v>3211</v>
      </c>
      <c r="C1274" t="s">
        <v>3219</v>
      </c>
      <c r="D1274" t="s">
        <v>3225</v>
      </c>
      <c r="E1274" t="s">
        <v>3226</v>
      </c>
      <c r="F1274">
        <v>98479.98</v>
      </c>
      <c r="G1274">
        <v>59716.800000000003</v>
      </c>
      <c r="H1274">
        <v>5</v>
      </c>
    </row>
    <row r="1275" spans="1:8" x14ac:dyDescent="0.25">
      <c r="A1275" t="s">
        <v>1187</v>
      </c>
      <c r="B1275" t="s">
        <v>3212</v>
      </c>
      <c r="C1275" t="s">
        <v>3217</v>
      </c>
      <c r="D1275" t="s">
        <v>3225</v>
      </c>
      <c r="E1275" t="s">
        <v>3226</v>
      </c>
      <c r="F1275">
        <v>72723.02</v>
      </c>
      <c r="G1275">
        <v>55696.31</v>
      </c>
    </row>
    <row r="1276" spans="1:8" x14ac:dyDescent="0.25">
      <c r="A1276" t="s">
        <v>1188</v>
      </c>
      <c r="B1276" t="s">
        <v>3214</v>
      </c>
      <c r="C1276" t="s">
        <v>3219</v>
      </c>
      <c r="D1276" t="s">
        <v>3223</v>
      </c>
      <c r="E1276" t="s">
        <v>3226</v>
      </c>
      <c r="F1276">
        <v>9370.4</v>
      </c>
      <c r="G1276">
        <v>6134.76</v>
      </c>
      <c r="H1276">
        <v>1</v>
      </c>
    </row>
    <row r="1277" spans="1:8" x14ac:dyDescent="0.25">
      <c r="A1277" t="s">
        <v>1189</v>
      </c>
      <c r="B1277" t="s">
        <v>3212</v>
      </c>
      <c r="C1277" t="s">
        <v>3219</v>
      </c>
      <c r="D1277" t="s">
        <v>3223</v>
      </c>
      <c r="E1277" t="s">
        <v>3226</v>
      </c>
      <c r="F1277">
        <v>8623.67</v>
      </c>
      <c r="H1277">
        <v>1</v>
      </c>
    </row>
    <row r="1278" spans="1:8" x14ac:dyDescent="0.25">
      <c r="A1278" t="s">
        <v>1190</v>
      </c>
      <c r="B1278" t="s">
        <v>3215</v>
      </c>
      <c r="C1278" t="s">
        <v>3216</v>
      </c>
      <c r="D1278" t="s">
        <v>3222</v>
      </c>
      <c r="E1278" t="s">
        <v>3226</v>
      </c>
      <c r="F1278">
        <v>57445.87</v>
      </c>
      <c r="G1278">
        <v>38832.49</v>
      </c>
      <c r="H1278">
        <v>4</v>
      </c>
    </row>
    <row r="1279" spans="1:8" x14ac:dyDescent="0.25">
      <c r="A1279" t="s">
        <v>1191</v>
      </c>
      <c r="B1279" t="s">
        <v>3215</v>
      </c>
      <c r="C1279" t="s">
        <v>3220</v>
      </c>
      <c r="D1279" t="s">
        <v>3222</v>
      </c>
      <c r="E1279" t="s">
        <v>3226</v>
      </c>
      <c r="F1279">
        <v>33967</v>
      </c>
      <c r="G1279">
        <v>18777.25</v>
      </c>
      <c r="H1279">
        <v>2</v>
      </c>
    </row>
    <row r="1280" spans="1:8" x14ac:dyDescent="0.25">
      <c r="A1280" t="s">
        <v>1192</v>
      </c>
      <c r="C1280" t="s">
        <v>3219</v>
      </c>
      <c r="D1280" t="s">
        <v>3222</v>
      </c>
      <c r="E1280" t="s">
        <v>3226</v>
      </c>
      <c r="F1280">
        <v>24767.08</v>
      </c>
      <c r="G1280">
        <v>20573.439999999999</v>
      </c>
      <c r="H1280">
        <v>2</v>
      </c>
    </row>
    <row r="1281" spans="1:8" x14ac:dyDescent="0.25">
      <c r="A1281" t="s">
        <v>1193</v>
      </c>
      <c r="B1281" t="s">
        <v>3213</v>
      </c>
      <c r="C1281" t="s">
        <v>3220</v>
      </c>
      <c r="D1281" t="s">
        <v>3223</v>
      </c>
      <c r="E1281" t="s">
        <v>3226</v>
      </c>
      <c r="F1281">
        <v>8063.1</v>
      </c>
      <c r="G1281">
        <v>7391.97</v>
      </c>
      <c r="H1281">
        <v>1</v>
      </c>
    </row>
    <row r="1282" spans="1:8" x14ac:dyDescent="0.25">
      <c r="A1282" t="s">
        <v>1194</v>
      </c>
      <c r="B1282" t="s">
        <v>3214</v>
      </c>
      <c r="C1282" t="s">
        <v>3219</v>
      </c>
      <c r="D1282" t="s">
        <v>3222</v>
      </c>
      <c r="E1282" t="s">
        <v>3226</v>
      </c>
      <c r="F1282">
        <v>77564.539999999994</v>
      </c>
      <c r="H1282">
        <v>5</v>
      </c>
    </row>
    <row r="1283" spans="1:8" x14ac:dyDescent="0.25">
      <c r="A1283" t="s">
        <v>1195</v>
      </c>
      <c r="B1283" t="s">
        <v>3213</v>
      </c>
      <c r="C1283" t="s">
        <v>3216</v>
      </c>
      <c r="D1283" t="s">
        <v>3225</v>
      </c>
      <c r="E1283" t="s">
        <v>3226</v>
      </c>
      <c r="F1283">
        <v>70073.179999999993</v>
      </c>
      <c r="G1283">
        <v>50216.21</v>
      </c>
      <c r="H1283">
        <v>4</v>
      </c>
    </row>
    <row r="1284" spans="1:8" x14ac:dyDescent="0.25">
      <c r="A1284" t="s">
        <v>1196</v>
      </c>
      <c r="B1284" t="s">
        <v>3211</v>
      </c>
      <c r="C1284" t="s">
        <v>3218</v>
      </c>
      <c r="D1284" t="s">
        <v>3225</v>
      </c>
      <c r="E1284" t="s">
        <v>3226</v>
      </c>
      <c r="F1284">
        <v>68569.119999999995</v>
      </c>
      <c r="G1284">
        <v>49015.75</v>
      </c>
      <c r="H1284">
        <v>4</v>
      </c>
    </row>
    <row r="1285" spans="1:8" x14ac:dyDescent="0.25">
      <c r="A1285" t="s">
        <v>1197</v>
      </c>
      <c r="B1285" t="s">
        <v>3212</v>
      </c>
      <c r="C1285" t="s">
        <v>3218</v>
      </c>
      <c r="D1285" t="s">
        <v>3224</v>
      </c>
      <c r="E1285" t="s">
        <v>3226</v>
      </c>
      <c r="F1285">
        <v>271810.96999999997</v>
      </c>
      <c r="G1285">
        <v>223344</v>
      </c>
      <c r="H1285">
        <v>5</v>
      </c>
    </row>
    <row r="1286" spans="1:8" x14ac:dyDescent="0.25">
      <c r="A1286" t="s">
        <v>11</v>
      </c>
      <c r="B1286" t="s">
        <v>3211</v>
      </c>
      <c r="C1286" t="s">
        <v>3219</v>
      </c>
      <c r="D1286" t="s">
        <v>3223</v>
      </c>
      <c r="E1286" t="s">
        <v>3226</v>
      </c>
      <c r="F1286">
        <v>51245.65</v>
      </c>
      <c r="G1286">
        <v>31955.86</v>
      </c>
      <c r="H1286">
        <v>5</v>
      </c>
    </row>
    <row r="1287" spans="1:8" x14ac:dyDescent="0.25">
      <c r="A1287" t="s">
        <v>1198</v>
      </c>
      <c r="B1287" t="s">
        <v>3212</v>
      </c>
      <c r="C1287" t="s">
        <v>3216</v>
      </c>
      <c r="D1287" t="s">
        <v>3223</v>
      </c>
      <c r="E1287" t="s">
        <v>3226</v>
      </c>
      <c r="F1287">
        <v>20088.07</v>
      </c>
      <c r="G1287">
        <v>12437.86</v>
      </c>
      <c r="H1287">
        <v>2</v>
      </c>
    </row>
    <row r="1288" spans="1:8" x14ac:dyDescent="0.25">
      <c r="A1288" t="s">
        <v>1199</v>
      </c>
      <c r="B1288" t="s">
        <v>3212</v>
      </c>
      <c r="C1288" t="s">
        <v>3217</v>
      </c>
      <c r="D1288" t="s">
        <v>3225</v>
      </c>
      <c r="E1288" t="s">
        <v>3226</v>
      </c>
      <c r="F1288">
        <v>89015.11</v>
      </c>
      <c r="G1288">
        <v>47815.81</v>
      </c>
      <c r="H1288">
        <v>4</v>
      </c>
    </row>
    <row r="1289" spans="1:8" x14ac:dyDescent="0.25">
      <c r="A1289" t="s">
        <v>1200</v>
      </c>
      <c r="B1289" t="s">
        <v>3215</v>
      </c>
      <c r="C1289" t="s">
        <v>3221</v>
      </c>
      <c r="D1289" t="s">
        <v>3222</v>
      </c>
      <c r="E1289" t="s">
        <v>3226</v>
      </c>
      <c r="F1289">
        <v>65166.55</v>
      </c>
      <c r="G1289">
        <v>52027.88</v>
      </c>
      <c r="H1289">
        <v>5</v>
      </c>
    </row>
    <row r="1290" spans="1:8" x14ac:dyDescent="0.25">
      <c r="A1290" t="s">
        <v>1201</v>
      </c>
      <c r="B1290" t="s">
        <v>3212</v>
      </c>
      <c r="C1290" t="s">
        <v>3217</v>
      </c>
      <c r="D1290" t="s">
        <v>3222</v>
      </c>
      <c r="E1290" t="s">
        <v>3226</v>
      </c>
      <c r="F1290">
        <v>66160.600000000006</v>
      </c>
      <c r="G1290">
        <v>38539.33</v>
      </c>
      <c r="H1290">
        <v>4</v>
      </c>
    </row>
    <row r="1291" spans="1:8" x14ac:dyDescent="0.25">
      <c r="A1291" t="s">
        <v>1202</v>
      </c>
      <c r="B1291" t="s">
        <v>3212</v>
      </c>
      <c r="C1291" t="s">
        <v>3221</v>
      </c>
      <c r="D1291" t="s">
        <v>3225</v>
      </c>
      <c r="E1291" t="s">
        <v>3226</v>
      </c>
      <c r="F1291">
        <v>33036.36</v>
      </c>
      <c r="G1291">
        <v>28971.79</v>
      </c>
      <c r="H1291">
        <v>2</v>
      </c>
    </row>
    <row r="1292" spans="1:8" x14ac:dyDescent="0.25">
      <c r="A1292" t="s">
        <v>1203</v>
      </c>
      <c r="B1292" t="s">
        <v>3213</v>
      </c>
      <c r="C1292" t="s">
        <v>3216</v>
      </c>
      <c r="D1292" t="s">
        <v>3223</v>
      </c>
      <c r="E1292" t="s">
        <v>3226</v>
      </c>
      <c r="F1292">
        <v>43195.3</v>
      </c>
      <c r="G1292">
        <v>24457.75</v>
      </c>
      <c r="H1292">
        <v>4</v>
      </c>
    </row>
    <row r="1293" spans="1:8" x14ac:dyDescent="0.25">
      <c r="A1293" t="s">
        <v>1204</v>
      </c>
      <c r="B1293" t="s">
        <v>3211</v>
      </c>
      <c r="C1293" t="s">
        <v>3217</v>
      </c>
      <c r="D1293" t="s">
        <v>3222</v>
      </c>
      <c r="E1293" t="s">
        <v>3226</v>
      </c>
      <c r="F1293">
        <v>41598.19</v>
      </c>
      <c r="G1293">
        <v>27795.439999999999</v>
      </c>
      <c r="H1293">
        <v>3</v>
      </c>
    </row>
    <row r="1294" spans="1:8" x14ac:dyDescent="0.25">
      <c r="A1294" t="s">
        <v>1205</v>
      </c>
      <c r="B1294" t="s">
        <v>3213</v>
      </c>
      <c r="C1294" t="s">
        <v>3220</v>
      </c>
      <c r="D1294" t="s">
        <v>3224</v>
      </c>
      <c r="E1294" t="s">
        <v>3226</v>
      </c>
      <c r="F1294">
        <v>173032.6</v>
      </c>
      <c r="G1294">
        <v>127375.23</v>
      </c>
      <c r="H1294">
        <v>3</v>
      </c>
    </row>
    <row r="1295" spans="1:8" x14ac:dyDescent="0.25">
      <c r="A1295" t="s">
        <v>1206</v>
      </c>
      <c r="B1295" t="s">
        <v>3211</v>
      </c>
      <c r="C1295" t="s">
        <v>3217</v>
      </c>
      <c r="D1295" t="s">
        <v>3225</v>
      </c>
      <c r="E1295" t="s">
        <v>3226</v>
      </c>
      <c r="G1295">
        <v>70842.94</v>
      </c>
      <c r="H1295">
        <v>5</v>
      </c>
    </row>
    <row r="1296" spans="1:8" x14ac:dyDescent="0.25">
      <c r="A1296" t="s">
        <v>1207</v>
      </c>
      <c r="B1296" t="s">
        <v>3211</v>
      </c>
      <c r="C1296" t="s">
        <v>3216</v>
      </c>
      <c r="D1296" t="s">
        <v>3222</v>
      </c>
      <c r="E1296" t="s">
        <v>3226</v>
      </c>
      <c r="F1296">
        <v>13151.33</v>
      </c>
      <c r="H1296">
        <v>1</v>
      </c>
    </row>
    <row r="1297" spans="1:8" x14ac:dyDescent="0.25">
      <c r="A1297" t="s">
        <v>1208</v>
      </c>
      <c r="B1297" t="s">
        <v>3211</v>
      </c>
      <c r="C1297" t="s">
        <v>3220</v>
      </c>
      <c r="D1297" t="s">
        <v>3223</v>
      </c>
      <c r="E1297" t="s">
        <v>3226</v>
      </c>
      <c r="F1297">
        <v>41573.67</v>
      </c>
      <c r="G1297">
        <v>33478.83</v>
      </c>
      <c r="H1297">
        <v>5</v>
      </c>
    </row>
    <row r="1298" spans="1:8" x14ac:dyDescent="0.25">
      <c r="A1298" t="s">
        <v>1209</v>
      </c>
      <c r="B1298" t="s">
        <v>3214</v>
      </c>
      <c r="C1298" t="s">
        <v>3218</v>
      </c>
      <c r="D1298" t="s">
        <v>3224</v>
      </c>
      <c r="E1298" t="s">
        <v>3226</v>
      </c>
      <c r="F1298">
        <v>262421.59999999998</v>
      </c>
      <c r="G1298">
        <v>171796.6</v>
      </c>
      <c r="H1298">
        <v>4</v>
      </c>
    </row>
    <row r="1299" spans="1:8" x14ac:dyDescent="0.25">
      <c r="A1299" t="s">
        <v>1210</v>
      </c>
      <c r="C1299" t="s">
        <v>3219</v>
      </c>
      <c r="D1299" t="s">
        <v>3224</v>
      </c>
      <c r="E1299" t="s">
        <v>3226</v>
      </c>
      <c r="F1299">
        <v>345758.99</v>
      </c>
      <c r="G1299">
        <v>224213.42</v>
      </c>
      <c r="H1299">
        <v>5</v>
      </c>
    </row>
    <row r="1300" spans="1:8" x14ac:dyDescent="0.25">
      <c r="A1300" t="s">
        <v>1211</v>
      </c>
      <c r="B1300" t="s">
        <v>3215</v>
      </c>
      <c r="C1300" t="s">
        <v>3221</v>
      </c>
      <c r="D1300" t="s">
        <v>3225</v>
      </c>
      <c r="E1300" t="s">
        <v>3226</v>
      </c>
      <c r="F1300">
        <v>116024.67</v>
      </c>
      <c r="G1300">
        <v>61790.11</v>
      </c>
      <c r="H1300">
        <v>5</v>
      </c>
    </row>
    <row r="1301" spans="1:8" x14ac:dyDescent="0.25">
      <c r="A1301" t="s">
        <v>1212</v>
      </c>
      <c r="B1301" t="s">
        <v>3214</v>
      </c>
      <c r="C1301" t="s">
        <v>3221</v>
      </c>
      <c r="D1301" t="s">
        <v>3224</v>
      </c>
      <c r="E1301" t="s">
        <v>3226</v>
      </c>
      <c r="F1301">
        <v>304996.98</v>
      </c>
      <c r="G1301">
        <v>213066.29</v>
      </c>
      <c r="H1301">
        <v>5</v>
      </c>
    </row>
    <row r="1302" spans="1:8" x14ac:dyDescent="0.25">
      <c r="A1302" t="s">
        <v>1213</v>
      </c>
      <c r="B1302" t="s">
        <v>3212</v>
      </c>
      <c r="C1302" t="s">
        <v>3219</v>
      </c>
      <c r="D1302" t="s">
        <v>3223</v>
      </c>
      <c r="E1302" t="s">
        <v>3226</v>
      </c>
      <c r="F1302">
        <v>44170.55</v>
      </c>
      <c r="G1302">
        <v>36444.31</v>
      </c>
      <c r="H1302">
        <v>5</v>
      </c>
    </row>
    <row r="1303" spans="1:8" x14ac:dyDescent="0.25">
      <c r="A1303" t="s">
        <v>1214</v>
      </c>
      <c r="B1303" t="s">
        <v>3214</v>
      </c>
      <c r="C1303" t="s">
        <v>3217</v>
      </c>
      <c r="D1303" t="s">
        <v>3225</v>
      </c>
      <c r="E1303" t="s">
        <v>3226</v>
      </c>
      <c r="F1303">
        <v>32503.32</v>
      </c>
      <c r="G1303">
        <v>28668.33</v>
      </c>
      <c r="H1303">
        <v>2</v>
      </c>
    </row>
    <row r="1304" spans="1:8" x14ac:dyDescent="0.25">
      <c r="A1304" t="s">
        <v>1215</v>
      </c>
      <c r="B1304" t="s">
        <v>3214</v>
      </c>
      <c r="C1304" t="s">
        <v>3221</v>
      </c>
      <c r="D1304" t="s">
        <v>3223</v>
      </c>
      <c r="E1304" t="s">
        <v>3226</v>
      </c>
      <c r="F1304">
        <v>34024.9</v>
      </c>
      <c r="G1304">
        <v>26499.34</v>
      </c>
      <c r="H1304">
        <v>4</v>
      </c>
    </row>
    <row r="1305" spans="1:8" x14ac:dyDescent="0.25">
      <c r="A1305" t="s">
        <v>1216</v>
      </c>
      <c r="C1305" t="s">
        <v>3219</v>
      </c>
      <c r="D1305" t="s">
        <v>3223</v>
      </c>
      <c r="E1305" t="s">
        <v>3226</v>
      </c>
      <c r="F1305">
        <v>10824.49</v>
      </c>
      <c r="G1305">
        <v>7676.14</v>
      </c>
      <c r="H1305">
        <v>1</v>
      </c>
    </row>
    <row r="1306" spans="1:8" x14ac:dyDescent="0.25">
      <c r="A1306" t="s">
        <v>1217</v>
      </c>
      <c r="B1306" t="s">
        <v>3212</v>
      </c>
      <c r="C1306" t="s">
        <v>3221</v>
      </c>
      <c r="D1306" t="s">
        <v>3224</v>
      </c>
      <c r="E1306" t="s">
        <v>3226</v>
      </c>
      <c r="H1306">
        <v>4</v>
      </c>
    </row>
    <row r="1307" spans="1:8" x14ac:dyDescent="0.25">
      <c r="A1307" t="s">
        <v>1218</v>
      </c>
      <c r="B1307" t="s">
        <v>3215</v>
      </c>
      <c r="C1307" t="s">
        <v>3219</v>
      </c>
      <c r="D1307" t="s">
        <v>3223</v>
      </c>
      <c r="E1307" t="s">
        <v>3226</v>
      </c>
      <c r="F1307">
        <v>45569.65</v>
      </c>
      <c r="G1307">
        <v>30586.93</v>
      </c>
      <c r="H1307">
        <v>5</v>
      </c>
    </row>
    <row r="1308" spans="1:8" x14ac:dyDescent="0.25">
      <c r="A1308" t="s">
        <v>1219</v>
      </c>
      <c r="B1308" t="s">
        <v>3212</v>
      </c>
      <c r="C1308" t="s">
        <v>3216</v>
      </c>
      <c r="D1308" t="s">
        <v>3225</v>
      </c>
      <c r="E1308" t="s">
        <v>3226</v>
      </c>
      <c r="F1308">
        <v>36365.160000000003</v>
      </c>
      <c r="H1308">
        <v>2</v>
      </c>
    </row>
    <row r="1309" spans="1:8" x14ac:dyDescent="0.25">
      <c r="A1309" t="s">
        <v>1220</v>
      </c>
      <c r="B1309" t="s">
        <v>3212</v>
      </c>
      <c r="C1309" t="s">
        <v>3221</v>
      </c>
      <c r="D1309" t="s">
        <v>3224</v>
      </c>
      <c r="E1309" t="s">
        <v>3226</v>
      </c>
      <c r="F1309">
        <v>294606.2</v>
      </c>
      <c r="G1309">
        <v>207599.08</v>
      </c>
    </row>
    <row r="1310" spans="1:8" x14ac:dyDescent="0.25">
      <c r="A1310" t="s">
        <v>1221</v>
      </c>
      <c r="B1310" t="s">
        <v>3211</v>
      </c>
      <c r="C1310" t="s">
        <v>3219</v>
      </c>
      <c r="D1310" t="s">
        <v>3222</v>
      </c>
      <c r="E1310" t="s">
        <v>3226</v>
      </c>
      <c r="F1310">
        <v>79650.740000000005</v>
      </c>
      <c r="G1310">
        <v>48073.120000000003</v>
      </c>
      <c r="H1310">
        <v>5</v>
      </c>
    </row>
    <row r="1311" spans="1:8" x14ac:dyDescent="0.25">
      <c r="A1311" t="s">
        <v>1222</v>
      </c>
      <c r="B1311" t="s">
        <v>3214</v>
      </c>
      <c r="C1311" t="s">
        <v>3218</v>
      </c>
      <c r="D1311" t="s">
        <v>3223</v>
      </c>
      <c r="E1311" t="s">
        <v>3226</v>
      </c>
      <c r="F1311">
        <v>8206.65</v>
      </c>
      <c r="G1311">
        <v>6539.62</v>
      </c>
      <c r="H1311">
        <v>1</v>
      </c>
    </row>
    <row r="1312" spans="1:8" x14ac:dyDescent="0.25">
      <c r="A1312" t="s">
        <v>1223</v>
      </c>
      <c r="B1312" t="s">
        <v>3213</v>
      </c>
      <c r="C1312" t="s">
        <v>3220</v>
      </c>
      <c r="D1312" t="s">
        <v>3225</v>
      </c>
      <c r="E1312" t="s">
        <v>3226</v>
      </c>
      <c r="F1312">
        <v>23371.18</v>
      </c>
      <c r="G1312">
        <v>14138.66</v>
      </c>
      <c r="H1312">
        <v>1</v>
      </c>
    </row>
    <row r="1313" spans="1:8" x14ac:dyDescent="0.25">
      <c r="A1313" t="s">
        <v>1224</v>
      </c>
      <c r="B1313" t="s">
        <v>3214</v>
      </c>
      <c r="C1313" t="s">
        <v>3219</v>
      </c>
      <c r="D1313" t="s">
        <v>3224</v>
      </c>
      <c r="E1313" t="s">
        <v>3226</v>
      </c>
      <c r="F1313">
        <v>101683.28</v>
      </c>
      <c r="G1313">
        <v>82139.759999999995</v>
      </c>
      <c r="H1313">
        <v>2</v>
      </c>
    </row>
    <row r="1314" spans="1:8" x14ac:dyDescent="0.25">
      <c r="A1314" t="s">
        <v>962</v>
      </c>
      <c r="B1314" t="s">
        <v>3212</v>
      </c>
      <c r="C1314" t="s">
        <v>3218</v>
      </c>
      <c r="D1314" t="s">
        <v>3223</v>
      </c>
      <c r="E1314" t="s">
        <v>3226</v>
      </c>
      <c r="F1314">
        <v>10886.52</v>
      </c>
      <c r="G1314">
        <v>6196.55</v>
      </c>
      <c r="H1314">
        <v>1</v>
      </c>
    </row>
    <row r="1315" spans="1:8" x14ac:dyDescent="0.25">
      <c r="A1315" t="s">
        <v>1225</v>
      </c>
      <c r="B1315" t="s">
        <v>3215</v>
      </c>
      <c r="C1315" t="s">
        <v>3220</v>
      </c>
      <c r="D1315" t="s">
        <v>3225</v>
      </c>
      <c r="E1315" t="s">
        <v>3226</v>
      </c>
      <c r="F1315">
        <v>22227.94</v>
      </c>
      <c r="G1315">
        <v>12097.32</v>
      </c>
      <c r="H1315">
        <v>1</v>
      </c>
    </row>
    <row r="1316" spans="1:8" x14ac:dyDescent="0.25">
      <c r="A1316" t="s">
        <v>1226</v>
      </c>
      <c r="B1316" t="s">
        <v>3212</v>
      </c>
      <c r="C1316" t="s">
        <v>3220</v>
      </c>
      <c r="D1316" t="s">
        <v>3222</v>
      </c>
      <c r="E1316" t="s">
        <v>3226</v>
      </c>
      <c r="F1316">
        <v>49218.720000000001</v>
      </c>
      <c r="G1316">
        <v>26406.3</v>
      </c>
      <c r="H1316">
        <v>3</v>
      </c>
    </row>
    <row r="1317" spans="1:8" x14ac:dyDescent="0.25">
      <c r="A1317" t="s">
        <v>1227</v>
      </c>
      <c r="C1317" t="s">
        <v>3219</v>
      </c>
      <c r="D1317" t="s">
        <v>3222</v>
      </c>
      <c r="E1317" t="s">
        <v>3226</v>
      </c>
      <c r="F1317">
        <v>29616.73</v>
      </c>
      <c r="G1317">
        <v>18165.25</v>
      </c>
      <c r="H1317">
        <v>2</v>
      </c>
    </row>
    <row r="1318" spans="1:8" x14ac:dyDescent="0.25">
      <c r="A1318" t="s">
        <v>1228</v>
      </c>
      <c r="B1318" t="s">
        <v>3213</v>
      </c>
      <c r="C1318" t="s">
        <v>3217</v>
      </c>
      <c r="D1318" t="s">
        <v>3225</v>
      </c>
      <c r="E1318" t="s">
        <v>3226</v>
      </c>
      <c r="F1318">
        <v>75900.67</v>
      </c>
      <c r="G1318">
        <v>47995.99</v>
      </c>
      <c r="H1318">
        <v>4</v>
      </c>
    </row>
    <row r="1319" spans="1:8" x14ac:dyDescent="0.25">
      <c r="A1319" t="s">
        <v>1229</v>
      </c>
      <c r="B1319" t="s">
        <v>3214</v>
      </c>
      <c r="C1319" t="s">
        <v>3216</v>
      </c>
      <c r="D1319" t="s">
        <v>3225</v>
      </c>
      <c r="E1319" t="s">
        <v>3226</v>
      </c>
      <c r="F1319">
        <v>88533.86</v>
      </c>
      <c r="G1319">
        <v>65194.33</v>
      </c>
      <c r="H1319">
        <v>5</v>
      </c>
    </row>
    <row r="1320" spans="1:8" x14ac:dyDescent="0.25">
      <c r="A1320" t="s">
        <v>397</v>
      </c>
      <c r="B1320" t="s">
        <v>3214</v>
      </c>
      <c r="C1320" t="s">
        <v>3218</v>
      </c>
      <c r="D1320" t="s">
        <v>3223</v>
      </c>
      <c r="E1320" t="s">
        <v>3226</v>
      </c>
      <c r="F1320">
        <v>9237.17</v>
      </c>
      <c r="G1320">
        <v>6232.78</v>
      </c>
      <c r="H1320">
        <v>1</v>
      </c>
    </row>
    <row r="1321" spans="1:8" x14ac:dyDescent="0.25">
      <c r="A1321" t="s">
        <v>1230</v>
      </c>
      <c r="B1321" t="s">
        <v>3213</v>
      </c>
      <c r="C1321" t="s">
        <v>3218</v>
      </c>
      <c r="D1321" t="s">
        <v>3225</v>
      </c>
      <c r="E1321" t="s">
        <v>3226</v>
      </c>
      <c r="F1321">
        <v>34852.400000000001</v>
      </c>
      <c r="G1321">
        <v>30271.01</v>
      </c>
      <c r="H1321">
        <v>2</v>
      </c>
    </row>
    <row r="1322" spans="1:8" x14ac:dyDescent="0.25">
      <c r="A1322" t="s">
        <v>1231</v>
      </c>
      <c r="B1322" t="s">
        <v>3215</v>
      </c>
      <c r="C1322" t="s">
        <v>3218</v>
      </c>
      <c r="D1322" t="s">
        <v>3224</v>
      </c>
      <c r="E1322" t="s">
        <v>3226</v>
      </c>
      <c r="F1322">
        <v>67176.25</v>
      </c>
      <c r="G1322">
        <v>38657.870000000003</v>
      </c>
      <c r="H1322">
        <v>1</v>
      </c>
    </row>
    <row r="1323" spans="1:8" x14ac:dyDescent="0.25">
      <c r="A1323" t="s">
        <v>1232</v>
      </c>
      <c r="B1323" t="s">
        <v>3212</v>
      </c>
      <c r="C1323" t="s">
        <v>3217</v>
      </c>
      <c r="D1323" t="s">
        <v>3222</v>
      </c>
      <c r="E1323" t="s">
        <v>3226</v>
      </c>
      <c r="F1323">
        <v>13653.05</v>
      </c>
      <c r="G1323">
        <v>9454.27</v>
      </c>
      <c r="H1323">
        <v>1</v>
      </c>
    </row>
    <row r="1324" spans="1:8" x14ac:dyDescent="0.25">
      <c r="A1324" t="s">
        <v>1233</v>
      </c>
      <c r="B1324" t="s">
        <v>3211</v>
      </c>
      <c r="C1324" t="s">
        <v>3218</v>
      </c>
      <c r="D1324" t="s">
        <v>3222</v>
      </c>
      <c r="E1324" t="s">
        <v>3226</v>
      </c>
      <c r="F1324">
        <v>40267.39</v>
      </c>
      <c r="G1324">
        <v>27927.47</v>
      </c>
      <c r="H1324">
        <v>3</v>
      </c>
    </row>
    <row r="1325" spans="1:8" x14ac:dyDescent="0.25">
      <c r="A1325" t="s">
        <v>1234</v>
      </c>
      <c r="B1325" t="s">
        <v>3215</v>
      </c>
      <c r="C1325" t="s">
        <v>3217</v>
      </c>
      <c r="D1325" t="s">
        <v>3222</v>
      </c>
      <c r="E1325" t="s">
        <v>3226</v>
      </c>
      <c r="F1325">
        <v>52286.59</v>
      </c>
      <c r="G1325">
        <v>43824.24</v>
      </c>
      <c r="H1325">
        <v>4</v>
      </c>
    </row>
    <row r="1326" spans="1:8" x14ac:dyDescent="0.25">
      <c r="A1326" t="s">
        <v>1026</v>
      </c>
      <c r="B1326" t="s">
        <v>3211</v>
      </c>
      <c r="C1326" t="s">
        <v>3221</v>
      </c>
      <c r="D1326" t="s">
        <v>3223</v>
      </c>
      <c r="E1326" t="s">
        <v>3226</v>
      </c>
      <c r="G1326">
        <v>25169.89</v>
      </c>
      <c r="H1326">
        <v>4</v>
      </c>
    </row>
    <row r="1327" spans="1:8" x14ac:dyDescent="0.25">
      <c r="A1327" t="s">
        <v>38</v>
      </c>
      <c r="B1327" t="s">
        <v>3215</v>
      </c>
      <c r="C1327" t="s">
        <v>3221</v>
      </c>
      <c r="D1327" t="s">
        <v>3225</v>
      </c>
      <c r="E1327" t="s">
        <v>3226</v>
      </c>
      <c r="F1327">
        <v>96700.91</v>
      </c>
      <c r="G1327">
        <v>64760.34</v>
      </c>
      <c r="H1327">
        <v>5</v>
      </c>
    </row>
    <row r="1328" spans="1:8" x14ac:dyDescent="0.25">
      <c r="A1328" t="s">
        <v>1235</v>
      </c>
      <c r="C1328" t="s">
        <v>3220</v>
      </c>
      <c r="D1328" t="s">
        <v>3224</v>
      </c>
      <c r="E1328" t="s">
        <v>3226</v>
      </c>
      <c r="F1328">
        <v>206365.13</v>
      </c>
      <c r="G1328">
        <v>173237.73</v>
      </c>
      <c r="H1328">
        <v>4</v>
      </c>
    </row>
    <row r="1329" spans="1:8" x14ac:dyDescent="0.25">
      <c r="A1329" t="s">
        <v>1236</v>
      </c>
      <c r="B1329" t="s">
        <v>3212</v>
      </c>
      <c r="C1329" t="s">
        <v>3217</v>
      </c>
      <c r="D1329" t="s">
        <v>3222</v>
      </c>
      <c r="E1329" t="s">
        <v>3226</v>
      </c>
      <c r="F1329">
        <v>51039.8</v>
      </c>
      <c r="G1329">
        <v>37464.51</v>
      </c>
      <c r="H1329">
        <v>4</v>
      </c>
    </row>
    <row r="1330" spans="1:8" x14ac:dyDescent="0.25">
      <c r="A1330" t="s">
        <v>1237</v>
      </c>
      <c r="B1330" t="s">
        <v>3214</v>
      </c>
      <c r="C1330" t="s">
        <v>3217</v>
      </c>
      <c r="D1330" t="s">
        <v>3224</v>
      </c>
      <c r="E1330" t="s">
        <v>3226</v>
      </c>
      <c r="F1330">
        <v>302410.78999999998</v>
      </c>
      <c r="G1330">
        <v>213789.33</v>
      </c>
      <c r="H1330">
        <v>5</v>
      </c>
    </row>
    <row r="1331" spans="1:8" x14ac:dyDescent="0.25">
      <c r="A1331" t="s">
        <v>1238</v>
      </c>
      <c r="B1331" t="s">
        <v>3212</v>
      </c>
      <c r="C1331" t="s">
        <v>3219</v>
      </c>
      <c r="D1331" t="s">
        <v>3222</v>
      </c>
      <c r="E1331" t="s">
        <v>3226</v>
      </c>
      <c r="F1331">
        <v>15340.94</v>
      </c>
      <c r="G1331">
        <v>8928.23</v>
      </c>
      <c r="H1331">
        <v>1</v>
      </c>
    </row>
    <row r="1332" spans="1:8" x14ac:dyDescent="0.25">
      <c r="A1332" t="s">
        <v>1239</v>
      </c>
      <c r="B1332" t="s">
        <v>3212</v>
      </c>
      <c r="C1332" t="s">
        <v>3217</v>
      </c>
      <c r="D1332" t="s">
        <v>3223</v>
      </c>
      <c r="E1332" t="s">
        <v>3226</v>
      </c>
      <c r="F1332">
        <v>40025.26</v>
      </c>
      <c r="G1332">
        <v>29866.26</v>
      </c>
      <c r="H1332">
        <v>4</v>
      </c>
    </row>
    <row r="1333" spans="1:8" x14ac:dyDescent="0.25">
      <c r="A1333" t="s">
        <v>1113</v>
      </c>
      <c r="B1333" t="s">
        <v>3213</v>
      </c>
      <c r="C1333" t="s">
        <v>3221</v>
      </c>
      <c r="D1333" t="s">
        <v>3222</v>
      </c>
      <c r="E1333" t="s">
        <v>3226</v>
      </c>
      <c r="F1333">
        <v>15959.55</v>
      </c>
      <c r="G1333">
        <v>9794.1200000000008</v>
      </c>
      <c r="H1333">
        <v>1</v>
      </c>
    </row>
    <row r="1334" spans="1:8" x14ac:dyDescent="0.25">
      <c r="A1334" t="s">
        <v>1240</v>
      </c>
      <c r="B1334" t="s">
        <v>3215</v>
      </c>
      <c r="C1334" t="s">
        <v>3219</v>
      </c>
      <c r="D1334" t="s">
        <v>3222</v>
      </c>
      <c r="E1334" t="s">
        <v>3226</v>
      </c>
      <c r="G1334">
        <v>42862.96</v>
      </c>
      <c r="H1334">
        <v>4</v>
      </c>
    </row>
    <row r="1335" spans="1:8" x14ac:dyDescent="0.25">
      <c r="A1335" t="s">
        <v>1241</v>
      </c>
      <c r="B1335" t="s">
        <v>3212</v>
      </c>
      <c r="C1335" t="s">
        <v>3221</v>
      </c>
      <c r="D1335" t="s">
        <v>3224</v>
      </c>
      <c r="E1335" t="s">
        <v>3226</v>
      </c>
      <c r="F1335">
        <v>133742.85999999999</v>
      </c>
      <c r="G1335">
        <v>96527.37</v>
      </c>
      <c r="H1335">
        <v>2</v>
      </c>
    </row>
    <row r="1336" spans="1:8" x14ac:dyDescent="0.25">
      <c r="A1336" t="s">
        <v>1242</v>
      </c>
      <c r="B1336" t="s">
        <v>3213</v>
      </c>
      <c r="C1336" t="s">
        <v>3216</v>
      </c>
      <c r="D1336" t="s">
        <v>3222</v>
      </c>
      <c r="E1336" t="s">
        <v>3226</v>
      </c>
      <c r="F1336">
        <v>57021.19</v>
      </c>
      <c r="G1336">
        <v>39321.699999999997</v>
      </c>
      <c r="H1336">
        <v>4</v>
      </c>
    </row>
    <row r="1337" spans="1:8" x14ac:dyDescent="0.25">
      <c r="A1337" t="s">
        <v>1243</v>
      </c>
      <c r="B1337" t="s">
        <v>3213</v>
      </c>
      <c r="C1337" t="s">
        <v>3217</v>
      </c>
      <c r="D1337" t="s">
        <v>3225</v>
      </c>
      <c r="E1337" t="s">
        <v>3226</v>
      </c>
      <c r="F1337">
        <v>48284.53</v>
      </c>
      <c r="G1337">
        <v>37015.660000000003</v>
      </c>
      <c r="H1337">
        <v>3</v>
      </c>
    </row>
    <row r="1338" spans="1:8" x14ac:dyDescent="0.25">
      <c r="A1338" t="s">
        <v>1244</v>
      </c>
      <c r="B1338" t="s">
        <v>3213</v>
      </c>
      <c r="C1338" t="s">
        <v>3220</v>
      </c>
      <c r="D1338" t="s">
        <v>3223</v>
      </c>
      <c r="E1338" t="s">
        <v>3226</v>
      </c>
      <c r="F1338">
        <v>31460.61</v>
      </c>
      <c r="G1338">
        <v>18190.849999999999</v>
      </c>
      <c r="H1338">
        <v>3</v>
      </c>
    </row>
    <row r="1339" spans="1:8" x14ac:dyDescent="0.25">
      <c r="A1339" t="s">
        <v>1245</v>
      </c>
      <c r="B1339" t="s">
        <v>3214</v>
      </c>
      <c r="C1339" t="s">
        <v>3219</v>
      </c>
      <c r="D1339" t="s">
        <v>3222</v>
      </c>
      <c r="E1339" t="s">
        <v>3226</v>
      </c>
      <c r="F1339">
        <v>80865.13</v>
      </c>
      <c r="G1339">
        <v>49688.27</v>
      </c>
    </row>
    <row r="1340" spans="1:8" x14ac:dyDescent="0.25">
      <c r="A1340" t="s">
        <v>118</v>
      </c>
      <c r="B1340" t="s">
        <v>3212</v>
      </c>
      <c r="C1340" t="s">
        <v>3217</v>
      </c>
      <c r="D1340" t="s">
        <v>3222</v>
      </c>
      <c r="E1340" t="s">
        <v>3226</v>
      </c>
      <c r="G1340">
        <v>9356.08</v>
      </c>
    </row>
    <row r="1341" spans="1:8" x14ac:dyDescent="0.25">
      <c r="A1341" t="s">
        <v>1246</v>
      </c>
      <c r="B1341" t="s">
        <v>3211</v>
      </c>
      <c r="C1341" t="s">
        <v>3217</v>
      </c>
      <c r="D1341" t="s">
        <v>3222</v>
      </c>
      <c r="E1341" t="s">
        <v>3226</v>
      </c>
      <c r="F1341">
        <v>53478.09</v>
      </c>
      <c r="G1341">
        <v>32125.4</v>
      </c>
      <c r="H1341">
        <v>3</v>
      </c>
    </row>
    <row r="1342" spans="1:8" x14ac:dyDescent="0.25">
      <c r="A1342" t="s">
        <v>767</v>
      </c>
      <c r="C1342" t="s">
        <v>3220</v>
      </c>
      <c r="D1342" t="s">
        <v>3225</v>
      </c>
      <c r="E1342" t="s">
        <v>3226</v>
      </c>
      <c r="F1342">
        <v>21061.279999999999</v>
      </c>
      <c r="G1342">
        <v>12083.61</v>
      </c>
      <c r="H1342">
        <v>1</v>
      </c>
    </row>
    <row r="1343" spans="1:8" x14ac:dyDescent="0.25">
      <c r="A1343" t="s">
        <v>1247</v>
      </c>
      <c r="B1343" t="s">
        <v>3215</v>
      </c>
      <c r="C1343" t="s">
        <v>3216</v>
      </c>
      <c r="D1343" t="s">
        <v>3222</v>
      </c>
      <c r="E1343" t="s">
        <v>3226</v>
      </c>
      <c r="F1343">
        <v>69594.600000000006</v>
      </c>
      <c r="G1343">
        <v>35181.56</v>
      </c>
      <c r="H1343">
        <v>4</v>
      </c>
    </row>
    <row r="1344" spans="1:8" x14ac:dyDescent="0.25">
      <c r="A1344" t="s">
        <v>1248</v>
      </c>
      <c r="B1344" t="s">
        <v>3212</v>
      </c>
      <c r="C1344" t="s">
        <v>3217</v>
      </c>
      <c r="D1344" t="s">
        <v>3224</v>
      </c>
      <c r="E1344" t="s">
        <v>3226</v>
      </c>
      <c r="F1344">
        <v>103455.02</v>
      </c>
      <c r="G1344">
        <v>77262.2</v>
      </c>
      <c r="H1344">
        <v>2</v>
      </c>
    </row>
    <row r="1345" spans="1:8" x14ac:dyDescent="0.25">
      <c r="A1345" t="s">
        <v>246</v>
      </c>
      <c r="B1345" t="s">
        <v>3215</v>
      </c>
      <c r="C1345" t="s">
        <v>3217</v>
      </c>
      <c r="D1345" t="s">
        <v>3225</v>
      </c>
      <c r="E1345" t="s">
        <v>3226</v>
      </c>
      <c r="F1345">
        <v>71175.02</v>
      </c>
      <c r="G1345">
        <v>37389.839999999997</v>
      </c>
      <c r="H1345">
        <v>3</v>
      </c>
    </row>
    <row r="1346" spans="1:8" x14ac:dyDescent="0.25">
      <c r="A1346" t="s">
        <v>1249</v>
      </c>
      <c r="B1346" t="s">
        <v>3212</v>
      </c>
      <c r="C1346" t="s">
        <v>3219</v>
      </c>
      <c r="D1346" t="s">
        <v>3222</v>
      </c>
      <c r="E1346" t="s">
        <v>3226</v>
      </c>
      <c r="F1346">
        <v>71452.39</v>
      </c>
      <c r="G1346">
        <v>39821.21</v>
      </c>
      <c r="H1346">
        <v>4</v>
      </c>
    </row>
    <row r="1347" spans="1:8" x14ac:dyDescent="0.25">
      <c r="A1347" t="s">
        <v>1250</v>
      </c>
      <c r="B1347" t="s">
        <v>3211</v>
      </c>
      <c r="C1347" t="s">
        <v>3216</v>
      </c>
      <c r="D1347" t="s">
        <v>3225</v>
      </c>
      <c r="E1347" t="s">
        <v>3226</v>
      </c>
      <c r="F1347">
        <v>21437.919999999998</v>
      </c>
      <c r="G1347">
        <v>12810.99</v>
      </c>
      <c r="H1347">
        <v>1</v>
      </c>
    </row>
    <row r="1348" spans="1:8" x14ac:dyDescent="0.25">
      <c r="A1348" t="s">
        <v>1251</v>
      </c>
      <c r="C1348" t="s">
        <v>3219</v>
      </c>
      <c r="D1348" t="s">
        <v>3225</v>
      </c>
      <c r="E1348" t="s">
        <v>3226</v>
      </c>
      <c r="F1348">
        <v>20377.97</v>
      </c>
      <c r="G1348">
        <v>13801.51</v>
      </c>
      <c r="H1348">
        <v>1</v>
      </c>
    </row>
    <row r="1349" spans="1:8" x14ac:dyDescent="0.25">
      <c r="A1349" t="s">
        <v>1252</v>
      </c>
      <c r="B1349" t="s">
        <v>3213</v>
      </c>
      <c r="C1349" t="s">
        <v>3221</v>
      </c>
      <c r="D1349" t="s">
        <v>3223</v>
      </c>
      <c r="E1349" t="s">
        <v>3226</v>
      </c>
      <c r="F1349">
        <v>58552.77</v>
      </c>
      <c r="G1349">
        <v>33314.18</v>
      </c>
    </row>
    <row r="1350" spans="1:8" x14ac:dyDescent="0.25">
      <c r="A1350" t="s">
        <v>1253</v>
      </c>
      <c r="C1350" t="s">
        <v>3221</v>
      </c>
      <c r="D1350" t="s">
        <v>3223</v>
      </c>
      <c r="E1350" t="s">
        <v>3226</v>
      </c>
      <c r="F1350">
        <v>45514.59</v>
      </c>
      <c r="G1350">
        <v>36719.800000000003</v>
      </c>
      <c r="H1350">
        <v>5</v>
      </c>
    </row>
    <row r="1351" spans="1:8" x14ac:dyDescent="0.25">
      <c r="A1351" t="s">
        <v>1254</v>
      </c>
      <c r="B1351" t="s">
        <v>3212</v>
      </c>
      <c r="C1351" t="s">
        <v>3219</v>
      </c>
      <c r="D1351" t="s">
        <v>3222</v>
      </c>
      <c r="E1351" t="s">
        <v>3226</v>
      </c>
      <c r="F1351">
        <v>60160.52</v>
      </c>
      <c r="G1351">
        <v>36687.47</v>
      </c>
      <c r="H1351">
        <v>4</v>
      </c>
    </row>
    <row r="1352" spans="1:8" x14ac:dyDescent="0.25">
      <c r="A1352" t="s">
        <v>1255</v>
      </c>
      <c r="B1352" t="s">
        <v>3211</v>
      </c>
      <c r="C1352" t="s">
        <v>3221</v>
      </c>
      <c r="D1352" t="s">
        <v>3225</v>
      </c>
      <c r="E1352" t="s">
        <v>3226</v>
      </c>
      <c r="F1352">
        <v>68144.899999999994</v>
      </c>
      <c r="G1352">
        <v>45617.120000000003</v>
      </c>
      <c r="H1352">
        <v>3</v>
      </c>
    </row>
    <row r="1353" spans="1:8" x14ac:dyDescent="0.25">
      <c r="A1353" t="s">
        <v>1256</v>
      </c>
      <c r="B1353" t="s">
        <v>3214</v>
      </c>
      <c r="C1353" t="s">
        <v>3218</v>
      </c>
      <c r="D1353" t="s">
        <v>3225</v>
      </c>
      <c r="E1353" t="s">
        <v>3226</v>
      </c>
      <c r="F1353">
        <v>50376.47</v>
      </c>
      <c r="G1353">
        <v>43659.8</v>
      </c>
      <c r="H1353">
        <v>3</v>
      </c>
    </row>
    <row r="1354" spans="1:8" x14ac:dyDescent="0.25">
      <c r="A1354" t="s">
        <v>908</v>
      </c>
      <c r="B1354" t="s">
        <v>3215</v>
      </c>
      <c r="C1354" t="s">
        <v>3218</v>
      </c>
      <c r="D1354" t="s">
        <v>3224</v>
      </c>
      <c r="E1354" t="s">
        <v>3226</v>
      </c>
      <c r="F1354">
        <v>103877.49</v>
      </c>
      <c r="G1354">
        <v>77726.759999999995</v>
      </c>
      <c r="H1354">
        <v>2</v>
      </c>
    </row>
    <row r="1355" spans="1:8" x14ac:dyDescent="0.25">
      <c r="A1355" t="s">
        <v>1257</v>
      </c>
      <c r="C1355" t="s">
        <v>3220</v>
      </c>
      <c r="D1355" t="s">
        <v>3225</v>
      </c>
      <c r="E1355" t="s">
        <v>3226</v>
      </c>
      <c r="F1355">
        <v>19097.740000000002</v>
      </c>
      <c r="G1355">
        <v>15081.64</v>
      </c>
      <c r="H1355">
        <v>1</v>
      </c>
    </row>
    <row r="1356" spans="1:8" x14ac:dyDescent="0.25">
      <c r="A1356" t="s">
        <v>1258</v>
      </c>
      <c r="B1356" t="s">
        <v>3212</v>
      </c>
      <c r="C1356" t="s">
        <v>3220</v>
      </c>
      <c r="D1356" t="s">
        <v>3223</v>
      </c>
      <c r="E1356" t="s">
        <v>3226</v>
      </c>
      <c r="F1356">
        <v>20176.59</v>
      </c>
      <c r="G1356">
        <v>13058.18</v>
      </c>
      <c r="H1356">
        <v>2</v>
      </c>
    </row>
    <row r="1357" spans="1:8" x14ac:dyDescent="0.25">
      <c r="A1357" t="s">
        <v>1259</v>
      </c>
      <c r="C1357" t="s">
        <v>3219</v>
      </c>
      <c r="D1357" t="s">
        <v>3222</v>
      </c>
      <c r="E1357" t="s">
        <v>3226</v>
      </c>
      <c r="F1357">
        <v>14170.8</v>
      </c>
      <c r="G1357">
        <v>8926.8700000000008</v>
      </c>
      <c r="H1357">
        <v>1</v>
      </c>
    </row>
    <row r="1358" spans="1:8" x14ac:dyDescent="0.25">
      <c r="A1358" t="s">
        <v>1260</v>
      </c>
      <c r="B1358" t="s">
        <v>3211</v>
      </c>
      <c r="C1358" t="s">
        <v>3220</v>
      </c>
      <c r="D1358" t="s">
        <v>3225</v>
      </c>
      <c r="E1358" t="s">
        <v>3226</v>
      </c>
      <c r="G1358">
        <v>76913.42</v>
      </c>
      <c r="H1358">
        <v>5</v>
      </c>
    </row>
    <row r="1359" spans="1:8" x14ac:dyDescent="0.25">
      <c r="A1359" t="s">
        <v>1261</v>
      </c>
      <c r="B1359" t="s">
        <v>3213</v>
      </c>
      <c r="C1359" t="s">
        <v>3216</v>
      </c>
      <c r="D1359" t="s">
        <v>3225</v>
      </c>
      <c r="E1359" t="s">
        <v>3226</v>
      </c>
      <c r="F1359">
        <v>50694.55</v>
      </c>
      <c r="G1359">
        <v>43330.78</v>
      </c>
      <c r="H1359">
        <v>3</v>
      </c>
    </row>
    <row r="1360" spans="1:8" x14ac:dyDescent="0.25">
      <c r="A1360" t="s">
        <v>557</v>
      </c>
      <c r="C1360" t="s">
        <v>3221</v>
      </c>
      <c r="D1360" t="s">
        <v>3224</v>
      </c>
      <c r="E1360" t="s">
        <v>3226</v>
      </c>
      <c r="F1360">
        <v>56415.58</v>
      </c>
      <c r="H1360">
        <v>1</v>
      </c>
    </row>
    <row r="1361" spans="1:8" x14ac:dyDescent="0.25">
      <c r="A1361" t="s">
        <v>1262</v>
      </c>
      <c r="B1361" t="s">
        <v>3211</v>
      </c>
      <c r="C1361" t="s">
        <v>3221</v>
      </c>
      <c r="D1361" t="s">
        <v>3225</v>
      </c>
      <c r="E1361" t="s">
        <v>3226</v>
      </c>
      <c r="F1361">
        <v>18550.39</v>
      </c>
      <c r="G1361">
        <v>12079.45</v>
      </c>
      <c r="H1361">
        <v>1</v>
      </c>
    </row>
    <row r="1362" spans="1:8" x14ac:dyDescent="0.25">
      <c r="A1362" t="s">
        <v>1263</v>
      </c>
      <c r="B1362" t="s">
        <v>3215</v>
      </c>
      <c r="C1362" t="s">
        <v>3220</v>
      </c>
      <c r="D1362" t="s">
        <v>3224</v>
      </c>
      <c r="E1362" t="s">
        <v>3226</v>
      </c>
      <c r="F1362">
        <v>53264.83</v>
      </c>
      <c r="G1362">
        <v>46509.96</v>
      </c>
      <c r="H1362">
        <v>1</v>
      </c>
    </row>
    <row r="1363" spans="1:8" x14ac:dyDescent="0.25">
      <c r="A1363" t="s">
        <v>1264</v>
      </c>
      <c r="B1363" t="s">
        <v>3214</v>
      </c>
      <c r="C1363" t="s">
        <v>3220</v>
      </c>
      <c r="D1363" t="s">
        <v>3223</v>
      </c>
      <c r="E1363" t="s">
        <v>3226</v>
      </c>
      <c r="F1363">
        <v>23434.79</v>
      </c>
      <c r="H1363">
        <v>2</v>
      </c>
    </row>
    <row r="1364" spans="1:8" x14ac:dyDescent="0.25">
      <c r="A1364" t="s">
        <v>1265</v>
      </c>
      <c r="B1364" t="s">
        <v>3215</v>
      </c>
      <c r="C1364" t="s">
        <v>3216</v>
      </c>
      <c r="D1364" t="s">
        <v>3225</v>
      </c>
      <c r="E1364" t="s">
        <v>3226</v>
      </c>
      <c r="F1364">
        <v>90289.29</v>
      </c>
      <c r="G1364">
        <v>48734.21</v>
      </c>
      <c r="H1364">
        <v>4</v>
      </c>
    </row>
    <row r="1365" spans="1:8" x14ac:dyDescent="0.25">
      <c r="A1365" t="s">
        <v>1266</v>
      </c>
      <c r="B1365" t="s">
        <v>3212</v>
      </c>
      <c r="C1365" t="s">
        <v>3221</v>
      </c>
      <c r="D1365" t="s">
        <v>3225</v>
      </c>
      <c r="E1365" t="s">
        <v>3226</v>
      </c>
      <c r="F1365">
        <v>20006.919999999998</v>
      </c>
      <c r="G1365">
        <v>12710.95</v>
      </c>
      <c r="H1365">
        <v>1</v>
      </c>
    </row>
    <row r="1366" spans="1:8" x14ac:dyDescent="0.25">
      <c r="A1366" t="s">
        <v>1267</v>
      </c>
      <c r="B1366" t="s">
        <v>3215</v>
      </c>
      <c r="C1366" t="s">
        <v>3216</v>
      </c>
      <c r="D1366" t="s">
        <v>3224</v>
      </c>
      <c r="E1366" t="s">
        <v>3226</v>
      </c>
      <c r="F1366">
        <v>52554.33</v>
      </c>
      <c r="H1366">
        <v>1</v>
      </c>
    </row>
    <row r="1367" spans="1:8" x14ac:dyDescent="0.25">
      <c r="A1367" t="s">
        <v>1268</v>
      </c>
      <c r="B1367" t="s">
        <v>3212</v>
      </c>
      <c r="C1367" t="s">
        <v>3216</v>
      </c>
      <c r="D1367" t="s">
        <v>3224</v>
      </c>
      <c r="E1367" t="s">
        <v>3226</v>
      </c>
      <c r="F1367">
        <v>133627.99</v>
      </c>
      <c r="G1367">
        <v>96687.09</v>
      </c>
      <c r="H1367">
        <v>2</v>
      </c>
    </row>
    <row r="1368" spans="1:8" x14ac:dyDescent="0.25">
      <c r="A1368" t="s">
        <v>1269</v>
      </c>
      <c r="B1368" t="s">
        <v>3213</v>
      </c>
      <c r="C1368" t="s">
        <v>3219</v>
      </c>
      <c r="D1368" t="s">
        <v>3225</v>
      </c>
      <c r="E1368" t="s">
        <v>3226</v>
      </c>
      <c r="F1368">
        <v>97293.91</v>
      </c>
      <c r="H1368">
        <v>5</v>
      </c>
    </row>
    <row r="1369" spans="1:8" x14ac:dyDescent="0.25">
      <c r="A1369" t="s">
        <v>1270</v>
      </c>
      <c r="B1369" t="s">
        <v>3211</v>
      </c>
      <c r="C1369" t="s">
        <v>3220</v>
      </c>
      <c r="D1369" t="s">
        <v>3223</v>
      </c>
      <c r="E1369" t="s">
        <v>3226</v>
      </c>
      <c r="F1369">
        <v>8939.7199999999993</v>
      </c>
      <c r="G1369">
        <v>6125.58</v>
      </c>
      <c r="H1369">
        <v>1</v>
      </c>
    </row>
    <row r="1370" spans="1:8" x14ac:dyDescent="0.25">
      <c r="A1370" t="s">
        <v>1271</v>
      </c>
      <c r="B1370" t="s">
        <v>3212</v>
      </c>
      <c r="C1370" t="s">
        <v>3216</v>
      </c>
      <c r="D1370" t="s">
        <v>3225</v>
      </c>
      <c r="E1370" t="s">
        <v>3226</v>
      </c>
      <c r="F1370">
        <v>60183.55</v>
      </c>
      <c r="G1370">
        <v>39013.519999999997</v>
      </c>
      <c r="H1370">
        <v>3</v>
      </c>
    </row>
    <row r="1371" spans="1:8" x14ac:dyDescent="0.25">
      <c r="A1371" t="s">
        <v>1272</v>
      </c>
      <c r="C1371" t="s">
        <v>3217</v>
      </c>
      <c r="D1371" t="s">
        <v>3224</v>
      </c>
      <c r="E1371" t="s">
        <v>3226</v>
      </c>
      <c r="F1371">
        <v>158013.65</v>
      </c>
      <c r="G1371">
        <v>120966.63</v>
      </c>
      <c r="H1371">
        <v>3</v>
      </c>
    </row>
    <row r="1372" spans="1:8" x14ac:dyDescent="0.25">
      <c r="A1372" t="s">
        <v>1273</v>
      </c>
      <c r="B1372" t="s">
        <v>3213</v>
      </c>
      <c r="C1372" t="s">
        <v>3216</v>
      </c>
      <c r="D1372" t="s">
        <v>3225</v>
      </c>
      <c r="E1372" t="s">
        <v>3226</v>
      </c>
      <c r="F1372">
        <v>84539.94</v>
      </c>
      <c r="G1372">
        <v>61171.199999999997</v>
      </c>
      <c r="H1372">
        <v>4</v>
      </c>
    </row>
    <row r="1373" spans="1:8" x14ac:dyDescent="0.25">
      <c r="A1373" t="s">
        <v>1274</v>
      </c>
      <c r="B1373" t="s">
        <v>3211</v>
      </c>
      <c r="C1373" t="s">
        <v>3221</v>
      </c>
      <c r="D1373" t="s">
        <v>3224</v>
      </c>
      <c r="E1373" t="s">
        <v>3226</v>
      </c>
      <c r="F1373">
        <v>260933.59</v>
      </c>
      <c r="G1373">
        <v>211099.38</v>
      </c>
      <c r="H1373">
        <v>5</v>
      </c>
    </row>
    <row r="1374" spans="1:8" x14ac:dyDescent="0.25">
      <c r="A1374" t="s">
        <v>1275</v>
      </c>
      <c r="B1374" t="s">
        <v>3212</v>
      </c>
      <c r="C1374" t="s">
        <v>3218</v>
      </c>
      <c r="D1374" t="s">
        <v>3224</v>
      </c>
      <c r="E1374" t="s">
        <v>3226</v>
      </c>
      <c r="G1374">
        <v>79070.59</v>
      </c>
      <c r="H1374">
        <v>2</v>
      </c>
    </row>
    <row r="1375" spans="1:8" x14ac:dyDescent="0.25">
      <c r="A1375" t="s">
        <v>1276</v>
      </c>
      <c r="B1375" t="s">
        <v>3212</v>
      </c>
      <c r="C1375" t="s">
        <v>3218</v>
      </c>
      <c r="D1375" t="s">
        <v>3225</v>
      </c>
      <c r="E1375" t="s">
        <v>3226</v>
      </c>
      <c r="F1375">
        <v>21187.4</v>
      </c>
      <c r="G1375">
        <v>14272.98</v>
      </c>
      <c r="H1375">
        <v>1</v>
      </c>
    </row>
    <row r="1376" spans="1:8" x14ac:dyDescent="0.25">
      <c r="A1376" t="s">
        <v>1277</v>
      </c>
      <c r="B1376" t="s">
        <v>3215</v>
      </c>
      <c r="C1376" t="s">
        <v>3220</v>
      </c>
      <c r="D1376" t="s">
        <v>3222</v>
      </c>
      <c r="E1376" t="s">
        <v>3226</v>
      </c>
      <c r="F1376">
        <v>51383.5</v>
      </c>
      <c r="G1376">
        <v>40788.46</v>
      </c>
      <c r="H1376">
        <v>4</v>
      </c>
    </row>
    <row r="1377" spans="1:8" x14ac:dyDescent="0.25">
      <c r="A1377" t="s">
        <v>1278</v>
      </c>
      <c r="B1377" t="s">
        <v>3214</v>
      </c>
      <c r="C1377" t="s">
        <v>3220</v>
      </c>
      <c r="D1377" t="s">
        <v>3224</v>
      </c>
      <c r="E1377" t="s">
        <v>3226</v>
      </c>
      <c r="F1377">
        <v>123186.75</v>
      </c>
      <c r="G1377">
        <v>91834.54</v>
      </c>
      <c r="H1377">
        <v>2</v>
      </c>
    </row>
    <row r="1378" spans="1:8" x14ac:dyDescent="0.25">
      <c r="A1378" t="s">
        <v>1279</v>
      </c>
      <c r="B1378" t="s">
        <v>3212</v>
      </c>
      <c r="C1378" t="s">
        <v>3218</v>
      </c>
      <c r="D1378" t="s">
        <v>3222</v>
      </c>
      <c r="E1378" t="s">
        <v>3226</v>
      </c>
      <c r="F1378">
        <v>33987.14</v>
      </c>
      <c r="G1378">
        <v>19296.59</v>
      </c>
    </row>
    <row r="1379" spans="1:8" x14ac:dyDescent="0.25">
      <c r="A1379" t="s">
        <v>1280</v>
      </c>
      <c r="B1379" t="s">
        <v>3214</v>
      </c>
      <c r="C1379" t="s">
        <v>3219</v>
      </c>
      <c r="D1379" t="s">
        <v>3223</v>
      </c>
      <c r="E1379" t="s">
        <v>3226</v>
      </c>
      <c r="F1379">
        <v>58424.959999999999</v>
      </c>
      <c r="G1379">
        <v>32428.799999999999</v>
      </c>
      <c r="H1379">
        <v>5</v>
      </c>
    </row>
    <row r="1380" spans="1:8" x14ac:dyDescent="0.25">
      <c r="A1380" t="s">
        <v>682</v>
      </c>
      <c r="B1380" t="s">
        <v>3215</v>
      </c>
      <c r="C1380" t="s">
        <v>3217</v>
      </c>
      <c r="D1380" t="s">
        <v>3223</v>
      </c>
      <c r="E1380" t="s">
        <v>3226</v>
      </c>
      <c r="F1380">
        <v>9722.8700000000008</v>
      </c>
      <c r="G1380">
        <v>6827.98</v>
      </c>
      <c r="H1380">
        <v>1</v>
      </c>
    </row>
    <row r="1381" spans="1:8" x14ac:dyDescent="0.25">
      <c r="A1381" t="s">
        <v>1281</v>
      </c>
      <c r="B1381" t="s">
        <v>3213</v>
      </c>
      <c r="C1381" t="s">
        <v>3216</v>
      </c>
      <c r="D1381" t="s">
        <v>3223</v>
      </c>
      <c r="E1381" t="s">
        <v>3226</v>
      </c>
      <c r="F1381">
        <v>59947.62</v>
      </c>
      <c r="G1381">
        <v>37385.57</v>
      </c>
      <c r="H1381">
        <v>5</v>
      </c>
    </row>
    <row r="1382" spans="1:8" x14ac:dyDescent="0.25">
      <c r="A1382" t="s">
        <v>1282</v>
      </c>
      <c r="B1382" t="s">
        <v>3215</v>
      </c>
      <c r="C1382" t="s">
        <v>3219</v>
      </c>
      <c r="D1382" t="s">
        <v>3223</v>
      </c>
      <c r="E1382" t="s">
        <v>3226</v>
      </c>
      <c r="F1382">
        <v>53041.65</v>
      </c>
      <c r="H1382">
        <v>5</v>
      </c>
    </row>
    <row r="1383" spans="1:8" x14ac:dyDescent="0.25">
      <c r="A1383" t="s">
        <v>589</v>
      </c>
      <c r="B1383" t="s">
        <v>3212</v>
      </c>
      <c r="C1383" t="s">
        <v>3217</v>
      </c>
      <c r="D1383" t="s">
        <v>3224</v>
      </c>
      <c r="E1383" t="s">
        <v>3226</v>
      </c>
      <c r="F1383">
        <v>123223.9</v>
      </c>
      <c r="G1383">
        <v>96735.14</v>
      </c>
      <c r="H1383">
        <v>2</v>
      </c>
    </row>
    <row r="1384" spans="1:8" x14ac:dyDescent="0.25">
      <c r="A1384" t="s">
        <v>1283</v>
      </c>
      <c r="C1384" t="s">
        <v>3220</v>
      </c>
      <c r="D1384" t="s">
        <v>3222</v>
      </c>
      <c r="E1384" t="s">
        <v>3226</v>
      </c>
      <c r="F1384">
        <v>56654.04</v>
      </c>
      <c r="G1384">
        <v>42724.56</v>
      </c>
      <c r="H1384">
        <v>4</v>
      </c>
    </row>
    <row r="1385" spans="1:8" x14ac:dyDescent="0.25">
      <c r="A1385" t="s">
        <v>1284</v>
      </c>
      <c r="B1385" t="s">
        <v>3213</v>
      </c>
      <c r="C1385" t="s">
        <v>3216</v>
      </c>
      <c r="D1385" t="s">
        <v>3223</v>
      </c>
      <c r="E1385" t="s">
        <v>3226</v>
      </c>
      <c r="F1385">
        <v>54480</v>
      </c>
      <c r="G1385">
        <v>34571.160000000003</v>
      </c>
      <c r="H1385">
        <v>5</v>
      </c>
    </row>
    <row r="1386" spans="1:8" x14ac:dyDescent="0.25">
      <c r="A1386" t="s">
        <v>1285</v>
      </c>
      <c r="B1386" t="s">
        <v>3213</v>
      </c>
      <c r="C1386" t="s">
        <v>3218</v>
      </c>
      <c r="D1386" t="s">
        <v>3223</v>
      </c>
      <c r="E1386" t="s">
        <v>3226</v>
      </c>
      <c r="F1386">
        <v>9066.2000000000007</v>
      </c>
      <c r="G1386">
        <v>6553.53</v>
      </c>
      <c r="H1386">
        <v>1</v>
      </c>
    </row>
    <row r="1387" spans="1:8" x14ac:dyDescent="0.25">
      <c r="A1387" t="s">
        <v>696</v>
      </c>
      <c r="B1387" t="s">
        <v>3211</v>
      </c>
      <c r="C1387" t="s">
        <v>3216</v>
      </c>
      <c r="D1387" t="s">
        <v>3224</v>
      </c>
      <c r="E1387" t="s">
        <v>3226</v>
      </c>
      <c r="F1387">
        <v>52933.72</v>
      </c>
      <c r="G1387">
        <v>39053.68</v>
      </c>
      <c r="H1387">
        <v>1</v>
      </c>
    </row>
    <row r="1388" spans="1:8" x14ac:dyDescent="0.25">
      <c r="A1388" t="s">
        <v>1286</v>
      </c>
      <c r="B1388" t="s">
        <v>3215</v>
      </c>
      <c r="C1388" t="s">
        <v>3219</v>
      </c>
      <c r="D1388" t="s">
        <v>3224</v>
      </c>
      <c r="E1388" t="s">
        <v>3226</v>
      </c>
      <c r="F1388">
        <v>109285.44</v>
      </c>
      <c r="G1388">
        <v>92580.23</v>
      </c>
      <c r="H1388">
        <v>2</v>
      </c>
    </row>
    <row r="1389" spans="1:8" x14ac:dyDescent="0.25">
      <c r="A1389" t="s">
        <v>1287</v>
      </c>
      <c r="C1389" t="s">
        <v>3217</v>
      </c>
      <c r="D1389" t="s">
        <v>3225</v>
      </c>
      <c r="E1389" t="s">
        <v>3226</v>
      </c>
      <c r="F1389">
        <v>23222.62</v>
      </c>
      <c r="G1389">
        <v>12865.8</v>
      </c>
      <c r="H1389">
        <v>1</v>
      </c>
    </row>
    <row r="1390" spans="1:8" x14ac:dyDescent="0.25">
      <c r="A1390" t="s">
        <v>1288</v>
      </c>
      <c r="B1390" t="s">
        <v>3212</v>
      </c>
      <c r="C1390" t="s">
        <v>3217</v>
      </c>
      <c r="D1390" t="s">
        <v>3224</v>
      </c>
      <c r="E1390" t="s">
        <v>3226</v>
      </c>
      <c r="F1390">
        <v>285380.62</v>
      </c>
      <c r="G1390">
        <v>233310.7</v>
      </c>
      <c r="H1390">
        <v>5</v>
      </c>
    </row>
    <row r="1391" spans="1:8" x14ac:dyDescent="0.25">
      <c r="A1391" t="s">
        <v>780</v>
      </c>
      <c r="C1391" t="s">
        <v>3221</v>
      </c>
      <c r="D1391" t="s">
        <v>3222</v>
      </c>
      <c r="E1391" t="s">
        <v>3226</v>
      </c>
      <c r="F1391">
        <v>33596.89</v>
      </c>
      <c r="H1391">
        <v>2</v>
      </c>
    </row>
    <row r="1392" spans="1:8" x14ac:dyDescent="0.25">
      <c r="A1392" t="s">
        <v>1289</v>
      </c>
      <c r="B1392" t="s">
        <v>3212</v>
      </c>
      <c r="C1392" t="s">
        <v>3216</v>
      </c>
      <c r="D1392" t="s">
        <v>3223</v>
      </c>
      <c r="E1392" t="s">
        <v>3226</v>
      </c>
      <c r="F1392">
        <v>36672.730000000003</v>
      </c>
      <c r="H1392">
        <v>4</v>
      </c>
    </row>
    <row r="1393" spans="1:8" x14ac:dyDescent="0.25">
      <c r="A1393" t="s">
        <v>1290</v>
      </c>
      <c r="B1393" t="s">
        <v>3211</v>
      </c>
      <c r="C1393" t="s">
        <v>3218</v>
      </c>
      <c r="D1393" t="s">
        <v>3223</v>
      </c>
      <c r="E1393" t="s">
        <v>3226</v>
      </c>
      <c r="F1393">
        <v>35759.18</v>
      </c>
      <c r="G1393">
        <v>26897.3</v>
      </c>
      <c r="H1393">
        <v>4</v>
      </c>
    </row>
    <row r="1394" spans="1:8" x14ac:dyDescent="0.25">
      <c r="A1394" t="s">
        <v>1291</v>
      </c>
      <c r="B1394" t="s">
        <v>3214</v>
      </c>
      <c r="C1394" t="s">
        <v>3220</v>
      </c>
      <c r="D1394" t="s">
        <v>3224</v>
      </c>
      <c r="E1394" t="s">
        <v>3226</v>
      </c>
      <c r="F1394">
        <v>257849.21</v>
      </c>
      <c r="G1394">
        <v>172303.65</v>
      </c>
    </row>
    <row r="1395" spans="1:8" x14ac:dyDescent="0.25">
      <c r="A1395" t="s">
        <v>1292</v>
      </c>
      <c r="B1395" t="s">
        <v>3213</v>
      </c>
      <c r="C1395" t="s">
        <v>3217</v>
      </c>
      <c r="D1395" t="s">
        <v>3223</v>
      </c>
      <c r="E1395" t="s">
        <v>3226</v>
      </c>
      <c r="F1395">
        <v>26847.77</v>
      </c>
      <c r="G1395">
        <v>20147.39</v>
      </c>
      <c r="H1395">
        <v>3</v>
      </c>
    </row>
    <row r="1396" spans="1:8" x14ac:dyDescent="0.25">
      <c r="A1396" t="s">
        <v>1293</v>
      </c>
      <c r="B1396" t="s">
        <v>3212</v>
      </c>
      <c r="C1396" t="s">
        <v>3217</v>
      </c>
      <c r="D1396" t="s">
        <v>3225</v>
      </c>
      <c r="E1396" t="s">
        <v>3226</v>
      </c>
      <c r="F1396">
        <v>117093.3</v>
      </c>
      <c r="G1396">
        <v>71798.899999999994</v>
      </c>
    </row>
    <row r="1397" spans="1:8" x14ac:dyDescent="0.25">
      <c r="A1397" t="s">
        <v>1294</v>
      </c>
      <c r="B1397" t="s">
        <v>3215</v>
      </c>
      <c r="C1397" t="s">
        <v>3221</v>
      </c>
      <c r="D1397" t="s">
        <v>3222</v>
      </c>
      <c r="E1397" t="s">
        <v>3226</v>
      </c>
      <c r="F1397">
        <v>55983.71</v>
      </c>
      <c r="G1397">
        <v>39926.589999999997</v>
      </c>
      <c r="H1397">
        <v>4</v>
      </c>
    </row>
    <row r="1398" spans="1:8" x14ac:dyDescent="0.25">
      <c r="A1398" t="s">
        <v>1295</v>
      </c>
      <c r="B1398" t="s">
        <v>3215</v>
      </c>
      <c r="C1398" t="s">
        <v>3216</v>
      </c>
      <c r="D1398" t="s">
        <v>3225</v>
      </c>
      <c r="E1398" t="s">
        <v>3226</v>
      </c>
      <c r="F1398">
        <v>71190.09</v>
      </c>
      <c r="H1398">
        <v>3</v>
      </c>
    </row>
    <row r="1399" spans="1:8" x14ac:dyDescent="0.25">
      <c r="A1399" t="s">
        <v>1296</v>
      </c>
      <c r="C1399" t="s">
        <v>3218</v>
      </c>
      <c r="D1399" t="s">
        <v>3222</v>
      </c>
      <c r="E1399" t="s">
        <v>3226</v>
      </c>
      <c r="F1399">
        <v>34491.56</v>
      </c>
      <c r="G1399">
        <v>17298.2</v>
      </c>
      <c r="H1399">
        <v>2</v>
      </c>
    </row>
    <row r="1400" spans="1:8" x14ac:dyDescent="0.25">
      <c r="A1400" t="s">
        <v>1297</v>
      </c>
      <c r="B1400" t="s">
        <v>3215</v>
      </c>
      <c r="C1400" t="s">
        <v>3217</v>
      </c>
      <c r="D1400" t="s">
        <v>3224</v>
      </c>
      <c r="E1400" t="s">
        <v>3226</v>
      </c>
      <c r="G1400">
        <v>85080.79</v>
      </c>
      <c r="H1400">
        <v>2</v>
      </c>
    </row>
    <row r="1401" spans="1:8" x14ac:dyDescent="0.25">
      <c r="A1401" t="s">
        <v>1186</v>
      </c>
      <c r="C1401" t="s">
        <v>3220</v>
      </c>
      <c r="D1401" t="s">
        <v>3225</v>
      </c>
      <c r="E1401" t="s">
        <v>3226</v>
      </c>
      <c r="F1401">
        <v>65214.98</v>
      </c>
      <c r="G1401">
        <v>37078.51</v>
      </c>
      <c r="H1401">
        <v>3</v>
      </c>
    </row>
    <row r="1402" spans="1:8" x14ac:dyDescent="0.25">
      <c r="A1402" t="s">
        <v>1007</v>
      </c>
      <c r="B1402" t="s">
        <v>3212</v>
      </c>
      <c r="C1402" t="s">
        <v>3216</v>
      </c>
      <c r="D1402" t="s">
        <v>3222</v>
      </c>
      <c r="E1402" t="s">
        <v>3226</v>
      </c>
      <c r="F1402">
        <v>65667.42</v>
      </c>
      <c r="H1402">
        <v>5</v>
      </c>
    </row>
    <row r="1403" spans="1:8" x14ac:dyDescent="0.25">
      <c r="A1403" t="s">
        <v>1298</v>
      </c>
      <c r="B1403" t="s">
        <v>3213</v>
      </c>
      <c r="C1403" t="s">
        <v>3221</v>
      </c>
      <c r="D1403" t="s">
        <v>3222</v>
      </c>
      <c r="E1403" t="s">
        <v>3226</v>
      </c>
      <c r="F1403">
        <v>13360.62</v>
      </c>
      <c r="G1403">
        <v>9639.7099999999991</v>
      </c>
      <c r="H1403">
        <v>1</v>
      </c>
    </row>
    <row r="1404" spans="1:8" x14ac:dyDescent="0.25">
      <c r="A1404" t="s">
        <v>1299</v>
      </c>
      <c r="B1404" t="s">
        <v>3212</v>
      </c>
      <c r="C1404" t="s">
        <v>3217</v>
      </c>
      <c r="D1404" t="s">
        <v>3223</v>
      </c>
      <c r="E1404" t="s">
        <v>3226</v>
      </c>
      <c r="F1404">
        <v>25195.93</v>
      </c>
      <c r="G1404">
        <v>23074.65</v>
      </c>
      <c r="H1404">
        <v>3</v>
      </c>
    </row>
    <row r="1405" spans="1:8" x14ac:dyDescent="0.25">
      <c r="A1405" t="s">
        <v>1300</v>
      </c>
      <c r="B1405" t="s">
        <v>3213</v>
      </c>
      <c r="C1405" t="s">
        <v>3217</v>
      </c>
      <c r="D1405" t="s">
        <v>3225</v>
      </c>
      <c r="E1405" t="s">
        <v>3226</v>
      </c>
      <c r="G1405">
        <v>30409.22</v>
      </c>
      <c r="H1405">
        <v>2</v>
      </c>
    </row>
    <row r="1406" spans="1:8" x14ac:dyDescent="0.25">
      <c r="A1406" t="s">
        <v>1301</v>
      </c>
      <c r="B1406" t="s">
        <v>3215</v>
      </c>
      <c r="C1406" t="s">
        <v>3217</v>
      </c>
      <c r="D1406" t="s">
        <v>3222</v>
      </c>
      <c r="E1406" t="s">
        <v>3226</v>
      </c>
      <c r="F1406">
        <v>14741.37</v>
      </c>
      <c r="G1406">
        <v>9527.25</v>
      </c>
      <c r="H1406">
        <v>1</v>
      </c>
    </row>
    <row r="1407" spans="1:8" x14ac:dyDescent="0.25">
      <c r="A1407" t="s">
        <v>1302</v>
      </c>
      <c r="B1407" t="s">
        <v>3211</v>
      </c>
      <c r="C1407" t="s">
        <v>3221</v>
      </c>
      <c r="D1407" t="s">
        <v>3224</v>
      </c>
      <c r="E1407" t="s">
        <v>3226</v>
      </c>
      <c r="F1407">
        <v>145327.26</v>
      </c>
      <c r="G1407">
        <v>119743.47</v>
      </c>
      <c r="H1407">
        <v>3</v>
      </c>
    </row>
    <row r="1408" spans="1:8" x14ac:dyDescent="0.25">
      <c r="A1408" t="s">
        <v>1303</v>
      </c>
      <c r="B1408" t="s">
        <v>3215</v>
      </c>
      <c r="C1408" t="s">
        <v>3220</v>
      </c>
      <c r="D1408" t="s">
        <v>3222</v>
      </c>
      <c r="E1408" t="s">
        <v>3226</v>
      </c>
      <c r="F1408">
        <v>25602.7</v>
      </c>
      <c r="G1408">
        <v>19446.36</v>
      </c>
      <c r="H1408">
        <v>2</v>
      </c>
    </row>
    <row r="1409" spans="1:8" x14ac:dyDescent="0.25">
      <c r="A1409" t="s">
        <v>1304</v>
      </c>
      <c r="C1409" t="s">
        <v>3220</v>
      </c>
      <c r="D1409" t="s">
        <v>3222</v>
      </c>
      <c r="E1409" t="s">
        <v>3226</v>
      </c>
      <c r="F1409">
        <v>34141.29</v>
      </c>
      <c r="G1409">
        <v>20010.77</v>
      </c>
      <c r="H1409">
        <v>2</v>
      </c>
    </row>
    <row r="1410" spans="1:8" x14ac:dyDescent="0.25">
      <c r="A1410" t="s">
        <v>1305</v>
      </c>
      <c r="B1410" t="s">
        <v>3211</v>
      </c>
      <c r="C1410" t="s">
        <v>3221</v>
      </c>
      <c r="D1410" t="s">
        <v>3222</v>
      </c>
      <c r="E1410" t="s">
        <v>3226</v>
      </c>
      <c r="F1410">
        <v>88082.21</v>
      </c>
      <c r="G1410">
        <v>53784.26</v>
      </c>
      <c r="H1410">
        <v>5</v>
      </c>
    </row>
    <row r="1411" spans="1:8" x14ac:dyDescent="0.25">
      <c r="A1411" t="s">
        <v>740</v>
      </c>
      <c r="B1411" t="s">
        <v>3214</v>
      </c>
      <c r="C1411" t="s">
        <v>3219</v>
      </c>
      <c r="D1411" t="s">
        <v>3224</v>
      </c>
      <c r="E1411" t="s">
        <v>3226</v>
      </c>
      <c r="F1411">
        <v>297078.12</v>
      </c>
      <c r="G1411">
        <v>227536.73</v>
      </c>
      <c r="H1411">
        <v>5</v>
      </c>
    </row>
    <row r="1412" spans="1:8" x14ac:dyDescent="0.25">
      <c r="A1412" t="s">
        <v>1306</v>
      </c>
      <c r="B1412" t="s">
        <v>3212</v>
      </c>
      <c r="C1412" t="s">
        <v>3221</v>
      </c>
      <c r="D1412" t="s">
        <v>3224</v>
      </c>
      <c r="E1412" t="s">
        <v>3226</v>
      </c>
      <c r="F1412">
        <v>205839.67</v>
      </c>
      <c r="G1412">
        <v>192285.77</v>
      </c>
      <c r="H1412">
        <v>4</v>
      </c>
    </row>
    <row r="1413" spans="1:8" x14ac:dyDescent="0.25">
      <c r="A1413" t="s">
        <v>1307</v>
      </c>
      <c r="B1413" t="s">
        <v>3215</v>
      </c>
      <c r="C1413" t="s">
        <v>3218</v>
      </c>
      <c r="D1413" t="s">
        <v>3222</v>
      </c>
      <c r="E1413" t="s">
        <v>3226</v>
      </c>
      <c r="F1413">
        <v>39961.71</v>
      </c>
      <c r="H1413">
        <v>3</v>
      </c>
    </row>
    <row r="1414" spans="1:8" x14ac:dyDescent="0.25">
      <c r="A1414" t="s">
        <v>1308</v>
      </c>
      <c r="C1414" t="s">
        <v>3220</v>
      </c>
      <c r="D1414" t="s">
        <v>3224</v>
      </c>
      <c r="E1414" t="s">
        <v>3226</v>
      </c>
      <c r="F1414">
        <v>259684.79</v>
      </c>
      <c r="H1414">
        <v>5</v>
      </c>
    </row>
    <row r="1415" spans="1:8" x14ac:dyDescent="0.25">
      <c r="A1415" t="s">
        <v>1309</v>
      </c>
      <c r="B1415" t="s">
        <v>3211</v>
      </c>
      <c r="C1415" t="s">
        <v>3219</v>
      </c>
      <c r="D1415" t="s">
        <v>3222</v>
      </c>
      <c r="E1415" t="s">
        <v>3226</v>
      </c>
      <c r="F1415">
        <v>29781.86</v>
      </c>
      <c r="H1415">
        <v>2</v>
      </c>
    </row>
    <row r="1416" spans="1:8" x14ac:dyDescent="0.25">
      <c r="A1416" t="s">
        <v>1310</v>
      </c>
      <c r="B1416" t="s">
        <v>3211</v>
      </c>
      <c r="C1416" t="s">
        <v>3216</v>
      </c>
      <c r="D1416" t="s">
        <v>3222</v>
      </c>
      <c r="E1416" t="s">
        <v>3226</v>
      </c>
      <c r="F1416">
        <v>14691.15</v>
      </c>
      <c r="G1416">
        <v>9408.89</v>
      </c>
      <c r="H1416">
        <v>1</v>
      </c>
    </row>
    <row r="1417" spans="1:8" x14ac:dyDescent="0.25">
      <c r="A1417" t="s">
        <v>1311</v>
      </c>
      <c r="B1417" t="s">
        <v>3215</v>
      </c>
      <c r="C1417" t="s">
        <v>3217</v>
      </c>
      <c r="D1417" t="s">
        <v>3222</v>
      </c>
      <c r="E1417" t="s">
        <v>3226</v>
      </c>
      <c r="F1417">
        <v>85955.07</v>
      </c>
      <c r="G1417">
        <v>47877.53</v>
      </c>
      <c r="H1417">
        <v>5</v>
      </c>
    </row>
    <row r="1418" spans="1:8" x14ac:dyDescent="0.25">
      <c r="A1418" t="s">
        <v>1312</v>
      </c>
      <c r="B1418" t="s">
        <v>3213</v>
      </c>
      <c r="C1418" t="s">
        <v>3219</v>
      </c>
      <c r="D1418" t="s">
        <v>3223</v>
      </c>
      <c r="E1418" t="s">
        <v>3226</v>
      </c>
      <c r="F1418">
        <v>25816.1</v>
      </c>
      <c r="G1418">
        <v>21972.99</v>
      </c>
      <c r="H1418">
        <v>3</v>
      </c>
    </row>
    <row r="1419" spans="1:8" x14ac:dyDescent="0.25">
      <c r="A1419" t="s">
        <v>1313</v>
      </c>
      <c r="C1419" t="s">
        <v>3217</v>
      </c>
      <c r="D1419" t="s">
        <v>3222</v>
      </c>
      <c r="E1419" t="s">
        <v>3226</v>
      </c>
      <c r="F1419">
        <v>25226.54</v>
      </c>
      <c r="G1419">
        <v>17714.29</v>
      </c>
      <c r="H1419">
        <v>2</v>
      </c>
    </row>
    <row r="1420" spans="1:8" x14ac:dyDescent="0.25">
      <c r="A1420" t="s">
        <v>1314</v>
      </c>
      <c r="B1420" t="s">
        <v>3214</v>
      </c>
      <c r="C1420" t="s">
        <v>3217</v>
      </c>
      <c r="D1420" t="s">
        <v>3225</v>
      </c>
      <c r="E1420" t="s">
        <v>3226</v>
      </c>
      <c r="F1420">
        <v>18721.8</v>
      </c>
      <c r="G1420">
        <v>13013.46</v>
      </c>
      <c r="H1420">
        <v>1</v>
      </c>
    </row>
    <row r="1421" spans="1:8" x14ac:dyDescent="0.25">
      <c r="A1421" t="s">
        <v>1315</v>
      </c>
      <c r="B1421" t="s">
        <v>3213</v>
      </c>
      <c r="C1421" t="s">
        <v>3216</v>
      </c>
      <c r="D1421" t="s">
        <v>3223</v>
      </c>
      <c r="E1421" t="s">
        <v>3226</v>
      </c>
      <c r="F1421">
        <v>21254.46</v>
      </c>
      <c r="G1421">
        <v>14648.35</v>
      </c>
      <c r="H1421">
        <v>2</v>
      </c>
    </row>
    <row r="1422" spans="1:8" x14ac:dyDescent="0.25">
      <c r="A1422" t="s">
        <v>1316</v>
      </c>
      <c r="B1422" t="s">
        <v>3212</v>
      </c>
      <c r="C1422" t="s">
        <v>3219</v>
      </c>
      <c r="D1422" t="s">
        <v>3223</v>
      </c>
      <c r="E1422" t="s">
        <v>3226</v>
      </c>
      <c r="F1422">
        <v>54601.5</v>
      </c>
      <c r="H1422">
        <v>5</v>
      </c>
    </row>
    <row r="1423" spans="1:8" x14ac:dyDescent="0.25">
      <c r="A1423" t="s">
        <v>501</v>
      </c>
      <c r="B1423" t="s">
        <v>3212</v>
      </c>
      <c r="C1423" t="s">
        <v>3217</v>
      </c>
      <c r="D1423" t="s">
        <v>3225</v>
      </c>
      <c r="E1423" t="s">
        <v>3226</v>
      </c>
      <c r="G1423">
        <v>50175.26</v>
      </c>
      <c r="H1423">
        <v>4</v>
      </c>
    </row>
    <row r="1424" spans="1:8" x14ac:dyDescent="0.25">
      <c r="A1424" t="s">
        <v>1317</v>
      </c>
      <c r="B1424" t="s">
        <v>3213</v>
      </c>
      <c r="C1424" t="s">
        <v>3220</v>
      </c>
      <c r="D1424" t="s">
        <v>3222</v>
      </c>
      <c r="E1424" t="s">
        <v>3226</v>
      </c>
      <c r="F1424">
        <v>74650.64</v>
      </c>
      <c r="G1424">
        <v>42835.6</v>
      </c>
      <c r="H1424">
        <v>5</v>
      </c>
    </row>
    <row r="1425" spans="1:8" x14ac:dyDescent="0.25">
      <c r="A1425" t="s">
        <v>1318</v>
      </c>
      <c r="B1425" t="s">
        <v>3212</v>
      </c>
      <c r="C1425" t="s">
        <v>3219</v>
      </c>
      <c r="D1425" t="s">
        <v>3222</v>
      </c>
      <c r="E1425" t="s">
        <v>3226</v>
      </c>
      <c r="F1425">
        <v>52878.28</v>
      </c>
      <c r="G1425">
        <v>28541.41</v>
      </c>
      <c r="H1425">
        <v>3</v>
      </c>
    </row>
    <row r="1426" spans="1:8" x14ac:dyDescent="0.25">
      <c r="A1426" t="s">
        <v>1319</v>
      </c>
      <c r="B1426" t="s">
        <v>3213</v>
      </c>
      <c r="C1426" t="s">
        <v>3220</v>
      </c>
      <c r="D1426" t="s">
        <v>3225</v>
      </c>
      <c r="E1426" t="s">
        <v>3226</v>
      </c>
      <c r="F1426">
        <v>22554.68</v>
      </c>
      <c r="G1426">
        <v>14646.99</v>
      </c>
      <c r="H1426">
        <v>1</v>
      </c>
    </row>
    <row r="1427" spans="1:8" x14ac:dyDescent="0.25">
      <c r="A1427" t="s">
        <v>1320</v>
      </c>
      <c r="B1427" t="s">
        <v>3215</v>
      </c>
      <c r="C1427" t="s">
        <v>3219</v>
      </c>
      <c r="D1427" t="s">
        <v>3225</v>
      </c>
      <c r="E1427" t="s">
        <v>3226</v>
      </c>
      <c r="F1427">
        <v>70382.679999999993</v>
      </c>
      <c r="G1427">
        <v>51275.13</v>
      </c>
      <c r="H1427">
        <v>4</v>
      </c>
    </row>
    <row r="1428" spans="1:8" x14ac:dyDescent="0.25">
      <c r="A1428" t="s">
        <v>1321</v>
      </c>
      <c r="B1428" t="s">
        <v>3215</v>
      </c>
      <c r="C1428" t="s">
        <v>3217</v>
      </c>
      <c r="D1428" t="s">
        <v>3222</v>
      </c>
      <c r="E1428" t="s">
        <v>3226</v>
      </c>
      <c r="F1428">
        <v>68143.820000000007</v>
      </c>
      <c r="G1428">
        <v>46145.73</v>
      </c>
    </row>
    <row r="1429" spans="1:8" x14ac:dyDescent="0.25">
      <c r="A1429" t="s">
        <v>1322</v>
      </c>
      <c r="B1429" t="s">
        <v>3213</v>
      </c>
      <c r="C1429" t="s">
        <v>3218</v>
      </c>
      <c r="D1429" t="s">
        <v>3225</v>
      </c>
      <c r="E1429" t="s">
        <v>3226</v>
      </c>
      <c r="F1429">
        <v>67912.73</v>
      </c>
      <c r="G1429">
        <v>50159.040000000001</v>
      </c>
      <c r="H1429">
        <v>4</v>
      </c>
    </row>
    <row r="1430" spans="1:8" x14ac:dyDescent="0.25">
      <c r="A1430" t="s">
        <v>1323</v>
      </c>
      <c r="B1430" t="s">
        <v>3215</v>
      </c>
      <c r="C1430" t="s">
        <v>3220</v>
      </c>
      <c r="D1430" t="s">
        <v>3223</v>
      </c>
      <c r="E1430" t="s">
        <v>3226</v>
      </c>
      <c r="F1430">
        <v>19923.68</v>
      </c>
      <c r="H1430">
        <v>2</v>
      </c>
    </row>
    <row r="1431" spans="1:8" x14ac:dyDescent="0.25">
      <c r="A1431" t="s">
        <v>1217</v>
      </c>
      <c r="B1431" t="s">
        <v>3211</v>
      </c>
      <c r="C1431" t="s">
        <v>3219</v>
      </c>
      <c r="D1431" t="s">
        <v>3225</v>
      </c>
      <c r="E1431" t="s">
        <v>3226</v>
      </c>
      <c r="F1431">
        <v>19451.560000000001</v>
      </c>
      <c r="G1431">
        <v>12304.64</v>
      </c>
      <c r="H1431">
        <v>1</v>
      </c>
    </row>
    <row r="1432" spans="1:8" x14ac:dyDescent="0.25">
      <c r="A1432" t="s">
        <v>1324</v>
      </c>
      <c r="B1432" t="s">
        <v>3215</v>
      </c>
      <c r="C1432" t="s">
        <v>3220</v>
      </c>
      <c r="D1432" t="s">
        <v>3223</v>
      </c>
      <c r="E1432" t="s">
        <v>3226</v>
      </c>
      <c r="F1432">
        <v>42709.17</v>
      </c>
      <c r="G1432">
        <v>36944.46</v>
      </c>
      <c r="H1432">
        <v>5</v>
      </c>
    </row>
    <row r="1433" spans="1:8" x14ac:dyDescent="0.25">
      <c r="A1433" t="s">
        <v>1325</v>
      </c>
      <c r="B1433" t="s">
        <v>3214</v>
      </c>
      <c r="C1433" t="s">
        <v>3218</v>
      </c>
      <c r="D1433" t="s">
        <v>3223</v>
      </c>
      <c r="E1433" t="s">
        <v>3226</v>
      </c>
      <c r="F1433">
        <v>9131.5400000000009</v>
      </c>
      <c r="G1433">
        <v>6841.65</v>
      </c>
      <c r="H1433">
        <v>1</v>
      </c>
    </row>
    <row r="1434" spans="1:8" x14ac:dyDescent="0.25">
      <c r="A1434" t="s">
        <v>1326</v>
      </c>
      <c r="C1434" t="s">
        <v>3221</v>
      </c>
      <c r="D1434" t="s">
        <v>3224</v>
      </c>
      <c r="E1434" t="s">
        <v>3226</v>
      </c>
      <c r="F1434">
        <v>241712.54</v>
      </c>
      <c r="H1434">
        <v>5</v>
      </c>
    </row>
    <row r="1435" spans="1:8" x14ac:dyDescent="0.25">
      <c r="A1435" t="s">
        <v>1327</v>
      </c>
      <c r="B1435" t="s">
        <v>3211</v>
      </c>
      <c r="C1435" t="s">
        <v>3219</v>
      </c>
      <c r="D1435" t="s">
        <v>3224</v>
      </c>
      <c r="E1435" t="s">
        <v>3226</v>
      </c>
      <c r="F1435">
        <v>264129.38</v>
      </c>
      <c r="G1435">
        <v>242282.65</v>
      </c>
      <c r="H1435">
        <v>5</v>
      </c>
    </row>
    <row r="1436" spans="1:8" x14ac:dyDescent="0.25">
      <c r="A1436" t="s">
        <v>1328</v>
      </c>
      <c r="B1436" t="s">
        <v>3213</v>
      </c>
      <c r="C1436" t="s">
        <v>3219</v>
      </c>
      <c r="D1436" t="s">
        <v>3225</v>
      </c>
      <c r="E1436" t="s">
        <v>3226</v>
      </c>
      <c r="F1436">
        <v>78594.149999999994</v>
      </c>
      <c r="H1436">
        <v>4</v>
      </c>
    </row>
    <row r="1437" spans="1:8" x14ac:dyDescent="0.25">
      <c r="A1437" t="s">
        <v>383</v>
      </c>
      <c r="B1437" t="s">
        <v>3211</v>
      </c>
      <c r="C1437" t="s">
        <v>3218</v>
      </c>
      <c r="D1437" t="s">
        <v>3223</v>
      </c>
      <c r="E1437" t="s">
        <v>3226</v>
      </c>
      <c r="F1437">
        <v>8192.98</v>
      </c>
      <c r="G1437">
        <v>6600.34</v>
      </c>
      <c r="H1437">
        <v>1</v>
      </c>
    </row>
    <row r="1438" spans="1:8" x14ac:dyDescent="0.25">
      <c r="A1438" t="s">
        <v>1329</v>
      </c>
      <c r="C1438" t="s">
        <v>3218</v>
      </c>
      <c r="D1438" t="s">
        <v>3224</v>
      </c>
      <c r="E1438" t="s">
        <v>3226</v>
      </c>
      <c r="F1438">
        <v>235290.65</v>
      </c>
      <c r="G1438">
        <v>176502.55</v>
      </c>
    </row>
    <row r="1439" spans="1:8" x14ac:dyDescent="0.25">
      <c r="A1439" t="s">
        <v>1330</v>
      </c>
      <c r="B1439" t="s">
        <v>3212</v>
      </c>
      <c r="C1439" t="s">
        <v>3220</v>
      </c>
      <c r="D1439" t="s">
        <v>3222</v>
      </c>
      <c r="E1439" t="s">
        <v>3226</v>
      </c>
      <c r="F1439">
        <v>50604.67</v>
      </c>
      <c r="G1439">
        <v>39246.910000000003</v>
      </c>
      <c r="H1439">
        <v>4</v>
      </c>
    </row>
    <row r="1440" spans="1:8" x14ac:dyDescent="0.25">
      <c r="A1440" t="s">
        <v>1331</v>
      </c>
      <c r="B1440" t="s">
        <v>3215</v>
      </c>
      <c r="C1440" t="s">
        <v>3219</v>
      </c>
      <c r="D1440" t="s">
        <v>3222</v>
      </c>
      <c r="E1440" t="s">
        <v>3226</v>
      </c>
      <c r="F1440">
        <v>31512.93</v>
      </c>
      <c r="G1440">
        <v>19078.98</v>
      </c>
      <c r="H1440">
        <v>2</v>
      </c>
    </row>
    <row r="1441" spans="1:8" x14ac:dyDescent="0.25">
      <c r="A1441" t="s">
        <v>1332</v>
      </c>
      <c r="B1441" t="s">
        <v>3212</v>
      </c>
      <c r="C1441" t="s">
        <v>3221</v>
      </c>
      <c r="D1441" t="s">
        <v>3225</v>
      </c>
      <c r="E1441" t="s">
        <v>3226</v>
      </c>
      <c r="F1441">
        <v>20930.330000000002</v>
      </c>
      <c r="G1441">
        <v>12542.12</v>
      </c>
      <c r="H1441">
        <v>1</v>
      </c>
    </row>
    <row r="1442" spans="1:8" x14ac:dyDescent="0.25">
      <c r="A1442" t="s">
        <v>1333</v>
      </c>
      <c r="B1442" t="s">
        <v>3214</v>
      </c>
      <c r="C1442" t="s">
        <v>3221</v>
      </c>
      <c r="D1442" t="s">
        <v>3224</v>
      </c>
      <c r="E1442" t="s">
        <v>3226</v>
      </c>
      <c r="F1442">
        <v>318223.78999999998</v>
      </c>
      <c r="H1442">
        <v>5</v>
      </c>
    </row>
    <row r="1443" spans="1:8" x14ac:dyDescent="0.25">
      <c r="A1443" t="s">
        <v>1334</v>
      </c>
      <c r="B1443" t="s">
        <v>3212</v>
      </c>
      <c r="C1443" t="s">
        <v>3221</v>
      </c>
      <c r="D1443" t="s">
        <v>3222</v>
      </c>
      <c r="E1443" t="s">
        <v>3226</v>
      </c>
      <c r="F1443">
        <v>50809.07</v>
      </c>
      <c r="H1443">
        <v>4</v>
      </c>
    </row>
    <row r="1444" spans="1:8" x14ac:dyDescent="0.25">
      <c r="A1444" t="s">
        <v>1335</v>
      </c>
      <c r="B1444" t="s">
        <v>3211</v>
      </c>
      <c r="C1444" t="s">
        <v>3218</v>
      </c>
      <c r="D1444" t="s">
        <v>3224</v>
      </c>
      <c r="E1444" t="s">
        <v>3226</v>
      </c>
      <c r="F1444">
        <v>281616.18</v>
      </c>
      <c r="G1444">
        <v>154574.18</v>
      </c>
      <c r="H1444">
        <v>4</v>
      </c>
    </row>
    <row r="1445" spans="1:8" x14ac:dyDescent="0.25">
      <c r="A1445" t="s">
        <v>338</v>
      </c>
      <c r="B1445" t="s">
        <v>3211</v>
      </c>
      <c r="C1445" t="s">
        <v>3221</v>
      </c>
      <c r="D1445" t="s">
        <v>3225</v>
      </c>
      <c r="E1445" t="s">
        <v>3226</v>
      </c>
      <c r="F1445">
        <v>92771.91</v>
      </c>
      <c r="G1445">
        <v>52333.49</v>
      </c>
      <c r="H1445">
        <v>4</v>
      </c>
    </row>
    <row r="1446" spans="1:8" x14ac:dyDescent="0.25">
      <c r="A1446" t="s">
        <v>1336</v>
      </c>
      <c r="C1446" t="s">
        <v>3220</v>
      </c>
      <c r="D1446" t="s">
        <v>3225</v>
      </c>
      <c r="E1446" t="s">
        <v>3226</v>
      </c>
      <c r="F1446">
        <v>38348.01</v>
      </c>
      <c r="G1446">
        <v>24525.33</v>
      </c>
      <c r="H1446">
        <v>2</v>
      </c>
    </row>
    <row r="1447" spans="1:8" x14ac:dyDescent="0.25">
      <c r="A1447" t="s">
        <v>1337</v>
      </c>
      <c r="B1447" t="s">
        <v>3213</v>
      </c>
      <c r="C1447" t="s">
        <v>3217</v>
      </c>
      <c r="D1447" t="s">
        <v>3224</v>
      </c>
      <c r="E1447" t="s">
        <v>3226</v>
      </c>
      <c r="F1447">
        <v>249298.47</v>
      </c>
      <c r="G1447">
        <v>224620.85</v>
      </c>
      <c r="H1447">
        <v>5</v>
      </c>
    </row>
    <row r="1448" spans="1:8" x14ac:dyDescent="0.25">
      <c r="A1448" t="s">
        <v>1338</v>
      </c>
      <c r="B1448" t="s">
        <v>3213</v>
      </c>
      <c r="C1448" t="s">
        <v>3221</v>
      </c>
      <c r="D1448" t="s">
        <v>3225</v>
      </c>
      <c r="E1448" t="s">
        <v>3226</v>
      </c>
      <c r="F1448">
        <v>54456.33</v>
      </c>
      <c r="G1448">
        <v>41983.85</v>
      </c>
    </row>
    <row r="1449" spans="1:8" x14ac:dyDescent="0.25">
      <c r="A1449" t="s">
        <v>1339</v>
      </c>
      <c r="B1449" t="s">
        <v>3212</v>
      </c>
      <c r="C1449" t="s">
        <v>3217</v>
      </c>
      <c r="D1449" t="s">
        <v>3225</v>
      </c>
      <c r="E1449" t="s">
        <v>3226</v>
      </c>
      <c r="F1449">
        <v>117265.15</v>
      </c>
      <c r="G1449">
        <v>72395.98</v>
      </c>
      <c r="H1449">
        <v>5</v>
      </c>
    </row>
    <row r="1450" spans="1:8" x14ac:dyDescent="0.25">
      <c r="A1450" t="s">
        <v>1340</v>
      </c>
      <c r="B1450" t="s">
        <v>3213</v>
      </c>
      <c r="C1450" t="s">
        <v>3220</v>
      </c>
      <c r="D1450" t="s">
        <v>3225</v>
      </c>
      <c r="E1450" t="s">
        <v>3226</v>
      </c>
      <c r="F1450">
        <v>87070.41</v>
      </c>
      <c r="G1450">
        <v>69861.13</v>
      </c>
      <c r="H1450">
        <v>5</v>
      </c>
    </row>
    <row r="1451" spans="1:8" x14ac:dyDescent="0.25">
      <c r="A1451" t="s">
        <v>1341</v>
      </c>
      <c r="B1451" t="s">
        <v>3214</v>
      </c>
      <c r="C1451" t="s">
        <v>3217</v>
      </c>
      <c r="D1451" t="s">
        <v>3225</v>
      </c>
      <c r="E1451" t="s">
        <v>3226</v>
      </c>
      <c r="F1451">
        <v>59728.47</v>
      </c>
      <c r="G1451">
        <v>36513.94</v>
      </c>
      <c r="H1451">
        <v>3</v>
      </c>
    </row>
    <row r="1452" spans="1:8" x14ac:dyDescent="0.25">
      <c r="A1452" t="s">
        <v>789</v>
      </c>
      <c r="C1452" t="s">
        <v>3216</v>
      </c>
      <c r="D1452" t="s">
        <v>3225</v>
      </c>
      <c r="E1452" t="s">
        <v>3226</v>
      </c>
      <c r="F1452">
        <v>34158</v>
      </c>
      <c r="G1452">
        <v>23981.88</v>
      </c>
      <c r="H1452">
        <v>2</v>
      </c>
    </row>
    <row r="1453" spans="1:8" x14ac:dyDescent="0.25">
      <c r="A1453" t="s">
        <v>1342</v>
      </c>
      <c r="B1453" t="s">
        <v>3211</v>
      </c>
      <c r="C1453" t="s">
        <v>3217</v>
      </c>
      <c r="D1453" t="s">
        <v>3224</v>
      </c>
      <c r="E1453" t="s">
        <v>3226</v>
      </c>
      <c r="F1453">
        <v>242315.9</v>
      </c>
      <c r="G1453">
        <v>228005.55</v>
      </c>
      <c r="H1453">
        <v>5</v>
      </c>
    </row>
    <row r="1454" spans="1:8" x14ac:dyDescent="0.25">
      <c r="A1454" t="s">
        <v>1343</v>
      </c>
      <c r="B1454" t="s">
        <v>3214</v>
      </c>
      <c r="C1454" t="s">
        <v>3219</v>
      </c>
      <c r="D1454" t="s">
        <v>3224</v>
      </c>
      <c r="E1454" t="s">
        <v>3226</v>
      </c>
      <c r="F1454">
        <v>51520.81</v>
      </c>
      <c r="G1454">
        <v>47710.41</v>
      </c>
      <c r="H1454">
        <v>1</v>
      </c>
    </row>
    <row r="1455" spans="1:8" x14ac:dyDescent="0.25">
      <c r="A1455" t="s">
        <v>1344</v>
      </c>
      <c r="B1455" t="s">
        <v>3212</v>
      </c>
      <c r="C1455" t="s">
        <v>3220</v>
      </c>
      <c r="D1455" t="s">
        <v>3223</v>
      </c>
      <c r="E1455" t="s">
        <v>3226</v>
      </c>
      <c r="F1455">
        <v>27894.62</v>
      </c>
      <c r="G1455">
        <v>22043.200000000001</v>
      </c>
      <c r="H1455">
        <v>3</v>
      </c>
    </row>
    <row r="1456" spans="1:8" x14ac:dyDescent="0.25">
      <c r="A1456" t="s">
        <v>1345</v>
      </c>
      <c r="B1456" t="s">
        <v>3211</v>
      </c>
      <c r="C1456" t="s">
        <v>3218</v>
      </c>
      <c r="D1456" t="s">
        <v>3222</v>
      </c>
      <c r="E1456" t="s">
        <v>3226</v>
      </c>
      <c r="F1456">
        <v>62230.9</v>
      </c>
      <c r="G1456">
        <v>35207.379999999997</v>
      </c>
      <c r="H1456">
        <v>4</v>
      </c>
    </row>
    <row r="1457" spans="1:8" x14ac:dyDescent="0.25">
      <c r="A1457" t="s">
        <v>1346</v>
      </c>
      <c r="B1457" t="s">
        <v>3214</v>
      </c>
      <c r="C1457" t="s">
        <v>3216</v>
      </c>
      <c r="D1457" t="s">
        <v>3223</v>
      </c>
      <c r="E1457" t="s">
        <v>3226</v>
      </c>
      <c r="F1457">
        <v>40397.599999999999</v>
      </c>
      <c r="G1457">
        <v>34485.68</v>
      </c>
      <c r="H1457">
        <v>5</v>
      </c>
    </row>
    <row r="1458" spans="1:8" x14ac:dyDescent="0.25">
      <c r="A1458" t="s">
        <v>1347</v>
      </c>
      <c r="C1458" t="s">
        <v>3218</v>
      </c>
      <c r="D1458" t="s">
        <v>3224</v>
      </c>
      <c r="E1458" t="s">
        <v>3226</v>
      </c>
      <c r="F1458">
        <v>58438.69</v>
      </c>
      <c r="G1458">
        <v>42817.88</v>
      </c>
      <c r="H1458">
        <v>1</v>
      </c>
    </row>
    <row r="1459" spans="1:8" x14ac:dyDescent="0.25">
      <c r="A1459" t="s">
        <v>1348</v>
      </c>
      <c r="B1459" t="s">
        <v>3215</v>
      </c>
      <c r="C1459" t="s">
        <v>3217</v>
      </c>
      <c r="D1459" t="s">
        <v>3225</v>
      </c>
      <c r="E1459" t="s">
        <v>3226</v>
      </c>
      <c r="F1459">
        <v>63394.73</v>
      </c>
      <c r="G1459">
        <v>37652.5</v>
      </c>
      <c r="H1459">
        <v>3</v>
      </c>
    </row>
    <row r="1460" spans="1:8" x14ac:dyDescent="0.25">
      <c r="A1460" t="s">
        <v>380</v>
      </c>
      <c r="B1460" t="s">
        <v>3213</v>
      </c>
      <c r="C1460" t="s">
        <v>3216</v>
      </c>
      <c r="D1460" t="s">
        <v>3222</v>
      </c>
      <c r="E1460" t="s">
        <v>3226</v>
      </c>
      <c r="G1460">
        <v>43291.49</v>
      </c>
      <c r="H1460">
        <v>5</v>
      </c>
    </row>
    <row r="1461" spans="1:8" x14ac:dyDescent="0.25">
      <c r="A1461" t="s">
        <v>1349</v>
      </c>
      <c r="B1461" t="s">
        <v>3212</v>
      </c>
      <c r="C1461" t="s">
        <v>3219</v>
      </c>
      <c r="D1461" t="s">
        <v>3223</v>
      </c>
      <c r="E1461" t="s">
        <v>3226</v>
      </c>
      <c r="F1461">
        <v>19670.73</v>
      </c>
      <c r="G1461">
        <v>12656.94</v>
      </c>
      <c r="H1461">
        <v>2</v>
      </c>
    </row>
    <row r="1462" spans="1:8" x14ac:dyDescent="0.25">
      <c r="A1462" t="s">
        <v>1350</v>
      </c>
      <c r="B1462" t="s">
        <v>3214</v>
      </c>
      <c r="C1462" t="s">
        <v>3221</v>
      </c>
      <c r="D1462" t="s">
        <v>3224</v>
      </c>
      <c r="E1462" t="s">
        <v>3226</v>
      </c>
      <c r="F1462">
        <v>277130.15999999997</v>
      </c>
      <c r="G1462">
        <v>185935.69</v>
      </c>
      <c r="H1462">
        <v>4</v>
      </c>
    </row>
    <row r="1463" spans="1:8" x14ac:dyDescent="0.25">
      <c r="A1463" t="s">
        <v>1351</v>
      </c>
      <c r="B1463" t="s">
        <v>3215</v>
      </c>
      <c r="C1463" t="s">
        <v>3221</v>
      </c>
      <c r="D1463" t="s">
        <v>3224</v>
      </c>
      <c r="E1463" t="s">
        <v>3226</v>
      </c>
      <c r="F1463">
        <v>118341.07</v>
      </c>
      <c r="H1463">
        <v>2</v>
      </c>
    </row>
    <row r="1464" spans="1:8" x14ac:dyDescent="0.25">
      <c r="A1464" t="s">
        <v>1352</v>
      </c>
      <c r="B1464" t="s">
        <v>3212</v>
      </c>
      <c r="C1464" t="s">
        <v>3221</v>
      </c>
      <c r="D1464" t="s">
        <v>3222</v>
      </c>
      <c r="E1464" t="s">
        <v>3226</v>
      </c>
      <c r="F1464">
        <v>48020.31</v>
      </c>
      <c r="G1464">
        <v>30493.360000000001</v>
      </c>
      <c r="H1464">
        <v>3</v>
      </c>
    </row>
    <row r="1465" spans="1:8" x14ac:dyDescent="0.25">
      <c r="A1465" t="s">
        <v>1353</v>
      </c>
      <c r="B1465" t="s">
        <v>3211</v>
      </c>
      <c r="C1465" t="s">
        <v>3220</v>
      </c>
      <c r="D1465" t="s">
        <v>3224</v>
      </c>
      <c r="E1465" t="s">
        <v>3226</v>
      </c>
      <c r="F1465">
        <v>144977.87</v>
      </c>
      <c r="G1465">
        <v>126531.54</v>
      </c>
      <c r="H1465">
        <v>3</v>
      </c>
    </row>
    <row r="1466" spans="1:8" x14ac:dyDescent="0.25">
      <c r="A1466" t="s">
        <v>1354</v>
      </c>
      <c r="B1466" t="s">
        <v>3213</v>
      </c>
      <c r="C1466" t="s">
        <v>3221</v>
      </c>
      <c r="D1466" t="s">
        <v>3225</v>
      </c>
      <c r="E1466" t="s">
        <v>3226</v>
      </c>
      <c r="F1466">
        <v>83091.740000000005</v>
      </c>
      <c r="H1466">
        <v>5</v>
      </c>
    </row>
    <row r="1467" spans="1:8" x14ac:dyDescent="0.25">
      <c r="A1467" t="s">
        <v>1355</v>
      </c>
      <c r="B1467" t="s">
        <v>3214</v>
      </c>
      <c r="C1467" t="s">
        <v>3221</v>
      </c>
      <c r="D1467" t="s">
        <v>3223</v>
      </c>
      <c r="E1467" t="s">
        <v>3226</v>
      </c>
      <c r="F1467">
        <v>36738.47</v>
      </c>
      <c r="G1467">
        <v>28191.27</v>
      </c>
      <c r="H1467">
        <v>4</v>
      </c>
    </row>
    <row r="1468" spans="1:8" x14ac:dyDescent="0.25">
      <c r="A1468" t="s">
        <v>1356</v>
      </c>
      <c r="B1468" t="s">
        <v>3212</v>
      </c>
      <c r="C1468" t="s">
        <v>3217</v>
      </c>
      <c r="D1468" t="s">
        <v>3223</v>
      </c>
      <c r="E1468" t="s">
        <v>3226</v>
      </c>
      <c r="F1468">
        <v>10465.48</v>
      </c>
      <c r="G1468">
        <v>6358.83</v>
      </c>
      <c r="H1468">
        <v>1</v>
      </c>
    </row>
    <row r="1469" spans="1:8" x14ac:dyDescent="0.25">
      <c r="A1469" t="s">
        <v>1357</v>
      </c>
      <c r="C1469" t="s">
        <v>3221</v>
      </c>
      <c r="D1469" t="s">
        <v>3223</v>
      </c>
      <c r="E1469" t="s">
        <v>3226</v>
      </c>
      <c r="G1469">
        <v>14926.37</v>
      </c>
      <c r="H1469">
        <v>2</v>
      </c>
    </row>
    <row r="1470" spans="1:8" x14ac:dyDescent="0.25">
      <c r="A1470" t="s">
        <v>1176</v>
      </c>
      <c r="C1470" t="s">
        <v>3221</v>
      </c>
      <c r="D1470" t="s">
        <v>3225</v>
      </c>
      <c r="E1470" t="s">
        <v>3226</v>
      </c>
      <c r="F1470">
        <v>51756.19</v>
      </c>
      <c r="G1470">
        <v>38323.879999999997</v>
      </c>
      <c r="H1470">
        <v>3</v>
      </c>
    </row>
    <row r="1471" spans="1:8" x14ac:dyDescent="0.25">
      <c r="A1471" t="s">
        <v>357</v>
      </c>
      <c r="B1471" t="s">
        <v>3214</v>
      </c>
      <c r="C1471" t="s">
        <v>3218</v>
      </c>
      <c r="D1471" t="s">
        <v>3222</v>
      </c>
      <c r="E1471" t="s">
        <v>3226</v>
      </c>
      <c r="F1471">
        <v>15592.41</v>
      </c>
      <c r="G1471">
        <v>10224.469999999999</v>
      </c>
      <c r="H1471">
        <v>1</v>
      </c>
    </row>
    <row r="1472" spans="1:8" x14ac:dyDescent="0.25">
      <c r="A1472" t="s">
        <v>1336</v>
      </c>
      <c r="B1472" t="s">
        <v>3213</v>
      </c>
      <c r="C1472" t="s">
        <v>3217</v>
      </c>
      <c r="D1472" t="s">
        <v>3225</v>
      </c>
      <c r="E1472" t="s">
        <v>3226</v>
      </c>
      <c r="F1472">
        <v>23807.15</v>
      </c>
      <c r="G1472">
        <v>15186.78</v>
      </c>
      <c r="H1472">
        <v>1</v>
      </c>
    </row>
    <row r="1473" spans="1:8" x14ac:dyDescent="0.25">
      <c r="A1473" t="s">
        <v>1358</v>
      </c>
      <c r="B1473" t="s">
        <v>3214</v>
      </c>
      <c r="C1473" t="s">
        <v>3219</v>
      </c>
      <c r="D1473" t="s">
        <v>3223</v>
      </c>
      <c r="E1473" t="s">
        <v>3226</v>
      </c>
      <c r="F1473">
        <v>11034.7</v>
      </c>
      <c r="H1473">
        <v>1</v>
      </c>
    </row>
    <row r="1474" spans="1:8" x14ac:dyDescent="0.25">
      <c r="A1474" t="s">
        <v>1359</v>
      </c>
      <c r="B1474" t="s">
        <v>3214</v>
      </c>
      <c r="C1474" t="s">
        <v>3219</v>
      </c>
      <c r="D1474" t="s">
        <v>3224</v>
      </c>
      <c r="E1474" t="s">
        <v>3226</v>
      </c>
      <c r="F1474">
        <v>339258.02</v>
      </c>
      <c r="G1474">
        <v>237213.41</v>
      </c>
      <c r="H1474">
        <v>5</v>
      </c>
    </row>
    <row r="1475" spans="1:8" x14ac:dyDescent="0.25">
      <c r="A1475" t="s">
        <v>1360</v>
      </c>
      <c r="C1475" t="s">
        <v>3218</v>
      </c>
      <c r="D1475" t="s">
        <v>3223</v>
      </c>
      <c r="E1475" t="s">
        <v>3226</v>
      </c>
      <c r="F1475">
        <v>10918.75</v>
      </c>
      <c r="G1475">
        <v>6316.5</v>
      </c>
      <c r="H1475">
        <v>1</v>
      </c>
    </row>
    <row r="1476" spans="1:8" x14ac:dyDescent="0.25">
      <c r="A1476" t="s">
        <v>1361</v>
      </c>
      <c r="B1476" t="s">
        <v>3213</v>
      </c>
      <c r="C1476" t="s">
        <v>3221</v>
      </c>
      <c r="D1476" t="s">
        <v>3224</v>
      </c>
      <c r="E1476" t="s">
        <v>3226</v>
      </c>
      <c r="F1476">
        <v>226382.1</v>
      </c>
      <c r="G1476">
        <v>161682.04999999999</v>
      </c>
      <c r="H1476">
        <v>4</v>
      </c>
    </row>
    <row r="1477" spans="1:8" x14ac:dyDescent="0.25">
      <c r="A1477" t="s">
        <v>1362</v>
      </c>
      <c r="C1477" t="s">
        <v>3219</v>
      </c>
      <c r="D1477" t="s">
        <v>3222</v>
      </c>
      <c r="E1477" t="s">
        <v>3226</v>
      </c>
      <c r="F1477">
        <v>12836.79</v>
      </c>
      <c r="G1477">
        <v>9925.83</v>
      </c>
      <c r="H1477">
        <v>1</v>
      </c>
    </row>
    <row r="1478" spans="1:8" x14ac:dyDescent="0.25">
      <c r="A1478" t="s">
        <v>1363</v>
      </c>
      <c r="C1478" t="s">
        <v>3219</v>
      </c>
      <c r="D1478" t="s">
        <v>3224</v>
      </c>
      <c r="E1478" t="s">
        <v>3226</v>
      </c>
      <c r="F1478">
        <v>160206.6</v>
      </c>
      <c r="G1478">
        <v>132760.20000000001</v>
      </c>
    </row>
    <row r="1479" spans="1:8" x14ac:dyDescent="0.25">
      <c r="A1479" t="s">
        <v>1364</v>
      </c>
      <c r="B1479" t="s">
        <v>3211</v>
      </c>
      <c r="C1479" t="s">
        <v>3220</v>
      </c>
      <c r="D1479" t="s">
        <v>3223</v>
      </c>
      <c r="E1479" t="s">
        <v>3226</v>
      </c>
      <c r="F1479">
        <v>19806.37</v>
      </c>
      <c r="G1479">
        <v>14187.48</v>
      </c>
      <c r="H1479">
        <v>2</v>
      </c>
    </row>
    <row r="1480" spans="1:8" x14ac:dyDescent="0.25">
      <c r="A1480" t="s">
        <v>1365</v>
      </c>
      <c r="B1480" t="s">
        <v>3211</v>
      </c>
      <c r="C1480" t="s">
        <v>3216</v>
      </c>
      <c r="D1480" t="s">
        <v>3223</v>
      </c>
      <c r="E1480" t="s">
        <v>3226</v>
      </c>
      <c r="F1480">
        <v>19504.25</v>
      </c>
      <c r="G1480">
        <v>14615.91</v>
      </c>
    </row>
    <row r="1481" spans="1:8" x14ac:dyDescent="0.25">
      <c r="A1481" t="s">
        <v>896</v>
      </c>
      <c r="B1481" t="s">
        <v>3212</v>
      </c>
      <c r="C1481" t="s">
        <v>3221</v>
      </c>
      <c r="D1481" t="s">
        <v>3225</v>
      </c>
      <c r="E1481" t="s">
        <v>3226</v>
      </c>
      <c r="F1481">
        <v>105133.45</v>
      </c>
      <c r="G1481">
        <v>69691.48</v>
      </c>
      <c r="H1481">
        <v>5</v>
      </c>
    </row>
    <row r="1482" spans="1:8" x14ac:dyDescent="0.25">
      <c r="A1482" t="s">
        <v>1366</v>
      </c>
      <c r="B1482" t="s">
        <v>3212</v>
      </c>
      <c r="C1482" t="s">
        <v>3217</v>
      </c>
      <c r="D1482" t="s">
        <v>3225</v>
      </c>
      <c r="E1482" t="s">
        <v>3226</v>
      </c>
      <c r="F1482">
        <v>109618.59</v>
      </c>
      <c r="G1482">
        <v>67215.42</v>
      </c>
      <c r="H1482">
        <v>5</v>
      </c>
    </row>
    <row r="1483" spans="1:8" x14ac:dyDescent="0.25">
      <c r="A1483" t="s">
        <v>1254</v>
      </c>
      <c r="B1483" t="s">
        <v>3211</v>
      </c>
      <c r="C1483" t="s">
        <v>3216</v>
      </c>
      <c r="D1483" t="s">
        <v>3223</v>
      </c>
      <c r="E1483" t="s">
        <v>3226</v>
      </c>
      <c r="F1483">
        <v>47721.48</v>
      </c>
      <c r="G1483">
        <v>29453.83</v>
      </c>
      <c r="H1483">
        <v>4</v>
      </c>
    </row>
    <row r="1484" spans="1:8" x14ac:dyDescent="0.25">
      <c r="A1484" t="s">
        <v>835</v>
      </c>
      <c r="B1484" t="s">
        <v>3213</v>
      </c>
      <c r="C1484" t="s">
        <v>3218</v>
      </c>
      <c r="D1484" t="s">
        <v>3223</v>
      </c>
      <c r="E1484" t="s">
        <v>3226</v>
      </c>
      <c r="F1484">
        <v>19652.09</v>
      </c>
      <c r="G1484">
        <v>12850.93</v>
      </c>
      <c r="H1484">
        <v>2</v>
      </c>
    </row>
    <row r="1485" spans="1:8" x14ac:dyDescent="0.25">
      <c r="A1485" t="s">
        <v>1367</v>
      </c>
      <c r="B1485" t="s">
        <v>3214</v>
      </c>
      <c r="C1485" t="s">
        <v>3216</v>
      </c>
      <c r="D1485" t="s">
        <v>3222</v>
      </c>
      <c r="E1485" t="s">
        <v>3226</v>
      </c>
      <c r="F1485">
        <v>24483.38</v>
      </c>
      <c r="G1485">
        <v>21135.63</v>
      </c>
      <c r="H1485">
        <v>2</v>
      </c>
    </row>
    <row r="1486" spans="1:8" x14ac:dyDescent="0.25">
      <c r="A1486" t="s">
        <v>1368</v>
      </c>
      <c r="B1486" t="s">
        <v>3214</v>
      </c>
      <c r="C1486" t="s">
        <v>3216</v>
      </c>
      <c r="D1486" t="s">
        <v>3224</v>
      </c>
      <c r="E1486" t="s">
        <v>3226</v>
      </c>
      <c r="F1486">
        <v>324783.56</v>
      </c>
      <c r="G1486">
        <v>234028.24</v>
      </c>
      <c r="H1486">
        <v>5</v>
      </c>
    </row>
    <row r="1487" spans="1:8" x14ac:dyDescent="0.25">
      <c r="A1487" t="s">
        <v>1369</v>
      </c>
      <c r="B1487" t="s">
        <v>3214</v>
      </c>
      <c r="C1487" t="s">
        <v>3220</v>
      </c>
      <c r="D1487" t="s">
        <v>3224</v>
      </c>
      <c r="E1487" t="s">
        <v>3226</v>
      </c>
      <c r="F1487">
        <v>52472.87</v>
      </c>
      <c r="G1487">
        <v>45685.07</v>
      </c>
      <c r="H1487">
        <v>1</v>
      </c>
    </row>
    <row r="1488" spans="1:8" x14ac:dyDescent="0.25">
      <c r="A1488" t="s">
        <v>168</v>
      </c>
      <c r="B1488" t="s">
        <v>3211</v>
      </c>
      <c r="C1488" t="s">
        <v>3216</v>
      </c>
      <c r="D1488" t="s">
        <v>3224</v>
      </c>
      <c r="E1488" t="s">
        <v>3226</v>
      </c>
      <c r="F1488">
        <v>65654.899999999994</v>
      </c>
      <c r="G1488">
        <v>46974.59</v>
      </c>
    </row>
    <row r="1489" spans="1:8" x14ac:dyDescent="0.25">
      <c r="A1489" t="s">
        <v>133</v>
      </c>
      <c r="B1489" t="s">
        <v>3215</v>
      </c>
      <c r="C1489" t="s">
        <v>3216</v>
      </c>
      <c r="D1489" t="s">
        <v>3223</v>
      </c>
      <c r="E1489" t="s">
        <v>3226</v>
      </c>
      <c r="F1489">
        <v>42332.97</v>
      </c>
      <c r="G1489">
        <v>25925.58</v>
      </c>
      <c r="H1489">
        <v>4</v>
      </c>
    </row>
    <row r="1490" spans="1:8" x14ac:dyDescent="0.25">
      <c r="A1490" t="s">
        <v>535</v>
      </c>
      <c r="B1490" t="s">
        <v>3214</v>
      </c>
      <c r="C1490" t="s">
        <v>3219</v>
      </c>
      <c r="D1490" t="s">
        <v>3225</v>
      </c>
      <c r="E1490" t="s">
        <v>3226</v>
      </c>
      <c r="F1490">
        <v>67521.86</v>
      </c>
      <c r="G1490">
        <v>56138.12</v>
      </c>
      <c r="H1490">
        <v>4</v>
      </c>
    </row>
    <row r="1491" spans="1:8" x14ac:dyDescent="0.25">
      <c r="A1491" t="s">
        <v>1370</v>
      </c>
      <c r="B1491" t="s">
        <v>3214</v>
      </c>
      <c r="C1491" t="s">
        <v>3217</v>
      </c>
      <c r="D1491" t="s">
        <v>3222</v>
      </c>
      <c r="E1491" t="s">
        <v>3226</v>
      </c>
      <c r="F1491">
        <v>12800.81</v>
      </c>
      <c r="G1491">
        <v>9218.64</v>
      </c>
      <c r="H1491">
        <v>1</v>
      </c>
    </row>
    <row r="1492" spans="1:8" x14ac:dyDescent="0.25">
      <c r="A1492" t="s">
        <v>1371</v>
      </c>
      <c r="B1492" t="s">
        <v>3214</v>
      </c>
      <c r="C1492" t="s">
        <v>3221</v>
      </c>
      <c r="D1492" t="s">
        <v>3223</v>
      </c>
      <c r="E1492" t="s">
        <v>3226</v>
      </c>
      <c r="F1492">
        <v>49843.31</v>
      </c>
      <c r="G1492">
        <v>32711.75</v>
      </c>
      <c r="H1492">
        <v>5</v>
      </c>
    </row>
    <row r="1493" spans="1:8" x14ac:dyDescent="0.25">
      <c r="A1493" t="s">
        <v>1372</v>
      </c>
      <c r="B1493" t="s">
        <v>3214</v>
      </c>
      <c r="C1493" t="s">
        <v>3219</v>
      </c>
      <c r="D1493" t="s">
        <v>3225</v>
      </c>
      <c r="E1493" t="s">
        <v>3226</v>
      </c>
      <c r="F1493">
        <v>56167.62</v>
      </c>
      <c r="G1493">
        <v>39086.870000000003</v>
      </c>
      <c r="H1493">
        <v>3</v>
      </c>
    </row>
    <row r="1494" spans="1:8" x14ac:dyDescent="0.25">
      <c r="A1494" t="s">
        <v>1373</v>
      </c>
      <c r="B1494" t="s">
        <v>3212</v>
      </c>
      <c r="C1494" t="s">
        <v>3218</v>
      </c>
      <c r="D1494" t="s">
        <v>3223</v>
      </c>
      <c r="E1494" t="s">
        <v>3226</v>
      </c>
      <c r="F1494">
        <v>35477.980000000003</v>
      </c>
      <c r="G1494">
        <v>22505.31</v>
      </c>
      <c r="H1494">
        <v>3</v>
      </c>
    </row>
    <row r="1495" spans="1:8" x14ac:dyDescent="0.25">
      <c r="A1495" t="s">
        <v>404</v>
      </c>
      <c r="B1495" t="s">
        <v>3211</v>
      </c>
      <c r="C1495" t="s">
        <v>3218</v>
      </c>
      <c r="D1495" t="s">
        <v>3224</v>
      </c>
      <c r="E1495" t="s">
        <v>3226</v>
      </c>
      <c r="F1495">
        <v>263069.26</v>
      </c>
      <c r="G1495">
        <v>187651.37</v>
      </c>
      <c r="H1495">
        <v>4</v>
      </c>
    </row>
    <row r="1496" spans="1:8" x14ac:dyDescent="0.25">
      <c r="A1496" t="s">
        <v>1374</v>
      </c>
      <c r="B1496" t="s">
        <v>3213</v>
      </c>
      <c r="C1496" t="s">
        <v>3219</v>
      </c>
      <c r="D1496" t="s">
        <v>3222</v>
      </c>
      <c r="E1496" t="s">
        <v>3226</v>
      </c>
      <c r="F1496">
        <v>87178.66</v>
      </c>
      <c r="G1496">
        <v>49813.75</v>
      </c>
      <c r="H1496">
        <v>5</v>
      </c>
    </row>
    <row r="1497" spans="1:8" x14ac:dyDescent="0.25">
      <c r="A1497" t="s">
        <v>583</v>
      </c>
      <c r="B1497" t="s">
        <v>3214</v>
      </c>
      <c r="C1497" t="s">
        <v>3218</v>
      </c>
      <c r="D1497" t="s">
        <v>3222</v>
      </c>
      <c r="E1497" t="s">
        <v>3226</v>
      </c>
      <c r="F1497">
        <v>24930.38</v>
      </c>
      <c r="G1497">
        <v>21026.39</v>
      </c>
      <c r="H1497">
        <v>2</v>
      </c>
    </row>
    <row r="1498" spans="1:8" x14ac:dyDescent="0.25">
      <c r="A1498" t="s">
        <v>1375</v>
      </c>
      <c r="B1498" t="s">
        <v>3212</v>
      </c>
      <c r="C1498" t="s">
        <v>3221</v>
      </c>
      <c r="D1498" t="s">
        <v>3222</v>
      </c>
      <c r="E1498" t="s">
        <v>3226</v>
      </c>
      <c r="F1498">
        <v>12239.59</v>
      </c>
      <c r="G1498">
        <v>10588.04</v>
      </c>
      <c r="H1498">
        <v>1</v>
      </c>
    </row>
    <row r="1499" spans="1:8" x14ac:dyDescent="0.25">
      <c r="A1499" t="s">
        <v>1376</v>
      </c>
      <c r="B1499" t="s">
        <v>3211</v>
      </c>
      <c r="C1499" t="s">
        <v>3220</v>
      </c>
      <c r="D1499" t="s">
        <v>3222</v>
      </c>
      <c r="E1499" t="s">
        <v>3226</v>
      </c>
      <c r="F1499">
        <v>13912.22</v>
      </c>
      <c r="G1499">
        <v>10192.91</v>
      </c>
      <c r="H1499">
        <v>1</v>
      </c>
    </row>
    <row r="1500" spans="1:8" x14ac:dyDescent="0.25">
      <c r="A1500" t="s">
        <v>1377</v>
      </c>
      <c r="C1500" t="s">
        <v>3220</v>
      </c>
      <c r="D1500" t="s">
        <v>3222</v>
      </c>
      <c r="E1500" t="s">
        <v>3226</v>
      </c>
      <c r="G1500">
        <v>10766.71</v>
      </c>
      <c r="H1500">
        <v>1</v>
      </c>
    </row>
    <row r="1501" spans="1:8" x14ac:dyDescent="0.25">
      <c r="A1501" t="s">
        <v>1378</v>
      </c>
      <c r="C1501" t="s">
        <v>3217</v>
      </c>
      <c r="D1501" t="s">
        <v>3225</v>
      </c>
      <c r="E1501" t="s">
        <v>3226</v>
      </c>
      <c r="F1501">
        <v>38053.69</v>
      </c>
      <c r="G1501">
        <v>29812.48</v>
      </c>
      <c r="H1501">
        <v>2</v>
      </c>
    </row>
    <row r="1502" spans="1:8" x14ac:dyDescent="0.25">
      <c r="A1502" t="s">
        <v>1379</v>
      </c>
      <c r="B1502" t="s">
        <v>3214</v>
      </c>
      <c r="C1502" t="s">
        <v>3221</v>
      </c>
      <c r="D1502" t="s">
        <v>3224</v>
      </c>
      <c r="E1502" t="s">
        <v>3226</v>
      </c>
      <c r="F1502">
        <v>276190.93</v>
      </c>
      <c r="G1502">
        <v>162390.04</v>
      </c>
      <c r="H1502">
        <v>4</v>
      </c>
    </row>
    <row r="1503" spans="1:8" x14ac:dyDescent="0.25">
      <c r="A1503" t="s">
        <v>1380</v>
      </c>
      <c r="B1503" t="s">
        <v>3211</v>
      </c>
      <c r="C1503" t="s">
        <v>3218</v>
      </c>
      <c r="D1503" t="s">
        <v>3224</v>
      </c>
      <c r="E1503" t="s">
        <v>3226</v>
      </c>
      <c r="F1503">
        <v>234274.48</v>
      </c>
      <c r="G1503">
        <v>159410.84</v>
      </c>
      <c r="H1503">
        <v>4</v>
      </c>
    </row>
    <row r="1504" spans="1:8" x14ac:dyDescent="0.25">
      <c r="A1504" t="s">
        <v>288</v>
      </c>
      <c r="B1504" t="s">
        <v>3213</v>
      </c>
      <c r="C1504" t="s">
        <v>3217</v>
      </c>
      <c r="D1504" t="s">
        <v>3225</v>
      </c>
      <c r="E1504" t="s">
        <v>3226</v>
      </c>
      <c r="F1504">
        <v>23356.47</v>
      </c>
      <c r="G1504">
        <v>14188.02</v>
      </c>
      <c r="H1504">
        <v>1</v>
      </c>
    </row>
    <row r="1505" spans="1:8" x14ac:dyDescent="0.25">
      <c r="A1505" t="s">
        <v>1381</v>
      </c>
      <c r="C1505" t="s">
        <v>3220</v>
      </c>
      <c r="D1505" t="s">
        <v>3222</v>
      </c>
      <c r="E1505" t="s">
        <v>3226</v>
      </c>
      <c r="F1505">
        <v>41539.49</v>
      </c>
      <c r="G1505">
        <v>26448.2</v>
      </c>
      <c r="H1505">
        <v>3</v>
      </c>
    </row>
    <row r="1506" spans="1:8" x14ac:dyDescent="0.25">
      <c r="A1506" t="s">
        <v>1382</v>
      </c>
      <c r="B1506" t="s">
        <v>3215</v>
      </c>
      <c r="C1506" t="s">
        <v>3220</v>
      </c>
      <c r="D1506" t="s">
        <v>3223</v>
      </c>
      <c r="E1506" t="s">
        <v>3226</v>
      </c>
      <c r="F1506">
        <v>56972.56</v>
      </c>
      <c r="G1506">
        <v>36388.18</v>
      </c>
      <c r="H1506">
        <v>5</v>
      </c>
    </row>
    <row r="1507" spans="1:8" x14ac:dyDescent="0.25">
      <c r="A1507" t="s">
        <v>1383</v>
      </c>
      <c r="B1507" t="s">
        <v>3215</v>
      </c>
      <c r="C1507" t="s">
        <v>3218</v>
      </c>
      <c r="D1507" t="s">
        <v>3225</v>
      </c>
      <c r="E1507" t="s">
        <v>3226</v>
      </c>
      <c r="F1507">
        <v>17470.77</v>
      </c>
      <c r="G1507">
        <v>15194.94</v>
      </c>
      <c r="H1507">
        <v>1</v>
      </c>
    </row>
    <row r="1508" spans="1:8" x14ac:dyDescent="0.25">
      <c r="A1508" t="s">
        <v>1384</v>
      </c>
      <c r="C1508" t="s">
        <v>3219</v>
      </c>
      <c r="D1508" t="s">
        <v>3222</v>
      </c>
      <c r="E1508" t="s">
        <v>3226</v>
      </c>
      <c r="F1508">
        <v>26154.97</v>
      </c>
      <c r="G1508">
        <v>18013.439999999999</v>
      </c>
      <c r="H1508">
        <v>2</v>
      </c>
    </row>
    <row r="1509" spans="1:8" x14ac:dyDescent="0.25">
      <c r="A1509" t="s">
        <v>1385</v>
      </c>
      <c r="B1509" t="s">
        <v>3213</v>
      </c>
      <c r="C1509" t="s">
        <v>3219</v>
      </c>
      <c r="D1509" t="s">
        <v>3224</v>
      </c>
      <c r="E1509" t="s">
        <v>3226</v>
      </c>
      <c r="F1509">
        <v>256160.98</v>
      </c>
      <c r="G1509">
        <v>238930.04</v>
      </c>
      <c r="H1509">
        <v>5</v>
      </c>
    </row>
    <row r="1510" spans="1:8" x14ac:dyDescent="0.25">
      <c r="A1510" t="s">
        <v>1386</v>
      </c>
      <c r="B1510" t="s">
        <v>3214</v>
      </c>
      <c r="C1510" t="s">
        <v>3217</v>
      </c>
      <c r="D1510" t="s">
        <v>3222</v>
      </c>
      <c r="E1510" t="s">
        <v>3226</v>
      </c>
      <c r="F1510">
        <v>72461.8</v>
      </c>
      <c r="G1510">
        <v>44832.25</v>
      </c>
      <c r="H1510">
        <v>5</v>
      </c>
    </row>
    <row r="1511" spans="1:8" x14ac:dyDescent="0.25">
      <c r="A1511" t="s">
        <v>1387</v>
      </c>
      <c r="B1511" t="s">
        <v>3211</v>
      </c>
      <c r="C1511" t="s">
        <v>3217</v>
      </c>
      <c r="D1511" t="s">
        <v>3225</v>
      </c>
      <c r="E1511" t="s">
        <v>3226</v>
      </c>
      <c r="F1511">
        <v>45460.93</v>
      </c>
      <c r="G1511">
        <v>28540.33</v>
      </c>
      <c r="H1511">
        <v>2</v>
      </c>
    </row>
    <row r="1512" spans="1:8" x14ac:dyDescent="0.25">
      <c r="A1512" t="s">
        <v>1388</v>
      </c>
      <c r="B1512" t="s">
        <v>3214</v>
      </c>
      <c r="C1512" t="s">
        <v>3218</v>
      </c>
      <c r="D1512" t="s">
        <v>3224</v>
      </c>
      <c r="E1512" t="s">
        <v>3226</v>
      </c>
      <c r="F1512">
        <v>310506.77</v>
      </c>
      <c r="G1512">
        <v>229461.5</v>
      </c>
      <c r="H1512">
        <v>5</v>
      </c>
    </row>
    <row r="1513" spans="1:8" x14ac:dyDescent="0.25">
      <c r="A1513" t="s">
        <v>716</v>
      </c>
      <c r="B1513" t="s">
        <v>3213</v>
      </c>
      <c r="C1513" t="s">
        <v>3217</v>
      </c>
      <c r="D1513" t="s">
        <v>3224</v>
      </c>
      <c r="E1513" t="s">
        <v>3226</v>
      </c>
      <c r="F1513">
        <v>69102.539999999994</v>
      </c>
      <c r="G1513">
        <v>47016.04</v>
      </c>
      <c r="H1513">
        <v>1</v>
      </c>
    </row>
    <row r="1514" spans="1:8" x14ac:dyDescent="0.25">
      <c r="A1514" t="s">
        <v>1389</v>
      </c>
      <c r="B1514" t="s">
        <v>3211</v>
      </c>
      <c r="C1514" t="s">
        <v>3217</v>
      </c>
      <c r="D1514" t="s">
        <v>3224</v>
      </c>
      <c r="E1514" t="s">
        <v>3226</v>
      </c>
      <c r="F1514">
        <v>332209.27</v>
      </c>
      <c r="G1514">
        <v>233884</v>
      </c>
      <c r="H1514">
        <v>5</v>
      </c>
    </row>
    <row r="1515" spans="1:8" x14ac:dyDescent="0.25">
      <c r="A1515" t="s">
        <v>850</v>
      </c>
      <c r="B1515" t="s">
        <v>3213</v>
      </c>
      <c r="C1515" t="s">
        <v>3216</v>
      </c>
      <c r="D1515" t="s">
        <v>3222</v>
      </c>
      <c r="E1515" t="s">
        <v>3226</v>
      </c>
      <c r="F1515">
        <v>66553.149999999994</v>
      </c>
      <c r="G1515">
        <v>49280.13</v>
      </c>
      <c r="H1515">
        <v>5</v>
      </c>
    </row>
    <row r="1516" spans="1:8" x14ac:dyDescent="0.25">
      <c r="A1516" t="s">
        <v>638</v>
      </c>
      <c r="C1516" t="s">
        <v>3221</v>
      </c>
      <c r="D1516" t="s">
        <v>3225</v>
      </c>
      <c r="E1516" t="s">
        <v>3226</v>
      </c>
      <c r="F1516">
        <v>22312.04</v>
      </c>
      <c r="G1516">
        <v>13055.75</v>
      </c>
      <c r="H1516">
        <v>1</v>
      </c>
    </row>
    <row r="1517" spans="1:8" x14ac:dyDescent="0.25">
      <c r="A1517" t="s">
        <v>1390</v>
      </c>
      <c r="B1517" t="s">
        <v>3213</v>
      </c>
      <c r="C1517" t="s">
        <v>3216</v>
      </c>
      <c r="D1517" t="s">
        <v>3222</v>
      </c>
      <c r="E1517" t="s">
        <v>3226</v>
      </c>
      <c r="F1517">
        <v>29982.54</v>
      </c>
      <c r="G1517">
        <v>21378.27</v>
      </c>
      <c r="H1517">
        <v>2</v>
      </c>
    </row>
    <row r="1518" spans="1:8" x14ac:dyDescent="0.25">
      <c r="A1518" t="s">
        <v>1391</v>
      </c>
      <c r="B1518" t="s">
        <v>3214</v>
      </c>
      <c r="C1518" t="s">
        <v>3219</v>
      </c>
      <c r="D1518" t="s">
        <v>3224</v>
      </c>
      <c r="E1518" t="s">
        <v>3226</v>
      </c>
      <c r="F1518">
        <v>98013.61</v>
      </c>
      <c r="G1518">
        <v>91861.93</v>
      </c>
      <c r="H1518">
        <v>2</v>
      </c>
    </row>
    <row r="1519" spans="1:8" x14ac:dyDescent="0.25">
      <c r="A1519" t="s">
        <v>1392</v>
      </c>
      <c r="B1519" t="s">
        <v>3212</v>
      </c>
      <c r="C1519" t="s">
        <v>3217</v>
      </c>
      <c r="D1519" t="s">
        <v>3222</v>
      </c>
      <c r="E1519" t="s">
        <v>3226</v>
      </c>
      <c r="F1519">
        <v>38840.42</v>
      </c>
      <c r="G1519">
        <v>28441.05</v>
      </c>
      <c r="H1519">
        <v>3</v>
      </c>
    </row>
    <row r="1520" spans="1:8" x14ac:dyDescent="0.25">
      <c r="A1520" t="s">
        <v>1393</v>
      </c>
      <c r="B1520" t="s">
        <v>3214</v>
      </c>
      <c r="C1520" t="s">
        <v>3219</v>
      </c>
      <c r="D1520" t="s">
        <v>3223</v>
      </c>
      <c r="E1520" t="s">
        <v>3226</v>
      </c>
      <c r="F1520">
        <v>20583.09</v>
      </c>
      <c r="G1520">
        <v>13945.23</v>
      </c>
      <c r="H1520">
        <v>2</v>
      </c>
    </row>
    <row r="1521" spans="1:8" x14ac:dyDescent="0.25">
      <c r="A1521" t="s">
        <v>1394</v>
      </c>
      <c r="B1521" t="s">
        <v>3215</v>
      </c>
      <c r="C1521" t="s">
        <v>3221</v>
      </c>
      <c r="D1521" t="s">
        <v>3223</v>
      </c>
      <c r="E1521" t="s">
        <v>3226</v>
      </c>
      <c r="F1521">
        <v>35597.74</v>
      </c>
      <c r="G1521">
        <v>21188.74</v>
      </c>
      <c r="H1521">
        <v>3</v>
      </c>
    </row>
    <row r="1522" spans="1:8" x14ac:dyDescent="0.25">
      <c r="A1522" t="s">
        <v>1395</v>
      </c>
      <c r="B1522" t="s">
        <v>3215</v>
      </c>
      <c r="C1522" t="s">
        <v>3219</v>
      </c>
      <c r="D1522" t="s">
        <v>3225</v>
      </c>
      <c r="E1522" t="s">
        <v>3226</v>
      </c>
      <c r="F1522">
        <v>104539.71</v>
      </c>
      <c r="G1522">
        <v>61174.51</v>
      </c>
      <c r="H1522">
        <v>5</v>
      </c>
    </row>
    <row r="1523" spans="1:8" x14ac:dyDescent="0.25">
      <c r="A1523" t="s">
        <v>1396</v>
      </c>
      <c r="C1523" t="s">
        <v>3219</v>
      </c>
      <c r="D1523" t="s">
        <v>3222</v>
      </c>
      <c r="E1523" t="s">
        <v>3226</v>
      </c>
      <c r="F1523">
        <v>30418.54</v>
      </c>
      <c r="G1523">
        <v>19777.47</v>
      </c>
      <c r="H1523">
        <v>2</v>
      </c>
    </row>
    <row r="1524" spans="1:8" x14ac:dyDescent="0.25">
      <c r="A1524" t="s">
        <v>1397</v>
      </c>
      <c r="B1524" t="s">
        <v>3214</v>
      </c>
      <c r="C1524" t="s">
        <v>3221</v>
      </c>
      <c r="D1524" t="s">
        <v>3225</v>
      </c>
      <c r="E1524" t="s">
        <v>3226</v>
      </c>
      <c r="F1524">
        <v>46256.81</v>
      </c>
      <c r="G1524">
        <v>27955.73</v>
      </c>
      <c r="H1524">
        <v>2</v>
      </c>
    </row>
    <row r="1525" spans="1:8" x14ac:dyDescent="0.25">
      <c r="A1525" t="s">
        <v>1398</v>
      </c>
      <c r="B1525" t="s">
        <v>3215</v>
      </c>
      <c r="C1525" t="s">
        <v>3220</v>
      </c>
      <c r="D1525" t="s">
        <v>3224</v>
      </c>
      <c r="E1525" t="s">
        <v>3226</v>
      </c>
      <c r="F1525">
        <v>68942.69</v>
      </c>
      <c r="G1525">
        <v>41640.730000000003</v>
      </c>
      <c r="H1525">
        <v>1</v>
      </c>
    </row>
    <row r="1526" spans="1:8" x14ac:dyDescent="0.25">
      <c r="A1526" t="s">
        <v>1399</v>
      </c>
      <c r="B1526" t="s">
        <v>3211</v>
      </c>
      <c r="C1526" t="s">
        <v>3217</v>
      </c>
      <c r="D1526" t="s">
        <v>3225</v>
      </c>
      <c r="E1526" t="s">
        <v>3226</v>
      </c>
      <c r="F1526">
        <v>57724.37</v>
      </c>
      <c r="G1526">
        <v>45425.39</v>
      </c>
      <c r="H1526">
        <v>3</v>
      </c>
    </row>
    <row r="1527" spans="1:8" x14ac:dyDescent="0.25">
      <c r="A1527" t="s">
        <v>1400</v>
      </c>
      <c r="B1527" t="s">
        <v>3213</v>
      </c>
      <c r="C1527" t="s">
        <v>3218</v>
      </c>
      <c r="D1527" t="s">
        <v>3224</v>
      </c>
      <c r="E1527" t="s">
        <v>3226</v>
      </c>
      <c r="F1527">
        <v>115675.73</v>
      </c>
      <c r="G1527">
        <v>91791.92</v>
      </c>
      <c r="H1527">
        <v>2</v>
      </c>
    </row>
    <row r="1528" spans="1:8" x14ac:dyDescent="0.25">
      <c r="A1528" t="s">
        <v>1401</v>
      </c>
      <c r="B1528" t="s">
        <v>3214</v>
      </c>
      <c r="C1528" t="s">
        <v>3218</v>
      </c>
      <c r="D1528" t="s">
        <v>3225</v>
      </c>
      <c r="E1528" t="s">
        <v>3226</v>
      </c>
      <c r="F1528">
        <v>70949.429999999993</v>
      </c>
      <c r="G1528">
        <v>44935.41</v>
      </c>
      <c r="H1528">
        <v>3</v>
      </c>
    </row>
    <row r="1529" spans="1:8" x14ac:dyDescent="0.25">
      <c r="A1529" t="s">
        <v>1402</v>
      </c>
      <c r="B1529" t="s">
        <v>3212</v>
      </c>
      <c r="C1529" t="s">
        <v>3220</v>
      </c>
      <c r="D1529" t="s">
        <v>3224</v>
      </c>
      <c r="E1529" t="s">
        <v>3226</v>
      </c>
      <c r="F1529">
        <v>176724.57</v>
      </c>
      <c r="G1529">
        <v>138862.64000000001</v>
      </c>
      <c r="H1529">
        <v>3</v>
      </c>
    </row>
    <row r="1530" spans="1:8" x14ac:dyDescent="0.25">
      <c r="A1530" t="s">
        <v>787</v>
      </c>
      <c r="B1530" t="s">
        <v>3214</v>
      </c>
      <c r="C1530" t="s">
        <v>3219</v>
      </c>
      <c r="D1530" t="s">
        <v>3224</v>
      </c>
      <c r="E1530" t="s">
        <v>3226</v>
      </c>
      <c r="F1530">
        <v>211705.08</v>
      </c>
      <c r="H1530">
        <v>3</v>
      </c>
    </row>
    <row r="1531" spans="1:8" x14ac:dyDescent="0.25">
      <c r="A1531" t="s">
        <v>1403</v>
      </c>
      <c r="B1531" t="s">
        <v>3213</v>
      </c>
      <c r="C1531" t="s">
        <v>3218</v>
      </c>
      <c r="D1531" t="s">
        <v>3223</v>
      </c>
      <c r="E1531" t="s">
        <v>3226</v>
      </c>
      <c r="G1531">
        <v>33658.81</v>
      </c>
      <c r="H1531">
        <v>5</v>
      </c>
    </row>
    <row r="1532" spans="1:8" x14ac:dyDescent="0.25">
      <c r="A1532" t="s">
        <v>980</v>
      </c>
      <c r="B1532" t="s">
        <v>3212</v>
      </c>
      <c r="C1532" t="s">
        <v>3219</v>
      </c>
      <c r="D1532" t="s">
        <v>3225</v>
      </c>
      <c r="E1532" t="s">
        <v>3226</v>
      </c>
      <c r="F1532">
        <v>19147.59</v>
      </c>
      <c r="G1532">
        <v>12361.48</v>
      </c>
      <c r="H1532">
        <v>1</v>
      </c>
    </row>
    <row r="1533" spans="1:8" x14ac:dyDescent="0.25">
      <c r="A1533" t="s">
        <v>1404</v>
      </c>
      <c r="B1533" t="s">
        <v>3215</v>
      </c>
      <c r="C1533" t="s">
        <v>3216</v>
      </c>
      <c r="D1533" t="s">
        <v>3224</v>
      </c>
      <c r="E1533" t="s">
        <v>3226</v>
      </c>
      <c r="F1533">
        <v>259353.54</v>
      </c>
      <c r="G1533">
        <v>172557.11</v>
      </c>
      <c r="H1533">
        <v>4</v>
      </c>
    </row>
    <row r="1534" spans="1:8" x14ac:dyDescent="0.25">
      <c r="A1534" t="s">
        <v>1405</v>
      </c>
      <c r="B1534" t="s">
        <v>3214</v>
      </c>
      <c r="C1534" t="s">
        <v>3219</v>
      </c>
      <c r="D1534" t="s">
        <v>3222</v>
      </c>
      <c r="E1534" t="s">
        <v>3226</v>
      </c>
      <c r="F1534">
        <v>83945.12</v>
      </c>
      <c r="G1534">
        <v>52332.66</v>
      </c>
      <c r="H1534">
        <v>5</v>
      </c>
    </row>
    <row r="1535" spans="1:8" x14ac:dyDescent="0.25">
      <c r="A1535" t="s">
        <v>1406</v>
      </c>
      <c r="B1535" t="s">
        <v>3211</v>
      </c>
      <c r="C1535" t="s">
        <v>3218</v>
      </c>
      <c r="D1535" t="s">
        <v>3224</v>
      </c>
      <c r="E1535" t="s">
        <v>3226</v>
      </c>
      <c r="F1535">
        <v>69424.259999999995</v>
      </c>
      <c r="G1535">
        <v>43899.54</v>
      </c>
      <c r="H1535">
        <v>1</v>
      </c>
    </row>
    <row r="1536" spans="1:8" x14ac:dyDescent="0.25">
      <c r="A1536" t="s">
        <v>1407</v>
      </c>
      <c r="B1536" t="s">
        <v>3215</v>
      </c>
      <c r="C1536" t="s">
        <v>3216</v>
      </c>
      <c r="D1536" t="s">
        <v>3225</v>
      </c>
      <c r="E1536" t="s">
        <v>3226</v>
      </c>
      <c r="F1536">
        <v>35724.36</v>
      </c>
      <c r="G1536">
        <v>30265.16</v>
      </c>
      <c r="H1536">
        <v>2</v>
      </c>
    </row>
    <row r="1537" spans="1:8" x14ac:dyDescent="0.25">
      <c r="A1537" t="s">
        <v>1187</v>
      </c>
      <c r="B1537" t="s">
        <v>3215</v>
      </c>
      <c r="C1537" t="s">
        <v>3218</v>
      </c>
      <c r="D1537" t="s">
        <v>3222</v>
      </c>
      <c r="E1537" t="s">
        <v>3226</v>
      </c>
      <c r="G1537">
        <v>10555.98</v>
      </c>
      <c r="H1537">
        <v>1</v>
      </c>
    </row>
    <row r="1538" spans="1:8" x14ac:dyDescent="0.25">
      <c r="A1538" t="s">
        <v>1408</v>
      </c>
      <c r="B1538" t="s">
        <v>3215</v>
      </c>
      <c r="C1538" t="s">
        <v>3217</v>
      </c>
      <c r="D1538" t="s">
        <v>3223</v>
      </c>
      <c r="E1538" t="s">
        <v>3226</v>
      </c>
      <c r="F1538">
        <v>39466.15</v>
      </c>
      <c r="G1538">
        <v>26738.87</v>
      </c>
      <c r="H1538">
        <v>4</v>
      </c>
    </row>
    <row r="1539" spans="1:8" x14ac:dyDescent="0.25">
      <c r="A1539" t="s">
        <v>1409</v>
      </c>
      <c r="B1539" t="s">
        <v>3213</v>
      </c>
      <c r="C1539" t="s">
        <v>3216</v>
      </c>
      <c r="D1539" t="s">
        <v>3224</v>
      </c>
      <c r="E1539" t="s">
        <v>3226</v>
      </c>
      <c r="F1539">
        <v>238248.66</v>
      </c>
      <c r="G1539">
        <v>193308.46</v>
      </c>
      <c r="H1539">
        <v>4</v>
      </c>
    </row>
    <row r="1540" spans="1:8" x14ac:dyDescent="0.25">
      <c r="A1540" t="s">
        <v>1410</v>
      </c>
      <c r="B1540" t="s">
        <v>3211</v>
      </c>
      <c r="C1540" t="s">
        <v>3216</v>
      </c>
      <c r="D1540" t="s">
        <v>3223</v>
      </c>
      <c r="E1540" t="s">
        <v>3226</v>
      </c>
      <c r="G1540">
        <v>31413.25</v>
      </c>
      <c r="H1540">
        <v>5</v>
      </c>
    </row>
    <row r="1541" spans="1:8" x14ac:dyDescent="0.25">
      <c r="A1541" t="s">
        <v>1411</v>
      </c>
      <c r="B1541" t="s">
        <v>3213</v>
      </c>
      <c r="C1541" t="s">
        <v>3218</v>
      </c>
      <c r="D1541" t="s">
        <v>3225</v>
      </c>
      <c r="E1541" t="s">
        <v>3226</v>
      </c>
      <c r="F1541">
        <v>94169.78</v>
      </c>
      <c r="G1541">
        <v>51672.7</v>
      </c>
      <c r="H1541">
        <v>4</v>
      </c>
    </row>
    <row r="1542" spans="1:8" x14ac:dyDescent="0.25">
      <c r="A1542" t="s">
        <v>1412</v>
      </c>
      <c r="C1542" t="s">
        <v>3219</v>
      </c>
      <c r="D1542" t="s">
        <v>3224</v>
      </c>
      <c r="E1542" t="s">
        <v>3226</v>
      </c>
      <c r="F1542">
        <v>320857.7</v>
      </c>
      <c r="G1542">
        <v>224374.64</v>
      </c>
      <c r="H1542">
        <v>5</v>
      </c>
    </row>
    <row r="1543" spans="1:8" x14ac:dyDescent="0.25">
      <c r="A1543" t="s">
        <v>1413</v>
      </c>
      <c r="B1543" t="s">
        <v>3211</v>
      </c>
      <c r="C1543" t="s">
        <v>3218</v>
      </c>
      <c r="D1543" t="s">
        <v>3225</v>
      </c>
      <c r="E1543" t="s">
        <v>3226</v>
      </c>
      <c r="F1543">
        <v>77846.559999999998</v>
      </c>
      <c r="G1543">
        <v>49378.75</v>
      </c>
      <c r="H1543">
        <v>4</v>
      </c>
    </row>
    <row r="1544" spans="1:8" x14ac:dyDescent="0.25">
      <c r="A1544" t="s">
        <v>1414</v>
      </c>
      <c r="B1544" t="s">
        <v>3211</v>
      </c>
      <c r="C1544" t="s">
        <v>3217</v>
      </c>
      <c r="D1544" t="s">
        <v>3222</v>
      </c>
      <c r="E1544" t="s">
        <v>3226</v>
      </c>
      <c r="F1544">
        <v>53786.65</v>
      </c>
      <c r="G1544">
        <v>36223.910000000003</v>
      </c>
      <c r="H1544">
        <v>4</v>
      </c>
    </row>
    <row r="1545" spans="1:8" x14ac:dyDescent="0.25">
      <c r="A1545" t="s">
        <v>1415</v>
      </c>
      <c r="B1545" t="s">
        <v>3211</v>
      </c>
      <c r="C1545" t="s">
        <v>3221</v>
      </c>
      <c r="D1545" t="s">
        <v>3224</v>
      </c>
      <c r="E1545" t="s">
        <v>3226</v>
      </c>
      <c r="F1545">
        <v>116100.22</v>
      </c>
      <c r="H1545">
        <v>2</v>
      </c>
    </row>
    <row r="1546" spans="1:8" x14ac:dyDescent="0.25">
      <c r="A1546" t="s">
        <v>1416</v>
      </c>
      <c r="B1546" t="s">
        <v>3214</v>
      </c>
      <c r="C1546" t="s">
        <v>3218</v>
      </c>
      <c r="D1546" t="s">
        <v>3225</v>
      </c>
      <c r="E1546" t="s">
        <v>3226</v>
      </c>
      <c r="F1546">
        <v>76428.58</v>
      </c>
      <c r="G1546">
        <v>54644.87</v>
      </c>
      <c r="H1546">
        <v>4</v>
      </c>
    </row>
    <row r="1547" spans="1:8" x14ac:dyDescent="0.25">
      <c r="A1547" t="s">
        <v>1417</v>
      </c>
      <c r="B1547" t="s">
        <v>3211</v>
      </c>
      <c r="C1547" t="s">
        <v>3216</v>
      </c>
      <c r="D1547" t="s">
        <v>3224</v>
      </c>
      <c r="E1547" t="s">
        <v>3226</v>
      </c>
      <c r="F1547">
        <v>204656.55</v>
      </c>
      <c r="G1547">
        <v>123200.98</v>
      </c>
      <c r="H1547">
        <v>3</v>
      </c>
    </row>
    <row r="1548" spans="1:8" x14ac:dyDescent="0.25">
      <c r="A1548" t="s">
        <v>1418</v>
      </c>
      <c r="B1548" t="s">
        <v>3213</v>
      </c>
      <c r="C1548" t="s">
        <v>3220</v>
      </c>
      <c r="D1548" t="s">
        <v>3224</v>
      </c>
      <c r="E1548" t="s">
        <v>3226</v>
      </c>
      <c r="F1548">
        <v>323439.53000000003</v>
      </c>
      <c r="G1548">
        <v>232937.27</v>
      </c>
      <c r="H1548">
        <v>5</v>
      </c>
    </row>
    <row r="1549" spans="1:8" x14ac:dyDescent="0.25">
      <c r="A1549" t="s">
        <v>1419</v>
      </c>
      <c r="C1549" t="s">
        <v>3218</v>
      </c>
      <c r="D1549" t="s">
        <v>3223</v>
      </c>
      <c r="E1549" t="s">
        <v>3226</v>
      </c>
      <c r="F1549">
        <v>33228.28</v>
      </c>
      <c r="G1549">
        <v>21355.72</v>
      </c>
      <c r="H1549">
        <v>3</v>
      </c>
    </row>
    <row r="1550" spans="1:8" x14ac:dyDescent="0.25">
      <c r="A1550" t="s">
        <v>1420</v>
      </c>
      <c r="B1550" t="s">
        <v>3213</v>
      </c>
      <c r="C1550" t="s">
        <v>3217</v>
      </c>
      <c r="D1550" t="s">
        <v>3222</v>
      </c>
      <c r="E1550" t="s">
        <v>3226</v>
      </c>
      <c r="F1550">
        <v>36799.24</v>
      </c>
      <c r="G1550">
        <v>31473.27</v>
      </c>
      <c r="H1550">
        <v>3</v>
      </c>
    </row>
    <row r="1551" spans="1:8" x14ac:dyDescent="0.25">
      <c r="A1551" t="s">
        <v>1421</v>
      </c>
      <c r="B1551" t="s">
        <v>3213</v>
      </c>
      <c r="C1551" t="s">
        <v>3216</v>
      </c>
      <c r="D1551" t="s">
        <v>3222</v>
      </c>
      <c r="E1551" t="s">
        <v>3226</v>
      </c>
      <c r="F1551">
        <v>40619.279999999999</v>
      </c>
      <c r="G1551">
        <v>30533.18</v>
      </c>
      <c r="H1551">
        <v>3</v>
      </c>
    </row>
    <row r="1552" spans="1:8" x14ac:dyDescent="0.25">
      <c r="A1552" t="s">
        <v>1422</v>
      </c>
      <c r="B1552" t="s">
        <v>3215</v>
      </c>
      <c r="C1552" t="s">
        <v>3219</v>
      </c>
      <c r="D1552" t="s">
        <v>3223</v>
      </c>
      <c r="E1552" t="s">
        <v>3226</v>
      </c>
      <c r="F1552">
        <v>10842.75</v>
      </c>
      <c r="G1552">
        <v>7402.91</v>
      </c>
      <c r="H1552">
        <v>1</v>
      </c>
    </row>
    <row r="1553" spans="1:8" x14ac:dyDescent="0.25">
      <c r="A1553" t="s">
        <v>1423</v>
      </c>
      <c r="B1553" t="s">
        <v>3211</v>
      </c>
      <c r="C1553" t="s">
        <v>3218</v>
      </c>
      <c r="D1553" t="s">
        <v>3225</v>
      </c>
      <c r="E1553" t="s">
        <v>3226</v>
      </c>
      <c r="F1553">
        <v>33598.99</v>
      </c>
      <c r="G1553">
        <v>29968.32</v>
      </c>
      <c r="H1553">
        <v>2</v>
      </c>
    </row>
    <row r="1554" spans="1:8" x14ac:dyDescent="0.25">
      <c r="A1554" t="s">
        <v>1424</v>
      </c>
      <c r="B1554" t="s">
        <v>3214</v>
      </c>
      <c r="C1554" t="s">
        <v>3219</v>
      </c>
      <c r="D1554" t="s">
        <v>3222</v>
      </c>
      <c r="E1554" t="s">
        <v>3226</v>
      </c>
      <c r="F1554">
        <v>49099.6</v>
      </c>
      <c r="G1554">
        <v>30622.06</v>
      </c>
      <c r="H1554">
        <v>3</v>
      </c>
    </row>
    <row r="1555" spans="1:8" x14ac:dyDescent="0.25">
      <c r="A1555" t="s">
        <v>1425</v>
      </c>
      <c r="B1555" t="s">
        <v>3213</v>
      </c>
      <c r="C1555" t="s">
        <v>3221</v>
      </c>
      <c r="D1555" t="s">
        <v>3222</v>
      </c>
      <c r="E1555" t="s">
        <v>3226</v>
      </c>
      <c r="F1555">
        <v>48483.25</v>
      </c>
      <c r="G1555">
        <v>25566.85</v>
      </c>
      <c r="H1555">
        <v>3</v>
      </c>
    </row>
    <row r="1556" spans="1:8" x14ac:dyDescent="0.25">
      <c r="A1556" t="s">
        <v>1426</v>
      </c>
      <c r="B1556" t="s">
        <v>3212</v>
      </c>
      <c r="C1556" t="s">
        <v>3220</v>
      </c>
      <c r="D1556" t="s">
        <v>3222</v>
      </c>
      <c r="E1556" t="s">
        <v>3226</v>
      </c>
      <c r="F1556">
        <v>66620.67</v>
      </c>
      <c r="G1556">
        <v>34839.9</v>
      </c>
      <c r="H1556">
        <v>4</v>
      </c>
    </row>
    <row r="1557" spans="1:8" x14ac:dyDescent="0.25">
      <c r="A1557" t="s">
        <v>1427</v>
      </c>
      <c r="B1557" t="s">
        <v>3215</v>
      </c>
      <c r="C1557" t="s">
        <v>3220</v>
      </c>
      <c r="D1557" t="s">
        <v>3225</v>
      </c>
      <c r="E1557" t="s">
        <v>3226</v>
      </c>
      <c r="F1557">
        <v>16879.830000000002</v>
      </c>
      <c r="G1557">
        <v>13172.81</v>
      </c>
      <c r="H1557">
        <v>1</v>
      </c>
    </row>
    <row r="1558" spans="1:8" x14ac:dyDescent="0.25">
      <c r="A1558" t="s">
        <v>1428</v>
      </c>
      <c r="B1558" t="s">
        <v>3213</v>
      </c>
      <c r="C1558" t="s">
        <v>3219</v>
      </c>
      <c r="D1558" t="s">
        <v>3224</v>
      </c>
      <c r="E1558" t="s">
        <v>3226</v>
      </c>
      <c r="F1558">
        <v>57014.080000000002</v>
      </c>
      <c r="H1558">
        <v>1</v>
      </c>
    </row>
    <row r="1559" spans="1:8" x14ac:dyDescent="0.25">
      <c r="A1559" t="s">
        <v>788</v>
      </c>
      <c r="C1559" t="s">
        <v>3219</v>
      </c>
      <c r="D1559" t="s">
        <v>3223</v>
      </c>
      <c r="E1559" t="s">
        <v>3226</v>
      </c>
      <c r="F1559">
        <v>16614.8</v>
      </c>
      <c r="G1559">
        <v>13275.31</v>
      </c>
      <c r="H1559">
        <v>2</v>
      </c>
    </row>
    <row r="1560" spans="1:8" x14ac:dyDescent="0.25">
      <c r="A1560" t="s">
        <v>1429</v>
      </c>
      <c r="B1560" t="s">
        <v>3211</v>
      </c>
      <c r="C1560" t="s">
        <v>3218</v>
      </c>
      <c r="D1560" t="s">
        <v>3223</v>
      </c>
      <c r="E1560" t="s">
        <v>3226</v>
      </c>
      <c r="F1560">
        <v>34163.839999999997</v>
      </c>
      <c r="G1560">
        <v>27967.61</v>
      </c>
      <c r="H1560">
        <v>4</v>
      </c>
    </row>
    <row r="1561" spans="1:8" x14ac:dyDescent="0.25">
      <c r="A1561" t="s">
        <v>1430</v>
      </c>
      <c r="B1561" t="s">
        <v>3214</v>
      </c>
      <c r="C1561" t="s">
        <v>3219</v>
      </c>
      <c r="D1561" t="s">
        <v>3223</v>
      </c>
      <c r="E1561" t="s">
        <v>3226</v>
      </c>
      <c r="G1561">
        <v>20785.07</v>
      </c>
      <c r="H1561">
        <v>3</v>
      </c>
    </row>
    <row r="1562" spans="1:8" x14ac:dyDescent="0.25">
      <c r="A1562" t="s">
        <v>1431</v>
      </c>
      <c r="B1562" t="s">
        <v>3212</v>
      </c>
      <c r="C1562" t="s">
        <v>3220</v>
      </c>
      <c r="D1562" t="s">
        <v>3222</v>
      </c>
      <c r="E1562" t="s">
        <v>3226</v>
      </c>
      <c r="F1562">
        <v>66771.92</v>
      </c>
      <c r="G1562">
        <v>49077.19</v>
      </c>
      <c r="H1562">
        <v>5</v>
      </c>
    </row>
    <row r="1563" spans="1:8" x14ac:dyDescent="0.25">
      <c r="A1563" t="s">
        <v>1432</v>
      </c>
      <c r="B1563" t="s">
        <v>3211</v>
      </c>
      <c r="C1563" t="s">
        <v>3218</v>
      </c>
      <c r="D1563" t="s">
        <v>3222</v>
      </c>
      <c r="E1563" t="s">
        <v>3226</v>
      </c>
      <c r="F1563">
        <v>48203.66</v>
      </c>
      <c r="G1563">
        <v>36166.839999999997</v>
      </c>
      <c r="H1563">
        <v>4</v>
      </c>
    </row>
    <row r="1564" spans="1:8" x14ac:dyDescent="0.25">
      <c r="A1564" t="s">
        <v>1058</v>
      </c>
      <c r="B1564" t="s">
        <v>3215</v>
      </c>
      <c r="C1564" t="s">
        <v>3220</v>
      </c>
      <c r="D1564" t="s">
        <v>3225</v>
      </c>
      <c r="E1564" t="s">
        <v>3226</v>
      </c>
      <c r="F1564">
        <v>60324.53</v>
      </c>
      <c r="G1564">
        <v>42099.96</v>
      </c>
      <c r="H1564">
        <v>3</v>
      </c>
    </row>
    <row r="1565" spans="1:8" x14ac:dyDescent="0.25">
      <c r="A1565" t="s">
        <v>1433</v>
      </c>
      <c r="B1565" t="s">
        <v>3212</v>
      </c>
      <c r="C1565" t="s">
        <v>3219</v>
      </c>
      <c r="D1565" t="s">
        <v>3223</v>
      </c>
      <c r="E1565" t="s">
        <v>3226</v>
      </c>
      <c r="G1565">
        <v>14597.55</v>
      </c>
      <c r="H1565">
        <v>2</v>
      </c>
    </row>
    <row r="1566" spans="1:8" x14ac:dyDescent="0.25">
      <c r="A1566" t="s">
        <v>1434</v>
      </c>
      <c r="B1566" t="s">
        <v>3211</v>
      </c>
      <c r="C1566" t="s">
        <v>3217</v>
      </c>
      <c r="D1566" t="s">
        <v>3224</v>
      </c>
      <c r="E1566" t="s">
        <v>3226</v>
      </c>
      <c r="F1566">
        <v>203508.87</v>
      </c>
      <c r="H1566">
        <v>4</v>
      </c>
    </row>
    <row r="1567" spans="1:8" x14ac:dyDescent="0.25">
      <c r="A1567" t="s">
        <v>1054</v>
      </c>
      <c r="B1567" t="s">
        <v>3211</v>
      </c>
      <c r="C1567" t="s">
        <v>3217</v>
      </c>
      <c r="D1567" t="s">
        <v>3224</v>
      </c>
      <c r="E1567" t="s">
        <v>3226</v>
      </c>
      <c r="F1567">
        <v>141810.17000000001</v>
      </c>
      <c r="G1567">
        <v>81246.81</v>
      </c>
      <c r="H1567">
        <v>2</v>
      </c>
    </row>
    <row r="1568" spans="1:8" x14ac:dyDescent="0.25">
      <c r="A1568" t="s">
        <v>1435</v>
      </c>
      <c r="B1568" t="s">
        <v>3214</v>
      </c>
      <c r="C1568" t="s">
        <v>3220</v>
      </c>
      <c r="D1568" t="s">
        <v>3224</v>
      </c>
      <c r="E1568" t="s">
        <v>3226</v>
      </c>
      <c r="F1568">
        <v>279632.09000000003</v>
      </c>
      <c r="G1568">
        <v>198321.46</v>
      </c>
      <c r="H1568">
        <v>5</v>
      </c>
    </row>
    <row r="1569" spans="1:8" x14ac:dyDescent="0.25">
      <c r="A1569" t="s">
        <v>679</v>
      </c>
      <c r="B1569" t="s">
        <v>3215</v>
      </c>
      <c r="C1569" t="s">
        <v>3218</v>
      </c>
      <c r="D1569" t="s">
        <v>3222</v>
      </c>
      <c r="E1569" t="s">
        <v>3226</v>
      </c>
      <c r="F1569">
        <v>59579.33</v>
      </c>
      <c r="G1569">
        <v>42052.21</v>
      </c>
      <c r="H1569">
        <v>4</v>
      </c>
    </row>
    <row r="1570" spans="1:8" x14ac:dyDescent="0.25">
      <c r="A1570" t="s">
        <v>209</v>
      </c>
      <c r="B1570" t="s">
        <v>3214</v>
      </c>
      <c r="C1570" t="s">
        <v>3218</v>
      </c>
      <c r="D1570" t="s">
        <v>3223</v>
      </c>
      <c r="E1570" t="s">
        <v>3226</v>
      </c>
      <c r="F1570">
        <v>30256.01</v>
      </c>
      <c r="G1570">
        <v>19305.2</v>
      </c>
      <c r="H1570">
        <v>3</v>
      </c>
    </row>
    <row r="1571" spans="1:8" x14ac:dyDescent="0.25">
      <c r="A1571" t="s">
        <v>1436</v>
      </c>
      <c r="C1571" t="s">
        <v>3217</v>
      </c>
      <c r="D1571" t="s">
        <v>3225</v>
      </c>
      <c r="E1571" t="s">
        <v>3226</v>
      </c>
      <c r="F1571">
        <v>73085.36</v>
      </c>
      <c r="G1571">
        <v>51001.97</v>
      </c>
      <c r="H1571">
        <v>4</v>
      </c>
    </row>
    <row r="1572" spans="1:8" x14ac:dyDescent="0.25">
      <c r="A1572" t="s">
        <v>1437</v>
      </c>
      <c r="B1572" t="s">
        <v>3215</v>
      </c>
      <c r="C1572" t="s">
        <v>3216</v>
      </c>
      <c r="D1572" t="s">
        <v>3223</v>
      </c>
      <c r="E1572" t="s">
        <v>3226</v>
      </c>
      <c r="F1572">
        <v>19472.61</v>
      </c>
      <c r="G1572">
        <v>12571.91</v>
      </c>
      <c r="H1572">
        <v>2</v>
      </c>
    </row>
    <row r="1573" spans="1:8" x14ac:dyDescent="0.25">
      <c r="A1573" t="s">
        <v>1319</v>
      </c>
      <c r="B1573" t="s">
        <v>3212</v>
      </c>
      <c r="C1573" t="s">
        <v>3216</v>
      </c>
      <c r="D1573" t="s">
        <v>3224</v>
      </c>
      <c r="E1573" t="s">
        <v>3226</v>
      </c>
      <c r="F1573">
        <v>182556.6</v>
      </c>
      <c r="H1573">
        <v>3</v>
      </c>
    </row>
    <row r="1574" spans="1:8" x14ac:dyDescent="0.25">
      <c r="A1574" t="s">
        <v>1438</v>
      </c>
      <c r="B1574" t="s">
        <v>3211</v>
      </c>
      <c r="C1574" t="s">
        <v>3221</v>
      </c>
      <c r="D1574" t="s">
        <v>3224</v>
      </c>
      <c r="E1574" t="s">
        <v>3226</v>
      </c>
      <c r="G1574">
        <v>197672.61</v>
      </c>
    </row>
    <row r="1575" spans="1:8" x14ac:dyDescent="0.25">
      <c r="A1575" t="s">
        <v>111</v>
      </c>
      <c r="C1575" t="s">
        <v>3218</v>
      </c>
      <c r="D1575" t="s">
        <v>3222</v>
      </c>
      <c r="E1575" t="s">
        <v>3226</v>
      </c>
      <c r="F1575">
        <v>45451.58</v>
      </c>
      <c r="G1575">
        <v>29650.84</v>
      </c>
      <c r="H1575">
        <v>3</v>
      </c>
    </row>
    <row r="1576" spans="1:8" x14ac:dyDescent="0.25">
      <c r="A1576" t="s">
        <v>1439</v>
      </c>
      <c r="B1576" t="s">
        <v>3212</v>
      </c>
      <c r="C1576" t="s">
        <v>3220</v>
      </c>
      <c r="D1576" t="s">
        <v>3224</v>
      </c>
      <c r="E1576" t="s">
        <v>3226</v>
      </c>
      <c r="F1576">
        <v>289911.92</v>
      </c>
      <c r="G1576">
        <v>235393.71</v>
      </c>
      <c r="H1576">
        <v>5</v>
      </c>
    </row>
    <row r="1577" spans="1:8" x14ac:dyDescent="0.25">
      <c r="A1577" t="s">
        <v>1440</v>
      </c>
      <c r="B1577" t="s">
        <v>3214</v>
      </c>
      <c r="C1577" t="s">
        <v>3219</v>
      </c>
      <c r="D1577" t="s">
        <v>3222</v>
      </c>
      <c r="E1577" t="s">
        <v>3226</v>
      </c>
      <c r="F1577">
        <v>48796.5</v>
      </c>
      <c r="G1577">
        <v>39170.15</v>
      </c>
      <c r="H1577">
        <v>4</v>
      </c>
    </row>
    <row r="1578" spans="1:8" x14ac:dyDescent="0.25">
      <c r="A1578" t="s">
        <v>1441</v>
      </c>
      <c r="B1578" t="s">
        <v>3214</v>
      </c>
      <c r="C1578" t="s">
        <v>3217</v>
      </c>
      <c r="D1578" t="s">
        <v>3224</v>
      </c>
      <c r="E1578" t="s">
        <v>3226</v>
      </c>
      <c r="F1578">
        <v>126803.38</v>
      </c>
      <c r="G1578">
        <v>91551.41</v>
      </c>
      <c r="H1578">
        <v>2</v>
      </c>
    </row>
    <row r="1579" spans="1:8" x14ac:dyDescent="0.25">
      <c r="A1579" t="s">
        <v>1442</v>
      </c>
      <c r="B1579" t="s">
        <v>3215</v>
      </c>
      <c r="C1579" t="s">
        <v>3219</v>
      </c>
      <c r="D1579" t="s">
        <v>3225</v>
      </c>
      <c r="E1579" t="s">
        <v>3226</v>
      </c>
      <c r="F1579">
        <v>83466.22</v>
      </c>
      <c r="G1579">
        <v>52670.080000000002</v>
      </c>
      <c r="H1579">
        <v>4</v>
      </c>
    </row>
    <row r="1580" spans="1:8" x14ac:dyDescent="0.25">
      <c r="A1580" t="s">
        <v>1443</v>
      </c>
      <c r="C1580" t="s">
        <v>3220</v>
      </c>
      <c r="D1580" t="s">
        <v>3224</v>
      </c>
      <c r="E1580" t="s">
        <v>3226</v>
      </c>
      <c r="F1580">
        <v>125534.46</v>
      </c>
      <c r="G1580">
        <v>84943.47</v>
      </c>
      <c r="H1580">
        <v>2</v>
      </c>
    </row>
    <row r="1581" spans="1:8" x14ac:dyDescent="0.25">
      <c r="A1581" t="s">
        <v>867</v>
      </c>
      <c r="B1581" t="s">
        <v>3211</v>
      </c>
      <c r="C1581" t="s">
        <v>3221</v>
      </c>
      <c r="D1581" t="s">
        <v>3224</v>
      </c>
      <c r="E1581" t="s">
        <v>3226</v>
      </c>
      <c r="F1581">
        <v>63557.25</v>
      </c>
      <c r="G1581">
        <v>42665.67</v>
      </c>
      <c r="H1581">
        <v>1</v>
      </c>
    </row>
    <row r="1582" spans="1:8" x14ac:dyDescent="0.25">
      <c r="A1582" t="s">
        <v>1308</v>
      </c>
      <c r="B1582" t="s">
        <v>3212</v>
      </c>
      <c r="C1582" t="s">
        <v>3218</v>
      </c>
      <c r="D1582" t="s">
        <v>3224</v>
      </c>
      <c r="E1582" t="s">
        <v>3226</v>
      </c>
      <c r="F1582">
        <v>213918.74</v>
      </c>
      <c r="G1582">
        <v>170183.59</v>
      </c>
      <c r="H1582">
        <v>4</v>
      </c>
    </row>
    <row r="1583" spans="1:8" x14ac:dyDescent="0.25">
      <c r="A1583" t="s">
        <v>1444</v>
      </c>
      <c r="B1583" t="s">
        <v>3214</v>
      </c>
      <c r="C1583" t="s">
        <v>3220</v>
      </c>
      <c r="D1583" t="s">
        <v>3224</v>
      </c>
      <c r="E1583" t="s">
        <v>3226</v>
      </c>
      <c r="F1583">
        <v>155684.22</v>
      </c>
      <c r="G1583">
        <v>115169.04</v>
      </c>
    </row>
    <row r="1584" spans="1:8" x14ac:dyDescent="0.25">
      <c r="A1584" t="s">
        <v>1445</v>
      </c>
      <c r="B1584" t="s">
        <v>3213</v>
      </c>
      <c r="C1584" t="s">
        <v>3220</v>
      </c>
      <c r="D1584" t="s">
        <v>3223</v>
      </c>
      <c r="E1584" t="s">
        <v>3226</v>
      </c>
      <c r="F1584">
        <v>10984.6</v>
      </c>
      <c r="G1584">
        <v>6038.55</v>
      </c>
      <c r="H1584">
        <v>1</v>
      </c>
    </row>
    <row r="1585" spans="1:8" x14ac:dyDescent="0.25">
      <c r="A1585" t="s">
        <v>1446</v>
      </c>
      <c r="B1585" t="s">
        <v>3211</v>
      </c>
      <c r="C1585" t="s">
        <v>3216</v>
      </c>
      <c r="D1585" t="s">
        <v>3225</v>
      </c>
      <c r="E1585" t="s">
        <v>3226</v>
      </c>
      <c r="F1585">
        <v>42222.04</v>
      </c>
      <c r="G1585">
        <v>25135.01</v>
      </c>
      <c r="H1585">
        <v>2</v>
      </c>
    </row>
    <row r="1586" spans="1:8" x14ac:dyDescent="0.25">
      <c r="A1586" t="s">
        <v>1447</v>
      </c>
      <c r="B1586" t="s">
        <v>3214</v>
      </c>
      <c r="C1586" t="s">
        <v>3221</v>
      </c>
      <c r="D1586" t="s">
        <v>3222</v>
      </c>
      <c r="E1586" t="s">
        <v>3226</v>
      </c>
      <c r="F1586">
        <v>28723.96</v>
      </c>
      <c r="H1586">
        <v>2</v>
      </c>
    </row>
    <row r="1587" spans="1:8" x14ac:dyDescent="0.25">
      <c r="A1587" t="s">
        <v>1448</v>
      </c>
      <c r="B1587" t="s">
        <v>3212</v>
      </c>
      <c r="C1587" t="s">
        <v>3220</v>
      </c>
      <c r="D1587" t="s">
        <v>3225</v>
      </c>
      <c r="E1587" t="s">
        <v>3226</v>
      </c>
      <c r="F1587">
        <v>16630.09</v>
      </c>
      <c r="G1587">
        <v>14243.81</v>
      </c>
      <c r="H1587">
        <v>1</v>
      </c>
    </row>
    <row r="1588" spans="1:8" x14ac:dyDescent="0.25">
      <c r="A1588" t="s">
        <v>1449</v>
      </c>
      <c r="C1588" t="s">
        <v>3218</v>
      </c>
      <c r="D1588" t="s">
        <v>3225</v>
      </c>
      <c r="E1588" t="s">
        <v>3226</v>
      </c>
      <c r="F1588">
        <v>79299.42</v>
      </c>
      <c r="G1588">
        <v>57032.37</v>
      </c>
      <c r="H1588">
        <v>4</v>
      </c>
    </row>
    <row r="1589" spans="1:8" x14ac:dyDescent="0.25">
      <c r="A1589" t="s">
        <v>1450</v>
      </c>
      <c r="B1589" t="s">
        <v>3212</v>
      </c>
      <c r="C1589" t="s">
        <v>3221</v>
      </c>
      <c r="D1589" t="s">
        <v>3225</v>
      </c>
      <c r="E1589" t="s">
        <v>3226</v>
      </c>
      <c r="F1589">
        <v>57639.48</v>
      </c>
      <c r="G1589">
        <v>37661.410000000003</v>
      </c>
      <c r="H1589">
        <v>3</v>
      </c>
    </row>
    <row r="1590" spans="1:8" x14ac:dyDescent="0.25">
      <c r="A1590" t="s">
        <v>1451</v>
      </c>
      <c r="C1590" t="s">
        <v>3221</v>
      </c>
      <c r="D1590" t="s">
        <v>3224</v>
      </c>
      <c r="E1590" t="s">
        <v>3226</v>
      </c>
      <c r="F1590">
        <v>135837.98000000001</v>
      </c>
      <c r="G1590">
        <v>81011.460000000006</v>
      </c>
    </row>
    <row r="1591" spans="1:8" x14ac:dyDescent="0.25">
      <c r="A1591" t="s">
        <v>1452</v>
      </c>
      <c r="B1591" t="s">
        <v>3212</v>
      </c>
      <c r="C1591" t="s">
        <v>3219</v>
      </c>
      <c r="D1591" t="s">
        <v>3224</v>
      </c>
      <c r="E1591" t="s">
        <v>3226</v>
      </c>
      <c r="F1591">
        <v>195607.9</v>
      </c>
      <c r="G1591">
        <v>115849.52</v>
      </c>
      <c r="H1591">
        <v>3</v>
      </c>
    </row>
    <row r="1592" spans="1:8" x14ac:dyDescent="0.25">
      <c r="A1592" t="s">
        <v>1453</v>
      </c>
      <c r="C1592" t="s">
        <v>3219</v>
      </c>
      <c r="D1592" t="s">
        <v>3222</v>
      </c>
      <c r="E1592" t="s">
        <v>3226</v>
      </c>
      <c r="F1592">
        <v>58259.85</v>
      </c>
      <c r="G1592">
        <v>37650.51</v>
      </c>
      <c r="H1592">
        <v>4</v>
      </c>
    </row>
    <row r="1593" spans="1:8" x14ac:dyDescent="0.25">
      <c r="A1593" t="s">
        <v>1454</v>
      </c>
      <c r="B1593" t="s">
        <v>3211</v>
      </c>
      <c r="C1593" t="s">
        <v>3217</v>
      </c>
      <c r="D1593" t="s">
        <v>3222</v>
      </c>
      <c r="E1593" t="s">
        <v>3226</v>
      </c>
      <c r="F1593">
        <v>54013.71</v>
      </c>
      <c r="G1593">
        <v>41338.81</v>
      </c>
      <c r="H1593">
        <v>4</v>
      </c>
    </row>
    <row r="1594" spans="1:8" x14ac:dyDescent="0.25">
      <c r="A1594" t="s">
        <v>1455</v>
      </c>
      <c r="B1594" t="s">
        <v>3213</v>
      </c>
      <c r="C1594" t="s">
        <v>3216</v>
      </c>
      <c r="D1594" t="s">
        <v>3225</v>
      </c>
      <c r="E1594" t="s">
        <v>3226</v>
      </c>
      <c r="F1594">
        <v>56341.54</v>
      </c>
      <c r="G1594">
        <v>36156.959999999999</v>
      </c>
      <c r="H1594">
        <v>3</v>
      </c>
    </row>
    <row r="1595" spans="1:8" x14ac:dyDescent="0.25">
      <c r="A1595" t="s">
        <v>1456</v>
      </c>
      <c r="B1595" t="s">
        <v>3211</v>
      </c>
      <c r="C1595" t="s">
        <v>3220</v>
      </c>
      <c r="D1595" t="s">
        <v>3225</v>
      </c>
      <c r="E1595" t="s">
        <v>3226</v>
      </c>
      <c r="F1595">
        <v>62674.42</v>
      </c>
      <c r="G1595">
        <v>36423.79</v>
      </c>
      <c r="H1595">
        <v>3</v>
      </c>
    </row>
    <row r="1596" spans="1:8" x14ac:dyDescent="0.25">
      <c r="A1596" t="s">
        <v>1457</v>
      </c>
      <c r="C1596" t="s">
        <v>3217</v>
      </c>
      <c r="D1596" t="s">
        <v>3224</v>
      </c>
      <c r="E1596" t="s">
        <v>3226</v>
      </c>
      <c r="F1596">
        <v>57403.66</v>
      </c>
      <c r="G1596">
        <v>42360.69</v>
      </c>
      <c r="H1596">
        <v>1</v>
      </c>
    </row>
    <row r="1597" spans="1:8" x14ac:dyDescent="0.25">
      <c r="A1597" t="s">
        <v>1458</v>
      </c>
      <c r="B1597" t="s">
        <v>3212</v>
      </c>
      <c r="C1597" t="s">
        <v>3220</v>
      </c>
      <c r="D1597" t="s">
        <v>3223</v>
      </c>
      <c r="E1597" t="s">
        <v>3226</v>
      </c>
      <c r="F1597">
        <v>45269.24</v>
      </c>
      <c r="G1597">
        <v>24041.46</v>
      </c>
      <c r="H1597">
        <v>4</v>
      </c>
    </row>
    <row r="1598" spans="1:8" x14ac:dyDescent="0.25">
      <c r="A1598" t="s">
        <v>1459</v>
      </c>
      <c r="B1598" t="s">
        <v>3215</v>
      </c>
      <c r="C1598" t="s">
        <v>3216</v>
      </c>
      <c r="D1598" t="s">
        <v>3225</v>
      </c>
      <c r="E1598" t="s">
        <v>3226</v>
      </c>
      <c r="G1598">
        <v>13569.73</v>
      </c>
      <c r="H1598">
        <v>1</v>
      </c>
    </row>
    <row r="1599" spans="1:8" x14ac:dyDescent="0.25">
      <c r="A1599" t="s">
        <v>1180</v>
      </c>
      <c r="B1599" t="s">
        <v>3211</v>
      </c>
      <c r="C1599" t="s">
        <v>3219</v>
      </c>
      <c r="D1599" t="s">
        <v>3222</v>
      </c>
      <c r="E1599" t="s">
        <v>3226</v>
      </c>
      <c r="F1599">
        <v>16968.75</v>
      </c>
      <c r="G1599">
        <v>10096.31</v>
      </c>
      <c r="H1599">
        <v>1</v>
      </c>
    </row>
    <row r="1600" spans="1:8" x14ac:dyDescent="0.25">
      <c r="A1600" t="s">
        <v>1051</v>
      </c>
      <c r="B1600" t="s">
        <v>3215</v>
      </c>
      <c r="C1600" t="s">
        <v>3219</v>
      </c>
      <c r="D1600" t="s">
        <v>3225</v>
      </c>
      <c r="E1600" t="s">
        <v>3226</v>
      </c>
      <c r="F1600">
        <v>66224.25</v>
      </c>
      <c r="H1600">
        <v>4</v>
      </c>
    </row>
    <row r="1601" spans="1:8" x14ac:dyDescent="0.25">
      <c r="A1601" t="s">
        <v>1460</v>
      </c>
      <c r="B1601" t="s">
        <v>3215</v>
      </c>
      <c r="C1601" t="s">
        <v>3218</v>
      </c>
      <c r="D1601" t="s">
        <v>3224</v>
      </c>
      <c r="E1601" t="s">
        <v>3226</v>
      </c>
      <c r="F1601">
        <v>52578.01</v>
      </c>
      <c r="G1601">
        <v>38330.71</v>
      </c>
      <c r="H1601">
        <v>1</v>
      </c>
    </row>
    <row r="1602" spans="1:8" x14ac:dyDescent="0.25">
      <c r="A1602" t="s">
        <v>1461</v>
      </c>
      <c r="B1602" t="s">
        <v>3215</v>
      </c>
      <c r="C1602" t="s">
        <v>3220</v>
      </c>
      <c r="D1602" t="s">
        <v>3224</v>
      </c>
      <c r="E1602" t="s">
        <v>3226</v>
      </c>
      <c r="F1602">
        <v>66039.14</v>
      </c>
      <c r="G1602">
        <v>45230.27</v>
      </c>
      <c r="H1602">
        <v>1</v>
      </c>
    </row>
    <row r="1603" spans="1:8" x14ac:dyDescent="0.25">
      <c r="A1603" t="s">
        <v>1462</v>
      </c>
      <c r="B1603" t="s">
        <v>3215</v>
      </c>
      <c r="C1603" t="s">
        <v>3217</v>
      </c>
      <c r="D1603" t="s">
        <v>3225</v>
      </c>
      <c r="E1603" t="s">
        <v>3226</v>
      </c>
      <c r="F1603">
        <v>62144.37</v>
      </c>
      <c r="G1603">
        <v>45003.53</v>
      </c>
      <c r="H1603">
        <v>3</v>
      </c>
    </row>
    <row r="1604" spans="1:8" x14ac:dyDescent="0.25">
      <c r="A1604" t="s">
        <v>1463</v>
      </c>
      <c r="B1604" t="s">
        <v>3211</v>
      </c>
      <c r="C1604" t="s">
        <v>3219</v>
      </c>
      <c r="D1604" t="s">
        <v>3223</v>
      </c>
      <c r="E1604" t="s">
        <v>3226</v>
      </c>
      <c r="F1604">
        <v>9425.5</v>
      </c>
      <c r="H1604">
        <v>1</v>
      </c>
    </row>
    <row r="1605" spans="1:8" x14ac:dyDescent="0.25">
      <c r="A1605" t="s">
        <v>1464</v>
      </c>
      <c r="B1605" t="s">
        <v>3214</v>
      </c>
      <c r="C1605" t="s">
        <v>3216</v>
      </c>
      <c r="D1605" t="s">
        <v>3222</v>
      </c>
      <c r="E1605" t="s">
        <v>3226</v>
      </c>
      <c r="F1605">
        <v>16898.22</v>
      </c>
      <c r="H1605">
        <v>1</v>
      </c>
    </row>
    <row r="1606" spans="1:8" x14ac:dyDescent="0.25">
      <c r="A1606" t="s">
        <v>1465</v>
      </c>
      <c r="C1606" t="s">
        <v>3219</v>
      </c>
      <c r="D1606" t="s">
        <v>3225</v>
      </c>
      <c r="E1606" t="s">
        <v>3226</v>
      </c>
      <c r="F1606">
        <v>89240.78</v>
      </c>
      <c r="G1606">
        <v>53988.88</v>
      </c>
      <c r="H1606">
        <v>4</v>
      </c>
    </row>
    <row r="1607" spans="1:8" x14ac:dyDescent="0.25">
      <c r="A1607" t="s">
        <v>1466</v>
      </c>
      <c r="B1607" t="s">
        <v>3212</v>
      </c>
      <c r="C1607" t="s">
        <v>3219</v>
      </c>
      <c r="D1607" t="s">
        <v>3225</v>
      </c>
      <c r="E1607" t="s">
        <v>3226</v>
      </c>
      <c r="F1607">
        <v>103883.92</v>
      </c>
      <c r="G1607">
        <v>68056.38</v>
      </c>
      <c r="H1607">
        <v>5</v>
      </c>
    </row>
    <row r="1608" spans="1:8" x14ac:dyDescent="0.25">
      <c r="A1608" t="s">
        <v>1467</v>
      </c>
      <c r="B1608" t="s">
        <v>3213</v>
      </c>
      <c r="C1608" t="s">
        <v>3218</v>
      </c>
      <c r="D1608" t="s">
        <v>3225</v>
      </c>
      <c r="E1608" t="s">
        <v>3226</v>
      </c>
      <c r="F1608">
        <v>110666.9</v>
      </c>
      <c r="G1608">
        <v>75928.929999999993</v>
      </c>
      <c r="H1608">
        <v>5</v>
      </c>
    </row>
    <row r="1609" spans="1:8" x14ac:dyDescent="0.25">
      <c r="A1609" t="s">
        <v>1468</v>
      </c>
      <c r="B1609" t="s">
        <v>3214</v>
      </c>
      <c r="C1609" t="s">
        <v>3217</v>
      </c>
      <c r="D1609" t="s">
        <v>3224</v>
      </c>
      <c r="E1609" t="s">
        <v>3226</v>
      </c>
      <c r="F1609">
        <v>213063.9</v>
      </c>
      <c r="G1609">
        <v>188912.1</v>
      </c>
      <c r="H1609">
        <v>4</v>
      </c>
    </row>
    <row r="1610" spans="1:8" x14ac:dyDescent="0.25">
      <c r="A1610" t="s">
        <v>1469</v>
      </c>
      <c r="C1610" t="s">
        <v>3220</v>
      </c>
      <c r="D1610" t="s">
        <v>3224</v>
      </c>
      <c r="E1610" t="s">
        <v>3226</v>
      </c>
      <c r="F1610">
        <v>293248.24</v>
      </c>
      <c r="G1610">
        <v>228359.1</v>
      </c>
      <c r="H1610">
        <v>5</v>
      </c>
    </row>
    <row r="1611" spans="1:8" x14ac:dyDescent="0.25">
      <c r="A1611" t="s">
        <v>1470</v>
      </c>
      <c r="B1611" t="s">
        <v>3212</v>
      </c>
      <c r="C1611" t="s">
        <v>3221</v>
      </c>
      <c r="D1611" t="s">
        <v>3224</v>
      </c>
      <c r="E1611" t="s">
        <v>3226</v>
      </c>
      <c r="F1611">
        <v>122443.81</v>
      </c>
      <c r="G1611">
        <v>78991.72</v>
      </c>
      <c r="H1611">
        <v>2</v>
      </c>
    </row>
    <row r="1612" spans="1:8" x14ac:dyDescent="0.25">
      <c r="A1612" t="s">
        <v>1344</v>
      </c>
      <c r="B1612" t="s">
        <v>3212</v>
      </c>
      <c r="C1612" t="s">
        <v>3219</v>
      </c>
      <c r="D1612" t="s">
        <v>3225</v>
      </c>
      <c r="E1612" t="s">
        <v>3226</v>
      </c>
      <c r="F1612">
        <v>16028.85</v>
      </c>
      <c r="G1612">
        <v>14053.3</v>
      </c>
      <c r="H1612">
        <v>1</v>
      </c>
    </row>
    <row r="1613" spans="1:8" x14ac:dyDescent="0.25">
      <c r="A1613" t="s">
        <v>1471</v>
      </c>
      <c r="B1613" t="s">
        <v>3215</v>
      </c>
      <c r="C1613" t="s">
        <v>3221</v>
      </c>
      <c r="D1613" t="s">
        <v>3225</v>
      </c>
      <c r="E1613" t="s">
        <v>3226</v>
      </c>
      <c r="F1613">
        <v>71198.759999999995</v>
      </c>
      <c r="G1613">
        <v>41938.67</v>
      </c>
      <c r="H1613">
        <v>3</v>
      </c>
    </row>
    <row r="1614" spans="1:8" x14ac:dyDescent="0.25">
      <c r="A1614" t="s">
        <v>1472</v>
      </c>
      <c r="B1614" t="s">
        <v>3214</v>
      </c>
      <c r="C1614" t="s">
        <v>3218</v>
      </c>
      <c r="D1614" t="s">
        <v>3222</v>
      </c>
      <c r="E1614" t="s">
        <v>3226</v>
      </c>
      <c r="F1614">
        <v>61525.88</v>
      </c>
      <c r="G1614">
        <v>41356.980000000003</v>
      </c>
      <c r="H1614">
        <v>4</v>
      </c>
    </row>
    <row r="1615" spans="1:8" x14ac:dyDescent="0.25">
      <c r="A1615" t="s">
        <v>1473</v>
      </c>
      <c r="B1615" t="s">
        <v>3213</v>
      </c>
      <c r="C1615" t="s">
        <v>3218</v>
      </c>
      <c r="D1615" t="s">
        <v>3222</v>
      </c>
      <c r="E1615" t="s">
        <v>3226</v>
      </c>
      <c r="F1615">
        <v>29140.11</v>
      </c>
      <c r="G1615">
        <v>19656.990000000002</v>
      </c>
      <c r="H1615">
        <v>2</v>
      </c>
    </row>
    <row r="1616" spans="1:8" x14ac:dyDescent="0.25">
      <c r="A1616" t="s">
        <v>1474</v>
      </c>
      <c r="B1616" t="s">
        <v>3211</v>
      </c>
      <c r="C1616" t="s">
        <v>3217</v>
      </c>
      <c r="D1616" t="s">
        <v>3222</v>
      </c>
      <c r="E1616" t="s">
        <v>3226</v>
      </c>
      <c r="F1616">
        <v>34514.68</v>
      </c>
      <c r="G1616">
        <v>21418.89</v>
      </c>
      <c r="H1616">
        <v>2</v>
      </c>
    </row>
    <row r="1617" spans="1:8" x14ac:dyDescent="0.25">
      <c r="A1617" t="s">
        <v>1475</v>
      </c>
      <c r="B1617" t="s">
        <v>3213</v>
      </c>
      <c r="C1617" t="s">
        <v>3219</v>
      </c>
      <c r="D1617" t="s">
        <v>3222</v>
      </c>
      <c r="E1617" t="s">
        <v>3226</v>
      </c>
      <c r="F1617">
        <v>54083.26</v>
      </c>
      <c r="G1617">
        <v>40334.300000000003</v>
      </c>
      <c r="H1617">
        <v>4</v>
      </c>
    </row>
    <row r="1618" spans="1:8" x14ac:dyDescent="0.25">
      <c r="A1618" t="s">
        <v>1476</v>
      </c>
      <c r="B1618" t="s">
        <v>3215</v>
      </c>
      <c r="C1618" t="s">
        <v>3221</v>
      </c>
      <c r="D1618" t="s">
        <v>3222</v>
      </c>
      <c r="E1618" t="s">
        <v>3226</v>
      </c>
      <c r="F1618">
        <v>76218.509999999995</v>
      </c>
      <c r="G1618">
        <v>49716.33</v>
      </c>
      <c r="H1618">
        <v>5</v>
      </c>
    </row>
    <row r="1619" spans="1:8" x14ac:dyDescent="0.25">
      <c r="A1619" t="s">
        <v>255</v>
      </c>
      <c r="B1619" t="s">
        <v>3212</v>
      </c>
      <c r="C1619" t="s">
        <v>3220</v>
      </c>
      <c r="D1619" t="s">
        <v>3225</v>
      </c>
      <c r="E1619" t="s">
        <v>3226</v>
      </c>
      <c r="F1619">
        <v>49008.87</v>
      </c>
      <c r="G1619">
        <v>45889.03</v>
      </c>
      <c r="H1619">
        <v>3</v>
      </c>
    </row>
    <row r="1620" spans="1:8" x14ac:dyDescent="0.25">
      <c r="A1620" t="s">
        <v>1477</v>
      </c>
      <c r="B1620" t="s">
        <v>3215</v>
      </c>
      <c r="C1620" t="s">
        <v>3217</v>
      </c>
      <c r="D1620" t="s">
        <v>3223</v>
      </c>
      <c r="E1620" t="s">
        <v>3226</v>
      </c>
      <c r="F1620">
        <v>45081.51</v>
      </c>
      <c r="H1620">
        <v>4</v>
      </c>
    </row>
    <row r="1621" spans="1:8" x14ac:dyDescent="0.25">
      <c r="A1621" t="s">
        <v>766</v>
      </c>
      <c r="B1621" t="s">
        <v>3214</v>
      </c>
      <c r="C1621" t="s">
        <v>3221</v>
      </c>
      <c r="D1621" t="s">
        <v>3225</v>
      </c>
      <c r="E1621" t="s">
        <v>3226</v>
      </c>
      <c r="F1621">
        <v>20215.89</v>
      </c>
      <c r="G1621">
        <v>13210.57</v>
      </c>
      <c r="H1621">
        <v>1</v>
      </c>
    </row>
    <row r="1622" spans="1:8" x14ac:dyDescent="0.25">
      <c r="A1622" t="s">
        <v>957</v>
      </c>
      <c r="C1622" t="s">
        <v>3220</v>
      </c>
      <c r="D1622" t="s">
        <v>3222</v>
      </c>
      <c r="E1622" t="s">
        <v>3226</v>
      </c>
      <c r="F1622">
        <v>49674.81</v>
      </c>
      <c r="G1622">
        <v>31210.86</v>
      </c>
      <c r="H1622">
        <v>3</v>
      </c>
    </row>
    <row r="1623" spans="1:8" x14ac:dyDescent="0.25">
      <c r="A1623" t="s">
        <v>1478</v>
      </c>
      <c r="B1623" t="s">
        <v>3215</v>
      </c>
      <c r="C1623" t="s">
        <v>3218</v>
      </c>
      <c r="D1623" t="s">
        <v>3224</v>
      </c>
      <c r="E1623" t="s">
        <v>3226</v>
      </c>
      <c r="F1623">
        <v>163384.79</v>
      </c>
      <c r="G1623">
        <v>136807.04999999999</v>
      </c>
      <c r="H1623">
        <v>3</v>
      </c>
    </row>
    <row r="1624" spans="1:8" x14ac:dyDescent="0.25">
      <c r="A1624" t="s">
        <v>108</v>
      </c>
      <c r="B1624" t="s">
        <v>3214</v>
      </c>
      <c r="C1624" t="s">
        <v>3221</v>
      </c>
      <c r="D1624" t="s">
        <v>3222</v>
      </c>
      <c r="E1624" t="s">
        <v>3226</v>
      </c>
      <c r="F1624">
        <v>38146.410000000003</v>
      </c>
      <c r="H1624">
        <v>3</v>
      </c>
    </row>
    <row r="1625" spans="1:8" x14ac:dyDescent="0.25">
      <c r="A1625" t="s">
        <v>1479</v>
      </c>
      <c r="B1625" t="s">
        <v>3213</v>
      </c>
      <c r="C1625" t="s">
        <v>3219</v>
      </c>
      <c r="D1625" t="s">
        <v>3223</v>
      </c>
      <c r="E1625" t="s">
        <v>3226</v>
      </c>
      <c r="F1625">
        <v>44654.16</v>
      </c>
      <c r="G1625">
        <v>30054.37</v>
      </c>
      <c r="H1625">
        <v>5</v>
      </c>
    </row>
    <row r="1626" spans="1:8" x14ac:dyDescent="0.25">
      <c r="A1626" t="s">
        <v>711</v>
      </c>
      <c r="B1626" t="s">
        <v>3213</v>
      </c>
      <c r="C1626" t="s">
        <v>3220</v>
      </c>
      <c r="D1626" t="s">
        <v>3225</v>
      </c>
      <c r="E1626" t="s">
        <v>3226</v>
      </c>
      <c r="F1626">
        <v>57641.88</v>
      </c>
      <c r="G1626">
        <v>36444.53</v>
      </c>
      <c r="H1626">
        <v>3</v>
      </c>
    </row>
    <row r="1627" spans="1:8" x14ac:dyDescent="0.25">
      <c r="A1627" t="s">
        <v>640</v>
      </c>
      <c r="B1627" t="s">
        <v>3212</v>
      </c>
      <c r="C1627" t="s">
        <v>3219</v>
      </c>
      <c r="D1627" t="s">
        <v>3222</v>
      </c>
      <c r="E1627" t="s">
        <v>3226</v>
      </c>
      <c r="F1627">
        <v>66218.179999999993</v>
      </c>
      <c r="G1627">
        <v>41842.949999999997</v>
      </c>
      <c r="H1627">
        <v>4</v>
      </c>
    </row>
    <row r="1628" spans="1:8" x14ac:dyDescent="0.25">
      <c r="A1628" t="s">
        <v>1480</v>
      </c>
      <c r="B1628" t="s">
        <v>3215</v>
      </c>
      <c r="C1628" t="s">
        <v>3220</v>
      </c>
      <c r="D1628" t="s">
        <v>3224</v>
      </c>
      <c r="E1628" t="s">
        <v>3226</v>
      </c>
      <c r="F1628">
        <v>121920.08</v>
      </c>
      <c r="G1628">
        <v>92360.54</v>
      </c>
      <c r="H1628">
        <v>2</v>
      </c>
    </row>
    <row r="1629" spans="1:8" x14ac:dyDescent="0.25">
      <c r="A1629" t="s">
        <v>1481</v>
      </c>
      <c r="B1629" t="s">
        <v>3214</v>
      </c>
      <c r="C1629" t="s">
        <v>3217</v>
      </c>
      <c r="D1629" t="s">
        <v>3223</v>
      </c>
      <c r="E1629" t="s">
        <v>3226</v>
      </c>
      <c r="F1629">
        <v>41887.57</v>
      </c>
      <c r="G1629">
        <v>28457.64</v>
      </c>
      <c r="H1629">
        <v>4</v>
      </c>
    </row>
    <row r="1630" spans="1:8" x14ac:dyDescent="0.25">
      <c r="A1630" t="s">
        <v>1482</v>
      </c>
      <c r="B1630" t="s">
        <v>3211</v>
      </c>
      <c r="C1630" t="s">
        <v>3218</v>
      </c>
      <c r="D1630" t="s">
        <v>3223</v>
      </c>
      <c r="E1630" t="s">
        <v>3226</v>
      </c>
      <c r="F1630">
        <v>9170.39</v>
      </c>
      <c r="H1630">
        <v>1</v>
      </c>
    </row>
    <row r="1631" spans="1:8" x14ac:dyDescent="0.25">
      <c r="A1631" t="s">
        <v>1483</v>
      </c>
      <c r="C1631" t="s">
        <v>3217</v>
      </c>
      <c r="D1631" t="s">
        <v>3223</v>
      </c>
      <c r="E1631" t="s">
        <v>3226</v>
      </c>
      <c r="F1631">
        <v>33335.230000000003</v>
      </c>
      <c r="H1631">
        <v>4</v>
      </c>
    </row>
    <row r="1632" spans="1:8" x14ac:dyDescent="0.25">
      <c r="A1632" t="s">
        <v>1484</v>
      </c>
      <c r="B1632" t="s">
        <v>3214</v>
      </c>
      <c r="C1632" t="s">
        <v>3219</v>
      </c>
      <c r="D1632" t="s">
        <v>3223</v>
      </c>
      <c r="E1632" t="s">
        <v>3226</v>
      </c>
      <c r="F1632">
        <v>41979.05</v>
      </c>
      <c r="G1632">
        <v>35723.120000000003</v>
      </c>
      <c r="H1632">
        <v>5</v>
      </c>
    </row>
    <row r="1633" spans="1:8" x14ac:dyDescent="0.25">
      <c r="A1633" t="s">
        <v>1485</v>
      </c>
      <c r="B1633" t="s">
        <v>3214</v>
      </c>
      <c r="C1633" t="s">
        <v>3219</v>
      </c>
      <c r="D1633" t="s">
        <v>3222</v>
      </c>
      <c r="E1633" t="s">
        <v>3226</v>
      </c>
      <c r="F1633">
        <v>17275.09</v>
      </c>
      <c r="G1633">
        <v>9871.18</v>
      </c>
      <c r="H1633">
        <v>1</v>
      </c>
    </row>
    <row r="1634" spans="1:8" x14ac:dyDescent="0.25">
      <c r="A1634" t="s">
        <v>1486</v>
      </c>
      <c r="C1634" t="s">
        <v>3216</v>
      </c>
      <c r="D1634" t="s">
        <v>3222</v>
      </c>
      <c r="E1634" t="s">
        <v>3226</v>
      </c>
      <c r="F1634">
        <v>40405.660000000003</v>
      </c>
      <c r="G1634">
        <v>30366.36</v>
      </c>
      <c r="H1634">
        <v>3</v>
      </c>
    </row>
    <row r="1635" spans="1:8" x14ac:dyDescent="0.25">
      <c r="A1635" t="s">
        <v>1487</v>
      </c>
      <c r="C1635" t="s">
        <v>3219</v>
      </c>
      <c r="D1635" t="s">
        <v>3223</v>
      </c>
      <c r="E1635" t="s">
        <v>3226</v>
      </c>
      <c r="F1635">
        <v>9245.2000000000007</v>
      </c>
      <c r="G1635">
        <v>6970.03</v>
      </c>
      <c r="H1635">
        <v>1</v>
      </c>
    </row>
    <row r="1636" spans="1:8" x14ac:dyDescent="0.25">
      <c r="A1636" t="s">
        <v>1488</v>
      </c>
      <c r="C1636" t="s">
        <v>3216</v>
      </c>
      <c r="D1636" t="s">
        <v>3225</v>
      </c>
      <c r="E1636" t="s">
        <v>3226</v>
      </c>
      <c r="F1636">
        <v>16518.990000000002</v>
      </c>
      <c r="H1636">
        <v>1</v>
      </c>
    </row>
    <row r="1637" spans="1:8" x14ac:dyDescent="0.25">
      <c r="A1637" t="s">
        <v>1489</v>
      </c>
      <c r="B1637" t="s">
        <v>3211</v>
      </c>
      <c r="C1637" t="s">
        <v>3221</v>
      </c>
      <c r="D1637" t="s">
        <v>3224</v>
      </c>
      <c r="E1637" t="s">
        <v>3226</v>
      </c>
      <c r="F1637">
        <v>260350.32</v>
      </c>
      <c r="G1637">
        <v>239782.5</v>
      </c>
      <c r="H1637">
        <v>5</v>
      </c>
    </row>
    <row r="1638" spans="1:8" x14ac:dyDescent="0.25">
      <c r="A1638" t="s">
        <v>1490</v>
      </c>
      <c r="B1638" t="s">
        <v>3213</v>
      </c>
      <c r="C1638" t="s">
        <v>3219</v>
      </c>
      <c r="D1638" t="s">
        <v>3222</v>
      </c>
      <c r="E1638" t="s">
        <v>3226</v>
      </c>
      <c r="F1638">
        <v>53211.95</v>
      </c>
      <c r="G1638">
        <v>38625.83</v>
      </c>
      <c r="H1638">
        <v>4</v>
      </c>
    </row>
    <row r="1639" spans="1:8" x14ac:dyDescent="0.25">
      <c r="A1639" t="s">
        <v>1491</v>
      </c>
      <c r="B1639" t="s">
        <v>3213</v>
      </c>
      <c r="C1639" t="s">
        <v>3217</v>
      </c>
      <c r="D1639" t="s">
        <v>3224</v>
      </c>
      <c r="E1639" t="s">
        <v>3226</v>
      </c>
      <c r="F1639">
        <v>63891.06</v>
      </c>
      <c r="G1639">
        <v>40026.9</v>
      </c>
      <c r="H1639">
        <v>1</v>
      </c>
    </row>
    <row r="1640" spans="1:8" x14ac:dyDescent="0.25">
      <c r="A1640" t="s">
        <v>1492</v>
      </c>
      <c r="B1640" t="s">
        <v>3212</v>
      </c>
      <c r="C1640" t="s">
        <v>3218</v>
      </c>
      <c r="D1640" t="s">
        <v>3222</v>
      </c>
      <c r="E1640" t="s">
        <v>3226</v>
      </c>
      <c r="F1640">
        <v>12507.26</v>
      </c>
      <c r="G1640">
        <v>10963.36</v>
      </c>
      <c r="H1640">
        <v>1</v>
      </c>
    </row>
    <row r="1641" spans="1:8" x14ac:dyDescent="0.25">
      <c r="A1641" t="s">
        <v>1493</v>
      </c>
      <c r="B1641" t="s">
        <v>3213</v>
      </c>
      <c r="C1641" t="s">
        <v>3219</v>
      </c>
      <c r="D1641" t="s">
        <v>3225</v>
      </c>
      <c r="E1641" t="s">
        <v>3226</v>
      </c>
      <c r="F1641">
        <v>55818.43</v>
      </c>
      <c r="G1641">
        <v>36068.42</v>
      </c>
      <c r="H1641">
        <v>3</v>
      </c>
    </row>
    <row r="1642" spans="1:8" x14ac:dyDescent="0.25">
      <c r="A1642" t="s">
        <v>1494</v>
      </c>
      <c r="B1642" t="s">
        <v>3211</v>
      </c>
      <c r="C1642" t="s">
        <v>3218</v>
      </c>
      <c r="D1642" t="s">
        <v>3223</v>
      </c>
      <c r="E1642" t="s">
        <v>3226</v>
      </c>
      <c r="F1642">
        <v>10514.68</v>
      </c>
      <c r="G1642">
        <v>7499.24</v>
      </c>
      <c r="H1642">
        <v>1</v>
      </c>
    </row>
    <row r="1643" spans="1:8" x14ac:dyDescent="0.25">
      <c r="A1643" t="s">
        <v>1495</v>
      </c>
      <c r="B1643" t="s">
        <v>3211</v>
      </c>
      <c r="C1643" t="s">
        <v>3218</v>
      </c>
      <c r="D1643" t="s">
        <v>3225</v>
      </c>
      <c r="E1643" t="s">
        <v>3226</v>
      </c>
      <c r="F1643">
        <v>51192.1</v>
      </c>
      <c r="G1643">
        <v>37416.29</v>
      </c>
      <c r="H1643">
        <v>3</v>
      </c>
    </row>
    <row r="1644" spans="1:8" x14ac:dyDescent="0.25">
      <c r="A1644" t="s">
        <v>833</v>
      </c>
      <c r="B1644" t="s">
        <v>3212</v>
      </c>
      <c r="C1644" t="s">
        <v>3216</v>
      </c>
      <c r="D1644" t="s">
        <v>3223</v>
      </c>
      <c r="E1644" t="s">
        <v>3226</v>
      </c>
      <c r="F1644">
        <v>21442.13</v>
      </c>
      <c r="H1644">
        <v>2</v>
      </c>
    </row>
    <row r="1645" spans="1:8" x14ac:dyDescent="0.25">
      <c r="A1645" t="s">
        <v>1496</v>
      </c>
      <c r="B1645" t="s">
        <v>3211</v>
      </c>
      <c r="C1645" t="s">
        <v>3216</v>
      </c>
      <c r="D1645" t="s">
        <v>3225</v>
      </c>
      <c r="E1645" t="s">
        <v>3226</v>
      </c>
      <c r="F1645">
        <v>85224.960000000006</v>
      </c>
      <c r="G1645">
        <v>75844.2</v>
      </c>
      <c r="H1645">
        <v>5</v>
      </c>
    </row>
    <row r="1646" spans="1:8" x14ac:dyDescent="0.25">
      <c r="A1646" t="s">
        <v>709</v>
      </c>
      <c r="B1646" t="s">
        <v>3211</v>
      </c>
      <c r="C1646" t="s">
        <v>3218</v>
      </c>
      <c r="D1646" t="s">
        <v>3223</v>
      </c>
      <c r="E1646" t="s">
        <v>3226</v>
      </c>
      <c r="F1646">
        <v>10337.969999999999</v>
      </c>
      <c r="H1646">
        <v>1</v>
      </c>
    </row>
    <row r="1647" spans="1:8" x14ac:dyDescent="0.25">
      <c r="A1647" t="s">
        <v>1278</v>
      </c>
      <c r="B1647" t="s">
        <v>3214</v>
      </c>
      <c r="C1647" t="s">
        <v>3218</v>
      </c>
      <c r="D1647" t="s">
        <v>3222</v>
      </c>
      <c r="E1647" t="s">
        <v>3226</v>
      </c>
      <c r="F1647">
        <v>57928.47</v>
      </c>
      <c r="G1647">
        <v>39502.639999999999</v>
      </c>
      <c r="H1647">
        <v>4</v>
      </c>
    </row>
    <row r="1648" spans="1:8" x14ac:dyDescent="0.25">
      <c r="A1648" t="s">
        <v>1497</v>
      </c>
      <c r="B1648" t="s">
        <v>3215</v>
      </c>
      <c r="C1648" t="s">
        <v>3220</v>
      </c>
      <c r="D1648" t="s">
        <v>3223</v>
      </c>
      <c r="E1648" t="s">
        <v>3226</v>
      </c>
      <c r="F1648">
        <v>27922.55</v>
      </c>
    </row>
    <row r="1649" spans="1:8" x14ac:dyDescent="0.25">
      <c r="A1649" t="s">
        <v>812</v>
      </c>
      <c r="C1649" t="s">
        <v>3217</v>
      </c>
      <c r="D1649" t="s">
        <v>3225</v>
      </c>
      <c r="E1649" t="s">
        <v>3226</v>
      </c>
      <c r="F1649">
        <v>65813.320000000007</v>
      </c>
      <c r="G1649">
        <v>42924.43</v>
      </c>
      <c r="H1649">
        <v>3</v>
      </c>
    </row>
    <row r="1650" spans="1:8" x14ac:dyDescent="0.25">
      <c r="A1650" t="s">
        <v>1498</v>
      </c>
      <c r="B1650" t="s">
        <v>3212</v>
      </c>
      <c r="C1650" t="s">
        <v>3216</v>
      </c>
      <c r="D1650" t="s">
        <v>3223</v>
      </c>
      <c r="E1650" t="s">
        <v>3226</v>
      </c>
      <c r="F1650">
        <v>55439.78</v>
      </c>
      <c r="G1650">
        <v>38047.14</v>
      </c>
      <c r="H1650">
        <v>5</v>
      </c>
    </row>
    <row r="1651" spans="1:8" x14ac:dyDescent="0.25">
      <c r="A1651" t="s">
        <v>1499</v>
      </c>
      <c r="B1651" t="s">
        <v>3215</v>
      </c>
      <c r="C1651" t="s">
        <v>3216</v>
      </c>
      <c r="D1651" t="s">
        <v>3225</v>
      </c>
      <c r="E1651" t="s">
        <v>3226</v>
      </c>
      <c r="F1651">
        <v>65905.41</v>
      </c>
      <c r="G1651">
        <v>55377.1</v>
      </c>
      <c r="H1651">
        <v>4</v>
      </c>
    </row>
    <row r="1652" spans="1:8" x14ac:dyDescent="0.25">
      <c r="A1652" t="s">
        <v>1500</v>
      </c>
      <c r="C1652" t="s">
        <v>3218</v>
      </c>
      <c r="D1652" t="s">
        <v>3225</v>
      </c>
      <c r="E1652" t="s">
        <v>3226</v>
      </c>
      <c r="F1652">
        <v>62398.66</v>
      </c>
      <c r="G1652">
        <v>38196.160000000003</v>
      </c>
    </row>
    <row r="1653" spans="1:8" x14ac:dyDescent="0.25">
      <c r="A1653" t="s">
        <v>294</v>
      </c>
      <c r="C1653" t="s">
        <v>3218</v>
      </c>
      <c r="D1653" t="s">
        <v>3223</v>
      </c>
      <c r="E1653" t="s">
        <v>3226</v>
      </c>
      <c r="F1653">
        <v>10629.89</v>
      </c>
      <c r="G1653">
        <v>7472.75</v>
      </c>
      <c r="H1653">
        <v>1</v>
      </c>
    </row>
    <row r="1654" spans="1:8" x14ac:dyDescent="0.25">
      <c r="A1654" t="s">
        <v>1501</v>
      </c>
      <c r="B1654" t="s">
        <v>3214</v>
      </c>
      <c r="C1654" t="s">
        <v>3220</v>
      </c>
      <c r="D1654" t="s">
        <v>3225</v>
      </c>
      <c r="E1654" t="s">
        <v>3226</v>
      </c>
      <c r="F1654">
        <v>101279.27</v>
      </c>
      <c r="G1654">
        <v>70148.97</v>
      </c>
      <c r="H1654">
        <v>5</v>
      </c>
    </row>
    <row r="1655" spans="1:8" x14ac:dyDescent="0.25">
      <c r="A1655" t="s">
        <v>1502</v>
      </c>
      <c r="B1655" t="s">
        <v>3211</v>
      </c>
      <c r="C1655" t="s">
        <v>3219</v>
      </c>
      <c r="D1655" t="s">
        <v>3222</v>
      </c>
      <c r="E1655" t="s">
        <v>3226</v>
      </c>
      <c r="H1655">
        <v>1</v>
      </c>
    </row>
    <row r="1656" spans="1:8" x14ac:dyDescent="0.25">
      <c r="A1656" t="s">
        <v>878</v>
      </c>
      <c r="B1656" t="s">
        <v>3215</v>
      </c>
      <c r="C1656" t="s">
        <v>3218</v>
      </c>
      <c r="D1656" t="s">
        <v>3222</v>
      </c>
      <c r="E1656" t="s">
        <v>3226</v>
      </c>
      <c r="F1656">
        <v>45396.87</v>
      </c>
      <c r="H1656">
        <v>3</v>
      </c>
    </row>
    <row r="1657" spans="1:8" x14ac:dyDescent="0.25">
      <c r="A1657" t="s">
        <v>1503</v>
      </c>
      <c r="B1657" t="s">
        <v>3212</v>
      </c>
      <c r="C1657" t="s">
        <v>3219</v>
      </c>
      <c r="D1657" t="s">
        <v>3224</v>
      </c>
      <c r="E1657" t="s">
        <v>3226</v>
      </c>
      <c r="F1657">
        <v>62930.03</v>
      </c>
      <c r="G1657">
        <v>38671.11</v>
      </c>
      <c r="H1657">
        <v>1</v>
      </c>
    </row>
    <row r="1658" spans="1:8" x14ac:dyDescent="0.25">
      <c r="A1658" t="s">
        <v>1504</v>
      </c>
      <c r="B1658" t="s">
        <v>3212</v>
      </c>
      <c r="C1658" t="s">
        <v>3217</v>
      </c>
      <c r="D1658" t="s">
        <v>3225</v>
      </c>
      <c r="E1658" t="s">
        <v>3226</v>
      </c>
      <c r="F1658">
        <v>54083.26</v>
      </c>
      <c r="G1658">
        <v>44894.84</v>
      </c>
      <c r="H1658">
        <v>3</v>
      </c>
    </row>
    <row r="1659" spans="1:8" x14ac:dyDescent="0.25">
      <c r="A1659" t="s">
        <v>1505</v>
      </c>
      <c r="B1659" t="s">
        <v>3214</v>
      </c>
      <c r="C1659" t="s">
        <v>3221</v>
      </c>
      <c r="D1659" t="s">
        <v>3225</v>
      </c>
      <c r="E1659" t="s">
        <v>3226</v>
      </c>
      <c r="F1659">
        <v>64981.1</v>
      </c>
      <c r="G1659">
        <v>49700.27</v>
      </c>
      <c r="H1659">
        <v>4</v>
      </c>
    </row>
    <row r="1660" spans="1:8" x14ac:dyDescent="0.25">
      <c r="A1660" t="s">
        <v>1419</v>
      </c>
      <c r="B1660" t="s">
        <v>3214</v>
      </c>
      <c r="C1660" t="s">
        <v>3218</v>
      </c>
      <c r="D1660" t="s">
        <v>3222</v>
      </c>
      <c r="E1660" t="s">
        <v>3226</v>
      </c>
      <c r="F1660">
        <v>46205.11</v>
      </c>
      <c r="G1660">
        <v>31233.25</v>
      </c>
      <c r="H1660">
        <v>3</v>
      </c>
    </row>
    <row r="1661" spans="1:8" x14ac:dyDescent="0.25">
      <c r="A1661" t="s">
        <v>1506</v>
      </c>
      <c r="B1661" t="s">
        <v>3212</v>
      </c>
      <c r="C1661" t="s">
        <v>3218</v>
      </c>
      <c r="D1661" t="s">
        <v>3224</v>
      </c>
      <c r="E1661" t="s">
        <v>3226</v>
      </c>
      <c r="F1661">
        <v>287685.73</v>
      </c>
      <c r="H1661">
        <v>4</v>
      </c>
    </row>
    <row r="1662" spans="1:8" x14ac:dyDescent="0.25">
      <c r="A1662" t="s">
        <v>1507</v>
      </c>
      <c r="B1662" t="s">
        <v>3212</v>
      </c>
      <c r="C1662" t="s">
        <v>3221</v>
      </c>
      <c r="D1662" t="s">
        <v>3224</v>
      </c>
      <c r="E1662" t="s">
        <v>3226</v>
      </c>
      <c r="F1662">
        <v>63087.35</v>
      </c>
      <c r="G1662">
        <v>48766.89</v>
      </c>
      <c r="H1662">
        <v>1</v>
      </c>
    </row>
    <row r="1663" spans="1:8" x14ac:dyDescent="0.25">
      <c r="A1663" t="s">
        <v>1508</v>
      </c>
      <c r="C1663" t="s">
        <v>3218</v>
      </c>
      <c r="D1663" t="s">
        <v>3223</v>
      </c>
      <c r="E1663" t="s">
        <v>3226</v>
      </c>
      <c r="F1663">
        <v>43521.34</v>
      </c>
      <c r="H1663">
        <v>5</v>
      </c>
    </row>
    <row r="1664" spans="1:8" x14ac:dyDescent="0.25">
      <c r="A1664" t="s">
        <v>1509</v>
      </c>
      <c r="C1664" t="s">
        <v>3217</v>
      </c>
      <c r="D1664" t="s">
        <v>3224</v>
      </c>
      <c r="E1664" t="s">
        <v>3226</v>
      </c>
      <c r="F1664">
        <v>330813.58</v>
      </c>
      <c r="G1664">
        <v>238327.84</v>
      </c>
      <c r="H1664">
        <v>5</v>
      </c>
    </row>
    <row r="1665" spans="1:8" x14ac:dyDescent="0.25">
      <c r="A1665" t="s">
        <v>1510</v>
      </c>
      <c r="C1665" t="s">
        <v>3220</v>
      </c>
      <c r="D1665" t="s">
        <v>3222</v>
      </c>
      <c r="E1665" t="s">
        <v>3226</v>
      </c>
      <c r="F1665">
        <v>34556.5</v>
      </c>
      <c r="G1665">
        <v>21899.02</v>
      </c>
      <c r="H1665">
        <v>2</v>
      </c>
    </row>
    <row r="1666" spans="1:8" x14ac:dyDescent="0.25">
      <c r="A1666" t="s">
        <v>1511</v>
      </c>
      <c r="B1666" t="s">
        <v>3214</v>
      </c>
      <c r="C1666" t="s">
        <v>3216</v>
      </c>
      <c r="D1666" t="s">
        <v>3224</v>
      </c>
      <c r="E1666" t="s">
        <v>3226</v>
      </c>
      <c r="F1666">
        <v>319645.7</v>
      </c>
      <c r="G1666">
        <v>215402.85</v>
      </c>
      <c r="H1666">
        <v>5</v>
      </c>
    </row>
    <row r="1667" spans="1:8" x14ac:dyDescent="0.25">
      <c r="A1667" t="s">
        <v>1512</v>
      </c>
      <c r="B1667" t="s">
        <v>3215</v>
      </c>
      <c r="C1667" t="s">
        <v>3220</v>
      </c>
      <c r="D1667" t="s">
        <v>3223</v>
      </c>
      <c r="E1667" t="s">
        <v>3226</v>
      </c>
      <c r="F1667">
        <v>45206.63</v>
      </c>
      <c r="G1667">
        <v>29987.31</v>
      </c>
      <c r="H1667">
        <v>4</v>
      </c>
    </row>
    <row r="1668" spans="1:8" x14ac:dyDescent="0.25">
      <c r="A1668" t="s">
        <v>1513</v>
      </c>
      <c r="B1668" t="s">
        <v>3212</v>
      </c>
      <c r="C1668" t="s">
        <v>3221</v>
      </c>
      <c r="D1668" t="s">
        <v>3222</v>
      </c>
      <c r="E1668" t="s">
        <v>3226</v>
      </c>
      <c r="F1668">
        <v>42785.89</v>
      </c>
      <c r="G1668">
        <v>29300.34</v>
      </c>
      <c r="H1668">
        <v>3</v>
      </c>
    </row>
    <row r="1669" spans="1:8" x14ac:dyDescent="0.25">
      <c r="A1669" t="s">
        <v>1514</v>
      </c>
      <c r="B1669" t="s">
        <v>3212</v>
      </c>
      <c r="C1669" t="s">
        <v>3220</v>
      </c>
      <c r="D1669" t="s">
        <v>3224</v>
      </c>
      <c r="E1669" t="s">
        <v>3226</v>
      </c>
      <c r="F1669">
        <v>246834.34</v>
      </c>
      <c r="G1669">
        <v>202820.87</v>
      </c>
      <c r="H1669">
        <v>5</v>
      </c>
    </row>
    <row r="1670" spans="1:8" x14ac:dyDescent="0.25">
      <c r="A1670" t="s">
        <v>1515</v>
      </c>
      <c r="B1670" t="s">
        <v>3212</v>
      </c>
      <c r="C1670" t="s">
        <v>3221</v>
      </c>
      <c r="D1670" t="s">
        <v>3224</v>
      </c>
      <c r="E1670" t="s">
        <v>3226</v>
      </c>
      <c r="F1670">
        <v>213449.77</v>
      </c>
      <c r="G1670">
        <v>130906.18</v>
      </c>
      <c r="H1670">
        <v>3</v>
      </c>
    </row>
    <row r="1671" spans="1:8" x14ac:dyDescent="0.25">
      <c r="A1671" t="s">
        <v>1516</v>
      </c>
      <c r="B1671" t="s">
        <v>3215</v>
      </c>
      <c r="C1671" t="s">
        <v>3217</v>
      </c>
      <c r="D1671" t="s">
        <v>3225</v>
      </c>
      <c r="E1671" t="s">
        <v>3226</v>
      </c>
      <c r="F1671">
        <v>46829.06</v>
      </c>
      <c r="G1671">
        <v>28739.81</v>
      </c>
      <c r="H1671">
        <v>2</v>
      </c>
    </row>
    <row r="1672" spans="1:8" x14ac:dyDescent="0.25">
      <c r="A1672" t="s">
        <v>722</v>
      </c>
      <c r="B1672" t="s">
        <v>3212</v>
      </c>
      <c r="C1672" t="s">
        <v>3219</v>
      </c>
      <c r="D1672" t="s">
        <v>3223</v>
      </c>
      <c r="E1672" t="s">
        <v>3226</v>
      </c>
      <c r="F1672">
        <v>37229.120000000003</v>
      </c>
      <c r="H1672">
        <v>4</v>
      </c>
    </row>
    <row r="1673" spans="1:8" x14ac:dyDescent="0.25">
      <c r="A1673" t="s">
        <v>667</v>
      </c>
      <c r="B1673" t="s">
        <v>3213</v>
      </c>
      <c r="C1673" t="s">
        <v>3216</v>
      </c>
      <c r="D1673" t="s">
        <v>3223</v>
      </c>
      <c r="E1673" t="s">
        <v>3226</v>
      </c>
      <c r="F1673">
        <v>46003.199999999997</v>
      </c>
      <c r="G1673">
        <v>32087.86</v>
      </c>
      <c r="H1673">
        <v>5</v>
      </c>
    </row>
    <row r="1674" spans="1:8" x14ac:dyDescent="0.25">
      <c r="A1674" t="s">
        <v>1517</v>
      </c>
      <c r="B1674" t="s">
        <v>3214</v>
      </c>
      <c r="C1674" t="s">
        <v>3219</v>
      </c>
      <c r="D1674" t="s">
        <v>3225</v>
      </c>
      <c r="E1674" t="s">
        <v>3226</v>
      </c>
      <c r="F1674">
        <v>17259.62</v>
      </c>
      <c r="G1674">
        <v>14896.52</v>
      </c>
      <c r="H1674">
        <v>1</v>
      </c>
    </row>
    <row r="1675" spans="1:8" x14ac:dyDescent="0.25">
      <c r="A1675" t="s">
        <v>1518</v>
      </c>
      <c r="B1675" t="s">
        <v>3212</v>
      </c>
      <c r="C1675" t="s">
        <v>3221</v>
      </c>
      <c r="D1675" t="s">
        <v>3223</v>
      </c>
      <c r="E1675" t="s">
        <v>3226</v>
      </c>
      <c r="G1675">
        <v>14159.9</v>
      </c>
      <c r="H1675">
        <v>2</v>
      </c>
    </row>
    <row r="1676" spans="1:8" x14ac:dyDescent="0.25">
      <c r="A1676" t="s">
        <v>1519</v>
      </c>
      <c r="B1676" t="s">
        <v>3212</v>
      </c>
      <c r="C1676" t="s">
        <v>3218</v>
      </c>
      <c r="D1676" t="s">
        <v>3224</v>
      </c>
      <c r="E1676" t="s">
        <v>3226</v>
      </c>
      <c r="F1676">
        <v>304764.65999999997</v>
      </c>
      <c r="G1676">
        <v>199613.75</v>
      </c>
      <c r="H1676">
        <v>5</v>
      </c>
    </row>
    <row r="1677" spans="1:8" x14ac:dyDescent="0.25">
      <c r="A1677" t="s">
        <v>1461</v>
      </c>
      <c r="B1677" t="s">
        <v>3213</v>
      </c>
      <c r="C1677" t="s">
        <v>3216</v>
      </c>
      <c r="D1677" t="s">
        <v>3225</v>
      </c>
      <c r="E1677" t="s">
        <v>3226</v>
      </c>
      <c r="F1677">
        <v>53543.11</v>
      </c>
      <c r="G1677">
        <v>39891.4</v>
      </c>
      <c r="H1677">
        <v>3</v>
      </c>
    </row>
    <row r="1678" spans="1:8" x14ac:dyDescent="0.25">
      <c r="A1678" t="s">
        <v>1520</v>
      </c>
      <c r="B1678" t="s">
        <v>3212</v>
      </c>
      <c r="C1678" t="s">
        <v>3219</v>
      </c>
      <c r="D1678" t="s">
        <v>3225</v>
      </c>
      <c r="E1678" t="s">
        <v>3226</v>
      </c>
      <c r="F1678">
        <v>22436.47</v>
      </c>
      <c r="G1678">
        <v>14910.06</v>
      </c>
      <c r="H1678">
        <v>1</v>
      </c>
    </row>
    <row r="1679" spans="1:8" x14ac:dyDescent="0.25">
      <c r="A1679" t="s">
        <v>1521</v>
      </c>
      <c r="B1679" t="s">
        <v>3213</v>
      </c>
      <c r="C1679" t="s">
        <v>3216</v>
      </c>
      <c r="D1679" t="s">
        <v>3222</v>
      </c>
      <c r="E1679" t="s">
        <v>3226</v>
      </c>
      <c r="G1679">
        <v>21113.119999999999</v>
      </c>
      <c r="H1679">
        <v>2</v>
      </c>
    </row>
    <row r="1680" spans="1:8" x14ac:dyDescent="0.25">
      <c r="A1680" t="s">
        <v>1522</v>
      </c>
      <c r="C1680" t="s">
        <v>3217</v>
      </c>
      <c r="D1680" t="s">
        <v>3222</v>
      </c>
      <c r="E1680" t="s">
        <v>3226</v>
      </c>
      <c r="F1680">
        <v>31667.47</v>
      </c>
      <c r="G1680">
        <v>21394.74</v>
      </c>
      <c r="H1680">
        <v>2</v>
      </c>
    </row>
    <row r="1681" spans="1:8" x14ac:dyDescent="0.25">
      <c r="A1681" t="s">
        <v>673</v>
      </c>
      <c r="B1681" t="s">
        <v>3215</v>
      </c>
      <c r="C1681" t="s">
        <v>3216</v>
      </c>
      <c r="D1681" t="s">
        <v>3225</v>
      </c>
      <c r="E1681" t="s">
        <v>3226</v>
      </c>
      <c r="F1681">
        <v>69436.210000000006</v>
      </c>
      <c r="G1681">
        <v>59541.06</v>
      </c>
      <c r="H1681">
        <v>4</v>
      </c>
    </row>
    <row r="1682" spans="1:8" x14ac:dyDescent="0.25">
      <c r="A1682" t="s">
        <v>1523</v>
      </c>
      <c r="B1682" t="s">
        <v>3215</v>
      </c>
      <c r="C1682" t="s">
        <v>3219</v>
      </c>
      <c r="D1682" t="s">
        <v>3225</v>
      </c>
      <c r="E1682" t="s">
        <v>3226</v>
      </c>
      <c r="F1682">
        <v>18597.18</v>
      </c>
      <c r="G1682">
        <v>13016.65</v>
      </c>
      <c r="H1682">
        <v>1</v>
      </c>
    </row>
    <row r="1683" spans="1:8" x14ac:dyDescent="0.25">
      <c r="A1683" t="s">
        <v>1524</v>
      </c>
      <c r="B1683" t="s">
        <v>3214</v>
      </c>
      <c r="C1683" t="s">
        <v>3218</v>
      </c>
      <c r="D1683" t="s">
        <v>3225</v>
      </c>
      <c r="E1683" t="s">
        <v>3226</v>
      </c>
      <c r="F1683">
        <v>70939.48</v>
      </c>
      <c r="G1683">
        <v>41792.43</v>
      </c>
      <c r="H1683">
        <v>3</v>
      </c>
    </row>
    <row r="1684" spans="1:8" x14ac:dyDescent="0.25">
      <c r="A1684" t="s">
        <v>1525</v>
      </c>
      <c r="B1684" t="s">
        <v>3211</v>
      </c>
      <c r="C1684" t="s">
        <v>3218</v>
      </c>
      <c r="D1684" t="s">
        <v>3222</v>
      </c>
      <c r="E1684" t="s">
        <v>3226</v>
      </c>
      <c r="F1684">
        <v>24992.78</v>
      </c>
      <c r="G1684">
        <v>19616.86</v>
      </c>
      <c r="H1684">
        <v>2</v>
      </c>
    </row>
    <row r="1685" spans="1:8" x14ac:dyDescent="0.25">
      <c r="A1685" t="s">
        <v>812</v>
      </c>
      <c r="B1685" t="s">
        <v>3212</v>
      </c>
      <c r="C1685" t="s">
        <v>3218</v>
      </c>
      <c r="D1685" t="s">
        <v>3225</v>
      </c>
      <c r="E1685" t="s">
        <v>3226</v>
      </c>
      <c r="F1685">
        <v>42127.82</v>
      </c>
      <c r="G1685">
        <v>29425.94</v>
      </c>
      <c r="H1685">
        <v>2</v>
      </c>
    </row>
    <row r="1686" spans="1:8" x14ac:dyDescent="0.25">
      <c r="A1686" t="s">
        <v>1526</v>
      </c>
      <c r="B1686" t="s">
        <v>3214</v>
      </c>
      <c r="C1686" t="s">
        <v>3217</v>
      </c>
      <c r="D1686" t="s">
        <v>3223</v>
      </c>
      <c r="E1686" t="s">
        <v>3226</v>
      </c>
      <c r="F1686">
        <v>35697.54</v>
      </c>
      <c r="H1686">
        <v>4</v>
      </c>
    </row>
    <row r="1687" spans="1:8" x14ac:dyDescent="0.25">
      <c r="A1687" t="s">
        <v>1527</v>
      </c>
      <c r="B1687" t="s">
        <v>3215</v>
      </c>
      <c r="C1687" t="s">
        <v>3216</v>
      </c>
      <c r="D1687" t="s">
        <v>3225</v>
      </c>
      <c r="E1687" t="s">
        <v>3226</v>
      </c>
      <c r="F1687">
        <v>95434.22</v>
      </c>
      <c r="G1687">
        <v>65444.37</v>
      </c>
      <c r="H1687">
        <v>5</v>
      </c>
    </row>
    <row r="1688" spans="1:8" x14ac:dyDescent="0.25">
      <c r="A1688" t="s">
        <v>1528</v>
      </c>
      <c r="B1688" t="s">
        <v>3213</v>
      </c>
      <c r="C1688" t="s">
        <v>3219</v>
      </c>
      <c r="D1688" t="s">
        <v>3223</v>
      </c>
      <c r="E1688" t="s">
        <v>3226</v>
      </c>
      <c r="F1688">
        <v>26923.93</v>
      </c>
      <c r="G1688">
        <v>18867.009999999998</v>
      </c>
      <c r="H1688">
        <v>3</v>
      </c>
    </row>
    <row r="1689" spans="1:8" x14ac:dyDescent="0.25">
      <c r="A1689" t="s">
        <v>1529</v>
      </c>
      <c r="B1689" t="s">
        <v>3215</v>
      </c>
      <c r="C1689" t="s">
        <v>3219</v>
      </c>
      <c r="D1689" t="s">
        <v>3224</v>
      </c>
      <c r="E1689" t="s">
        <v>3226</v>
      </c>
      <c r="F1689">
        <v>213032.49</v>
      </c>
      <c r="G1689">
        <v>140847.56</v>
      </c>
      <c r="H1689">
        <v>3</v>
      </c>
    </row>
    <row r="1690" spans="1:8" x14ac:dyDescent="0.25">
      <c r="A1690" t="s">
        <v>1530</v>
      </c>
      <c r="C1690" t="s">
        <v>3221</v>
      </c>
      <c r="D1690" t="s">
        <v>3222</v>
      </c>
      <c r="E1690" t="s">
        <v>3226</v>
      </c>
      <c r="F1690">
        <v>15347.95</v>
      </c>
      <c r="G1690">
        <v>10815.44</v>
      </c>
      <c r="H1690">
        <v>1</v>
      </c>
    </row>
    <row r="1691" spans="1:8" x14ac:dyDescent="0.25">
      <c r="A1691" t="s">
        <v>708</v>
      </c>
      <c r="B1691" t="s">
        <v>3215</v>
      </c>
      <c r="C1691" t="s">
        <v>3217</v>
      </c>
      <c r="D1691" t="s">
        <v>3224</v>
      </c>
      <c r="E1691" t="s">
        <v>3226</v>
      </c>
      <c r="F1691">
        <v>222216.62</v>
      </c>
      <c r="G1691">
        <v>197347.6</v>
      </c>
      <c r="H1691">
        <v>4</v>
      </c>
    </row>
    <row r="1692" spans="1:8" x14ac:dyDescent="0.25">
      <c r="A1692" t="s">
        <v>1531</v>
      </c>
      <c r="B1692" t="s">
        <v>3213</v>
      </c>
      <c r="C1692" t="s">
        <v>3220</v>
      </c>
      <c r="D1692" t="s">
        <v>3223</v>
      </c>
      <c r="E1692" t="s">
        <v>3226</v>
      </c>
      <c r="F1692">
        <v>57809.33</v>
      </c>
      <c r="G1692">
        <v>33547.32</v>
      </c>
      <c r="H1692">
        <v>5</v>
      </c>
    </row>
    <row r="1693" spans="1:8" x14ac:dyDescent="0.25">
      <c r="A1693" t="s">
        <v>1532</v>
      </c>
      <c r="B1693" t="s">
        <v>3213</v>
      </c>
      <c r="C1693" t="s">
        <v>3220</v>
      </c>
      <c r="D1693" t="s">
        <v>3225</v>
      </c>
      <c r="E1693" t="s">
        <v>3226</v>
      </c>
      <c r="F1693">
        <v>75476.66</v>
      </c>
      <c r="G1693">
        <v>58098.27</v>
      </c>
      <c r="H1693">
        <v>4</v>
      </c>
    </row>
    <row r="1694" spans="1:8" x14ac:dyDescent="0.25">
      <c r="A1694" t="s">
        <v>1533</v>
      </c>
      <c r="B1694" t="s">
        <v>3215</v>
      </c>
      <c r="C1694" t="s">
        <v>3218</v>
      </c>
      <c r="D1694" t="s">
        <v>3224</v>
      </c>
      <c r="E1694" t="s">
        <v>3226</v>
      </c>
      <c r="F1694">
        <v>264604.31</v>
      </c>
      <c r="G1694">
        <v>171599.07</v>
      </c>
      <c r="H1694">
        <v>4</v>
      </c>
    </row>
    <row r="1695" spans="1:8" x14ac:dyDescent="0.25">
      <c r="A1695" t="s">
        <v>1534</v>
      </c>
      <c r="B1695" t="s">
        <v>3214</v>
      </c>
      <c r="C1695" t="s">
        <v>3220</v>
      </c>
      <c r="D1695" t="s">
        <v>3225</v>
      </c>
      <c r="E1695" t="s">
        <v>3226</v>
      </c>
      <c r="F1695">
        <v>97159.8</v>
      </c>
      <c r="G1695">
        <v>61636.97</v>
      </c>
      <c r="H1695">
        <v>5</v>
      </c>
    </row>
    <row r="1696" spans="1:8" x14ac:dyDescent="0.25">
      <c r="A1696" t="s">
        <v>1535</v>
      </c>
      <c r="B1696" t="s">
        <v>3213</v>
      </c>
      <c r="C1696" t="s">
        <v>3217</v>
      </c>
      <c r="D1696" t="s">
        <v>3225</v>
      </c>
      <c r="E1696" t="s">
        <v>3226</v>
      </c>
      <c r="F1696">
        <v>62154.13</v>
      </c>
      <c r="G1696">
        <v>37136.14</v>
      </c>
      <c r="H1696">
        <v>3</v>
      </c>
    </row>
    <row r="1697" spans="1:8" x14ac:dyDescent="0.25">
      <c r="A1697" t="s">
        <v>1536</v>
      </c>
      <c r="B1697" t="s">
        <v>3214</v>
      </c>
      <c r="C1697" t="s">
        <v>3218</v>
      </c>
      <c r="D1697" t="s">
        <v>3224</v>
      </c>
      <c r="E1697" t="s">
        <v>3226</v>
      </c>
      <c r="G1697">
        <v>170366.46</v>
      </c>
      <c r="H1697">
        <v>4</v>
      </c>
    </row>
    <row r="1698" spans="1:8" x14ac:dyDescent="0.25">
      <c r="A1698" t="s">
        <v>1537</v>
      </c>
      <c r="C1698" t="s">
        <v>3220</v>
      </c>
      <c r="D1698" t="s">
        <v>3225</v>
      </c>
      <c r="E1698" t="s">
        <v>3226</v>
      </c>
      <c r="F1698">
        <v>23202.22</v>
      </c>
      <c r="G1698">
        <v>13028.24</v>
      </c>
      <c r="H1698">
        <v>1</v>
      </c>
    </row>
    <row r="1699" spans="1:8" x14ac:dyDescent="0.25">
      <c r="A1699" t="s">
        <v>1538</v>
      </c>
      <c r="B1699" t="s">
        <v>3213</v>
      </c>
      <c r="C1699" t="s">
        <v>3220</v>
      </c>
      <c r="D1699" t="s">
        <v>3222</v>
      </c>
      <c r="E1699" t="s">
        <v>3226</v>
      </c>
      <c r="F1699">
        <v>49767.07</v>
      </c>
      <c r="G1699">
        <v>28539.43</v>
      </c>
      <c r="H1699">
        <v>3</v>
      </c>
    </row>
    <row r="1700" spans="1:8" x14ac:dyDescent="0.25">
      <c r="A1700" t="s">
        <v>569</v>
      </c>
      <c r="B1700" t="s">
        <v>3213</v>
      </c>
      <c r="C1700" t="s">
        <v>3218</v>
      </c>
      <c r="D1700" t="s">
        <v>3225</v>
      </c>
      <c r="E1700" t="s">
        <v>3226</v>
      </c>
      <c r="F1700">
        <v>49534.99</v>
      </c>
      <c r="G1700">
        <v>41340.639999999999</v>
      </c>
      <c r="H1700">
        <v>3</v>
      </c>
    </row>
    <row r="1701" spans="1:8" x14ac:dyDescent="0.25">
      <c r="A1701" t="s">
        <v>1454</v>
      </c>
      <c r="B1701" t="s">
        <v>3212</v>
      </c>
      <c r="C1701" t="s">
        <v>3220</v>
      </c>
      <c r="D1701" t="s">
        <v>3223</v>
      </c>
      <c r="E1701" t="s">
        <v>3226</v>
      </c>
      <c r="F1701">
        <v>53223.09</v>
      </c>
      <c r="G1701">
        <v>35836.370000000003</v>
      </c>
      <c r="H1701">
        <v>5</v>
      </c>
    </row>
    <row r="1702" spans="1:8" x14ac:dyDescent="0.25">
      <c r="A1702" t="s">
        <v>1539</v>
      </c>
      <c r="B1702" t="s">
        <v>3213</v>
      </c>
      <c r="C1702" t="s">
        <v>3218</v>
      </c>
      <c r="D1702" t="s">
        <v>3224</v>
      </c>
      <c r="E1702" t="s">
        <v>3226</v>
      </c>
      <c r="F1702">
        <v>282028.06</v>
      </c>
      <c r="G1702">
        <v>190200.88</v>
      </c>
      <c r="H1702">
        <v>4</v>
      </c>
    </row>
    <row r="1703" spans="1:8" x14ac:dyDescent="0.25">
      <c r="A1703" t="s">
        <v>1540</v>
      </c>
      <c r="B1703" t="s">
        <v>3211</v>
      </c>
      <c r="C1703" t="s">
        <v>3216</v>
      </c>
      <c r="D1703" t="s">
        <v>3222</v>
      </c>
      <c r="E1703" t="s">
        <v>3226</v>
      </c>
      <c r="F1703">
        <v>53793.440000000002</v>
      </c>
      <c r="G1703">
        <v>30560.97</v>
      </c>
      <c r="H1703">
        <v>3</v>
      </c>
    </row>
    <row r="1704" spans="1:8" x14ac:dyDescent="0.25">
      <c r="A1704" t="s">
        <v>1541</v>
      </c>
      <c r="C1704" t="s">
        <v>3219</v>
      </c>
      <c r="D1704" t="s">
        <v>3225</v>
      </c>
      <c r="E1704" t="s">
        <v>3226</v>
      </c>
      <c r="F1704">
        <v>71183.38</v>
      </c>
      <c r="G1704">
        <v>48558.34</v>
      </c>
      <c r="H1704">
        <v>4</v>
      </c>
    </row>
    <row r="1705" spans="1:8" x14ac:dyDescent="0.25">
      <c r="A1705" t="s">
        <v>1542</v>
      </c>
      <c r="B1705" t="s">
        <v>3214</v>
      </c>
      <c r="C1705" t="s">
        <v>3217</v>
      </c>
      <c r="D1705" t="s">
        <v>3223</v>
      </c>
      <c r="E1705" t="s">
        <v>3226</v>
      </c>
      <c r="F1705">
        <v>16131.02</v>
      </c>
      <c r="G1705">
        <v>14851.56</v>
      </c>
      <c r="H1705">
        <v>2</v>
      </c>
    </row>
    <row r="1706" spans="1:8" x14ac:dyDescent="0.25">
      <c r="A1706" t="s">
        <v>1543</v>
      </c>
      <c r="B1706" t="s">
        <v>3212</v>
      </c>
      <c r="C1706" t="s">
        <v>3220</v>
      </c>
      <c r="D1706" t="s">
        <v>3222</v>
      </c>
      <c r="E1706" t="s">
        <v>3226</v>
      </c>
      <c r="F1706">
        <v>58362.42</v>
      </c>
      <c r="G1706">
        <v>37822.559999999998</v>
      </c>
      <c r="H1706">
        <v>4</v>
      </c>
    </row>
    <row r="1707" spans="1:8" x14ac:dyDescent="0.25">
      <c r="A1707" t="s">
        <v>1544</v>
      </c>
      <c r="B1707" t="s">
        <v>3214</v>
      </c>
      <c r="C1707" t="s">
        <v>3217</v>
      </c>
      <c r="D1707" t="s">
        <v>3223</v>
      </c>
      <c r="E1707" t="s">
        <v>3226</v>
      </c>
      <c r="F1707">
        <v>8388.2199999999993</v>
      </c>
      <c r="G1707">
        <v>6707.16</v>
      </c>
      <c r="H1707">
        <v>1</v>
      </c>
    </row>
    <row r="1708" spans="1:8" x14ac:dyDescent="0.25">
      <c r="A1708" t="s">
        <v>312</v>
      </c>
      <c r="C1708" t="s">
        <v>3216</v>
      </c>
      <c r="D1708" t="s">
        <v>3223</v>
      </c>
      <c r="E1708" t="s">
        <v>3226</v>
      </c>
      <c r="F1708">
        <v>48543.62</v>
      </c>
      <c r="G1708">
        <v>31841.47</v>
      </c>
      <c r="H1708">
        <v>5</v>
      </c>
    </row>
    <row r="1709" spans="1:8" x14ac:dyDescent="0.25">
      <c r="A1709" t="s">
        <v>1068</v>
      </c>
      <c r="B1709" t="s">
        <v>3214</v>
      </c>
      <c r="C1709" t="s">
        <v>3216</v>
      </c>
      <c r="D1709" t="s">
        <v>3225</v>
      </c>
      <c r="E1709" t="s">
        <v>3226</v>
      </c>
      <c r="F1709">
        <v>62949.03</v>
      </c>
      <c r="G1709">
        <v>38425.949999999997</v>
      </c>
      <c r="H1709">
        <v>3</v>
      </c>
    </row>
    <row r="1710" spans="1:8" x14ac:dyDescent="0.25">
      <c r="A1710" t="s">
        <v>1545</v>
      </c>
      <c r="B1710" t="s">
        <v>3214</v>
      </c>
      <c r="C1710" t="s">
        <v>3217</v>
      </c>
      <c r="D1710" t="s">
        <v>3222</v>
      </c>
      <c r="E1710" t="s">
        <v>3226</v>
      </c>
      <c r="F1710">
        <v>61306.93</v>
      </c>
      <c r="G1710">
        <v>40319.33</v>
      </c>
      <c r="H1710">
        <v>4</v>
      </c>
    </row>
    <row r="1711" spans="1:8" x14ac:dyDescent="0.25">
      <c r="A1711" t="s">
        <v>1543</v>
      </c>
      <c r="B1711" t="s">
        <v>3212</v>
      </c>
      <c r="C1711" t="s">
        <v>3220</v>
      </c>
      <c r="D1711" t="s">
        <v>3225</v>
      </c>
      <c r="E1711" t="s">
        <v>3226</v>
      </c>
      <c r="F1711">
        <v>20623.259999999998</v>
      </c>
      <c r="G1711">
        <v>11961.23</v>
      </c>
      <c r="H1711">
        <v>1</v>
      </c>
    </row>
    <row r="1712" spans="1:8" x14ac:dyDescent="0.25">
      <c r="A1712" t="s">
        <v>1546</v>
      </c>
      <c r="B1712" t="s">
        <v>3215</v>
      </c>
      <c r="C1712" t="s">
        <v>3221</v>
      </c>
      <c r="D1712" t="s">
        <v>3223</v>
      </c>
      <c r="E1712" t="s">
        <v>3226</v>
      </c>
      <c r="F1712">
        <v>42423.62</v>
      </c>
      <c r="G1712">
        <v>27416.73</v>
      </c>
      <c r="H1712">
        <v>4</v>
      </c>
    </row>
    <row r="1713" spans="1:8" x14ac:dyDescent="0.25">
      <c r="A1713" t="s">
        <v>1356</v>
      </c>
      <c r="B1713" t="s">
        <v>3212</v>
      </c>
      <c r="C1713" t="s">
        <v>3221</v>
      </c>
      <c r="D1713" t="s">
        <v>3224</v>
      </c>
      <c r="E1713" t="s">
        <v>3226</v>
      </c>
      <c r="F1713">
        <v>142256.98000000001</v>
      </c>
      <c r="G1713">
        <v>97802.77</v>
      </c>
      <c r="H1713">
        <v>2</v>
      </c>
    </row>
    <row r="1714" spans="1:8" x14ac:dyDescent="0.25">
      <c r="A1714" t="s">
        <v>1547</v>
      </c>
      <c r="B1714" t="s">
        <v>3214</v>
      </c>
      <c r="C1714" t="s">
        <v>3217</v>
      </c>
      <c r="D1714" t="s">
        <v>3224</v>
      </c>
      <c r="E1714" t="s">
        <v>3226</v>
      </c>
      <c r="F1714">
        <v>151512.12</v>
      </c>
      <c r="G1714">
        <v>114798.38</v>
      </c>
      <c r="H1714">
        <v>3</v>
      </c>
    </row>
    <row r="1715" spans="1:8" x14ac:dyDescent="0.25">
      <c r="A1715" t="s">
        <v>1548</v>
      </c>
      <c r="B1715" t="s">
        <v>3211</v>
      </c>
      <c r="C1715" t="s">
        <v>3220</v>
      </c>
      <c r="D1715" t="s">
        <v>3225</v>
      </c>
      <c r="E1715" t="s">
        <v>3226</v>
      </c>
      <c r="F1715">
        <v>92984.69</v>
      </c>
      <c r="G1715">
        <v>62698.54</v>
      </c>
      <c r="H1715">
        <v>5</v>
      </c>
    </row>
    <row r="1716" spans="1:8" x14ac:dyDescent="0.25">
      <c r="A1716" t="s">
        <v>1549</v>
      </c>
      <c r="B1716" t="s">
        <v>3214</v>
      </c>
      <c r="C1716" t="s">
        <v>3217</v>
      </c>
      <c r="D1716" t="s">
        <v>3222</v>
      </c>
      <c r="E1716" t="s">
        <v>3226</v>
      </c>
      <c r="G1716">
        <v>9173.02</v>
      </c>
      <c r="H1716">
        <v>1</v>
      </c>
    </row>
    <row r="1717" spans="1:8" x14ac:dyDescent="0.25">
      <c r="A1717" t="s">
        <v>1550</v>
      </c>
      <c r="B1717" t="s">
        <v>3213</v>
      </c>
      <c r="C1717" t="s">
        <v>3221</v>
      </c>
      <c r="D1717" t="s">
        <v>3223</v>
      </c>
      <c r="E1717" t="s">
        <v>3226</v>
      </c>
      <c r="F1717">
        <v>27250.63</v>
      </c>
      <c r="G1717">
        <v>18077.560000000001</v>
      </c>
      <c r="H1717">
        <v>3</v>
      </c>
    </row>
    <row r="1718" spans="1:8" x14ac:dyDescent="0.25">
      <c r="A1718" t="s">
        <v>508</v>
      </c>
      <c r="B1718" t="s">
        <v>3214</v>
      </c>
      <c r="C1718" t="s">
        <v>3219</v>
      </c>
      <c r="D1718" t="s">
        <v>3223</v>
      </c>
      <c r="E1718" t="s">
        <v>3226</v>
      </c>
      <c r="F1718">
        <v>35849.480000000003</v>
      </c>
      <c r="G1718">
        <v>21551.360000000001</v>
      </c>
    </row>
    <row r="1719" spans="1:8" x14ac:dyDescent="0.25">
      <c r="A1719" t="s">
        <v>1551</v>
      </c>
      <c r="B1719" t="s">
        <v>3214</v>
      </c>
      <c r="C1719" t="s">
        <v>3217</v>
      </c>
      <c r="D1719" t="s">
        <v>3222</v>
      </c>
      <c r="E1719" t="s">
        <v>3226</v>
      </c>
      <c r="F1719">
        <v>15610.59</v>
      </c>
      <c r="G1719">
        <v>10996.62</v>
      </c>
      <c r="H1719">
        <v>1</v>
      </c>
    </row>
    <row r="1720" spans="1:8" x14ac:dyDescent="0.25">
      <c r="A1720" t="s">
        <v>869</v>
      </c>
      <c r="B1720" t="s">
        <v>3214</v>
      </c>
      <c r="C1720" t="s">
        <v>3221</v>
      </c>
      <c r="D1720" t="s">
        <v>3225</v>
      </c>
      <c r="E1720" t="s">
        <v>3226</v>
      </c>
      <c r="F1720">
        <v>70842.73</v>
      </c>
      <c r="G1720">
        <v>55605.34</v>
      </c>
      <c r="H1720">
        <v>4</v>
      </c>
    </row>
    <row r="1721" spans="1:8" x14ac:dyDescent="0.25">
      <c r="A1721" t="s">
        <v>1552</v>
      </c>
      <c r="B1721" t="s">
        <v>3212</v>
      </c>
      <c r="C1721" t="s">
        <v>3220</v>
      </c>
      <c r="D1721" t="s">
        <v>3223</v>
      </c>
      <c r="E1721" t="s">
        <v>3226</v>
      </c>
      <c r="F1721">
        <v>29799.82</v>
      </c>
      <c r="G1721">
        <v>20863.21</v>
      </c>
      <c r="H1721">
        <v>3</v>
      </c>
    </row>
    <row r="1722" spans="1:8" x14ac:dyDescent="0.25">
      <c r="A1722" t="s">
        <v>1553</v>
      </c>
      <c r="B1722" t="s">
        <v>3215</v>
      </c>
      <c r="C1722" t="s">
        <v>3216</v>
      </c>
      <c r="D1722" t="s">
        <v>3225</v>
      </c>
      <c r="E1722" t="s">
        <v>3226</v>
      </c>
      <c r="F1722">
        <v>33535.61</v>
      </c>
      <c r="G1722">
        <v>26569.32</v>
      </c>
      <c r="H1722">
        <v>2</v>
      </c>
    </row>
    <row r="1723" spans="1:8" x14ac:dyDescent="0.25">
      <c r="A1723" t="s">
        <v>1554</v>
      </c>
      <c r="B1723" t="s">
        <v>3211</v>
      </c>
      <c r="C1723" t="s">
        <v>3221</v>
      </c>
      <c r="D1723" t="s">
        <v>3224</v>
      </c>
      <c r="E1723" t="s">
        <v>3226</v>
      </c>
      <c r="F1723">
        <v>125765.26</v>
      </c>
      <c r="G1723">
        <v>89914.34</v>
      </c>
      <c r="H1723">
        <v>2</v>
      </c>
    </row>
    <row r="1724" spans="1:8" x14ac:dyDescent="0.25">
      <c r="A1724" t="s">
        <v>1555</v>
      </c>
      <c r="B1724" t="s">
        <v>3212</v>
      </c>
      <c r="C1724" t="s">
        <v>3219</v>
      </c>
      <c r="D1724" t="s">
        <v>3224</v>
      </c>
      <c r="E1724" t="s">
        <v>3226</v>
      </c>
      <c r="F1724">
        <v>125582.77</v>
      </c>
      <c r="G1724">
        <v>80331.86</v>
      </c>
      <c r="H1724">
        <v>2</v>
      </c>
    </row>
    <row r="1725" spans="1:8" x14ac:dyDescent="0.25">
      <c r="A1725" t="s">
        <v>1556</v>
      </c>
      <c r="B1725" t="s">
        <v>3214</v>
      </c>
      <c r="C1725" t="s">
        <v>3220</v>
      </c>
      <c r="D1725" t="s">
        <v>3225</v>
      </c>
      <c r="E1725" t="s">
        <v>3226</v>
      </c>
      <c r="F1725">
        <v>63439.78</v>
      </c>
      <c r="G1725">
        <v>38108.9</v>
      </c>
      <c r="H1725">
        <v>3</v>
      </c>
    </row>
    <row r="1726" spans="1:8" x14ac:dyDescent="0.25">
      <c r="A1726" t="s">
        <v>1557</v>
      </c>
      <c r="B1726" t="s">
        <v>3213</v>
      </c>
      <c r="C1726" t="s">
        <v>3221</v>
      </c>
      <c r="D1726" t="s">
        <v>3225</v>
      </c>
      <c r="E1726" t="s">
        <v>3226</v>
      </c>
      <c r="F1726">
        <v>21990.71</v>
      </c>
      <c r="G1726">
        <v>14050.34</v>
      </c>
      <c r="H1726">
        <v>1</v>
      </c>
    </row>
    <row r="1727" spans="1:8" x14ac:dyDescent="0.25">
      <c r="A1727" t="s">
        <v>901</v>
      </c>
      <c r="B1727" t="s">
        <v>3212</v>
      </c>
      <c r="C1727" t="s">
        <v>3219</v>
      </c>
      <c r="D1727" t="s">
        <v>3223</v>
      </c>
      <c r="E1727" t="s">
        <v>3226</v>
      </c>
      <c r="F1727">
        <v>43501.1</v>
      </c>
      <c r="G1727">
        <v>24390.74</v>
      </c>
      <c r="H1727">
        <v>4</v>
      </c>
    </row>
    <row r="1728" spans="1:8" x14ac:dyDescent="0.25">
      <c r="A1728" t="s">
        <v>1558</v>
      </c>
      <c r="B1728" t="s">
        <v>3215</v>
      </c>
      <c r="C1728" t="s">
        <v>3218</v>
      </c>
      <c r="D1728" t="s">
        <v>3223</v>
      </c>
      <c r="E1728" t="s">
        <v>3226</v>
      </c>
      <c r="F1728">
        <v>44513.03</v>
      </c>
      <c r="G1728">
        <v>25027.25</v>
      </c>
      <c r="H1728">
        <v>4</v>
      </c>
    </row>
    <row r="1729" spans="1:8" x14ac:dyDescent="0.25">
      <c r="A1729" t="s">
        <v>1559</v>
      </c>
      <c r="C1729" t="s">
        <v>3218</v>
      </c>
      <c r="D1729" t="s">
        <v>3225</v>
      </c>
      <c r="E1729" t="s">
        <v>3226</v>
      </c>
      <c r="F1729">
        <v>16444.38</v>
      </c>
      <c r="G1729">
        <v>12420.6</v>
      </c>
      <c r="H1729">
        <v>1</v>
      </c>
    </row>
    <row r="1730" spans="1:8" x14ac:dyDescent="0.25">
      <c r="A1730" t="s">
        <v>1560</v>
      </c>
      <c r="B1730" t="s">
        <v>3214</v>
      </c>
      <c r="C1730" t="s">
        <v>3217</v>
      </c>
      <c r="D1730" t="s">
        <v>3222</v>
      </c>
      <c r="E1730" t="s">
        <v>3226</v>
      </c>
      <c r="F1730">
        <v>44878.76</v>
      </c>
      <c r="G1730">
        <v>32371.13</v>
      </c>
      <c r="H1730">
        <v>3</v>
      </c>
    </row>
    <row r="1731" spans="1:8" x14ac:dyDescent="0.25">
      <c r="A1731" t="s">
        <v>1561</v>
      </c>
      <c r="B1731" t="s">
        <v>3213</v>
      </c>
      <c r="C1731" t="s">
        <v>3217</v>
      </c>
      <c r="D1731" t="s">
        <v>3223</v>
      </c>
      <c r="E1731" t="s">
        <v>3226</v>
      </c>
      <c r="F1731">
        <v>17861</v>
      </c>
      <c r="G1731">
        <v>14092.73</v>
      </c>
      <c r="H1731">
        <v>2</v>
      </c>
    </row>
    <row r="1732" spans="1:8" x14ac:dyDescent="0.25">
      <c r="A1732" t="s">
        <v>1562</v>
      </c>
      <c r="B1732" t="s">
        <v>3212</v>
      </c>
      <c r="C1732" t="s">
        <v>3219</v>
      </c>
      <c r="D1732" t="s">
        <v>3224</v>
      </c>
      <c r="E1732" t="s">
        <v>3226</v>
      </c>
      <c r="F1732">
        <v>258887.14</v>
      </c>
      <c r="G1732">
        <v>193528.23</v>
      </c>
      <c r="H1732">
        <v>4</v>
      </c>
    </row>
    <row r="1733" spans="1:8" x14ac:dyDescent="0.25">
      <c r="A1733" t="s">
        <v>1563</v>
      </c>
      <c r="B1733" t="s">
        <v>3214</v>
      </c>
      <c r="C1733" t="s">
        <v>3218</v>
      </c>
      <c r="D1733" t="s">
        <v>3225</v>
      </c>
      <c r="E1733" t="s">
        <v>3226</v>
      </c>
      <c r="F1733">
        <v>52736.19</v>
      </c>
      <c r="H1733">
        <v>3</v>
      </c>
    </row>
    <row r="1734" spans="1:8" x14ac:dyDescent="0.25">
      <c r="A1734" t="s">
        <v>1564</v>
      </c>
      <c r="B1734" t="s">
        <v>3211</v>
      </c>
      <c r="C1734" t="s">
        <v>3221</v>
      </c>
      <c r="D1734" t="s">
        <v>3224</v>
      </c>
      <c r="E1734" t="s">
        <v>3226</v>
      </c>
      <c r="F1734">
        <v>170838.2</v>
      </c>
      <c r="G1734">
        <v>139891.26</v>
      </c>
      <c r="H1734">
        <v>3</v>
      </c>
    </row>
    <row r="1735" spans="1:8" x14ac:dyDescent="0.25">
      <c r="A1735" t="s">
        <v>1565</v>
      </c>
      <c r="B1735" t="s">
        <v>3214</v>
      </c>
      <c r="C1735" t="s">
        <v>3219</v>
      </c>
      <c r="D1735" t="s">
        <v>3224</v>
      </c>
      <c r="E1735" t="s">
        <v>3226</v>
      </c>
      <c r="F1735">
        <v>303401.36</v>
      </c>
      <c r="G1735">
        <v>236450.68</v>
      </c>
      <c r="H1735">
        <v>5</v>
      </c>
    </row>
    <row r="1736" spans="1:8" x14ac:dyDescent="0.25">
      <c r="A1736" t="s">
        <v>1566</v>
      </c>
      <c r="B1736" t="s">
        <v>3213</v>
      </c>
      <c r="C1736" t="s">
        <v>3217</v>
      </c>
      <c r="D1736" t="s">
        <v>3222</v>
      </c>
      <c r="E1736" t="s">
        <v>3226</v>
      </c>
      <c r="F1736">
        <v>65050.080000000002</v>
      </c>
      <c r="G1736">
        <v>34913.49</v>
      </c>
      <c r="H1736">
        <v>4</v>
      </c>
    </row>
    <row r="1737" spans="1:8" x14ac:dyDescent="0.25">
      <c r="A1737" t="s">
        <v>1567</v>
      </c>
      <c r="B1737" t="s">
        <v>3211</v>
      </c>
      <c r="C1737" t="s">
        <v>3220</v>
      </c>
      <c r="D1737" t="s">
        <v>3223</v>
      </c>
      <c r="E1737" t="s">
        <v>3226</v>
      </c>
      <c r="F1737">
        <v>9553.75</v>
      </c>
      <c r="H1737">
        <v>1</v>
      </c>
    </row>
    <row r="1738" spans="1:8" x14ac:dyDescent="0.25">
      <c r="A1738" t="s">
        <v>1568</v>
      </c>
      <c r="B1738" t="s">
        <v>3213</v>
      </c>
      <c r="C1738" t="s">
        <v>3219</v>
      </c>
      <c r="D1738" t="s">
        <v>3225</v>
      </c>
      <c r="E1738" t="s">
        <v>3226</v>
      </c>
      <c r="F1738">
        <v>68581.119999999995</v>
      </c>
      <c r="G1738">
        <v>41098.79</v>
      </c>
      <c r="H1738">
        <v>3</v>
      </c>
    </row>
    <row r="1739" spans="1:8" x14ac:dyDescent="0.25">
      <c r="A1739" t="s">
        <v>1569</v>
      </c>
      <c r="B1739" t="s">
        <v>3212</v>
      </c>
      <c r="C1739" t="s">
        <v>3217</v>
      </c>
      <c r="D1739" t="s">
        <v>3224</v>
      </c>
      <c r="E1739" t="s">
        <v>3226</v>
      </c>
      <c r="F1739">
        <v>124063.67999999999</v>
      </c>
      <c r="G1739">
        <v>77999.97</v>
      </c>
      <c r="H1739">
        <v>2</v>
      </c>
    </row>
    <row r="1740" spans="1:8" x14ac:dyDescent="0.25">
      <c r="A1740" t="s">
        <v>1570</v>
      </c>
      <c r="B1740" t="s">
        <v>3213</v>
      </c>
      <c r="C1740" t="s">
        <v>3221</v>
      </c>
      <c r="D1740" t="s">
        <v>3222</v>
      </c>
      <c r="E1740" t="s">
        <v>3226</v>
      </c>
      <c r="F1740">
        <v>64481.2</v>
      </c>
      <c r="G1740">
        <v>43058.61</v>
      </c>
    </row>
    <row r="1741" spans="1:8" x14ac:dyDescent="0.25">
      <c r="A1741" t="s">
        <v>1571</v>
      </c>
      <c r="B1741" t="s">
        <v>3212</v>
      </c>
      <c r="C1741" t="s">
        <v>3216</v>
      </c>
      <c r="D1741" t="s">
        <v>3225</v>
      </c>
      <c r="E1741" t="s">
        <v>3226</v>
      </c>
      <c r="F1741">
        <v>17651.54</v>
      </c>
      <c r="G1741">
        <v>13746.04</v>
      </c>
      <c r="H1741">
        <v>1</v>
      </c>
    </row>
    <row r="1742" spans="1:8" x14ac:dyDescent="0.25">
      <c r="A1742" t="s">
        <v>1572</v>
      </c>
      <c r="B1742" t="s">
        <v>3213</v>
      </c>
      <c r="C1742" t="s">
        <v>3218</v>
      </c>
      <c r="D1742" t="s">
        <v>3222</v>
      </c>
      <c r="E1742" t="s">
        <v>3226</v>
      </c>
      <c r="F1742">
        <v>69787.83</v>
      </c>
      <c r="G1742">
        <v>36816.5</v>
      </c>
      <c r="H1742">
        <v>4</v>
      </c>
    </row>
    <row r="1743" spans="1:8" x14ac:dyDescent="0.25">
      <c r="A1743" t="s">
        <v>1573</v>
      </c>
      <c r="C1743" t="s">
        <v>3217</v>
      </c>
      <c r="D1743" t="s">
        <v>3222</v>
      </c>
      <c r="E1743" t="s">
        <v>3226</v>
      </c>
      <c r="F1743">
        <v>55437.65</v>
      </c>
      <c r="H1743">
        <v>4</v>
      </c>
    </row>
    <row r="1744" spans="1:8" x14ac:dyDescent="0.25">
      <c r="A1744" t="s">
        <v>1266</v>
      </c>
      <c r="B1744" t="s">
        <v>3214</v>
      </c>
      <c r="C1744" t="s">
        <v>3220</v>
      </c>
      <c r="D1744" t="s">
        <v>3224</v>
      </c>
      <c r="E1744" t="s">
        <v>3226</v>
      </c>
      <c r="F1744">
        <v>69529.38</v>
      </c>
      <c r="G1744">
        <v>38442.620000000003</v>
      </c>
      <c r="H1744">
        <v>1</v>
      </c>
    </row>
    <row r="1745" spans="1:8" x14ac:dyDescent="0.25">
      <c r="A1745" t="s">
        <v>1574</v>
      </c>
      <c r="B1745" t="s">
        <v>3215</v>
      </c>
      <c r="C1745" t="s">
        <v>3221</v>
      </c>
      <c r="D1745" t="s">
        <v>3224</v>
      </c>
      <c r="E1745" t="s">
        <v>3226</v>
      </c>
      <c r="F1745">
        <v>169070.33</v>
      </c>
      <c r="G1745">
        <v>118170.07</v>
      </c>
      <c r="H1745">
        <v>3</v>
      </c>
    </row>
    <row r="1746" spans="1:8" x14ac:dyDescent="0.25">
      <c r="A1746" t="s">
        <v>1575</v>
      </c>
      <c r="B1746" t="s">
        <v>3214</v>
      </c>
      <c r="C1746" t="s">
        <v>3221</v>
      </c>
      <c r="D1746" t="s">
        <v>3225</v>
      </c>
      <c r="E1746" t="s">
        <v>3226</v>
      </c>
      <c r="F1746">
        <v>49088.91</v>
      </c>
      <c r="H1746">
        <v>3</v>
      </c>
    </row>
    <row r="1747" spans="1:8" x14ac:dyDescent="0.25">
      <c r="A1747" t="s">
        <v>1218</v>
      </c>
      <c r="B1747" t="s">
        <v>3211</v>
      </c>
      <c r="C1747" t="s">
        <v>3221</v>
      </c>
      <c r="D1747" t="s">
        <v>3223</v>
      </c>
      <c r="E1747" t="s">
        <v>3226</v>
      </c>
      <c r="F1747">
        <v>33461.94</v>
      </c>
      <c r="G1747">
        <v>26828.3</v>
      </c>
      <c r="H1747">
        <v>4</v>
      </c>
    </row>
    <row r="1748" spans="1:8" x14ac:dyDescent="0.25">
      <c r="A1748" t="s">
        <v>1184</v>
      </c>
      <c r="B1748" t="s">
        <v>3212</v>
      </c>
      <c r="C1748" t="s">
        <v>3217</v>
      </c>
      <c r="D1748" t="s">
        <v>3224</v>
      </c>
      <c r="E1748" t="s">
        <v>3226</v>
      </c>
      <c r="F1748">
        <v>163673.01999999999</v>
      </c>
      <c r="G1748">
        <v>124321.60000000001</v>
      </c>
      <c r="H1748">
        <v>3</v>
      </c>
    </row>
    <row r="1749" spans="1:8" x14ac:dyDescent="0.25">
      <c r="A1749" t="s">
        <v>817</v>
      </c>
      <c r="B1749" t="s">
        <v>3214</v>
      </c>
      <c r="C1749" t="s">
        <v>3218</v>
      </c>
      <c r="D1749" t="s">
        <v>3224</v>
      </c>
      <c r="E1749" t="s">
        <v>3226</v>
      </c>
      <c r="F1749">
        <v>251432.5</v>
      </c>
      <c r="G1749">
        <v>179300.2</v>
      </c>
      <c r="H1749">
        <v>4</v>
      </c>
    </row>
    <row r="1750" spans="1:8" x14ac:dyDescent="0.25">
      <c r="A1750" t="s">
        <v>114</v>
      </c>
      <c r="B1750" t="s">
        <v>3213</v>
      </c>
      <c r="C1750" t="s">
        <v>3221</v>
      </c>
      <c r="D1750" t="s">
        <v>3225</v>
      </c>
      <c r="E1750" t="s">
        <v>3226</v>
      </c>
      <c r="F1750">
        <v>42915.62</v>
      </c>
      <c r="G1750">
        <v>30565.040000000001</v>
      </c>
      <c r="H1750">
        <v>2</v>
      </c>
    </row>
    <row r="1751" spans="1:8" x14ac:dyDescent="0.25">
      <c r="A1751" t="s">
        <v>1576</v>
      </c>
      <c r="B1751" t="s">
        <v>3214</v>
      </c>
      <c r="C1751" t="s">
        <v>3219</v>
      </c>
      <c r="D1751" t="s">
        <v>3223</v>
      </c>
      <c r="E1751" t="s">
        <v>3226</v>
      </c>
      <c r="F1751">
        <v>30182.61</v>
      </c>
      <c r="H1751">
        <v>3</v>
      </c>
    </row>
    <row r="1752" spans="1:8" x14ac:dyDescent="0.25">
      <c r="A1752" t="s">
        <v>1577</v>
      </c>
      <c r="B1752" t="s">
        <v>3215</v>
      </c>
      <c r="C1752" t="s">
        <v>3220</v>
      </c>
      <c r="D1752" t="s">
        <v>3222</v>
      </c>
      <c r="E1752" t="s">
        <v>3226</v>
      </c>
      <c r="F1752">
        <v>32724.15</v>
      </c>
      <c r="G1752">
        <v>19125.34</v>
      </c>
      <c r="H1752">
        <v>2</v>
      </c>
    </row>
    <row r="1753" spans="1:8" x14ac:dyDescent="0.25">
      <c r="A1753" t="s">
        <v>1578</v>
      </c>
      <c r="C1753" t="s">
        <v>3219</v>
      </c>
      <c r="D1753" t="s">
        <v>3223</v>
      </c>
      <c r="E1753" t="s">
        <v>3226</v>
      </c>
      <c r="F1753">
        <v>19000.330000000002</v>
      </c>
      <c r="G1753">
        <v>13190.53</v>
      </c>
      <c r="H1753">
        <v>2</v>
      </c>
    </row>
    <row r="1754" spans="1:8" x14ac:dyDescent="0.25">
      <c r="A1754" t="s">
        <v>1579</v>
      </c>
      <c r="B1754" t="s">
        <v>3212</v>
      </c>
      <c r="C1754" t="s">
        <v>3216</v>
      </c>
      <c r="D1754" t="s">
        <v>3222</v>
      </c>
      <c r="E1754" t="s">
        <v>3226</v>
      </c>
      <c r="F1754">
        <v>51231.81</v>
      </c>
      <c r="G1754">
        <v>41672.160000000003</v>
      </c>
      <c r="H1754">
        <v>4</v>
      </c>
    </row>
    <row r="1755" spans="1:8" x14ac:dyDescent="0.25">
      <c r="A1755" t="s">
        <v>1580</v>
      </c>
      <c r="B1755" t="s">
        <v>3213</v>
      </c>
      <c r="C1755" t="s">
        <v>3221</v>
      </c>
      <c r="D1755" t="s">
        <v>3224</v>
      </c>
      <c r="E1755" t="s">
        <v>3226</v>
      </c>
      <c r="F1755">
        <v>142666.63</v>
      </c>
      <c r="G1755">
        <v>98510.03</v>
      </c>
      <c r="H1755">
        <v>2</v>
      </c>
    </row>
    <row r="1756" spans="1:8" x14ac:dyDescent="0.25">
      <c r="A1756" t="s">
        <v>1581</v>
      </c>
      <c r="C1756" t="s">
        <v>3219</v>
      </c>
      <c r="D1756" t="s">
        <v>3224</v>
      </c>
      <c r="E1756" t="s">
        <v>3226</v>
      </c>
      <c r="F1756">
        <v>135709.29</v>
      </c>
      <c r="G1756">
        <v>91921.65</v>
      </c>
      <c r="H1756">
        <v>2</v>
      </c>
    </row>
    <row r="1757" spans="1:8" x14ac:dyDescent="0.25">
      <c r="A1757" t="s">
        <v>1582</v>
      </c>
      <c r="B1757" t="s">
        <v>3212</v>
      </c>
      <c r="C1757" t="s">
        <v>3219</v>
      </c>
      <c r="D1757" t="s">
        <v>3223</v>
      </c>
      <c r="E1757" t="s">
        <v>3226</v>
      </c>
      <c r="F1757">
        <v>43308.83</v>
      </c>
      <c r="G1757">
        <v>35430.410000000003</v>
      </c>
      <c r="H1757">
        <v>5</v>
      </c>
    </row>
    <row r="1758" spans="1:8" x14ac:dyDescent="0.25">
      <c r="A1758" t="s">
        <v>1583</v>
      </c>
      <c r="B1758" t="s">
        <v>3213</v>
      </c>
      <c r="C1758" t="s">
        <v>3219</v>
      </c>
      <c r="D1758" t="s">
        <v>3224</v>
      </c>
      <c r="E1758" t="s">
        <v>3226</v>
      </c>
      <c r="F1758">
        <v>240904.93</v>
      </c>
      <c r="G1758">
        <v>207936.97</v>
      </c>
      <c r="H1758">
        <v>5</v>
      </c>
    </row>
    <row r="1759" spans="1:8" x14ac:dyDescent="0.25">
      <c r="A1759" t="s">
        <v>1572</v>
      </c>
      <c r="B1759" t="s">
        <v>3214</v>
      </c>
      <c r="C1759" t="s">
        <v>3219</v>
      </c>
      <c r="D1759" t="s">
        <v>3222</v>
      </c>
      <c r="E1759" t="s">
        <v>3226</v>
      </c>
      <c r="F1759">
        <v>62651.35</v>
      </c>
      <c r="G1759">
        <v>53070.54</v>
      </c>
      <c r="H1759">
        <v>5</v>
      </c>
    </row>
    <row r="1760" spans="1:8" x14ac:dyDescent="0.25">
      <c r="A1760" t="s">
        <v>1584</v>
      </c>
      <c r="B1760" t="s">
        <v>3214</v>
      </c>
      <c r="C1760" t="s">
        <v>3220</v>
      </c>
      <c r="D1760" t="s">
        <v>3225</v>
      </c>
      <c r="E1760" t="s">
        <v>3226</v>
      </c>
      <c r="F1760">
        <v>19594.689999999999</v>
      </c>
      <c r="G1760">
        <v>15028.61</v>
      </c>
      <c r="H1760">
        <v>1</v>
      </c>
    </row>
    <row r="1761" spans="1:8" x14ac:dyDescent="0.25">
      <c r="A1761" t="s">
        <v>1585</v>
      </c>
      <c r="B1761" t="s">
        <v>3213</v>
      </c>
      <c r="C1761" t="s">
        <v>3221</v>
      </c>
      <c r="D1761" t="s">
        <v>3225</v>
      </c>
      <c r="E1761" t="s">
        <v>3226</v>
      </c>
      <c r="F1761">
        <v>50320.76</v>
      </c>
      <c r="G1761">
        <v>45968.07</v>
      </c>
      <c r="H1761">
        <v>3</v>
      </c>
    </row>
    <row r="1762" spans="1:8" x14ac:dyDescent="0.25">
      <c r="A1762" t="s">
        <v>1586</v>
      </c>
      <c r="B1762" t="s">
        <v>3211</v>
      </c>
      <c r="C1762" t="s">
        <v>3219</v>
      </c>
      <c r="D1762" t="s">
        <v>3225</v>
      </c>
      <c r="E1762" t="s">
        <v>3226</v>
      </c>
      <c r="F1762">
        <v>22056.99</v>
      </c>
      <c r="G1762">
        <v>12565.44</v>
      </c>
      <c r="H1762">
        <v>1</v>
      </c>
    </row>
    <row r="1763" spans="1:8" x14ac:dyDescent="0.25">
      <c r="A1763" t="s">
        <v>1478</v>
      </c>
      <c r="C1763" t="s">
        <v>3221</v>
      </c>
      <c r="D1763" t="s">
        <v>3223</v>
      </c>
      <c r="E1763" t="s">
        <v>3226</v>
      </c>
      <c r="F1763">
        <v>22679.47</v>
      </c>
      <c r="G1763">
        <v>12959.54</v>
      </c>
    </row>
    <row r="1764" spans="1:8" x14ac:dyDescent="0.25">
      <c r="A1764" t="s">
        <v>71</v>
      </c>
      <c r="C1764" t="s">
        <v>3217</v>
      </c>
      <c r="D1764" t="s">
        <v>3224</v>
      </c>
      <c r="E1764" t="s">
        <v>3226</v>
      </c>
      <c r="F1764">
        <v>126770.03</v>
      </c>
      <c r="G1764">
        <v>85057.74</v>
      </c>
      <c r="H1764">
        <v>2</v>
      </c>
    </row>
    <row r="1765" spans="1:8" x14ac:dyDescent="0.25">
      <c r="A1765" t="s">
        <v>1587</v>
      </c>
      <c r="B1765" t="s">
        <v>3215</v>
      </c>
      <c r="C1765" t="s">
        <v>3219</v>
      </c>
      <c r="D1765" t="s">
        <v>3224</v>
      </c>
      <c r="E1765" t="s">
        <v>3226</v>
      </c>
      <c r="F1765">
        <v>254132.08</v>
      </c>
      <c r="G1765">
        <v>160239.75</v>
      </c>
      <c r="H1765">
        <v>4</v>
      </c>
    </row>
    <row r="1766" spans="1:8" x14ac:dyDescent="0.25">
      <c r="A1766" t="s">
        <v>1588</v>
      </c>
      <c r="B1766" t="s">
        <v>3215</v>
      </c>
      <c r="C1766" t="s">
        <v>3218</v>
      </c>
      <c r="D1766" t="s">
        <v>3223</v>
      </c>
      <c r="E1766" t="s">
        <v>3226</v>
      </c>
      <c r="G1766">
        <v>35644.550000000003</v>
      </c>
      <c r="H1766">
        <v>5</v>
      </c>
    </row>
    <row r="1767" spans="1:8" x14ac:dyDescent="0.25">
      <c r="A1767" t="s">
        <v>1589</v>
      </c>
      <c r="B1767" t="s">
        <v>3211</v>
      </c>
      <c r="C1767" t="s">
        <v>3216</v>
      </c>
      <c r="D1767" t="s">
        <v>3223</v>
      </c>
      <c r="E1767" t="s">
        <v>3226</v>
      </c>
      <c r="F1767">
        <v>32006.77</v>
      </c>
      <c r="H1767">
        <v>4</v>
      </c>
    </row>
    <row r="1768" spans="1:8" x14ac:dyDescent="0.25">
      <c r="A1768" t="s">
        <v>1590</v>
      </c>
      <c r="B1768" t="s">
        <v>3215</v>
      </c>
      <c r="C1768" t="s">
        <v>3216</v>
      </c>
      <c r="D1768" t="s">
        <v>3224</v>
      </c>
      <c r="E1768" t="s">
        <v>3226</v>
      </c>
      <c r="F1768">
        <v>197228.85</v>
      </c>
      <c r="G1768">
        <v>145671.32</v>
      </c>
      <c r="H1768">
        <v>3</v>
      </c>
    </row>
    <row r="1769" spans="1:8" x14ac:dyDescent="0.25">
      <c r="A1769" t="s">
        <v>1591</v>
      </c>
      <c r="B1769" t="s">
        <v>3215</v>
      </c>
      <c r="C1769" t="s">
        <v>3219</v>
      </c>
      <c r="D1769" t="s">
        <v>3225</v>
      </c>
      <c r="E1769" t="s">
        <v>3226</v>
      </c>
      <c r="F1769">
        <v>20233.400000000001</v>
      </c>
      <c r="H1769">
        <v>1</v>
      </c>
    </row>
    <row r="1770" spans="1:8" x14ac:dyDescent="0.25">
      <c r="A1770" t="s">
        <v>1592</v>
      </c>
      <c r="B1770" t="s">
        <v>3213</v>
      </c>
      <c r="C1770" t="s">
        <v>3217</v>
      </c>
      <c r="D1770" t="s">
        <v>3224</v>
      </c>
      <c r="E1770" t="s">
        <v>3226</v>
      </c>
      <c r="G1770">
        <v>226759.06</v>
      </c>
      <c r="H1770">
        <v>5</v>
      </c>
    </row>
    <row r="1771" spans="1:8" x14ac:dyDescent="0.25">
      <c r="A1771" t="s">
        <v>1593</v>
      </c>
      <c r="B1771" t="s">
        <v>3215</v>
      </c>
      <c r="C1771" t="s">
        <v>3221</v>
      </c>
      <c r="D1771" t="s">
        <v>3222</v>
      </c>
      <c r="E1771" t="s">
        <v>3226</v>
      </c>
      <c r="G1771">
        <v>26179.41</v>
      </c>
      <c r="H1771">
        <v>3</v>
      </c>
    </row>
    <row r="1772" spans="1:8" x14ac:dyDescent="0.25">
      <c r="A1772" t="s">
        <v>1594</v>
      </c>
      <c r="B1772" t="s">
        <v>3213</v>
      </c>
      <c r="C1772" t="s">
        <v>3220</v>
      </c>
      <c r="D1772" t="s">
        <v>3223</v>
      </c>
      <c r="E1772" t="s">
        <v>3226</v>
      </c>
      <c r="F1772">
        <v>41669.39</v>
      </c>
      <c r="G1772">
        <v>32293.67</v>
      </c>
      <c r="H1772">
        <v>5</v>
      </c>
    </row>
    <row r="1773" spans="1:8" x14ac:dyDescent="0.25">
      <c r="A1773" t="s">
        <v>1595</v>
      </c>
      <c r="B1773" t="s">
        <v>3215</v>
      </c>
      <c r="C1773" t="s">
        <v>3218</v>
      </c>
      <c r="D1773" t="s">
        <v>3223</v>
      </c>
      <c r="E1773" t="s">
        <v>3226</v>
      </c>
      <c r="F1773">
        <v>21640.36</v>
      </c>
      <c r="G1773">
        <v>13027.46</v>
      </c>
      <c r="H1773">
        <v>2</v>
      </c>
    </row>
    <row r="1774" spans="1:8" x14ac:dyDescent="0.25">
      <c r="A1774" t="s">
        <v>1596</v>
      </c>
      <c r="C1774" t="s">
        <v>3216</v>
      </c>
      <c r="D1774" t="s">
        <v>3224</v>
      </c>
      <c r="E1774" t="s">
        <v>3226</v>
      </c>
      <c r="F1774">
        <v>246073.41</v>
      </c>
      <c r="G1774">
        <v>184450.62</v>
      </c>
      <c r="H1774">
        <v>4</v>
      </c>
    </row>
    <row r="1775" spans="1:8" x14ac:dyDescent="0.25">
      <c r="A1775" t="s">
        <v>1597</v>
      </c>
      <c r="B1775" t="s">
        <v>3214</v>
      </c>
      <c r="C1775" t="s">
        <v>3219</v>
      </c>
      <c r="D1775" t="s">
        <v>3223</v>
      </c>
      <c r="E1775" t="s">
        <v>3226</v>
      </c>
      <c r="F1775">
        <v>32795.19</v>
      </c>
      <c r="G1775">
        <v>19079.39</v>
      </c>
      <c r="H1775">
        <v>3</v>
      </c>
    </row>
    <row r="1776" spans="1:8" x14ac:dyDescent="0.25">
      <c r="A1776" t="s">
        <v>1286</v>
      </c>
      <c r="B1776" t="s">
        <v>3212</v>
      </c>
      <c r="C1776" t="s">
        <v>3221</v>
      </c>
      <c r="D1776" t="s">
        <v>3223</v>
      </c>
      <c r="E1776" t="s">
        <v>3226</v>
      </c>
      <c r="F1776">
        <v>28008.18</v>
      </c>
      <c r="G1776">
        <v>22215.61</v>
      </c>
      <c r="H1776">
        <v>3</v>
      </c>
    </row>
    <row r="1777" spans="1:8" x14ac:dyDescent="0.25">
      <c r="A1777" t="s">
        <v>1598</v>
      </c>
      <c r="C1777" t="s">
        <v>3217</v>
      </c>
      <c r="D1777" t="s">
        <v>3225</v>
      </c>
      <c r="E1777" t="s">
        <v>3226</v>
      </c>
      <c r="F1777">
        <v>17221.57</v>
      </c>
      <c r="G1777">
        <v>12503.59</v>
      </c>
      <c r="H1777">
        <v>1</v>
      </c>
    </row>
    <row r="1778" spans="1:8" x14ac:dyDescent="0.25">
      <c r="A1778" t="s">
        <v>1599</v>
      </c>
      <c r="C1778" t="s">
        <v>3217</v>
      </c>
      <c r="D1778" t="s">
        <v>3224</v>
      </c>
      <c r="E1778" t="s">
        <v>3226</v>
      </c>
      <c r="F1778">
        <v>337137.43</v>
      </c>
      <c r="G1778">
        <v>226474.59</v>
      </c>
      <c r="H1778">
        <v>5</v>
      </c>
    </row>
    <row r="1779" spans="1:8" x14ac:dyDescent="0.25">
      <c r="A1779" t="s">
        <v>1600</v>
      </c>
      <c r="B1779" t="s">
        <v>3214</v>
      </c>
      <c r="C1779" t="s">
        <v>3216</v>
      </c>
      <c r="D1779" t="s">
        <v>3223</v>
      </c>
      <c r="E1779" t="s">
        <v>3226</v>
      </c>
      <c r="F1779">
        <v>27672.18</v>
      </c>
      <c r="G1779">
        <v>18882.32</v>
      </c>
      <c r="H1779">
        <v>3</v>
      </c>
    </row>
    <row r="1780" spans="1:8" x14ac:dyDescent="0.25">
      <c r="A1780" t="s">
        <v>1601</v>
      </c>
      <c r="B1780" t="s">
        <v>3211</v>
      </c>
      <c r="C1780" t="s">
        <v>3216</v>
      </c>
      <c r="D1780" t="s">
        <v>3222</v>
      </c>
      <c r="E1780" t="s">
        <v>3226</v>
      </c>
      <c r="F1780">
        <v>64458.720000000001</v>
      </c>
      <c r="G1780">
        <v>47562.46</v>
      </c>
      <c r="H1780">
        <v>5</v>
      </c>
    </row>
    <row r="1781" spans="1:8" x14ac:dyDescent="0.25">
      <c r="A1781" t="s">
        <v>390</v>
      </c>
      <c r="B1781" t="s">
        <v>3215</v>
      </c>
      <c r="C1781" t="s">
        <v>3218</v>
      </c>
      <c r="D1781" t="s">
        <v>3225</v>
      </c>
      <c r="E1781" t="s">
        <v>3226</v>
      </c>
      <c r="F1781">
        <v>20378.34</v>
      </c>
      <c r="G1781">
        <v>14107.64</v>
      </c>
      <c r="H1781">
        <v>1</v>
      </c>
    </row>
    <row r="1782" spans="1:8" x14ac:dyDescent="0.25">
      <c r="A1782" t="s">
        <v>1602</v>
      </c>
      <c r="B1782" t="s">
        <v>3214</v>
      </c>
      <c r="C1782" t="s">
        <v>3216</v>
      </c>
      <c r="D1782" t="s">
        <v>3225</v>
      </c>
      <c r="E1782" t="s">
        <v>3226</v>
      </c>
      <c r="F1782">
        <v>20976.48</v>
      </c>
      <c r="G1782">
        <v>12181.13</v>
      </c>
      <c r="H1782">
        <v>1</v>
      </c>
    </row>
    <row r="1783" spans="1:8" x14ac:dyDescent="0.25">
      <c r="A1783" t="s">
        <v>1603</v>
      </c>
      <c r="B1783" t="s">
        <v>3214</v>
      </c>
      <c r="C1783" t="s">
        <v>3219</v>
      </c>
      <c r="D1783" t="s">
        <v>3222</v>
      </c>
      <c r="E1783" t="s">
        <v>3226</v>
      </c>
      <c r="F1783">
        <v>53772.91</v>
      </c>
      <c r="G1783">
        <v>35945.56</v>
      </c>
      <c r="H1783">
        <v>4</v>
      </c>
    </row>
    <row r="1784" spans="1:8" x14ac:dyDescent="0.25">
      <c r="A1784" t="s">
        <v>1604</v>
      </c>
      <c r="B1784" t="s">
        <v>3214</v>
      </c>
      <c r="C1784" t="s">
        <v>3219</v>
      </c>
      <c r="D1784" t="s">
        <v>3224</v>
      </c>
      <c r="E1784" t="s">
        <v>3226</v>
      </c>
      <c r="F1784">
        <v>185967.79</v>
      </c>
      <c r="G1784">
        <v>135396.15</v>
      </c>
      <c r="H1784">
        <v>3</v>
      </c>
    </row>
    <row r="1785" spans="1:8" x14ac:dyDescent="0.25">
      <c r="A1785" t="s">
        <v>1605</v>
      </c>
      <c r="B1785" t="s">
        <v>3213</v>
      </c>
      <c r="C1785" t="s">
        <v>3221</v>
      </c>
      <c r="D1785" t="s">
        <v>3225</v>
      </c>
      <c r="E1785" t="s">
        <v>3226</v>
      </c>
      <c r="F1785">
        <v>33263.15</v>
      </c>
      <c r="G1785">
        <v>27548.76</v>
      </c>
      <c r="H1785">
        <v>2</v>
      </c>
    </row>
    <row r="1786" spans="1:8" x14ac:dyDescent="0.25">
      <c r="A1786" t="s">
        <v>857</v>
      </c>
      <c r="B1786" t="s">
        <v>3214</v>
      </c>
      <c r="C1786" t="s">
        <v>3220</v>
      </c>
      <c r="D1786" t="s">
        <v>3224</v>
      </c>
      <c r="E1786" t="s">
        <v>3226</v>
      </c>
      <c r="F1786">
        <v>107179.9</v>
      </c>
      <c r="H1786">
        <v>2</v>
      </c>
    </row>
    <row r="1787" spans="1:8" x14ac:dyDescent="0.25">
      <c r="A1787" t="s">
        <v>1606</v>
      </c>
      <c r="B1787" t="s">
        <v>3211</v>
      </c>
      <c r="C1787" t="s">
        <v>3221</v>
      </c>
      <c r="D1787" t="s">
        <v>3223</v>
      </c>
      <c r="E1787" t="s">
        <v>3226</v>
      </c>
      <c r="F1787">
        <v>22479.05</v>
      </c>
      <c r="G1787">
        <v>14529.04</v>
      </c>
      <c r="H1787">
        <v>2</v>
      </c>
    </row>
    <row r="1788" spans="1:8" x14ac:dyDescent="0.25">
      <c r="A1788" t="s">
        <v>1607</v>
      </c>
      <c r="C1788" t="s">
        <v>3221</v>
      </c>
      <c r="D1788" t="s">
        <v>3222</v>
      </c>
      <c r="E1788" t="s">
        <v>3226</v>
      </c>
      <c r="F1788">
        <v>14053.04</v>
      </c>
      <c r="G1788">
        <v>10973.29</v>
      </c>
      <c r="H1788">
        <v>1</v>
      </c>
    </row>
    <row r="1789" spans="1:8" x14ac:dyDescent="0.25">
      <c r="A1789" t="s">
        <v>1608</v>
      </c>
      <c r="C1789" t="s">
        <v>3221</v>
      </c>
      <c r="D1789" t="s">
        <v>3223</v>
      </c>
      <c r="E1789" t="s">
        <v>3226</v>
      </c>
      <c r="F1789">
        <v>54300.639999999999</v>
      </c>
      <c r="G1789">
        <v>36307.1</v>
      </c>
      <c r="H1789">
        <v>5</v>
      </c>
    </row>
    <row r="1790" spans="1:8" x14ac:dyDescent="0.25">
      <c r="A1790" t="s">
        <v>1609</v>
      </c>
      <c r="B1790" t="s">
        <v>3211</v>
      </c>
      <c r="C1790" t="s">
        <v>3216</v>
      </c>
      <c r="D1790" t="s">
        <v>3223</v>
      </c>
      <c r="E1790" t="s">
        <v>3226</v>
      </c>
      <c r="F1790">
        <v>29951.73</v>
      </c>
      <c r="G1790">
        <v>23031.87</v>
      </c>
      <c r="H1790">
        <v>3</v>
      </c>
    </row>
    <row r="1791" spans="1:8" x14ac:dyDescent="0.25">
      <c r="A1791" t="s">
        <v>1026</v>
      </c>
      <c r="B1791" t="s">
        <v>3213</v>
      </c>
      <c r="C1791" t="s">
        <v>3219</v>
      </c>
      <c r="D1791" t="s">
        <v>3222</v>
      </c>
      <c r="E1791" t="s">
        <v>3226</v>
      </c>
      <c r="F1791">
        <v>86251.77</v>
      </c>
      <c r="G1791">
        <v>52719.78</v>
      </c>
      <c r="H1791">
        <v>5</v>
      </c>
    </row>
    <row r="1792" spans="1:8" x14ac:dyDescent="0.25">
      <c r="A1792" t="s">
        <v>1610</v>
      </c>
      <c r="B1792" t="s">
        <v>3212</v>
      </c>
      <c r="C1792" t="s">
        <v>3216</v>
      </c>
      <c r="D1792" t="s">
        <v>3224</v>
      </c>
      <c r="E1792" t="s">
        <v>3226</v>
      </c>
      <c r="F1792">
        <v>156196.74</v>
      </c>
      <c r="H1792">
        <v>3</v>
      </c>
    </row>
    <row r="1793" spans="1:8" x14ac:dyDescent="0.25">
      <c r="A1793" t="s">
        <v>287</v>
      </c>
      <c r="B1793" t="s">
        <v>3212</v>
      </c>
      <c r="C1793" t="s">
        <v>3217</v>
      </c>
      <c r="D1793" t="s">
        <v>3224</v>
      </c>
      <c r="E1793" t="s">
        <v>3226</v>
      </c>
      <c r="F1793">
        <v>62035.68</v>
      </c>
      <c r="G1793">
        <v>39901.72</v>
      </c>
    </row>
    <row r="1794" spans="1:8" x14ac:dyDescent="0.25">
      <c r="A1794" t="s">
        <v>1611</v>
      </c>
      <c r="B1794" t="s">
        <v>3213</v>
      </c>
      <c r="C1794" t="s">
        <v>3217</v>
      </c>
      <c r="D1794" t="s">
        <v>3223</v>
      </c>
      <c r="E1794" t="s">
        <v>3226</v>
      </c>
      <c r="F1794">
        <v>9078.5400000000009</v>
      </c>
      <c r="G1794">
        <v>7325.79</v>
      </c>
      <c r="H1794">
        <v>1</v>
      </c>
    </row>
    <row r="1795" spans="1:8" x14ac:dyDescent="0.25">
      <c r="A1795" t="s">
        <v>1612</v>
      </c>
      <c r="B1795" t="s">
        <v>3212</v>
      </c>
      <c r="C1795" t="s">
        <v>3216</v>
      </c>
      <c r="D1795" t="s">
        <v>3225</v>
      </c>
      <c r="E1795" t="s">
        <v>3226</v>
      </c>
      <c r="F1795">
        <v>90539.34</v>
      </c>
      <c r="H1795">
        <v>5</v>
      </c>
    </row>
    <row r="1796" spans="1:8" x14ac:dyDescent="0.25">
      <c r="A1796" t="s">
        <v>1613</v>
      </c>
      <c r="B1796" t="s">
        <v>3214</v>
      </c>
      <c r="C1796" t="s">
        <v>3220</v>
      </c>
      <c r="D1796" t="s">
        <v>3224</v>
      </c>
      <c r="E1796" t="s">
        <v>3226</v>
      </c>
      <c r="F1796">
        <v>58554.44</v>
      </c>
      <c r="G1796">
        <v>46094.91</v>
      </c>
      <c r="H1796">
        <v>1</v>
      </c>
    </row>
    <row r="1797" spans="1:8" x14ac:dyDescent="0.25">
      <c r="A1797" t="s">
        <v>1614</v>
      </c>
      <c r="B1797" t="s">
        <v>3212</v>
      </c>
      <c r="C1797" t="s">
        <v>3220</v>
      </c>
      <c r="D1797" t="s">
        <v>3224</v>
      </c>
      <c r="E1797" t="s">
        <v>3226</v>
      </c>
      <c r="G1797">
        <v>90665.32</v>
      </c>
      <c r="H1797">
        <v>2</v>
      </c>
    </row>
    <row r="1798" spans="1:8" x14ac:dyDescent="0.25">
      <c r="A1798" t="s">
        <v>1615</v>
      </c>
      <c r="B1798" t="s">
        <v>3214</v>
      </c>
      <c r="C1798" t="s">
        <v>3219</v>
      </c>
      <c r="D1798" t="s">
        <v>3222</v>
      </c>
      <c r="E1798" t="s">
        <v>3226</v>
      </c>
      <c r="F1798">
        <v>53400.11</v>
      </c>
      <c r="G1798">
        <v>30953.200000000001</v>
      </c>
      <c r="H1798">
        <v>3</v>
      </c>
    </row>
    <row r="1799" spans="1:8" x14ac:dyDescent="0.25">
      <c r="A1799" t="s">
        <v>1616</v>
      </c>
      <c r="C1799" t="s">
        <v>3220</v>
      </c>
      <c r="D1799" t="s">
        <v>3223</v>
      </c>
      <c r="E1799" t="s">
        <v>3226</v>
      </c>
      <c r="F1799">
        <v>22521.47</v>
      </c>
      <c r="G1799">
        <v>13157.1</v>
      </c>
      <c r="H1799">
        <v>2</v>
      </c>
    </row>
    <row r="1800" spans="1:8" x14ac:dyDescent="0.25">
      <c r="A1800" t="s">
        <v>1617</v>
      </c>
      <c r="C1800" t="s">
        <v>3219</v>
      </c>
      <c r="D1800" t="s">
        <v>3225</v>
      </c>
      <c r="E1800" t="s">
        <v>3226</v>
      </c>
      <c r="F1800">
        <v>37603.230000000003</v>
      </c>
      <c r="G1800">
        <v>29203.34</v>
      </c>
      <c r="H1800">
        <v>2</v>
      </c>
    </row>
    <row r="1801" spans="1:8" x14ac:dyDescent="0.25">
      <c r="A1801" t="s">
        <v>1618</v>
      </c>
      <c r="B1801" t="s">
        <v>3212</v>
      </c>
      <c r="C1801" t="s">
        <v>3221</v>
      </c>
      <c r="D1801" t="s">
        <v>3224</v>
      </c>
      <c r="E1801" t="s">
        <v>3226</v>
      </c>
      <c r="F1801">
        <v>267232.65999999997</v>
      </c>
      <c r="G1801">
        <v>171360.64000000001</v>
      </c>
      <c r="H1801">
        <v>4</v>
      </c>
    </row>
    <row r="1802" spans="1:8" x14ac:dyDescent="0.25">
      <c r="A1802" t="s">
        <v>572</v>
      </c>
      <c r="B1802" t="s">
        <v>3212</v>
      </c>
      <c r="C1802" t="s">
        <v>3221</v>
      </c>
      <c r="D1802" t="s">
        <v>3225</v>
      </c>
      <c r="E1802" t="s">
        <v>3226</v>
      </c>
      <c r="F1802">
        <v>66593.36</v>
      </c>
      <c r="G1802">
        <v>42753.61</v>
      </c>
      <c r="H1802">
        <v>3</v>
      </c>
    </row>
    <row r="1803" spans="1:8" x14ac:dyDescent="0.25">
      <c r="A1803" t="s">
        <v>1619</v>
      </c>
      <c r="B1803" t="s">
        <v>3212</v>
      </c>
      <c r="C1803" t="s">
        <v>3219</v>
      </c>
      <c r="D1803" t="s">
        <v>3222</v>
      </c>
      <c r="E1803" t="s">
        <v>3226</v>
      </c>
      <c r="F1803">
        <v>12846.85</v>
      </c>
      <c r="G1803">
        <v>9468.15</v>
      </c>
      <c r="H1803">
        <v>1</v>
      </c>
    </row>
    <row r="1804" spans="1:8" x14ac:dyDescent="0.25">
      <c r="A1804" t="s">
        <v>1620</v>
      </c>
      <c r="B1804" t="s">
        <v>3212</v>
      </c>
      <c r="C1804" t="s">
        <v>3220</v>
      </c>
      <c r="D1804" t="s">
        <v>3223</v>
      </c>
      <c r="E1804" t="s">
        <v>3226</v>
      </c>
      <c r="F1804">
        <v>32768.82</v>
      </c>
      <c r="G1804">
        <v>19516.87</v>
      </c>
      <c r="H1804">
        <v>3</v>
      </c>
    </row>
    <row r="1805" spans="1:8" x14ac:dyDescent="0.25">
      <c r="A1805" t="s">
        <v>1621</v>
      </c>
      <c r="B1805" t="s">
        <v>3215</v>
      </c>
      <c r="C1805" t="s">
        <v>3219</v>
      </c>
      <c r="D1805" t="s">
        <v>3222</v>
      </c>
      <c r="E1805" t="s">
        <v>3226</v>
      </c>
      <c r="F1805">
        <v>24398.36</v>
      </c>
      <c r="G1805">
        <v>17407.96</v>
      </c>
      <c r="H1805">
        <v>2</v>
      </c>
    </row>
    <row r="1806" spans="1:8" x14ac:dyDescent="0.25">
      <c r="A1806" t="s">
        <v>1572</v>
      </c>
      <c r="B1806" t="s">
        <v>3211</v>
      </c>
      <c r="C1806" t="s">
        <v>3216</v>
      </c>
      <c r="D1806" t="s">
        <v>3223</v>
      </c>
      <c r="E1806" t="s">
        <v>3226</v>
      </c>
      <c r="F1806">
        <v>9925.7199999999993</v>
      </c>
      <c r="G1806">
        <v>6507.65</v>
      </c>
      <c r="H1806">
        <v>1</v>
      </c>
    </row>
    <row r="1807" spans="1:8" x14ac:dyDescent="0.25">
      <c r="A1807" t="s">
        <v>1622</v>
      </c>
      <c r="B1807" t="s">
        <v>3214</v>
      </c>
      <c r="C1807" t="s">
        <v>3220</v>
      </c>
      <c r="D1807" t="s">
        <v>3224</v>
      </c>
      <c r="E1807" t="s">
        <v>3226</v>
      </c>
      <c r="F1807">
        <v>111287.82</v>
      </c>
      <c r="G1807">
        <v>88369.33</v>
      </c>
      <c r="H1807">
        <v>2</v>
      </c>
    </row>
    <row r="1808" spans="1:8" x14ac:dyDescent="0.25">
      <c r="A1808" t="s">
        <v>1623</v>
      </c>
      <c r="B1808" t="s">
        <v>3212</v>
      </c>
      <c r="C1808" t="s">
        <v>3217</v>
      </c>
      <c r="D1808" t="s">
        <v>3224</v>
      </c>
      <c r="E1808" t="s">
        <v>3226</v>
      </c>
      <c r="F1808">
        <v>49618.17</v>
      </c>
      <c r="G1808">
        <v>43478.14</v>
      </c>
    </row>
    <row r="1809" spans="1:8" x14ac:dyDescent="0.25">
      <c r="A1809" t="s">
        <v>1624</v>
      </c>
      <c r="B1809" t="s">
        <v>3214</v>
      </c>
      <c r="C1809" t="s">
        <v>3220</v>
      </c>
      <c r="D1809" t="s">
        <v>3223</v>
      </c>
      <c r="E1809" t="s">
        <v>3226</v>
      </c>
      <c r="F1809">
        <v>50437.04</v>
      </c>
      <c r="G1809">
        <v>30936.94</v>
      </c>
      <c r="H1809">
        <v>5</v>
      </c>
    </row>
    <row r="1810" spans="1:8" x14ac:dyDescent="0.25">
      <c r="A1810" t="s">
        <v>1625</v>
      </c>
      <c r="B1810" t="s">
        <v>3212</v>
      </c>
      <c r="C1810" t="s">
        <v>3216</v>
      </c>
      <c r="D1810" t="s">
        <v>3222</v>
      </c>
      <c r="E1810" t="s">
        <v>3226</v>
      </c>
      <c r="F1810">
        <v>60023.08</v>
      </c>
      <c r="G1810">
        <v>37311.760000000002</v>
      </c>
      <c r="H1810">
        <v>4</v>
      </c>
    </row>
    <row r="1811" spans="1:8" x14ac:dyDescent="0.25">
      <c r="A1811" t="s">
        <v>1626</v>
      </c>
      <c r="B1811" t="s">
        <v>3212</v>
      </c>
      <c r="C1811" t="s">
        <v>3219</v>
      </c>
      <c r="D1811" t="s">
        <v>3225</v>
      </c>
      <c r="E1811" t="s">
        <v>3226</v>
      </c>
      <c r="F1811">
        <v>72504.759999999995</v>
      </c>
      <c r="G1811">
        <v>54809.83</v>
      </c>
      <c r="H1811">
        <v>4</v>
      </c>
    </row>
    <row r="1812" spans="1:8" x14ac:dyDescent="0.25">
      <c r="A1812" t="s">
        <v>1480</v>
      </c>
      <c r="B1812" t="s">
        <v>3211</v>
      </c>
      <c r="C1812" t="s">
        <v>3218</v>
      </c>
      <c r="D1812" t="s">
        <v>3223</v>
      </c>
      <c r="E1812" t="s">
        <v>3226</v>
      </c>
      <c r="F1812">
        <v>10438.24</v>
      </c>
      <c r="G1812">
        <v>7143.04</v>
      </c>
      <c r="H1812">
        <v>1</v>
      </c>
    </row>
    <row r="1813" spans="1:8" x14ac:dyDescent="0.25">
      <c r="A1813" t="s">
        <v>1627</v>
      </c>
      <c r="C1813" t="s">
        <v>3219</v>
      </c>
      <c r="D1813" t="s">
        <v>3224</v>
      </c>
      <c r="E1813" t="s">
        <v>3226</v>
      </c>
      <c r="F1813">
        <v>256295.6</v>
      </c>
      <c r="G1813">
        <v>195354.97</v>
      </c>
      <c r="H1813">
        <v>4</v>
      </c>
    </row>
    <row r="1814" spans="1:8" x14ac:dyDescent="0.25">
      <c r="A1814" t="s">
        <v>1628</v>
      </c>
      <c r="B1814" t="s">
        <v>3213</v>
      </c>
      <c r="C1814" t="s">
        <v>3220</v>
      </c>
      <c r="D1814" t="s">
        <v>3225</v>
      </c>
      <c r="E1814" t="s">
        <v>3226</v>
      </c>
      <c r="F1814">
        <v>90831.45</v>
      </c>
      <c r="G1814">
        <v>50192.46</v>
      </c>
      <c r="H1814">
        <v>4</v>
      </c>
    </row>
    <row r="1815" spans="1:8" x14ac:dyDescent="0.25">
      <c r="A1815" t="s">
        <v>1629</v>
      </c>
      <c r="B1815" t="s">
        <v>3215</v>
      </c>
      <c r="C1815" t="s">
        <v>3218</v>
      </c>
      <c r="D1815" t="s">
        <v>3222</v>
      </c>
      <c r="E1815" t="s">
        <v>3226</v>
      </c>
      <c r="F1815">
        <v>59236.27</v>
      </c>
      <c r="G1815">
        <v>43062.66</v>
      </c>
      <c r="H1815">
        <v>4</v>
      </c>
    </row>
    <row r="1816" spans="1:8" x14ac:dyDescent="0.25">
      <c r="A1816" t="s">
        <v>306</v>
      </c>
      <c r="B1816" t="s">
        <v>3215</v>
      </c>
      <c r="C1816" t="s">
        <v>3221</v>
      </c>
      <c r="D1816" t="s">
        <v>3223</v>
      </c>
      <c r="E1816" t="s">
        <v>3226</v>
      </c>
      <c r="F1816">
        <v>44465.52</v>
      </c>
      <c r="G1816">
        <v>27734.55</v>
      </c>
      <c r="H1816">
        <v>4</v>
      </c>
    </row>
    <row r="1817" spans="1:8" x14ac:dyDescent="0.25">
      <c r="A1817" t="s">
        <v>1630</v>
      </c>
      <c r="B1817" t="s">
        <v>3211</v>
      </c>
      <c r="C1817" t="s">
        <v>3219</v>
      </c>
      <c r="D1817" t="s">
        <v>3224</v>
      </c>
      <c r="E1817" t="s">
        <v>3226</v>
      </c>
      <c r="F1817">
        <v>289398.09999999998</v>
      </c>
      <c r="G1817">
        <v>197315.08</v>
      </c>
      <c r="H1817">
        <v>5</v>
      </c>
    </row>
    <row r="1818" spans="1:8" x14ac:dyDescent="0.25">
      <c r="A1818" t="s">
        <v>1631</v>
      </c>
      <c r="B1818" t="s">
        <v>3213</v>
      </c>
      <c r="C1818" t="s">
        <v>3220</v>
      </c>
      <c r="D1818" t="s">
        <v>3223</v>
      </c>
      <c r="E1818" t="s">
        <v>3226</v>
      </c>
      <c r="F1818">
        <v>30333.83</v>
      </c>
      <c r="G1818">
        <v>21549.040000000001</v>
      </c>
      <c r="H1818">
        <v>3</v>
      </c>
    </row>
    <row r="1819" spans="1:8" x14ac:dyDescent="0.25">
      <c r="A1819" t="s">
        <v>1035</v>
      </c>
      <c r="C1819" t="s">
        <v>3219</v>
      </c>
      <c r="D1819" t="s">
        <v>3222</v>
      </c>
      <c r="E1819" t="s">
        <v>3226</v>
      </c>
      <c r="F1819">
        <v>16685.490000000002</v>
      </c>
      <c r="G1819">
        <v>10817.96</v>
      </c>
      <c r="H1819">
        <v>1</v>
      </c>
    </row>
    <row r="1820" spans="1:8" x14ac:dyDescent="0.25">
      <c r="A1820" t="s">
        <v>1632</v>
      </c>
      <c r="B1820" t="s">
        <v>3211</v>
      </c>
      <c r="C1820" t="s">
        <v>3218</v>
      </c>
      <c r="D1820" t="s">
        <v>3225</v>
      </c>
      <c r="E1820" t="s">
        <v>3226</v>
      </c>
      <c r="F1820">
        <v>33074.519999999997</v>
      </c>
      <c r="G1820">
        <v>28917.25</v>
      </c>
      <c r="H1820">
        <v>2</v>
      </c>
    </row>
    <row r="1821" spans="1:8" x14ac:dyDescent="0.25">
      <c r="A1821" t="s">
        <v>1633</v>
      </c>
      <c r="B1821" t="s">
        <v>3215</v>
      </c>
      <c r="C1821" t="s">
        <v>3218</v>
      </c>
      <c r="D1821" t="s">
        <v>3225</v>
      </c>
      <c r="E1821" t="s">
        <v>3226</v>
      </c>
      <c r="F1821">
        <v>69225.33</v>
      </c>
      <c r="G1821">
        <v>60642.400000000001</v>
      </c>
      <c r="H1821">
        <v>4</v>
      </c>
    </row>
    <row r="1822" spans="1:8" x14ac:dyDescent="0.25">
      <c r="A1822" t="s">
        <v>1634</v>
      </c>
      <c r="B1822" t="s">
        <v>3211</v>
      </c>
      <c r="C1822" t="s">
        <v>3219</v>
      </c>
      <c r="D1822" t="s">
        <v>3222</v>
      </c>
      <c r="E1822" t="s">
        <v>3226</v>
      </c>
      <c r="F1822">
        <v>16247.35</v>
      </c>
      <c r="G1822">
        <v>8956.6</v>
      </c>
      <c r="H1822">
        <v>1</v>
      </c>
    </row>
    <row r="1823" spans="1:8" x14ac:dyDescent="0.25">
      <c r="A1823" t="s">
        <v>1635</v>
      </c>
      <c r="B1823" t="s">
        <v>3214</v>
      </c>
      <c r="C1823" t="s">
        <v>3220</v>
      </c>
      <c r="D1823" t="s">
        <v>3225</v>
      </c>
      <c r="E1823" t="s">
        <v>3226</v>
      </c>
      <c r="F1823">
        <v>35922.019999999997</v>
      </c>
      <c r="G1823">
        <v>28964.720000000001</v>
      </c>
      <c r="H1823">
        <v>2</v>
      </c>
    </row>
    <row r="1824" spans="1:8" x14ac:dyDescent="0.25">
      <c r="A1824" t="s">
        <v>1636</v>
      </c>
      <c r="B1824" t="s">
        <v>3211</v>
      </c>
      <c r="C1824" t="s">
        <v>3219</v>
      </c>
      <c r="D1824" t="s">
        <v>3224</v>
      </c>
      <c r="E1824" t="s">
        <v>3226</v>
      </c>
      <c r="F1824">
        <v>242168</v>
      </c>
      <c r="G1824">
        <v>225482.71</v>
      </c>
      <c r="H1824">
        <v>5</v>
      </c>
    </row>
    <row r="1825" spans="1:8" x14ac:dyDescent="0.25">
      <c r="A1825" t="s">
        <v>1637</v>
      </c>
      <c r="B1825" t="s">
        <v>3211</v>
      </c>
      <c r="C1825" t="s">
        <v>3218</v>
      </c>
      <c r="D1825" t="s">
        <v>3225</v>
      </c>
      <c r="E1825" t="s">
        <v>3226</v>
      </c>
      <c r="F1825">
        <v>46838.2</v>
      </c>
      <c r="G1825">
        <v>25203.759999999998</v>
      </c>
      <c r="H1825">
        <v>2</v>
      </c>
    </row>
    <row r="1826" spans="1:8" x14ac:dyDescent="0.25">
      <c r="A1826" t="s">
        <v>1638</v>
      </c>
      <c r="B1826" t="s">
        <v>3212</v>
      </c>
      <c r="C1826" t="s">
        <v>3221</v>
      </c>
      <c r="D1826" t="s">
        <v>3225</v>
      </c>
      <c r="E1826" t="s">
        <v>3226</v>
      </c>
      <c r="F1826">
        <v>98474.58</v>
      </c>
      <c r="G1826">
        <v>70693.03</v>
      </c>
    </row>
    <row r="1827" spans="1:8" x14ac:dyDescent="0.25">
      <c r="A1827" t="s">
        <v>1639</v>
      </c>
      <c r="B1827" t="s">
        <v>3214</v>
      </c>
      <c r="C1827" t="s">
        <v>3217</v>
      </c>
      <c r="D1827" t="s">
        <v>3225</v>
      </c>
      <c r="E1827" t="s">
        <v>3226</v>
      </c>
      <c r="F1827">
        <v>100905.74</v>
      </c>
      <c r="G1827">
        <v>65536.84</v>
      </c>
      <c r="H1827">
        <v>5</v>
      </c>
    </row>
    <row r="1828" spans="1:8" x14ac:dyDescent="0.25">
      <c r="A1828" t="s">
        <v>1640</v>
      </c>
      <c r="B1828" t="s">
        <v>3213</v>
      </c>
      <c r="C1828" t="s">
        <v>3217</v>
      </c>
      <c r="D1828" t="s">
        <v>3222</v>
      </c>
      <c r="E1828" t="s">
        <v>3226</v>
      </c>
      <c r="F1828">
        <v>41443.17</v>
      </c>
      <c r="G1828">
        <v>27290.54</v>
      </c>
      <c r="H1828">
        <v>3</v>
      </c>
    </row>
    <row r="1829" spans="1:8" x14ac:dyDescent="0.25">
      <c r="A1829" t="s">
        <v>1641</v>
      </c>
      <c r="B1829" t="s">
        <v>3215</v>
      </c>
      <c r="C1829" t="s">
        <v>3221</v>
      </c>
      <c r="D1829" t="s">
        <v>3225</v>
      </c>
      <c r="E1829" t="s">
        <v>3226</v>
      </c>
      <c r="F1829">
        <v>39852.92</v>
      </c>
      <c r="G1829">
        <v>26936.639999999999</v>
      </c>
      <c r="H1829">
        <v>2</v>
      </c>
    </row>
    <row r="1830" spans="1:8" x14ac:dyDescent="0.25">
      <c r="A1830" t="s">
        <v>1642</v>
      </c>
      <c r="C1830" t="s">
        <v>3221</v>
      </c>
      <c r="D1830" t="s">
        <v>3224</v>
      </c>
      <c r="E1830" t="s">
        <v>3226</v>
      </c>
      <c r="F1830">
        <v>61667.8</v>
      </c>
      <c r="G1830">
        <v>38460.65</v>
      </c>
      <c r="H1830">
        <v>1</v>
      </c>
    </row>
    <row r="1831" spans="1:8" x14ac:dyDescent="0.25">
      <c r="A1831" t="s">
        <v>1643</v>
      </c>
      <c r="B1831" t="s">
        <v>3213</v>
      </c>
      <c r="C1831" t="s">
        <v>3216</v>
      </c>
      <c r="D1831" t="s">
        <v>3222</v>
      </c>
      <c r="E1831" t="s">
        <v>3226</v>
      </c>
      <c r="F1831">
        <v>31518.04</v>
      </c>
      <c r="G1831">
        <v>18403.759999999998</v>
      </c>
      <c r="H1831">
        <v>2</v>
      </c>
    </row>
    <row r="1832" spans="1:8" x14ac:dyDescent="0.25">
      <c r="A1832" t="s">
        <v>1644</v>
      </c>
      <c r="B1832" t="s">
        <v>3213</v>
      </c>
      <c r="C1832" t="s">
        <v>3217</v>
      </c>
      <c r="D1832" t="s">
        <v>3223</v>
      </c>
      <c r="E1832" t="s">
        <v>3226</v>
      </c>
      <c r="F1832">
        <v>45646.51</v>
      </c>
      <c r="G1832">
        <v>28717.84</v>
      </c>
      <c r="H1832">
        <v>4</v>
      </c>
    </row>
    <row r="1833" spans="1:8" x14ac:dyDescent="0.25">
      <c r="A1833" t="s">
        <v>1645</v>
      </c>
      <c r="B1833" t="s">
        <v>3214</v>
      </c>
      <c r="C1833" t="s">
        <v>3221</v>
      </c>
      <c r="D1833" t="s">
        <v>3225</v>
      </c>
      <c r="E1833" t="s">
        <v>3226</v>
      </c>
      <c r="F1833">
        <v>63722.62</v>
      </c>
      <c r="G1833">
        <v>40578.03</v>
      </c>
      <c r="H1833">
        <v>3</v>
      </c>
    </row>
    <row r="1834" spans="1:8" x14ac:dyDescent="0.25">
      <c r="A1834" t="s">
        <v>1646</v>
      </c>
      <c r="B1834" t="s">
        <v>3211</v>
      </c>
      <c r="C1834" t="s">
        <v>3220</v>
      </c>
      <c r="D1834" t="s">
        <v>3223</v>
      </c>
      <c r="E1834" t="s">
        <v>3226</v>
      </c>
      <c r="F1834">
        <v>57599.71</v>
      </c>
      <c r="G1834">
        <v>30632.04</v>
      </c>
      <c r="H1834">
        <v>5</v>
      </c>
    </row>
    <row r="1835" spans="1:8" x14ac:dyDescent="0.25">
      <c r="A1835" t="s">
        <v>1647</v>
      </c>
      <c r="B1835" t="s">
        <v>3211</v>
      </c>
      <c r="C1835" t="s">
        <v>3216</v>
      </c>
      <c r="D1835" t="s">
        <v>3222</v>
      </c>
      <c r="E1835" t="s">
        <v>3226</v>
      </c>
      <c r="F1835">
        <v>40700.29</v>
      </c>
      <c r="G1835">
        <v>26213.23</v>
      </c>
      <c r="H1835">
        <v>3</v>
      </c>
    </row>
    <row r="1836" spans="1:8" x14ac:dyDescent="0.25">
      <c r="A1836" t="s">
        <v>1648</v>
      </c>
      <c r="B1836" t="s">
        <v>3213</v>
      </c>
      <c r="C1836" t="s">
        <v>3217</v>
      </c>
      <c r="D1836" t="s">
        <v>3225</v>
      </c>
      <c r="E1836" t="s">
        <v>3226</v>
      </c>
      <c r="F1836">
        <v>20331.439999999999</v>
      </c>
      <c r="G1836">
        <v>14050.52</v>
      </c>
      <c r="H1836">
        <v>1</v>
      </c>
    </row>
    <row r="1837" spans="1:8" x14ac:dyDescent="0.25">
      <c r="A1837" t="s">
        <v>1649</v>
      </c>
      <c r="B1837" t="s">
        <v>3213</v>
      </c>
      <c r="C1837" t="s">
        <v>3217</v>
      </c>
      <c r="D1837" t="s">
        <v>3223</v>
      </c>
      <c r="E1837" t="s">
        <v>3226</v>
      </c>
      <c r="F1837">
        <v>44838.44</v>
      </c>
      <c r="G1837">
        <v>28205.54</v>
      </c>
      <c r="H1837">
        <v>4</v>
      </c>
    </row>
    <row r="1838" spans="1:8" x14ac:dyDescent="0.25">
      <c r="A1838" t="s">
        <v>1650</v>
      </c>
      <c r="B1838" t="s">
        <v>3211</v>
      </c>
      <c r="C1838" t="s">
        <v>3220</v>
      </c>
      <c r="D1838" t="s">
        <v>3222</v>
      </c>
      <c r="E1838" t="s">
        <v>3226</v>
      </c>
      <c r="F1838">
        <v>65380.94</v>
      </c>
      <c r="G1838">
        <v>36701.47</v>
      </c>
      <c r="H1838">
        <v>4</v>
      </c>
    </row>
    <row r="1839" spans="1:8" x14ac:dyDescent="0.25">
      <c r="A1839" t="s">
        <v>1651</v>
      </c>
      <c r="B1839" t="s">
        <v>3213</v>
      </c>
      <c r="C1839" t="s">
        <v>3221</v>
      </c>
      <c r="D1839" t="s">
        <v>3222</v>
      </c>
      <c r="E1839" t="s">
        <v>3226</v>
      </c>
      <c r="F1839">
        <v>14226.92</v>
      </c>
      <c r="H1839">
        <v>1</v>
      </c>
    </row>
    <row r="1840" spans="1:8" x14ac:dyDescent="0.25">
      <c r="A1840" t="s">
        <v>1652</v>
      </c>
      <c r="B1840" t="s">
        <v>3215</v>
      </c>
      <c r="C1840" t="s">
        <v>3217</v>
      </c>
      <c r="D1840" t="s">
        <v>3223</v>
      </c>
      <c r="E1840" t="s">
        <v>3226</v>
      </c>
      <c r="F1840">
        <v>44292.42</v>
      </c>
      <c r="G1840">
        <v>26607.07</v>
      </c>
      <c r="H1840">
        <v>4</v>
      </c>
    </row>
    <row r="1841" spans="1:8" x14ac:dyDescent="0.25">
      <c r="A1841" t="s">
        <v>1653</v>
      </c>
      <c r="B1841" t="s">
        <v>3213</v>
      </c>
      <c r="C1841" t="s">
        <v>3217</v>
      </c>
      <c r="D1841" t="s">
        <v>3224</v>
      </c>
      <c r="E1841" t="s">
        <v>3226</v>
      </c>
      <c r="F1841">
        <v>169521.24</v>
      </c>
      <c r="H1841">
        <v>3</v>
      </c>
    </row>
    <row r="1842" spans="1:8" x14ac:dyDescent="0.25">
      <c r="A1842" t="s">
        <v>1654</v>
      </c>
      <c r="B1842" t="s">
        <v>3215</v>
      </c>
      <c r="C1842" t="s">
        <v>3221</v>
      </c>
      <c r="D1842" t="s">
        <v>3223</v>
      </c>
      <c r="E1842" t="s">
        <v>3226</v>
      </c>
      <c r="F1842">
        <v>26908.77</v>
      </c>
      <c r="G1842">
        <v>19307.5</v>
      </c>
      <c r="H1842">
        <v>3</v>
      </c>
    </row>
    <row r="1843" spans="1:8" x14ac:dyDescent="0.25">
      <c r="A1843" t="s">
        <v>1655</v>
      </c>
      <c r="B1843" t="s">
        <v>3212</v>
      </c>
      <c r="C1843" t="s">
        <v>3220</v>
      </c>
      <c r="D1843" t="s">
        <v>3223</v>
      </c>
      <c r="E1843" t="s">
        <v>3226</v>
      </c>
      <c r="F1843">
        <v>52215.63</v>
      </c>
      <c r="G1843">
        <v>32537.43</v>
      </c>
      <c r="H1843">
        <v>5</v>
      </c>
    </row>
    <row r="1844" spans="1:8" x14ac:dyDescent="0.25">
      <c r="A1844" t="s">
        <v>1656</v>
      </c>
      <c r="B1844" t="s">
        <v>3214</v>
      </c>
      <c r="C1844" t="s">
        <v>3218</v>
      </c>
      <c r="D1844" t="s">
        <v>3223</v>
      </c>
      <c r="E1844" t="s">
        <v>3226</v>
      </c>
      <c r="F1844">
        <v>17666.38</v>
      </c>
      <c r="G1844">
        <v>14374.49</v>
      </c>
      <c r="H1844">
        <v>2</v>
      </c>
    </row>
    <row r="1845" spans="1:8" x14ac:dyDescent="0.25">
      <c r="A1845" t="s">
        <v>1657</v>
      </c>
      <c r="B1845" t="s">
        <v>3213</v>
      </c>
      <c r="C1845" t="s">
        <v>3219</v>
      </c>
      <c r="D1845" t="s">
        <v>3222</v>
      </c>
      <c r="E1845" t="s">
        <v>3226</v>
      </c>
      <c r="F1845">
        <v>74147.839999999997</v>
      </c>
      <c r="G1845">
        <v>50341.71</v>
      </c>
      <c r="H1845">
        <v>5</v>
      </c>
    </row>
    <row r="1846" spans="1:8" x14ac:dyDescent="0.25">
      <c r="A1846" t="s">
        <v>1658</v>
      </c>
      <c r="C1846" t="s">
        <v>3221</v>
      </c>
      <c r="D1846" t="s">
        <v>3222</v>
      </c>
      <c r="E1846" t="s">
        <v>3226</v>
      </c>
      <c r="F1846">
        <v>50333.08</v>
      </c>
      <c r="G1846">
        <v>26800.21</v>
      </c>
      <c r="H1846">
        <v>3</v>
      </c>
    </row>
    <row r="1847" spans="1:8" x14ac:dyDescent="0.25">
      <c r="A1847" t="s">
        <v>1659</v>
      </c>
      <c r="B1847" t="s">
        <v>3214</v>
      </c>
      <c r="C1847" t="s">
        <v>3218</v>
      </c>
      <c r="D1847" t="s">
        <v>3225</v>
      </c>
      <c r="E1847" t="s">
        <v>3226</v>
      </c>
      <c r="F1847">
        <v>19434.05</v>
      </c>
      <c r="G1847">
        <v>14658.72</v>
      </c>
    </row>
    <row r="1848" spans="1:8" x14ac:dyDescent="0.25">
      <c r="A1848" t="s">
        <v>1660</v>
      </c>
      <c r="B1848" t="s">
        <v>3212</v>
      </c>
      <c r="C1848" t="s">
        <v>3218</v>
      </c>
      <c r="D1848" t="s">
        <v>3223</v>
      </c>
      <c r="E1848" t="s">
        <v>3226</v>
      </c>
      <c r="F1848">
        <v>29658.44</v>
      </c>
      <c r="G1848">
        <v>19708.12</v>
      </c>
      <c r="H1848">
        <v>3</v>
      </c>
    </row>
    <row r="1849" spans="1:8" x14ac:dyDescent="0.25">
      <c r="A1849" t="s">
        <v>1661</v>
      </c>
      <c r="B1849" t="s">
        <v>3213</v>
      </c>
      <c r="C1849" t="s">
        <v>3219</v>
      </c>
      <c r="D1849" t="s">
        <v>3223</v>
      </c>
      <c r="E1849" t="s">
        <v>3226</v>
      </c>
      <c r="F1849">
        <v>9626.9699999999993</v>
      </c>
      <c r="G1849">
        <v>6908.5</v>
      </c>
      <c r="H1849">
        <v>1</v>
      </c>
    </row>
    <row r="1850" spans="1:8" x14ac:dyDescent="0.25">
      <c r="A1850" t="s">
        <v>1662</v>
      </c>
      <c r="C1850" t="s">
        <v>3221</v>
      </c>
      <c r="D1850" t="s">
        <v>3223</v>
      </c>
      <c r="E1850" t="s">
        <v>3226</v>
      </c>
      <c r="G1850">
        <v>34249.15</v>
      </c>
      <c r="H1850">
        <v>5</v>
      </c>
    </row>
    <row r="1851" spans="1:8" x14ac:dyDescent="0.25">
      <c r="A1851" t="s">
        <v>908</v>
      </c>
      <c r="B1851" t="s">
        <v>3215</v>
      </c>
      <c r="C1851" t="s">
        <v>3221</v>
      </c>
      <c r="D1851" t="s">
        <v>3222</v>
      </c>
      <c r="E1851" t="s">
        <v>3226</v>
      </c>
      <c r="F1851">
        <v>29479.25</v>
      </c>
      <c r="G1851">
        <v>17104.97</v>
      </c>
      <c r="H1851">
        <v>2</v>
      </c>
    </row>
    <row r="1852" spans="1:8" x14ac:dyDescent="0.25">
      <c r="A1852" t="s">
        <v>1663</v>
      </c>
      <c r="B1852" t="s">
        <v>3212</v>
      </c>
      <c r="C1852" t="s">
        <v>3220</v>
      </c>
      <c r="D1852" t="s">
        <v>3225</v>
      </c>
      <c r="E1852" t="s">
        <v>3226</v>
      </c>
      <c r="F1852">
        <v>74175.23</v>
      </c>
      <c r="G1852">
        <v>54969.79</v>
      </c>
      <c r="H1852">
        <v>4</v>
      </c>
    </row>
    <row r="1853" spans="1:8" x14ac:dyDescent="0.25">
      <c r="A1853" t="s">
        <v>1664</v>
      </c>
      <c r="B1853" t="s">
        <v>3214</v>
      </c>
      <c r="C1853" t="s">
        <v>3217</v>
      </c>
      <c r="D1853" t="s">
        <v>3222</v>
      </c>
      <c r="E1853" t="s">
        <v>3226</v>
      </c>
      <c r="F1853">
        <v>35086.01</v>
      </c>
      <c r="G1853">
        <v>18965.189999999999</v>
      </c>
      <c r="H1853">
        <v>2</v>
      </c>
    </row>
    <row r="1854" spans="1:8" x14ac:dyDescent="0.25">
      <c r="A1854" t="s">
        <v>1665</v>
      </c>
      <c r="B1854" t="s">
        <v>3213</v>
      </c>
      <c r="C1854" t="s">
        <v>3218</v>
      </c>
      <c r="D1854" t="s">
        <v>3225</v>
      </c>
      <c r="E1854" t="s">
        <v>3226</v>
      </c>
      <c r="F1854">
        <v>117246.32</v>
      </c>
      <c r="G1854">
        <v>66409.72</v>
      </c>
      <c r="H1854">
        <v>5</v>
      </c>
    </row>
    <row r="1855" spans="1:8" x14ac:dyDescent="0.25">
      <c r="A1855" t="s">
        <v>437</v>
      </c>
      <c r="B1855" t="s">
        <v>3215</v>
      </c>
      <c r="C1855" t="s">
        <v>3220</v>
      </c>
      <c r="D1855" t="s">
        <v>3225</v>
      </c>
      <c r="E1855" t="s">
        <v>3226</v>
      </c>
      <c r="F1855">
        <v>70750.490000000005</v>
      </c>
      <c r="G1855">
        <v>52783.21</v>
      </c>
      <c r="H1855">
        <v>4</v>
      </c>
    </row>
    <row r="1856" spans="1:8" x14ac:dyDescent="0.25">
      <c r="A1856" t="s">
        <v>174</v>
      </c>
      <c r="B1856" t="s">
        <v>3212</v>
      </c>
      <c r="C1856" t="s">
        <v>3218</v>
      </c>
      <c r="D1856" t="s">
        <v>3224</v>
      </c>
      <c r="E1856" t="s">
        <v>3226</v>
      </c>
      <c r="G1856">
        <v>141142.31</v>
      </c>
      <c r="H1856">
        <v>3</v>
      </c>
    </row>
    <row r="1857" spans="1:8" x14ac:dyDescent="0.25">
      <c r="A1857" t="s">
        <v>1666</v>
      </c>
      <c r="B1857" t="s">
        <v>3214</v>
      </c>
      <c r="C1857" t="s">
        <v>3220</v>
      </c>
      <c r="D1857" t="s">
        <v>3225</v>
      </c>
      <c r="E1857" t="s">
        <v>3226</v>
      </c>
      <c r="F1857">
        <v>34078.29</v>
      </c>
      <c r="G1857">
        <v>29684.77</v>
      </c>
      <c r="H1857">
        <v>2</v>
      </c>
    </row>
    <row r="1858" spans="1:8" x14ac:dyDescent="0.25">
      <c r="A1858" t="s">
        <v>1667</v>
      </c>
      <c r="B1858" t="s">
        <v>3215</v>
      </c>
      <c r="C1858" t="s">
        <v>3219</v>
      </c>
      <c r="D1858" t="s">
        <v>3224</v>
      </c>
      <c r="E1858" t="s">
        <v>3226</v>
      </c>
      <c r="F1858">
        <v>125665.07</v>
      </c>
      <c r="G1858">
        <v>89447.42</v>
      </c>
      <c r="H1858">
        <v>2</v>
      </c>
    </row>
    <row r="1859" spans="1:8" x14ac:dyDescent="0.25">
      <c r="A1859" t="s">
        <v>1668</v>
      </c>
      <c r="B1859" t="s">
        <v>3211</v>
      </c>
      <c r="C1859" t="s">
        <v>3219</v>
      </c>
      <c r="D1859" t="s">
        <v>3225</v>
      </c>
      <c r="E1859" t="s">
        <v>3226</v>
      </c>
      <c r="F1859">
        <v>83238.33</v>
      </c>
      <c r="G1859">
        <v>58985.54</v>
      </c>
      <c r="H1859">
        <v>4</v>
      </c>
    </row>
    <row r="1860" spans="1:8" x14ac:dyDescent="0.25">
      <c r="A1860" t="s">
        <v>1669</v>
      </c>
      <c r="B1860" t="s">
        <v>3212</v>
      </c>
      <c r="C1860" t="s">
        <v>3216</v>
      </c>
      <c r="D1860" t="s">
        <v>3222</v>
      </c>
      <c r="E1860" t="s">
        <v>3226</v>
      </c>
      <c r="F1860">
        <v>26948.46</v>
      </c>
      <c r="G1860">
        <v>17045.47</v>
      </c>
      <c r="H1860">
        <v>2</v>
      </c>
    </row>
    <row r="1861" spans="1:8" x14ac:dyDescent="0.25">
      <c r="A1861" t="s">
        <v>653</v>
      </c>
      <c r="B1861" t="s">
        <v>3215</v>
      </c>
      <c r="C1861" t="s">
        <v>3220</v>
      </c>
      <c r="D1861" t="s">
        <v>3222</v>
      </c>
      <c r="E1861" t="s">
        <v>3226</v>
      </c>
      <c r="F1861">
        <v>51556.27</v>
      </c>
      <c r="G1861">
        <v>34475.480000000003</v>
      </c>
      <c r="H1861">
        <v>4</v>
      </c>
    </row>
    <row r="1862" spans="1:8" x14ac:dyDescent="0.25">
      <c r="A1862" t="s">
        <v>243</v>
      </c>
      <c r="B1862" t="s">
        <v>3214</v>
      </c>
      <c r="C1862" t="s">
        <v>3221</v>
      </c>
      <c r="D1862" t="s">
        <v>3222</v>
      </c>
      <c r="E1862" t="s">
        <v>3226</v>
      </c>
      <c r="F1862">
        <v>13086.67</v>
      </c>
      <c r="H1862">
        <v>1</v>
      </c>
    </row>
    <row r="1863" spans="1:8" x14ac:dyDescent="0.25">
      <c r="A1863" t="s">
        <v>1670</v>
      </c>
      <c r="B1863" t="s">
        <v>3215</v>
      </c>
      <c r="C1863" t="s">
        <v>3218</v>
      </c>
      <c r="D1863" t="s">
        <v>3224</v>
      </c>
      <c r="E1863" t="s">
        <v>3226</v>
      </c>
      <c r="F1863">
        <v>200620.54</v>
      </c>
      <c r="G1863">
        <v>170728.26</v>
      </c>
      <c r="H1863">
        <v>4</v>
      </c>
    </row>
    <row r="1864" spans="1:8" x14ac:dyDescent="0.25">
      <c r="A1864" t="s">
        <v>1671</v>
      </c>
      <c r="B1864" t="s">
        <v>3215</v>
      </c>
      <c r="C1864" t="s">
        <v>3219</v>
      </c>
      <c r="D1864" t="s">
        <v>3223</v>
      </c>
      <c r="E1864" t="s">
        <v>3226</v>
      </c>
      <c r="F1864">
        <v>53840.61</v>
      </c>
      <c r="G1864">
        <v>36938.47</v>
      </c>
      <c r="H1864">
        <v>5</v>
      </c>
    </row>
    <row r="1865" spans="1:8" x14ac:dyDescent="0.25">
      <c r="A1865" t="s">
        <v>1672</v>
      </c>
      <c r="B1865" t="s">
        <v>3213</v>
      </c>
      <c r="C1865" t="s">
        <v>3217</v>
      </c>
      <c r="D1865" t="s">
        <v>3224</v>
      </c>
      <c r="E1865" t="s">
        <v>3226</v>
      </c>
      <c r="F1865">
        <v>351688.73</v>
      </c>
      <c r="G1865">
        <v>223791.29</v>
      </c>
      <c r="H1865">
        <v>5</v>
      </c>
    </row>
    <row r="1866" spans="1:8" x14ac:dyDescent="0.25">
      <c r="A1866" t="s">
        <v>1673</v>
      </c>
      <c r="B1866" t="s">
        <v>3212</v>
      </c>
      <c r="C1866" t="s">
        <v>3218</v>
      </c>
      <c r="D1866" t="s">
        <v>3224</v>
      </c>
      <c r="E1866" t="s">
        <v>3226</v>
      </c>
      <c r="F1866">
        <v>303094.65999999997</v>
      </c>
      <c r="G1866">
        <v>241272.56</v>
      </c>
      <c r="H1866">
        <v>5</v>
      </c>
    </row>
    <row r="1867" spans="1:8" x14ac:dyDescent="0.25">
      <c r="A1867" t="s">
        <v>1674</v>
      </c>
      <c r="B1867" t="s">
        <v>3213</v>
      </c>
      <c r="C1867" t="s">
        <v>3220</v>
      </c>
      <c r="D1867" t="s">
        <v>3224</v>
      </c>
      <c r="E1867" t="s">
        <v>3226</v>
      </c>
      <c r="F1867">
        <v>192548.99</v>
      </c>
      <c r="G1867">
        <v>146194.23000000001</v>
      </c>
      <c r="H1867">
        <v>3</v>
      </c>
    </row>
    <row r="1868" spans="1:8" x14ac:dyDescent="0.25">
      <c r="A1868" t="s">
        <v>1399</v>
      </c>
      <c r="B1868" t="s">
        <v>3215</v>
      </c>
      <c r="C1868" t="s">
        <v>3219</v>
      </c>
      <c r="D1868" t="s">
        <v>3225</v>
      </c>
      <c r="E1868" t="s">
        <v>3226</v>
      </c>
      <c r="F1868">
        <v>20740.93</v>
      </c>
      <c r="G1868">
        <v>12025.75</v>
      </c>
      <c r="H1868">
        <v>1</v>
      </c>
    </row>
    <row r="1869" spans="1:8" x14ac:dyDescent="0.25">
      <c r="A1869" t="s">
        <v>1675</v>
      </c>
      <c r="B1869" t="s">
        <v>3211</v>
      </c>
      <c r="C1869" t="s">
        <v>3218</v>
      </c>
      <c r="D1869" t="s">
        <v>3225</v>
      </c>
      <c r="E1869" t="s">
        <v>3226</v>
      </c>
      <c r="F1869">
        <v>94610.8</v>
      </c>
      <c r="G1869">
        <v>61512.01</v>
      </c>
      <c r="H1869">
        <v>4</v>
      </c>
    </row>
    <row r="1870" spans="1:8" x14ac:dyDescent="0.25">
      <c r="A1870" t="s">
        <v>1676</v>
      </c>
      <c r="B1870" t="s">
        <v>3212</v>
      </c>
      <c r="C1870" t="s">
        <v>3221</v>
      </c>
      <c r="D1870" t="s">
        <v>3225</v>
      </c>
      <c r="E1870" t="s">
        <v>3226</v>
      </c>
      <c r="F1870">
        <v>85356.76</v>
      </c>
      <c r="G1870">
        <v>60047.21</v>
      </c>
      <c r="H1870">
        <v>4</v>
      </c>
    </row>
    <row r="1871" spans="1:8" x14ac:dyDescent="0.25">
      <c r="A1871" t="s">
        <v>1677</v>
      </c>
      <c r="B1871" t="s">
        <v>3213</v>
      </c>
      <c r="C1871" t="s">
        <v>3216</v>
      </c>
      <c r="D1871" t="s">
        <v>3225</v>
      </c>
      <c r="E1871" t="s">
        <v>3226</v>
      </c>
      <c r="F1871">
        <v>88038.13</v>
      </c>
      <c r="G1871">
        <v>50437.41</v>
      </c>
      <c r="H1871">
        <v>4</v>
      </c>
    </row>
    <row r="1872" spans="1:8" x14ac:dyDescent="0.25">
      <c r="A1872" t="s">
        <v>1678</v>
      </c>
      <c r="B1872" t="s">
        <v>3211</v>
      </c>
      <c r="C1872" t="s">
        <v>3216</v>
      </c>
      <c r="D1872" t="s">
        <v>3222</v>
      </c>
      <c r="E1872" t="s">
        <v>3226</v>
      </c>
      <c r="F1872">
        <v>12382.34</v>
      </c>
      <c r="G1872">
        <v>10614.9</v>
      </c>
      <c r="H1872">
        <v>1</v>
      </c>
    </row>
    <row r="1873" spans="1:8" x14ac:dyDescent="0.25">
      <c r="A1873" t="s">
        <v>1679</v>
      </c>
      <c r="B1873" t="s">
        <v>3211</v>
      </c>
      <c r="C1873" t="s">
        <v>3218</v>
      </c>
      <c r="D1873" t="s">
        <v>3222</v>
      </c>
      <c r="E1873" t="s">
        <v>3226</v>
      </c>
      <c r="F1873">
        <v>17470.650000000001</v>
      </c>
      <c r="G1873">
        <v>10563.59</v>
      </c>
      <c r="H1873">
        <v>1</v>
      </c>
    </row>
    <row r="1874" spans="1:8" x14ac:dyDescent="0.25">
      <c r="A1874" t="s">
        <v>1680</v>
      </c>
      <c r="B1874" t="s">
        <v>3211</v>
      </c>
      <c r="C1874" t="s">
        <v>3221</v>
      </c>
      <c r="D1874" t="s">
        <v>3223</v>
      </c>
      <c r="E1874" t="s">
        <v>3226</v>
      </c>
      <c r="G1874">
        <v>27629.27</v>
      </c>
      <c r="H1874">
        <v>4</v>
      </c>
    </row>
    <row r="1875" spans="1:8" x14ac:dyDescent="0.25">
      <c r="A1875" t="s">
        <v>1681</v>
      </c>
      <c r="B1875" t="s">
        <v>3212</v>
      </c>
      <c r="C1875" t="s">
        <v>3220</v>
      </c>
      <c r="D1875" t="s">
        <v>3223</v>
      </c>
      <c r="E1875" t="s">
        <v>3226</v>
      </c>
      <c r="F1875">
        <v>32533.48</v>
      </c>
      <c r="G1875">
        <v>20665.62</v>
      </c>
      <c r="H1875">
        <v>3</v>
      </c>
    </row>
    <row r="1876" spans="1:8" x14ac:dyDescent="0.25">
      <c r="A1876" t="s">
        <v>1682</v>
      </c>
      <c r="B1876" t="s">
        <v>3214</v>
      </c>
      <c r="C1876" t="s">
        <v>3217</v>
      </c>
      <c r="D1876" t="s">
        <v>3224</v>
      </c>
      <c r="E1876" t="s">
        <v>3226</v>
      </c>
      <c r="F1876">
        <v>150135.41</v>
      </c>
      <c r="G1876">
        <v>116320</v>
      </c>
      <c r="H1876">
        <v>3</v>
      </c>
    </row>
    <row r="1877" spans="1:8" x14ac:dyDescent="0.25">
      <c r="A1877" t="s">
        <v>1683</v>
      </c>
      <c r="B1877" t="s">
        <v>3212</v>
      </c>
      <c r="C1877" t="s">
        <v>3218</v>
      </c>
      <c r="D1877" t="s">
        <v>3222</v>
      </c>
      <c r="E1877" t="s">
        <v>3226</v>
      </c>
      <c r="G1877">
        <v>9956.5</v>
      </c>
      <c r="H1877">
        <v>1</v>
      </c>
    </row>
    <row r="1878" spans="1:8" x14ac:dyDescent="0.25">
      <c r="A1878" t="s">
        <v>1684</v>
      </c>
      <c r="B1878" t="s">
        <v>3212</v>
      </c>
      <c r="C1878" t="s">
        <v>3216</v>
      </c>
      <c r="D1878" t="s">
        <v>3223</v>
      </c>
      <c r="E1878" t="s">
        <v>3226</v>
      </c>
      <c r="F1878">
        <v>54473.59</v>
      </c>
      <c r="G1878">
        <v>34082.06</v>
      </c>
      <c r="H1878">
        <v>5</v>
      </c>
    </row>
    <row r="1879" spans="1:8" x14ac:dyDescent="0.25">
      <c r="A1879" t="s">
        <v>1685</v>
      </c>
      <c r="B1879" t="s">
        <v>3213</v>
      </c>
      <c r="C1879" t="s">
        <v>3219</v>
      </c>
      <c r="D1879" t="s">
        <v>3223</v>
      </c>
      <c r="E1879" t="s">
        <v>3226</v>
      </c>
      <c r="F1879">
        <v>28098.61</v>
      </c>
      <c r="G1879">
        <v>19473.87</v>
      </c>
      <c r="H1879">
        <v>3</v>
      </c>
    </row>
    <row r="1880" spans="1:8" x14ac:dyDescent="0.25">
      <c r="A1880" t="s">
        <v>1686</v>
      </c>
      <c r="B1880" t="s">
        <v>3215</v>
      </c>
      <c r="C1880" t="s">
        <v>3221</v>
      </c>
      <c r="D1880" t="s">
        <v>3225</v>
      </c>
      <c r="E1880" t="s">
        <v>3226</v>
      </c>
      <c r="F1880">
        <v>48422.879999999997</v>
      </c>
      <c r="G1880">
        <v>40379.78</v>
      </c>
      <c r="H1880">
        <v>3</v>
      </c>
    </row>
    <row r="1881" spans="1:8" x14ac:dyDescent="0.25">
      <c r="A1881" t="s">
        <v>1687</v>
      </c>
      <c r="B1881" t="s">
        <v>3213</v>
      </c>
      <c r="C1881" t="s">
        <v>3218</v>
      </c>
      <c r="D1881" t="s">
        <v>3225</v>
      </c>
      <c r="E1881" t="s">
        <v>3226</v>
      </c>
      <c r="F1881">
        <v>111193.7</v>
      </c>
      <c r="G1881">
        <v>71240.009999999995</v>
      </c>
      <c r="H1881">
        <v>5</v>
      </c>
    </row>
    <row r="1882" spans="1:8" x14ac:dyDescent="0.25">
      <c r="A1882" t="s">
        <v>1688</v>
      </c>
      <c r="C1882" t="s">
        <v>3219</v>
      </c>
      <c r="D1882" t="s">
        <v>3223</v>
      </c>
      <c r="E1882" t="s">
        <v>3226</v>
      </c>
      <c r="F1882">
        <v>44055.38</v>
      </c>
      <c r="G1882">
        <v>32312.11</v>
      </c>
      <c r="H1882">
        <v>5</v>
      </c>
    </row>
    <row r="1883" spans="1:8" x14ac:dyDescent="0.25">
      <c r="A1883" t="s">
        <v>1689</v>
      </c>
      <c r="B1883" t="s">
        <v>3214</v>
      </c>
      <c r="C1883" t="s">
        <v>3218</v>
      </c>
      <c r="D1883" t="s">
        <v>3223</v>
      </c>
      <c r="E1883" t="s">
        <v>3226</v>
      </c>
      <c r="F1883">
        <v>9509.14</v>
      </c>
      <c r="G1883">
        <v>7105.33</v>
      </c>
      <c r="H1883">
        <v>1</v>
      </c>
    </row>
    <row r="1884" spans="1:8" x14ac:dyDescent="0.25">
      <c r="A1884" t="s">
        <v>1690</v>
      </c>
      <c r="B1884" t="s">
        <v>3214</v>
      </c>
      <c r="C1884" t="s">
        <v>3217</v>
      </c>
      <c r="D1884" t="s">
        <v>3224</v>
      </c>
      <c r="E1884" t="s">
        <v>3226</v>
      </c>
      <c r="F1884">
        <v>330672.93</v>
      </c>
      <c r="G1884">
        <v>200490.56</v>
      </c>
      <c r="H1884">
        <v>5</v>
      </c>
    </row>
    <row r="1885" spans="1:8" x14ac:dyDescent="0.25">
      <c r="A1885" t="s">
        <v>1691</v>
      </c>
      <c r="B1885" t="s">
        <v>3211</v>
      </c>
      <c r="C1885" t="s">
        <v>3221</v>
      </c>
      <c r="D1885" t="s">
        <v>3224</v>
      </c>
      <c r="E1885" t="s">
        <v>3226</v>
      </c>
      <c r="F1885">
        <v>58343.41</v>
      </c>
      <c r="G1885">
        <v>39807.61</v>
      </c>
      <c r="H1885">
        <v>1</v>
      </c>
    </row>
    <row r="1886" spans="1:8" x14ac:dyDescent="0.25">
      <c r="A1886" t="s">
        <v>1692</v>
      </c>
      <c r="B1886" t="s">
        <v>3213</v>
      </c>
      <c r="C1886" t="s">
        <v>3219</v>
      </c>
      <c r="D1886" t="s">
        <v>3224</v>
      </c>
      <c r="E1886" t="s">
        <v>3226</v>
      </c>
      <c r="F1886">
        <v>55694.25</v>
      </c>
      <c r="G1886">
        <v>44683.6</v>
      </c>
      <c r="H1886">
        <v>1</v>
      </c>
    </row>
    <row r="1887" spans="1:8" x14ac:dyDescent="0.25">
      <c r="A1887" t="s">
        <v>1693</v>
      </c>
      <c r="B1887" t="s">
        <v>3215</v>
      </c>
      <c r="C1887" t="s">
        <v>3216</v>
      </c>
      <c r="D1887" t="s">
        <v>3225</v>
      </c>
      <c r="E1887" t="s">
        <v>3226</v>
      </c>
      <c r="G1887">
        <v>11968.61</v>
      </c>
      <c r="H1887">
        <v>1</v>
      </c>
    </row>
    <row r="1888" spans="1:8" x14ac:dyDescent="0.25">
      <c r="A1888" t="s">
        <v>450</v>
      </c>
      <c r="B1888" t="s">
        <v>3213</v>
      </c>
      <c r="C1888" t="s">
        <v>3217</v>
      </c>
      <c r="D1888" t="s">
        <v>3224</v>
      </c>
      <c r="E1888" t="s">
        <v>3226</v>
      </c>
      <c r="F1888">
        <v>260660.12</v>
      </c>
      <c r="G1888">
        <v>218603.56</v>
      </c>
      <c r="H1888">
        <v>5</v>
      </c>
    </row>
    <row r="1889" spans="1:8" x14ac:dyDescent="0.25">
      <c r="A1889" t="s">
        <v>1694</v>
      </c>
      <c r="B1889" t="s">
        <v>3211</v>
      </c>
      <c r="C1889" t="s">
        <v>3217</v>
      </c>
      <c r="D1889" t="s">
        <v>3223</v>
      </c>
      <c r="E1889" t="s">
        <v>3226</v>
      </c>
      <c r="F1889">
        <v>8418.82</v>
      </c>
      <c r="G1889">
        <v>7204.31</v>
      </c>
      <c r="H1889">
        <v>1</v>
      </c>
    </row>
    <row r="1890" spans="1:8" x14ac:dyDescent="0.25">
      <c r="A1890" t="s">
        <v>1695</v>
      </c>
      <c r="B1890" t="s">
        <v>3215</v>
      </c>
      <c r="C1890" t="s">
        <v>3221</v>
      </c>
      <c r="D1890" t="s">
        <v>3225</v>
      </c>
      <c r="E1890" t="s">
        <v>3226</v>
      </c>
      <c r="F1890">
        <v>22524.97</v>
      </c>
      <c r="G1890">
        <v>14508.2</v>
      </c>
      <c r="H1890">
        <v>1</v>
      </c>
    </row>
    <row r="1891" spans="1:8" x14ac:dyDescent="0.25">
      <c r="A1891" t="s">
        <v>1696</v>
      </c>
      <c r="B1891" t="s">
        <v>3215</v>
      </c>
      <c r="C1891" t="s">
        <v>3220</v>
      </c>
      <c r="D1891" t="s">
        <v>3222</v>
      </c>
      <c r="E1891" t="s">
        <v>3226</v>
      </c>
      <c r="F1891">
        <v>33972.639999999999</v>
      </c>
      <c r="G1891">
        <v>17494.45</v>
      </c>
      <c r="H1891">
        <v>2</v>
      </c>
    </row>
    <row r="1892" spans="1:8" x14ac:dyDescent="0.25">
      <c r="A1892" t="s">
        <v>1697</v>
      </c>
      <c r="B1892" t="s">
        <v>3211</v>
      </c>
      <c r="C1892" t="s">
        <v>3218</v>
      </c>
      <c r="D1892" t="s">
        <v>3222</v>
      </c>
      <c r="E1892" t="s">
        <v>3226</v>
      </c>
      <c r="F1892">
        <v>74158.05</v>
      </c>
      <c r="G1892">
        <v>45440.06</v>
      </c>
      <c r="H1892">
        <v>5</v>
      </c>
    </row>
    <row r="1893" spans="1:8" x14ac:dyDescent="0.25">
      <c r="A1893" t="s">
        <v>1622</v>
      </c>
      <c r="B1893" t="s">
        <v>3212</v>
      </c>
      <c r="C1893" t="s">
        <v>3219</v>
      </c>
      <c r="D1893" t="s">
        <v>3225</v>
      </c>
      <c r="E1893" t="s">
        <v>3226</v>
      </c>
      <c r="F1893">
        <v>110915.26</v>
      </c>
      <c r="H1893">
        <v>5</v>
      </c>
    </row>
    <row r="1894" spans="1:8" x14ac:dyDescent="0.25">
      <c r="A1894" t="s">
        <v>1698</v>
      </c>
      <c r="C1894" t="s">
        <v>3221</v>
      </c>
      <c r="D1894" t="s">
        <v>3223</v>
      </c>
      <c r="E1894" t="s">
        <v>3226</v>
      </c>
      <c r="F1894">
        <v>10044.120000000001</v>
      </c>
      <c r="G1894">
        <v>6049.47</v>
      </c>
      <c r="H1894">
        <v>1</v>
      </c>
    </row>
    <row r="1895" spans="1:8" x14ac:dyDescent="0.25">
      <c r="A1895" t="s">
        <v>245</v>
      </c>
      <c r="B1895" t="s">
        <v>3214</v>
      </c>
      <c r="C1895" t="s">
        <v>3221</v>
      </c>
      <c r="D1895" t="s">
        <v>3223</v>
      </c>
      <c r="E1895" t="s">
        <v>3226</v>
      </c>
      <c r="F1895">
        <v>10213.59</v>
      </c>
      <c r="G1895">
        <v>6182.39</v>
      </c>
      <c r="H1895">
        <v>1</v>
      </c>
    </row>
    <row r="1896" spans="1:8" x14ac:dyDescent="0.25">
      <c r="A1896" t="s">
        <v>727</v>
      </c>
      <c r="B1896" t="s">
        <v>3211</v>
      </c>
      <c r="C1896" t="s">
        <v>3217</v>
      </c>
      <c r="D1896" t="s">
        <v>3224</v>
      </c>
      <c r="E1896" t="s">
        <v>3226</v>
      </c>
      <c r="F1896">
        <v>105001.35</v>
      </c>
      <c r="G1896">
        <v>80341.47</v>
      </c>
      <c r="H1896">
        <v>2</v>
      </c>
    </row>
    <row r="1897" spans="1:8" x14ac:dyDescent="0.25">
      <c r="A1897" t="s">
        <v>1699</v>
      </c>
      <c r="C1897" t="s">
        <v>3220</v>
      </c>
      <c r="D1897" t="s">
        <v>3223</v>
      </c>
      <c r="E1897" t="s">
        <v>3226</v>
      </c>
      <c r="F1897">
        <v>18907.07</v>
      </c>
      <c r="G1897">
        <v>14906.77</v>
      </c>
      <c r="H1897">
        <v>2</v>
      </c>
    </row>
    <row r="1898" spans="1:8" x14ac:dyDescent="0.25">
      <c r="A1898" t="s">
        <v>1700</v>
      </c>
      <c r="B1898" t="s">
        <v>3213</v>
      </c>
      <c r="C1898" t="s">
        <v>3219</v>
      </c>
      <c r="D1898" t="s">
        <v>3224</v>
      </c>
      <c r="E1898" t="s">
        <v>3226</v>
      </c>
      <c r="F1898">
        <v>222982.68</v>
      </c>
      <c r="G1898">
        <v>188888.16</v>
      </c>
      <c r="H1898">
        <v>4</v>
      </c>
    </row>
    <row r="1899" spans="1:8" x14ac:dyDescent="0.25">
      <c r="A1899" t="s">
        <v>1105</v>
      </c>
      <c r="B1899" t="s">
        <v>3212</v>
      </c>
      <c r="C1899" t="s">
        <v>3221</v>
      </c>
      <c r="D1899" t="s">
        <v>3223</v>
      </c>
      <c r="E1899" t="s">
        <v>3226</v>
      </c>
      <c r="F1899">
        <v>42861.83</v>
      </c>
      <c r="G1899">
        <v>29253.69</v>
      </c>
      <c r="H1899">
        <v>4</v>
      </c>
    </row>
    <row r="1900" spans="1:8" x14ac:dyDescent="0.25">
      <c r="A1900" t="s">
        <v>1078</v>
      </c>
      <c r="B1900" t="s">
        <v>3215</v>
      </c>
      <c r="C1900" t="s">
        <v>3221</v>
      </c>
      <c r="D1900" t="s">
        <v>3225</v>
      </c>
      <c r="E1900" t="s">
        <v>3226</v>
      </c>
      <c r="F1900">
        <v>104519.43</v>
      </c>
      <c r="G1900">
        <v>67693.22</v>
      </c>
      <c r="H1900">
        <v>5</v>
      </c>
    </row>
    <row r="1901" spans="1:8" x14ac:dyDescent="0.25">
      <c r="A1901" t="s">
        <v>1701</v>
      </c>
      <c r="B1901" t="s">
        <v>3214</v>
      </c>
      <c r="C1901" t="s">
        <v>3218</v>
      </c>
      <c r="D1901" t="s">
        <v>3223</v>
      </c>
      <c r="E1901" t="s">
        <v>3226</v>
      </c>
      <c r="F1901">
        <v>29234.51</v>
      </c>
      <c r="H1901">
        <v>3</v>
      </c>
    </row>
    <row r="1902" spans="1:8" x14ac:dyDescent="0.25">
      <c r="A1902" t="s">
        <v>1702</v>
      </c>
      <c r="B1902" t="s">
        <v>3215</v>
      </c>
      <c r="C1902" t="s">
        <v>3218</v>
      </c>
      <c r="D1902" t="s">
        <v>3222</v>
      </c>
      <c r="E1902" t="s">
        <v>3226</v>
      </c>
      <c r="F1902">
        <v>64672.41</v>
      </c>
      <c r="H1902">
        <v>5</v>
      </c>
    </row>
    <row r="1903" spans="1:8" x14ac:dyDescent="0.25">
      <c r="A1903" t="s">
        <v>1026</v>
      </c>
      <c r="B1903" t="s">
        <v>3215</v>
      </c>
      <c r="C1903" t="s">
        <v>3221</v>
      </c>
      <c r="D1903" t="s">
        <v>3224</v>
      </c>
      <c r="E1903" t="s">
        <v>3226</v>
      </c>
      <c r="F1903">
        <v>167040.35</v>
      </c>
      <c r="G1903">
        <v>126020.93</v>
      </c>
      <c r="H1903">
        <v>3</v>
      </c>
    </row>
    <row r="1904" spans="1:8" x14ac:dyDescent="0.25">
      <c r="A1904" t="s">
        <v>448</v>
      </c>
      <c r="B1904" t="s">
        <v>3212</v>
      </c>
      <c r="C1904" t="s">
        <v>3219</v>
      </c>
      <c r="D1904" t="s">
        <v>3222</v>
      </c>
      <c r="E1904" t="s">
        <v>3226</v>
      </c>
      <c r="F1904">
        <v>67942.95</v>
      </c>
      <c r="G1904">
        <v>39889.730000000003</v>
      </c>
      <c r="H1904">
        <v>4</v>
      </c>
    </row>
    <row r="1905" spans="1:8" x14ac:dyDescent="0.25">
      <c r="A1905" t="s">
        <v>1703</v>
      </c>
      <c r="B1905" t="s">
        <v>3213</v>
      </c>
      <c r="C1905" t="s">
        <v>3217</v>
      </c>
      <c r="D1905" t="s">
        <v>3224</v>
      </c>
      <c r="E1905" t="s">
        <v>3226</v>
      </c>
      <c r="F1905">
        <v>132577.85</v>
      </c>
      <c r="H1905">
        <v>2</v>
      </c>
    </row>
    <row r="1906" spans="1:8" x14ac:dyDescent="0.25">
      <c r="A1906" t="s">
        <v>984</v>
      </c>
      <c r="B1906" t="s">
        <v>3214</v>
      </c>
      <c r="C1906" t="s">
        <v>3216</v>
      </c>
      <c r="D1906" t="s">
        <v>3222</v>
      </c>
      <c r="E1906" t="s">
        <v>3226</v>
      </c>
      <c r="F1906">
        <v>13854.81</v>
      </c>
      <c r="G1906">
        <v>10219.200000000001</v>
      </c>
      <c r="H1906">
        <v>1</v>
      </c>
    </row>
    <row r="1907" spans="1:8" x14ac:dyDescent="0.25">
      <c r="A1907" t="s">
        <v>1704</v>
      </c>
      <c r="B1907" t="s">
        <v>3213</v>
      </c>
      <c r="C1907" t="s">
        <v>3216</v>
      </c>
      <c r="D1907" t="s">
        <v>3223</v>
      </c>
      <c r="E1907" t="s">
        <v>3226</v>
      </c>
      <c r="F1907">
        <v>27686.91</v>
      </c>
      <c r="H1907">
        <v>3</v>
      </c>
    </row>
    <row r="1908" spans="1:8" x14ac:dyDescent="0.25">
      <c r="A1908" t="s">
        <v>1705</v>
      </c>
      <c r="B1908" t="s">
        <v>3213</v>
      </c>
      <c r="C1908" t="s">
        <v>3221</v>
      </c>
      <c r="D1908" t="s">
        <v>3223</v>
      </c>
      <c r="E1908" t="s">
        <v>3226</v>
      </c>
      <c r="F1908">
        <v>11638.21</v>
      </c>
      <c r="G1908">
        <v>6330.24</v>
      </c>
      <c r="H1908">
        <v>1</v>
      </c>
    </row>
    <row r="1909" spans="1:8" x14ac:dyDescent="0.25">
      <c r="A1909" t="s">
        <v>1706</v>
      </c>
      <c r="B1909" t="s">
        <v>3215</v>
      </c>
      <c r="C1909" t="s">
        <v>3218</v>
      </c>
      <c r="D1909" t="s">
        <v>3224</v>
      </c>
      <c r="E1909" t="s">
        <v>3226</v>
      </c>
      <c r="F1909">
        <v>284892.69</v>
      </c>
      <c r="G1909">
        <v>212340.81</v>
      </c>
      <c r="H1909">
        <v>5</v>
      </c>
    </row>
    <row r="1910" spans="1:8" x14ac:dyDescent="0.25">
      <c r="A1910" t="s">
        <v>1707</v>
      </c>
      <c r="B1910" t="s">
        <v>3211</v>
      </c>
      <c r="C1910" t="s">
        <v>3218</v>
      </c>
      <c r="D1910" t="s">
        <v>3224</v>
      </c>
      <c r="E1910" t="s">
        <v>3226</v>
      </c>
      <c r="F1910">
        <v>272918.84000000003</v>
      </c>
      <c r="G1910">
        <v>165159.21</v>
      </c>
      <c r="H1910">
        <v>4</v>
      </c>
    </row>
    <row r="1911" spans="1:8" x14ac:dyDescent="0.25">
      <c r="A1911" t="s">
        <v>1708</v>
      </c>
      <c r="B1911" t="s">
        <v>3214</v>
      </c>
      <c r="C1911" t="s">
        <v>3218</v>
      </c>
      <c r="D1911" t="s">
        <v>3224</v>
      </c>
      <c r="E1911" t="s">
        <v>3226</v>
      </c>
      <c r="F1911">
        <v>235196.12</v>
      </c>
      <c r="G1911">
        <v>160072.32999999999</v>
      </c>
      <c r="H1911">
        <v>4</v>
      </c>
    </row>
    <row r="1912" spans="1:8" x14ac:dyDescent="0.25">
      <c r="A1912" t="s">
        <v>1709</v>
      </c>
      <c r="B1912" t="s">
        <v>3212</v>
      </c>
      <c r="C1912" t="s">
        <v>3220</v>
      </c>
      <c r="D1912" t="s">
        <v>3222</v>
      </c>
      <c r="E1912" t="s">
        <v>3226</v>
      </c>
      <c r="F1912">
        <v>29992.75</v>
      </c>
      <c r="G1912">
        <v>17640.77</v>
      </c>
      <c r="H1912">
        <v>2</v>
      </c>
    </row>
    <row r="1913" spans="1:8" x14ac:dyDescent="0.25">
      <c r="A1913" t="s">
        <v>1710</v>
      </c>
      <c r="B1913" t="s">
        <v>3215</v>
      </c>
      <c r="C1913" t="s">
        <v>3217</v>
      </c>
      <c r="D1913" t="s">
        <v>3223</v>
      </c>
      <c r="E1913" t="s">
        <v>3226</v>
      </c>
      <c r="F1913">
        <v>9491.11</v>
      </c>
      <c r="G1913">
        <v>6374.72</v>
      </c>
      <c r="H1913">
        <v>1</v>
      </c>
    </row>
    <row r="1914" spans="1:8" x14ac:dyDescent="0.25">
      <c r="A1914" t="s">
        <v>1711</v>
      </c>
      <c r="C1914" t="s">
        <v>3219</v>
      </c>
      <c r="D1914" t="s">
        <v>3222</v>
      </c>
      <c r="E1914" t="s">
        <v>3226</v>
      </c>
      <c r="F1914">
        <v>46939.01</v>
      </c>
      <c r="G1914">
        <v>29819.33</v>
      </c>
      <c r="H1914">
        <v>3</v>
      </c>
    </row>
    <row r="1915" spans="1:8" x14ac:dyDescent="0.25">
      <c r="A1915" t="s">
        <v>1712</v>
      </c>
      <c r="C1915" t="s">
        <v>3217</v>
      </c>
      <c r="D1915" t="s">
        <v>3224</v>
      </c>
      <c r="E1915" t="s">
        <v>3226</v>
      </c>
      <c r="F1915">
        <v>110398.84</v>
      </c>
      <c r="G1915">
        <v>79350.789999999994</v>
      </c>
      <c r="H1915">
        <v>2</v>
      </c>
    </row>
    <row r="1916" spans="1:8" x14ac:dyDescent="0.25">
      <c r="A1916" t="s">
        <v>1713</v>
      </c>
      <c r="B1916" t="s">
        <v>3213</v>
      </c>
      <c r="C1916" t="s">
        <v>3220</v>
      </c>
      <c r="D1916" t="s">
        <v>3225</v>
      </c>
      <c r="E1916" t="s">
        <v>3226</v>
      </c>
      <c r="F1916">
        <v>119582.53</v>
      </c>
      <c r="G1916">
        <v>61527.11</v>
      </c>
      <c r="H1916">
        <v>5</v>
      </c>
    </row>
    <row r="1917" spans="1:8" x14ac:dyDescent="0.25">
      <c r="A1917" t="s">
        <v>1714</v>
      </c>
      <c r="B1917" t="s">
        <v>3212</v>
      </c>
      <c r="C1917" t="s">
        <v>3221</v>
      </c>
      <c r="D1917" t="s">
        <v>3222</v>
      </c>
      <c r="E1917" t="s">
        <v>3226</v>
      </c>
      <c r="F1917">
        <v>14428.99</v>
      </c>
      <c r="G1917">
        <v>10953.89</v>
      </c>
      <c r="H1917">
        <v>1</v>
      </c>
    </row>
    <row r="1918" spans="1:8" x14ac:dyDescent="0.25">
      <c r="A1918" t="s">
        <v>402</v>
      </c>
      <c r="C1918" t="s">
        <v>3216</v>
      </c>
      <c r="D1918" t="s">
        <v>3223</v>
      </c>
      <c r="E1918" t="s">
        <v>3226</v>
      </c>
      <c r="F1918">
        <v>38821.360000000001</v>
      </c>
      <c r="G1918">
        <v>30795.47</v>
      </c>
      <c r="H1918">
        <v>4</v>
      </c>
    </row>
    <row r="1919" spans="1:8" x14ac:dyDescent="0.25">
      <c r="A1919" t="s">
        <v>1715</v>
      </c>
      <c r="B1919" t="s">
        <v>3215</v>
      </c>
      <c r="C1919" t="s">
        <v>3219</v>
      </c>
      <c r="D1919" t="s">
        <v>3222</v>
      </c>
      <c r="E1919" t="s">
        <v>3226</v>
      </c>
      <c r="F1919">
        <v>68277.36</v>
      </c>
      <c r="G1919">
        <v>42135.46</v>
      </c>
      <c r="H1919">
        <v>4</v>
      </c>
    </row>
    <row r="1920" spans="1:8" x14ac:dyDescent="0.25">
      <c r="A1920" t="s">
        <v>1302</v>
      </c>
      <c r="C1920" t="s">
        <v>3219</v>
      </c>
      <c r="D1920" t="s">
        <v>3225</v>
      </c>
      <c r="E1920" t="s">
        <v>3226</v>
      </c>
      <c r="F1920">
        <v>19645.47</v>
      </c>
      <c r="G1920">
        <v>13058.52</v>
      </c>
      <c r="H1920">
        <v>1</v>
      </c>
    </row>
    <row r="1921" spans="1:8" x14ac:dyDescent="0.25">
      <c r="A1921" t="s">
        <v>1716</v>
      </c>
      <c r="B1921" t="s">
        <v>3212</v>
      </c>
      <c r="C1921" t="s">
        <v>3221</v>
      </c>
      <c r="D1921" t="s">
        <v>3223</v>
      </c>
      <c r="E1921" t="s">
        <v>3226</v>
      </c>
      <c r="F1921">
        <v>9994.0300000000007</v>
      </c>
      <c r="G1921">
        <v>7027.71</v>
      </c>
      <c r="H1921">
        <v>1</v>
      </c>
    </row>
    <row r="1922" spans="1:8" x14ac:dyDescent="0.25">
      <c r="A1922" t="s">
        <v>322</v>
      </c>
      <c r="B1922" t="s">
        <v>3214</v>
      </c>
      <c r="C1922" t="s">
        <v>3216</v>
      </c>
      <c r="D1922" t="s">
        <v>3224</v>
      </c>
      <c r="E1922" t="s">
        <v>3226</v>
      </c>
      <c r="F1922">
        <v>120305.58</v>
      </c>
      <c r="G1922">
        <v>87529.56</v>
      </c>
      <c r="H1922">
        <v>2</v>
      </c>
    </row>
    <row r="1923" spans="1:8" x14ac:dyDescent="0.25">
      <c r="A1923" t="s">
        <v>1717</v>
      </c>
      <c r="B1923" t="s">
        <v>3214</v>
      </c>
      <c r="C1923" t="s">
        <v>3220</v>
      </c>
      <c r="D1923" t="s">
        <v>3224</v>
      </c>
      <c r="E1923" t="s">
        <v>3226</v>
      </c>
      <c r="F1923">
        <v>152410.49</v>
      </c>
      <c r="G1923">
        <v>127363.51</v>
      </c>
      <c r="H1923">
        <v>3</v>
      </c>
    </row>
    <row r="1924" spans="1:8" x14ac:dyDescent="0.25">
      <c r="A1924" t="s">
        <v>1718</v>
      </c>
      <c r="B1924" t="s">
        <v>3212</v>
      </c>
      <c r="C1924" t="s">
        <v>3218</v>
      </c>
      <c r="D1924" t="s">
        <v>3223</v>
      </c>
      <c r="E1924" t="s">
        <v>3226</v>
      </c>
      <c r="F1924">
        <v>52535.39</v>
      </c>
      <c r="H1924">
        <v>5</v>
      </c>
    </row>
    <row r="1925" spans="1:8" x14ac:dyDescent="0.25">
      <c r="A1925" t="s">
        <v>1719</v>
      </c>
      <c r="B1925" t="s">
        <v>3213</v>
      </c>
      <c r="C1925" t="s">
        <v>3221</v>
      </c>
      <c r="D1925" t="s">
        <v>3222</v>
      </c>
      <c r="E1925" t="s">
        <v>3226</v>
      </c>
      <c r="F1925">
        <v>27545.64</v>
      </c>
      <c r="H1925">
        <v>2</v>
      </c>
    </row>
    <row r="1926" spans="1:8" x14ac:dyDescent="0.25">
      <c r="A1926" t="s">
        <v>442</v>
      </c>
      <c r="B1926" t="s">
        <v>3212</v>
      </c>
      <c r="C1926" t="s">
        <v>3221</v>
      </c>
      <c r="D1926" t="s">
        <v>3223</v>
      </c>
      <c r="E1926" t="s">
        <v>3226</v>
      </c>
      <c r="F1926">
        <v>43151.81</v>
      </c>
      <c r="G1926">
        <v>31819.23</v>
      </c>
      <c r="H1926">
        <v>5</v>
      </c>
    </row>
    <row r="1927" spans="1:8" x14ac:dyDescent="0.25">
      <c r="A1927" t="s">
        <v>191</v>
      </c>
      <c r="B1927" t="s">
        <v>3215</v>
      </c>
      <c r="C1927" t="s">
        <v>3220</v>
      </c>
      <c r="D1927" t="s">
        <v>3223</v>
      </c>
      <c r="E1927" t="s">
        <v>3226</v>
      </c>
      <c r="F1927">
        <v>42886.05</v>
      </c>
      <c r="G1927">
        <v>32648.86</v>
      </c>
      <c r="H1927">
        <v>5</v>
      </c>
    </row>
    <row r="1928" spans="1:8" x14ac:dyDescent="0.25">
      <c r="A1928" t="s">
        <v>633</v>
      </c>
      <c r="B1928" t="s">
        <v>3213</v>
      </c>
      <c r="C1928" t="s">
        <v>3221</v>
      </c>
      <c r="D1928" t="s">
        <v>3223</v>
      </c>
      <c r="E1928" t="s">
        <v>3226</v>
      </c>
      <c r="F1928">
        <v>35075.129999999997</v>
      </c>
      <c r="G1928">
        <v>18940.580000000002</v>
      </c>
      <c r="H1928">
        <v>3</v>
      </c>
    </row>
    <row r="1929" spans="1:8" x14ac:dyDescent="0.25">
      <c r="A1929" t="s">
        <v>1720</v>
      </c>
      <c r="B1929" t="s">
        <v>3214</v>
      </c>
      <c r="C1929" t="s">
        <v>3220</v>
      </c>
      <c r="D1929" t="s">
        <v>3222</v>
      </c>
      <c r="E1929" t="s">
        <v>3226</v>
      </c>
      <c r="G1929">
        <v>18532.04</v>
      </c>
      <c r="H1929">
        <v>2</v>
      </c>
    </row>
    <row r="1930" spans="1:8" x14ac:dyDescent="0.25">
      <c r="A1930" t="s">
        <v>1721</v>
      </c>
      <c r="B1930" t="s">
        <v>3213</v>
      </c>
      <c r="C1930" t="s">
        <v>3219</v>
      </c>
      <c r="D1930" t="s">
        <v>3224</v>
      </c>
      <c r="E1930" t="s">
        <v>3226</v>
      </c>
      <c r="F1930">
        <v>139922.17000000001</v>
      </c>
      <c r="G1930">
        <v>83336.88</v>
      </c>
      <c r="H1930">
        <v>2</v>
      </c>
    </row>
    <row r="1931" spans="1:8" x14ac:dyDescent="0.25">
      <c r="A1931" t="s">
        <v>1722</v>
      </c>
      <c r="B1931" t="s">
        <v>3212</v>
      </c>
      <c r="C1931" t="s">
        <v>3220</v>
      </c>
      <c r="D1931" t="s">
        <v>3224</v>
      </c>
      <c r="E1931" t="s">
        <v>3226</v>
      </c>
      <c r="F1931">
        <v>136828.82999999999</v>
      </c>
      <c r="G1931">
        <v>94577.03</v>
      </c>
      <c r="H1931">
        <v>2</v>
      </c>
    </row>
    <row r="1932" spans="1:8" x14ac:dyDescent="0.25">
      <c r="A1932" t="s">
        <v>1723</v>
      </c>
      <c r="B1932" t="s">
        <v>3214</v>
      </c>
      <c r="C1932" t="s">
        <v>3217</v>
      </c>
      <c r="D1932" t="s">
        <v>3222</v>
      </c>
      <c r="E1932" t="s">
        <v>3226</v>
      </c>
      <c r="F1932">
        <v>88695.26</v>
      </c>
      <c r="G1932">
        <v>52211.01</v>
      </c>
      <c r="H1932">
        <v>5</v>
      </c>
    </row>
    <row r="1933" spans="1:8" x14ac:dyDescent="0.25">
      <c r="A1933" t="s">
        <v>1724</v>
      </c>
      <c r="B1933" t="s">
        <v>3214</v>
      </c>
      <c r="C1933" t="s">
        <v>3217</v>
      </c>
      <c r="D1933" t="s">
        <v>3225</v>
      </c>
      <c r="E1933" t="s">
        <v>3226</v>
      </c>
      <c r="F1933">
        <v>65151.48</v>
      </c>
      <c r="G1933">
        <v>48015.199999999997</v>
      </c>
      <c r="H1933">
        <v>4</v>
      </c>
    </row>
    <row r="1934" spans="1:8" x14ac:dyDescent="0.25">
      <c r="A1934" t="s">
        <v>1725</v>
      </c>
      <c r="B1934" t="s">
        <v>3214</v>
      </c>
      <c r="C1934" t="s">
        <v>3218</v>
      </c>
      <c r="D1934" t="s">
        <v>3224</v>
      </c>
      <c r="E1934" t="s">
        <v>3226</v>
      </c>
      <c r="F1934">
        <v>71790.399999999994</v>
      </c>
      <c r="G1934">
        <v>43374.13</v>
      </c>
      <c r="H1934">
        <v>1</v>
      </c>
    </row>
    <row r="1935" spans="1:8" x14ac:dyDescent="0.25">
      <c r="A1935" t="s">
        <v>47</v>
      </c>
      <c r="B1935" t="s">
        <v>3211</v>
      </c>
      <c r="C1935" t="s">
        <v>3220</v>
      </c>
      <c r="D1935" t="s">
        <v>3224</v>
      </c>
      <c r="E1935" t="s">
        <v>3226</v>
      </c>
      <c r="F1935">
        <v>285182.36</v>
      </c>
      <c r="G1935">
        <v>242074.08</v>
      </c>
      <c r="H1935">
        <v>5</v>
      </c>
    </row>
    <row r="1936" spans="1:8" x14ac:dyDescent="0.25">
      <c r="A1936" t="s">
        <v>1726</v>
      </c>
      <c r="B1936" t="s">
        <v>3214</v>
      </c>
      <c r="C1936" t="s">
        <v>3219</v>
      </c>
      <c r="D1936" t="s">
        <v>3222</v>
      </c>
      <c r="E1936" t="s">
        <v>3226</v>
      </c>
      <c r="F1936">
        <v>48716.58</v>
      </c>
      <c r="G1936">
        <v>30635.42</v>
      </c>
      <c r="H1936">
        <v>3</v>
      </c>
    </row>
    <row r="1937" spans="1:8" x14ac:dyDescent="0.25">
      <c r="A1937" t="s">
        <v>1727</v>
      </c>
      <c r="B1937" t="s">
        <v>3215</v>
      </c>
      <c r="C1937" t="s">
        <v>3218</v>
      </c>
      <c r="D1937" t="s">
        <v>3224</v>
      </c>
      <c r="E1937" t="s">
        <v>3226</v>
      </c>
      <c r="F1937">
        <v>58712.39</v>
      </c>
      <c r="G1937">
        <v>45884.27</v>
      </c>
      <c r="H1937">
        <v>1</v>
      </c>
    </row>
    <row r="1938" spans="1:8" x14ac:dyDescent="0.25">
      <c r="A1938" t="s">
        <v>1728</v>
      </c>
      <c r="B1938" t="s">
        <v>3211</v>
      </c>
      <c r="C1938" t="s">
        <v>3217</v>
      </c>
      <c r="D1938" t="s">
        <v>3224</v>
      </c>
      <c r="E1938" t="s">
        <v>3226</v>
      </c>
      <c r="F1938">
        <v>203388.21</v>
      </c>
      <c r="G1938">
        <v>138364.70000000001</v>
      </c>
      <c r="H1938">
        <v>3</v>
      </c>
    </row>
    <row r="1939" spans="1:8" x14ac:dyDescent="0.25">
      <c r="A1939" t="s">
        <v>1729</v>
      </c>
      <c r="B1939" t="s">
        <v>3211</v>
      </c>
      <c r="C1939" t="s">
        <v>3220</v>
      </c>
      <c r="D1939" t="s">
        <v>3225</v>
      </c>
      <c r="E1939" t="s">
        <v>3226</v>
      </c>
      <c r="F1939">
        <v>116870.21</v>
      </c>
      <c r="G1939">
        <v>75706.070000000007</v>
      </c>
      <c r="H1939">
        <v>5</v>
      </c>
    </row>
    <row r="1940" spans="1:8" x14ac:dyDescent="0.25">
      <c r="A1940" t="s">
        <v>1730</v>
      </c>
      <c r="B1940" t="s">
        <v>3213</v>
      </c>
      <c r="C1940" t="s">
        <v>3217</v>
      </c>
      <c r="D1940" t="s">
        <v>3222</v>
      </c>
      <c r="E1940" t="s">
        <v>3226</v>
      </c>
      <c r="F1940">
        <v>66565.22</v>
      </c>
      <c r="G1940">
        <v>48794.48</v>
      </c>
      <c r="H1940">
        <v>5</v>
      </c>
    </row>
    <row r="1941" spans="1:8" x14ac:dyDescent="0.25">
      <c r="A1941" t="s">
        <v>1731</v>
      </c>
      <c r="B1941" t="s">
        <v>3214</v>
      </c>
      <c r="C1941" t="s">
        <v>3217</v>
      </c>
      <c r="D1941" t="s">
        <v>3222</v>
      </c>
      <c r="E1941" t="s">
        <v>3226</v>
      </c>
      <c r="F1941">
        <v>71638.05</v>
      </c>
      <c r="G1941">
        <v>48792.55</v>
      </c>
      <c r="H1941">
        <v>5</v>
      </c>
    </row>
    <row r="1942" spans="1:8" x14ac:dyDescent="0.25">
      <c r="A1942" t="s">
        <v>1732</v>
      </c>
      <c r="C1942" t="s">
        <v>3216</v>
      </c>
      <c r="D1942" t="s">
        <v>3224</v>
      </c>
      <c r="E1942" t="s">
        <v>3226</v>
      </c>
      <c r="F1942">
        <v>104093.13</v>
      </c>
      <c r="H1942">
        <v>2</v>
      </c>
    </row>
    <row r="1943" spans="1:8" x14ac:dyDescent="0.25">
      <c r="A1943" t="s">
        <v>1733</v>
      </c>
      <c r="B1943" t="s">
        <v>3211</v>
      </c>
      <c r="C1943" t="s">
        <v>3218</v>
      </c>
      <c r="D1943" t="s">
        <v>3225</v>
      </c>
      <c r="E1943" t="s">
        <v>3226</v>
      </c>
      <c r="F1943">
        <v>103470.67</v>
      </c>
      <c r="H1943">
        <v>5</v>
      </c>
    </row>
    <row r="1944" spans="1:8" x14ac:dyDescent="0.25">
      <c r="A1944" t="s">
        <v>1734</v>
      </c>
      <c r="B1944" t="s">
        <v>3211</v>
      </c>
      <c r="C1944" t="s">
        <v>3218</v>
      </c>
      <c r="D1944" t="s">
        <v>3224</v>
      </c>
      <c r="E1944" t="s">
        <v>3226</v>
      </c>
      <c r="F1944">
        <v>245130.42</v>
      </c>
      <c r="G1944">
        <v>202369.73</v>
      </c>
      <c r="H1944">
        <v>5</v>
      </c>
    </row>
    <row r="1945" spans="1:8" x14ac:dyDescent="0.25">
      <c r="A1945" t="s">
        <v>1735</v>
      </c>
      <c r="B1945" t="s">
        <v>3212</v>
      </c>
      <c r="C1945" t="s">
        <v>3217</v>
      </c>
      <c r="D1945" t="s">
        <v>3222</v>
      </c>
      <c r="E1945" t="s">
        <v>3226</v>
      </c>
      <c r="F1945">
        <v>50030.79</v>
      </c>
      <c r="G1945">
        <v>31534.1</v>
      </c>
      <c r="H1945">
        <v>3</v>
      </c>
    </row>
    <row r="1946" spans="1:8" x14ac:dyDescent="0.25">
      <c r="A1946" t="s">
        <v>1422</v>
      </c>
      <c r="B1946" t="s">
        <v>3211</v>
      </c>
      <c r="C1946" t="s">
        <v>3217</v>
      </c>
      <c r="D1946" t="s">
        <v>3223</v>
      </c>
      <c r="E1946" t="s">
        <v>3226</v>
      </c>
      <c r="F1946">
        <v>25729.919999999998</v>
      </c>
      <c r="G1946">
        <v>22758.21</v>
      </c>
      <c r="H1946">
        <v>3</v>
      </c>
    </row>
    <row r="1947" spans="1:8" x14ac:dyDescent="0.25">
      <c r="A1947" t="s">
        <v>1736</v>
      </c>
      <c r="B1947" t="s">
        <v>3214</v>
      </c>
      <c r="C1947" t="s">
        <v>3217</v>
      </c>
      <c r="D1947" t="s">
        <v>3225</v>
      </c>
      <c r="E1947" t="s">
        <v>3226</v>
      </c>
      <c r="F1947">
        <v>82583.199999999997</v>
      </c>
      <c r="G1947">
        <v>57287.040000000001</v>
      </c>
      <c r="H1947">
        <v>4</v>
      </c>
    </row>
    <row r="1948" spans="1:8" x14ac:dyDescent="0.25">
      <c r="A1948" t="s">
        <v>1737</v>
      </c>
      <c r="B1948" t="s">
        <v>3213</v>
      </c>
      <c r="C1948" t="s">
        <v>3217</v>
      </c>
      <c r="D1948" t="s">
        <v>3225</v>
      </c>
      <c r="E1948" t="s">
        <v>3226</v>
      </c>
      <c r="F1948">
        <v>42057.68</v>
      </c>
      <c r="G1948">
        <v>28912.59</v>
      </c>
    </row>
    <row r="1949" spans="1:8" x14ac:dyDescent="0.25">
      <c r="A1949" t="s">
        <v>1738</v>
      </c>
      <c r="B1949" t="s">
        <v>3213</v>
      </c>
      <c r="C1949" t="s">
        <v>3221</v>
      </c>
      <c r="D1949" t="s">
        <v>3222</v>
      </c>
      <c r="E1949" t="s">
        <v>3226</v>
      </c>
      <c r="F1949">
        <v>14541.47</v>
      </c>
      <c r="G1949">
        <v>8902.81</v>
      </c>
      <c r="H1949">
        <v>1</v>
      </c>
    </row>
    <row r="1950" spans="1:8" x14ac:dyDescent="0.25">
      <c r="A1950" t="s">
        <v>1739</v>
      </c>
      <c r="B1950" t="s">
        <v>3214</v>
      </c>
      <c r="C1950" t="s">
        <v>3218</v>
      </c>
      <c r="D1950" t="s">
        <v>3223</v>
      </c>
      <c r="E1950" t="s">
        <v>3226</v>
      </c>
      <c r="F1950">
        <v>49196.91</v>
      </c>
      <c r="G1950">
        <v>32993.300000000003</v>
      </c>
      <c r="H1950">
        <v>5</v>
      </c>
    </row>
    <row r="1951" spans="1:8" x14ac:dyDescent="0.25">
      <c r="A1951" t="s">
        <v>1740</v>
      </c>
      <c r="B1951" t="s">
        <v>3214</v>
      </c>
      <c r="C1951" t="s">
        <v>3217</v>
      </c>
      <c r="D1951" t="s">
        <v>3224</v>
      </c>
      <c r="E1951" t="s">
        <v>3226</v>
      </c>
      <c r="F1951">
        <v>304976.74</v>
      </c>
      <c r="H1951">
        <v>5</v>
      </c>
    </row>
    <row r="1952" spans="1:8" x14ac:dyDescent="0.25">
      <c r="A1952" t="s">
        <v>1741</v>
      </c>
      <c r="B1952" t="s">
        <v>3214</v>
      </c>
      <c r="C1952" t="s">
        <v>3220</v>
      </c>
      <c r="D1952" t="s">
        <v>3224</v>
      </c>
      <c r="E1952" t="s">
        <v>3226</v>
      </c>
      <c r="F1952">
        <v>283034.89</v>
      </c>
      <c r="G1952">
        <v>191766.09</v>
      </c>
      <c r="H1952">
        <v>5</v>
      </c>
    </row>
    <row r="1953" spans="1:8" x14ac:dyDescent="0.25">
      <c r="A1953" t="s">
        <v>1742</v>
      </c>
      <c r="B1953" t="s">
        <v>3213</v>
      </c>
      <c r="C1953" t="s">
        <v>3217</v>
      </c>
      <c r="D1953" t="s">
        <v>3225</v>
      </c>
      <c r="E1953" t="s">
        <v>3226</v>
      </c>
      <c r="F1953">
        <v>76316.14</v>
      </c>
      <c r="G1953">
        <v>58558.29</v>
      </c>
      <c r="H1953">
        <v>4</v>
      </c>
    </row>
    <row r="1954" spans="1:8" x14ac:dyDescent="0.25">
      <c r="A1954" t="s">
        <v>1743</v>
      </c>
      <c r="C1954" t="s">
        <v>3219</v>
      </c>
      <c r="D1954" t="s">
        <v>3223</v>
      </c>
      <c r="E1954" t="s">
        <v>3226</v>
      </c>
      <c r="F1954">
        <v>17197.419999999998</v>
      </c>
      <c r="G1954">
        <v>14510.29</v>
      </c>
      <c r="H1954">
        <v>2</v>
      </c>
    </row>
    <row r="1955" spans="1:8" x14ac:dyDescent="0.25">
      <c r="A1955" t="s">
        <v>1744</v>
      </c>
      <c r="B1955" t="s">
        <v>3212</v>
      </c>
      <c r="C1955" t="s">
        <v>3221</v>
      </c>
      <c r="D1955" t="s">
        <v>3222</v>
      </c>
      <c r="E1955" t="s">
        <v>3226</v>
      </c>
      <c r="F1955">
        <v>16636.009999999998</v>
      </c>
      <c r="G1955">
        <v>9722.49</v>
      </c>
      <c r="H1955">
        <v>1</v>
      </c>
    </row>
    <row r="1956" spans="1:8" x14ac:dyDescent="0.25">
      <c r="A1956" t="s">
        <v>1745</v>
      </c>
      <c r="C1956" t="s">
        <v>3219</v>
      </c>
      <c r="D1956" t="s">
        <v>3223</v>
      </c>
      <c r="E1956" t="s">
        <v>3226</v>
      </c>
      <c r="F1956">
        <v>46643.58</v>
      </c>
      <c r="G1956">
        <v>37071.279999999999</v>
      </c>
      <c r="H1956">
        <v>5</v>
      </c>
    </row>
    <row r="1957" spans="1:8" x14ac:dyDescent="0.25">
      <c r="A1957" t="s">
        <v>1746</v>
      </c>
      <c r="B1957" t="s">
        <v>3214</v>
      </c>
      <c r="C1957" t="s">
        <v>3218</v>
      </c>
      <c r="D1957" t="s">
        <v>3225</v>
      </c>
      <c r="E1957" t="s">
        <v>3226</v>
      </c>
      <c r="F1957">
        <v>20109.400000000001</v>
      </c>
      <c r="G1957">
        <v>13958.36</v>
      </c>
      <c r="H1957">
        <v>1</v>
      </c>
    </row>
    <row r="1958" spans="1:8" x14ac:dyDescent="0.25">
      <c r="A1958" t="s">
        <v>1747</v>
      </c>
      <c r="B1958" t="s">
        <v>3212</v>
      </c>
      <c r="C1958" t="s">
        <v>3217</v>
      </c>
      <c r="D1958" t="s">
        <v>3225</v>
      </c>
      <c r="E1958" t="s">
        <v>3226</v>
      </c>
      <c r="F1958">
        <v>99221.25</v>
      </c>
      <c r="G1958">
        <v>59744.66</v>
      </c>
      <c r="H1958">
        <v>5</v>
      </c>
    </row>
    <row r="1959" spans="1:8" x14ac:dyDescent="0.25">
      <c r="A1959" t="s">
        <v>1748</v>
      </c>
      <c r="B1959" t="s">
        <v>3214</v>
      </c>
      <c r="C1959" t="s">
        <v>3221</v>
      </c>
      <c r="D1959" t="s">
        <v>3225</v>
      </c>
      <c r="E1959" t="s">
        <v>3226</v>
      </c>
      <c r="F1959">
        <v>23998.97</v>
      </c>
      <c r="G1959">
        <v>14154.62</v>
      </c>
      <c r="H1959">
        <v>1</v>
      </c>
    </row>
    <row r="1960" spans="1:8" x14ac:dyDescent="0.25">
      <c r="A1960" t="s">
        <v>1749</v>
      </c>
      <c r="B1960" t="s">
        <v>3212</v>
      </c>
      <c r="C1960" t="s">
        <v>3221</v>
      </c>
      <c r="D1960" t="s">
        <v>3222</v>
      </c>
      <c r="E1960" t="s">
        <v>3226</v>
      </c>
      <c r="F1960">
        <v>24816</v>
      </c>
      <c r="H1960">
        <v>2</v>
      </c>
    </row>
    <row r="1961" spans="1:8" x14ac:dyDescent="0.25">
      <c r="A1961" t="s">
        <v>1750</v>
      </c>
      <c r="B1961" t="s">
        <v>3212</v>
      </c>
      <c r="C1961" t="s">
        <v>3221</v>
      </c>
      <c r="D1961" t="s">
        <v>3224</v>
      </c>
      <c r="E1961" t="s">
        <v>3226</v>
      </c>
      <c r="F1961">
        <v>289372.34999999998</v>
      </c>
      <c r="G1961">
        <v>243103.19</v>
      </c>
      <c r="H1961">
        <v>5</v>
      </c>
    </row>
    <row r="1962" spans="1:8" x14ac:dyDescent="0.25">
      <c r="A1962" t="s">
        <v>1751</v>
      </c>
      <c r="B1962" t="s">
        <v>3213</v>
      </c>
      <c r="C1962" t="s">
        <v>3216</v>
      </c>
      <c r="D1962" t="s">
        <v>3223</v>
      </c>
      <c r="E1962" t="s">
        <v>3226</v>
      </c>
      <c r="F1962">
        <v>29370.01</v>
      </c>
      <c r="H1962">
        <v>3</v>
      </c>
    </row>
    <row r="1963" spans="1:8" x14ac:dyDescent="0.25">
      <c r="A1963" t="s">
        <v>1752</v>
      </c>
      <c r="B1963" t="s">
        <v>3212</v>
      </c>
      <c r="C1963" t="s">
        <v>3219</v>
      </c>
      <c r="D1963" t="s">
        <v>3222</v>
      </c>
      <c r="E1963" t="s">
        <v>3226</v>
      </c>
      <c r="F1963">
        <v>35650.17</v>
      </c>
      <c r="G1963">
        <v>17648.25</v>
      </c>
      <c r="H1963">
        <v>2</v>
      </c>
    </row>
    <row r="1964" spans="1:8" x14ac:dyDescent="0.25">
      <c r="A1964" t="s">
        <v>898</v>
      </c>
      <c r="B1964" t="s">
        <v>3211</v>
      </c>
      <c r="C1964" t="s">
        <v>3216</v>
      </c>
      <c r="D1964" t="s">
        <v>3225</v>
      </c>
      <c r="E1964" t="s">
        <v>3226</v>
      </c>
      <c r="F1964">
        <v>105465.16</v>
      </c>
      <c r="G1964">
        <v>61968.32</v>
      </c>
      <c r="H1964">
        <v>5</v>
      </c>
    </row>
    <row r="1965" spans="1:8" x14ac:dyDescent="0.25">
      <c r="A1965" t="s">
        <v>1753</v>
      </c>
      <c r="B1965" t="s">
        <v>3214</v>
      </c>
      <c r="C1965" t="s">
        <v>3216</v>
      </c>
      <c r="D1965" t="s">
        <v>3223</v>
      </c>
      <c r="E1965" t="s">
        <v>3226</v>
      </c>
      <c r="F1965">
        <v>10005.99</v>
      </c>
      <c r="G1965">
        <v>6383.45</v>
      </c>
      <c r="H1965">
        <v>1</v>
      </c>
    </row>
    <row r="1966" spans="1:8" x14ac:dyDescent="0.25">
      <c r="A1966" t="s">
        <v>488</v>
      </c>
      <c r="B1966" t="s">
        <v>3215</v>
      </c>
      <c r="C1966" t="s">
        <v>3219</v>
      </c>
      <c r="D1966" t="s">
        <v>3225</v>
      </c>
      <c r="E1966" t="s">
        <v>3226</v>
      </c>
      <c r="F1966">
        <v>36495.17</v>
      </c>
      <c r="G1966">
        <v>27460.68</v>
      </c>
      <c r="H1966">
        <v>2</v>
      </c>
    </row>
    <row r="1967" spans="1:8" x14ac:dyDescent="0.25">
      <c r="A1967" t="s">
        <v>1754</v>
      </c>
      <c r="B1967" t="s">
        <v>3212</v>
      </c>
      <c r="C1967" t="s">
        <v>3219</v>
      </c>
      <c r="D1967" t="s">
        <v>3222</v>
      </c>
      <c r="E1967" t="s">
        <v>3226</v>
      </c>
      <c r="F1967">
        <v>75811.320000000007</v>
      </c>
      <c r="H1967">
        <v>5</v>
      </c>
    </row>
    <row r="1968" spans="1:8" x14ac:dyDescent="0.25">
      <c r="A1968" t="s">
        <v>483</v>
      </c>
      <c r="B1968" t="s">
        <v>3211</v>
      </c>
      <c r="C1968" t="s">
        <v>3216</v>
      </c>
      <c r="D1968" t="s">
        <v>3222</v>
      </c>
      <c r="E1968" t="s">
        <v>3226</v>
      </c>
      <c r="F1968">
        <v>62384.75</v>
      </c>
      <c r="G1968">
        <v>52000.59</v>
      </c>
      <c r="H1968">
        <v>5</v>
      </c>
    </row>
    <row r="1969" spans="1:8" x14ac:dyDescent="0.25">
      <c r="A1969" t="s">
        <v>1755</v>
      </c>
      <c r="B1969" t="s">
        <v>3212</v>
      </c>
      <c r="C1969" t="s">
        <v>3221</v>
      </c>
      <c r="D1969" t="s">
        <v>3223</v>
      </c>
      <c r="E1969" t="s">
        <v>3226</v>
      </c>
      <c r="F1969">
        <v>9512.1200000000008</v>
      </c>
    </row>
    <row r="1970" spans="1:8" x14ac:dyDescent="0.25">
      <c r="A1970" t="s">
        <v>852</v>
      </c>
      <c r="B1970" t="s">
        <v>3214</v>
      </c>
      <c r="C1970" t="s">
        <v>3220</v>
      </c>
      <c r="D1970" t="s">
        <v>3223</v>
      </c>
      <c r="E1970" t="s">
        <v>3226</v>
      </c>
      <c r="F1970">
        <v>58326.3</v>
      </c>
      <c r="G1970">
        <v>30691.03</v>
      </c>
    </row>
    <row r="1971" spans="1:8" x14ac:dyDescent="0.25">
      <c r="A1971" t="s">
        <v>1178</v>
      </c>
      <c r="B1971" t="s">
        <v>3211</v>
      </c>
      <c r="C1971" t="s">
        <v>3216</v>
      </c>
      <c r="D1971" t="s">
        <v>3223</v>
      </c>
      <c r="E1971" t="s">
        <v>3226</v>
      </c>
      <c r="F1971">
        <v>23559.53</v>
      </c>
      <c r="G1971">
        <v>13475.75</v>
      </c>
      <c r="H1971">
        <v>2</v>
      </c>
    </row>
    <row r="1972" spans="1:8" x14ac:dyDescent="0.25">
      <c r="A1972" t="s">
        <v>1756</v>
      </c>
      <c r="B1972" t="s">
        <v>3213</v>
      </c>
      <c r="C1972" t="s">
        <v>3218</v>
      </c>
      <c r="D1972" t="s">
        <v>3224</v>
      </c>
      <c r="E1972" t="s">
        <v>3226</v>
      </c>
      <c r="F1972">
        <v>353792.24</v>
      </c>
      <c r="G1972">
        <v>234759.53</v>
      </c>
      <c r="H1972">
        <v>5</v>
      </c>
    </row>
    <row r="1973" spans="1:8" x14ac:dyDescent="0.25">
      <c r="A1973" t="s">
        <v>1757</v>
      </c>
      <c r="B1973" t="s">
        <v>3211</v>
      </c>
      <c r="C1973" t="s">
        <v>3220</v>
      </c>
      <c r="D1973" t="s">
        <v>3224</v>
      </c>
      <c r="E1973" t="s">
        <v>3226</v>
      </c>
      <c r="F1973">
        <v>278106.98</v>
      </c>
      <c r="H1973">
        <v>5</v>
      </c>
    </row>
    <row r="1974" spans="1:8" x14ac:dyDescent="0.25">
      <c r="A1974" t="s">
        <v>1758</v>
      </c>
      <c r="C1974" t="s">
        <v>3221</v>
      </c>
      <c r="D1974" t="s">
        <v>3222</v>
      </c>
      <c r="E1974" t="s">
        <v>3226</v>
      </c>
      <c r="F1974">
        <v>26701.46</v>
      </c>
      <c r="H1974">
        <v>2</v>
      </c>
    </row>
    <row r="1975" spans="1:8" x14ac:dyDescent="0.25">
      <c r="A1975" t="s">
        <v>1759</v>
      </c>
      <c r="B1975" t="s">
        <v>3215</v>
      </c>
      <c r="C1975" t="s">
        <v>3221</v>
      </c>
      <c r="D1975" t="s">
        <v>3224</v>
      </c>
      <c r="E1975" t="s">
        <v>3226</v>
      </c>
      <c r="F1975">
        <v>109090.76</v>
      </c>
      <c r="G1975">
        <v>91307.22</v>
      </c>
      <c r="H1975">
        <v>2</v>
      </c>
    </row>
    <row r="1976" spans="1:8" x14ac:dyDescent="0.25">
      <c r="A1976" t="s">
        <v>1760</v>
      </c>
      <c r="B1976" t="s">
        <v>3212</v>
      </c>
      <c r="C1976" t="s">
        <v>3218</v>
      </c>
      <c r="D1976" t="s">
        <v>3225</v>
      </c>
      <c r="E1976" t="s">
        <v>3226</v>
      </c>
      <c r="F1976">
        <v>33725.83</v>
      </c>
      <c r="G1976">
        <v>24494.82</v>
      </c>
      <c r="H1976">
        <v>2</v>
      </c>
    </row>
    <row r="1977" spans="1:8" x14ac:dyDescent="0.25">
      <c r="A1977" t="s">
        <v>1761</v>
      </c>
      <c r="B1977" t="s">
        <v>3215</v>
      </c>
      <c r="C1977" t="s">
        <v>3219</v>
      </c>
      <c r="D1977" t="s">
        <v>3224</v>
      </c>
      <c r="E1977" t="s">
        <v>3226</v>
      </c>
      <c r="F1977">
        <v>202164.39</v>
      </c>
      <c r="G1977">
        <v>193288.27</v>
      </c>
    </row>
    <row r="1978" spans="1:8" x14ac:dyDescent="0.25">
      <c r="A1978" t="s">
        <v>1762</v>
      </c>
      <c r="C1978" t="s">
        <v>3216</v>
      </c>
      <c r="D1978" t="s">
        <v>3223</v>
      </c>
      <c r="E1978" t="s">
        <v>3226</v>
      </c>
      <c r="F1978">
        <v>45716.14</v>
      </c>
      <c r="G1978">
        <v>32415.14</v>
      </c>
      <c r="H1978">
        <v>5</v>
      </c>
    </row>
    <row r="1979" spans="1:8" x14ac:dyDescent="0.25">
      <c r="A1979" t="s">
        <v>1763</v>
      </c>
      <c r="B1979" t="s">
        <v>3214</v>
      </c>
      <c r="C1979" t="s">
        <v>3218</v>
      </c>
      <c r="D1979" t="s">
        <v>3223</v>
      </c>
      <c r="E1979" t="s">
        <v>3226</v>
      </c>
      <c r="F1979">
        <v>9367.4599999999991</v>
      </c>
      <c r="G1979">
        <v>6754.32</v>
      </c>
    </row>
    <row r="1980" spans="1:8" x14ac:dyDescent="0.25">
      <c r="A1980" t="s">
        <v>1764</v>
      </c>
      <c r="B1980" t="s">
        <v>3211</v>
      </c>
      <c r="C1980" t="s">
        <v>3220</v>
      </c>
      <c r="D1980" t="s">
        <v>3222</v>
      </c>
      <c r="E1980" t="s">
        <v>3226</v>
      </c>
      <c r="F1980">
        <v>42841.91</v>
      </c>
      <c r="G1980">
        <v>28199.31</v>
      </c>
      <c r="H1980">
        <v>3</v>
      </c>
    </row>
    <row r="1981" spans="1:8" x14ac:dyDescent="0.25">
      <c r="A1981" t="s">
        <v>1765</v>
      </c>
      <c r="B1981" t="s">
        <v>3211</v>
      </c>
      <c r="C1981" t="s">
        <v>3219</v>
      </c>
      <c r="D1981" t="s">
        <v>3225</v>
      </c>
      <c r="E1981" t="s">
        <v>3226</v>
      </c>
      <c r="F1981">
        <v>43511.8</v>
      </c>
      <c r="G1981">
        <v>30078.54</v>
      </c>
      <c r="H1981">
        <v>2</v>
      </c>
    </row>
    <row r="1982" spans="1:8" x14ac:dyDescent="0.25">
      <c r="A1982" t="s">
        <v>1766</v>
      </c>
      <c r="B1982" t="s">
        <v>3215</v>
      </c>
      <c r="C1982" t="s">
        <v>3217</v>
      </c>
      <c r="D1982" t="s">
        <v>3224</v>
      </c>
      <c r="E1982" t="s">
        <v>3226</v>
      </c>
      <c r="F1982">
        <v>221279.57</v>
      </c>
      <c r="G1982">
        <v>180806.32</v>
      </c>
      <c r="H1982">
        <v>4</v>
      </c>
    </row>
    <row r="1983" spans="1:8" x14ac:dyDescent="0.25">
      <c r="A1983" t="s">
        <v>1767</v>
      </c>
      <c r="C1983" t="s">
        <v>3219</v>
      </c>
      <c r="D1983" t="s">
        <v>3223</v>
      </c>
      <c r="E1983" t="s">
        <v>3226</v>
      </c>
      <c r="F1983">
        <v>23853.33</v>
      </c>
      <c r="G1983">
        <v>13625.45</v>
      </c>
      <c r="H1983">
        <v>2</v>
      </c>
    </row>
    <row r="1984" spans="1:8" x14ac:dyDescent="0.25">
      <c r="A1984" t="s">
        <v>1768</v>
      </c>
      <c r="B1984" t="s">
        <v>3215</v>
      </c>
      <c r="C1984" t="s">
        <v>3217</v>
      </c>
      <c r="D1984" t="s">
        <v>3222</v>
      </c>
      <c r="E1984" t="s">
        <v>3226</v>
      </c>
      <c r="F1984">
        <v>16034.88</v>
      </c>
      <c r="G1984">
        <v>10589.58</v>
      </c>
      <c r="H1984">
        <v>1</v>
      </c>
    </row>
    <row r="1985" spans="1:8" x14ac:dyDescent="0.25">
      <c r="A1985" t="s">
        <v>1251</v>
      </c>
      <c r="B1985" t="s">
        <v>3215</v>
      </c>
      <c r="C1985" t="s">
        <v>3217</v>
      </c>
      <c r="D1985" t="s">
        <v>3222</v>
      </c>
      <c r="E1985" t="s">
        <v>3226</v>
      </c>
      <c r="F1985">
        <v>13320.08</v>
      </c>
      <c r="G1985">
        <v>9260.2099999999991</v>
      </c>
      <c r="H1985">
        <v>1</v>
      </c>
    </row>
    <row r="1986" spans="1:8" x14ac:dyDescent="0.25">
      <c r="A1986" t="s">
        <v>38</v>
      </c>
      <c r="C1986" t="s">
        <v>3221</v>
      </c>
      <c r="D1986" t="s">
        <v>3223</v>
      </c>
      <c r="E1986" t="s">
        <v>3226</v>
      </c>
      <c r="F1986">
        <v>21592.62</v>
      </c>
      <c r="G1986">
        <v>12813.12</v>
      </c>
      <c r="H1986">
        <v>2</v>
      </c>
    </row>
    <row r="1987" spans="1:8" x14ac:dyDescent="0.25">
      <c r="A1987" t="s">
        <v>1769</v>
      </c>
      <c r="C1987" t="s">
        <v>3220</v>
      </c>
      <c r="D1987" t="s">
        <v>3222</v>
      </c>
      <c r="E1987" t="s">
        <v>3226</v>
      </c>
      <c r="F1987">
        <v>28615.01</v>
      </c>
      <c r="G1987">
        <v>19018.439999999999</v>
      </c>
      <c r="H1987">
        <v>2</v>
      </c>
    </row>
    <row r="1988" spans="1:8" x14ac:dyDescent="0.25">
      <c r="A1988" t="s">
        <v>1119</v>
      </c>
      <c r="B1988" t="s">
        <v>3214</v>
      </c>
      <c r="C1988" t="s">
        <v>3221</v>
      </c>
      <c r="D1988" t="s">
        <v>3223</v>
      </c>
      <c r="E1988" t="s">
        <v>3226</v>
      </c>
      <c r="F1988">
        <v>32553.040000000001</v>
      </c>
      <c r="G1988">
        <v>23023.27</v>
      </c>
      <c r="H1988">
        <v>3</v>
      </c>
    </row>
    <row r="1989" spans="1:8" x14ac:dyDescent="0.25">
      <c r="A1989" t="s">
        <v>1770</v>
      </c>
      <c r="B1989" t="s">
        <v>3214</v>
      </c>
      <c r="C1989" t="s">
        <v>3218</v>
      </c>
      <c r="D1989" t="s">
        <v>3224</v>
      </c>
      <c r="E1989" t="s">
        <v>3226</v>
      </c>
      <c r="F1989">
        <v>104170.3</v>
      </c>
      <c r="G1989">
        <v>76999.960000000006</v>
      </c>
    </row>
    <row r="1990" spans="1:8" x14ac:dyDescent="0.25">
      <c r="A1990" t="s">
        <v>1771</v>
      </c>
      <c r="B1990" t="s">
        <v>3211</v>
      </c>
      <c r="C1990" t="s">
        <v>3220</v>
      </c>
      <c r="D1990" t="s">
        <v>3223</v>
      </c>
      <c r="E1990" t="s">
        <v>3226</v>
      </c>
      <c r="F1990">
        <v>29063.63</v>
      </c>
      <c r="H1990">
        <v>3</v>
      </c>
    </row>
    <row r="1991" spans="1:8" x14ac:dyDescent="0.25">
      <c r="A1991" t="s">
        <v>271</v>
      </c>
      <c r="B1991" t="s">
        <v>3215</v>
      </c>
      <c r="C1991" t="s">
        <v>3216</v>
      </c>
      <c r="D1991" t="s">
        <v>3223</v>
      </c>
      <c r="E1991" t="s">
        <v>3226</v>
      </c>
      <c r="F1991">
        <v>8635.11</v>
      </c>
      <c r="G1991">
        <v>6310.79</v>
      </c>
      <c r="H1991">
        <v>1</v>
      </c>
    </row>
    <row r="1992" spans="1:8" x14ac:dyDescent="0.25">
      <c r="A1992" t="s">
        <v>1772</v>
      </c>
      <c r="B1992" t="s">
        <v>3213</v>
      </c>
      <c r="C1992" t="s">
        <v>3216</v>
      </c>
      <c r="D1992" t="s">
        <v>3223</v>
      </c>
      <c r="E1992" t="s">
        <v>3226</v>
      </c>
      <c r="F1992">
        <v>20784.939999999999</v>
      </c>
      <c r="G1992">
        <v>14540.24</v>
      </c>
      <c r="H1992">
        <v>2</v>
      </c>
    </row>
    <row r="1993" spans="1:8" x14ac:dyDescent="0.25">
      <c r="A1993" t="s">
        <v>1773</v>
      </c>
      <c r="B1993" t="s">
        <v>3213</v>
      </c>
      <c r="C1993" t="s">
        <v>3216</v>
      </c>
      <c r="D1993" t="s">
        <v>3224</v>
      </c>
      <c r="E1993" t="s">
        <v>3226</v>
      </c>
      <c r="G1993">
        <v>122198.32</v>
      </c>
      <c r="H1993">
        <v>3</v>
      </c>
    </row>
    <row r="1994" spans="1:8" x14ac:dyDescent="0.25">
      <c r="A1994" t="s">
        <v>1192</v>
      </c>
      <c r="B1994" t="s">
        <v>3215</v>
      </c>
      <c r="C1994" t="s">
        <v>3218</v>
      </c>
      <c r="D1994" t="s">
        <v>3224</v>
      </c>
      <c r="E1994" t="s">
        <v>3226</v>
      </c>
      <c r="F1994">
        <v>279163.34999999998</v>
      </c>
      <c r="G1994">
        <v>226484.31</v>
      </c>
      <c r="H1994">
        <v>5</v>
      </c>
    </row>
    <row r="1995" spans="1:8" x14ac:dyDescent="0.25">
      <c r="A1995" t="s">
        <v>356</v>
      </c>
      <c r="B1995" t="s">
        <v>3215</v>
      </c>
      <c r="C1995" t="s">
        <v>3216</v>
      </c>
      <c r="D1995" t="s">
        <v>3222</v>
      </c>
      <c r="E1995" t="s">
        <v>3226</v>
      </c>
      <c r="F1995">
        <v>12905.27</v>
      </c>
      <c r="G1995">
        <v>8812.7900000000009</v>
      </c>
      <c r="H1995">
        <v>1</v>
      </c>
    </row>
    <row r="1996" spans="1:8" x14ac:dyDescent="0.25">
      <c r="A1996" t="s">
        <v>1774</v>
      </c>
      <c r="C1996" t="s">
        <v>3217</v>
      </c>
      <c r="D1996" t="s">
        <v>3224</v>
      </c>
      <c r="E1996" t="s">
        <v>3226</v>
      </c>
      <c r="F1996">
        <v>264163.77</v>
      </c>
      <c r="G1996">
        <v>182495.96</v>
      </c>
      <c r="H1996">
        <v>4</v>
      </c>
    </row>
    <row r="1997" spans="1:8" x14ac:dyDescent="0.25">
      <c r="A1997" t="s">
        <v>1775</v>
      </c>
      <c r="B1997" t="s">
        <v>3213</v>
      </c>
      <c r="C1997" t="s">
        <v>3220</v>
      </c>
      <c r="D1997" t="s">
        <v>3224</v>
      </c>
      <c r="E1997" t="s">
        <v>3226</v>
      </c>
      <c r="F1997">
        <v>289984.14</v>
      </c>
      <c r="G1997">
        <v>209619.31</v>
      </c>
      <c r="H1997">
        <v>5</v>
      </c>
    </row>
    <row r="1998" spans="1:8" x14ac:dyDescent="0.25">
      <c r="A1998" t="s">
        <v>1776</v>
      </c>
      <c r="B1998" t="s">
        <v>3214</v>
      </c>
      <c r="C1998" t="s">
        <v>3221</v>
      </c>
      <c r="D1998" t="s">
        <v>3224</v>
      </c>
      <c r="E1998" t="s">
        <v>3226</v>
      </c>
      <c r="F1998">
        <v>269428.46999999997</v>
      </c>
      <c r="G1998">
        <v>193663.4</v>
      </c>
      <c r="H1998">
        <v>4</v>
      </c>
    </row>
    <row r="1999" spans="1:8" x14ac:dyDescent="0.25">
      <c r="A1999" t="s">
        <v>572</v>
      </c>
      <c r="B1999" t="s">
        <v>3212</v>
      </c>
      <c r="C1999" t="s">
        <v>3220</v>
      </c>
      <c r="D1999" t="s">
        <v>3224</v>
      </c>
      <c r="E1999" t="s">
        <v>3226</v>
      </c>
      <c r="F1999">
        <v>299727.28999999998</v>
      </c>
      <c r="G1999">
        <v>223906.9</v>
      </c>
      <c r="H1999">
        <v>5</v>
      </c>
    </row>
    <row r="2000" spans="1:8" x14ac:dyDescent="0.25">
      <c r="A2000" t="s">
        <v>1777</v>
      </c>
      <c r="B2000" t="s">
        <v>3214</v>
      </c>
      <c r="C2000" t="s">
        <v>3217</v>
      </c>
      <c r="D2000" t="s">
        <v>3225</v>
      </c>
      <c r="E2000" t="s">
        <v>3226</v>
      </c>
      <c r="F2000">
        <v>90588.9</v>
      </c>
      <c r="G2000">
        <v>61080.68</v>
      </c>
    </row>
    <row r="2001" spans="1:8" x14ac:dyDescent="0.25">
      <c r="A2001" t="s">
        <v>1778</v>
      </c>
      <c r="B2001" t="s">
        <v>3213</v>
      </c>
      <c r="C2001" t="s">
        <v>3221</v>
      </c>
      <c r="D2001" t="s">
        <v>3225</v>
      </c>
      <c r="E2001" t="s">
        <v>3226</v>
      </c>
      <c r="F2001">
        <v>71350.44</v>
      </c>
      <c r="G2001">
        <v>35759.15</v>
      </c>
      <c r="H2001">
        <v>3</v>
      </c>
    </row>
    <row r="2002" spans="1:8" x14ac:dyDescent="0.25">
      <c r="A2002" t="s">
        <v>240</v>
      </c>
      <c r="B2002" t="s">
        <v>3215</v>
      </c>
      <c r="C2002" t="s">
        <v>3216</v>
      </c>
      <c r="D2002" t="s">
        <v>3222</v>
      </c>
      <c r="E2002" t="s">
        <v>3226</v>
      </c>
      <c r="F2002">
        <v>66730.42</v>
      </c>
      <c r="H2002">
        <v>5</v>
      </c>
    </row>
    <row r="2003" spans="1:8" x14ac:dyDescent="0.25">
      <c r="A2003" t="s">
        <v>1779</v>
      </c>
      <c r="C2003" t="s">
        <v>3218</v>
      </c>
      <c r="D2003" t="s">
        <v>3225</v>
      </c>
      <c r="E2003" t="s">
        <v>3226</v>
      </c>
      <c r="F2003">
        <v>23768.23</v>
      </c>
      <c r="G2003">
        <v>13684.57</v>
      </c>
      <c r="H2003">
        <v>1</v>
      </c>
    </row>
    <row r="2004" spans="1:8" x14ac:dyDescent="0.25">
      <c r="A2004" t="s">
        <v>1780</v>
      </c>
      <c r="B2004" t="s">
        <v>3215</v>
      </c>
      <c r="C2004" t="s">
        <v>3219</v>
      </c>
      <c r="D2004" t="s">
        <v>3222</v>
      </c>
      <c r="E2004" t="s">
        <v>3226</v>
      </c>
      <c r="F2004">
        <v>30410.63</v>
      </c>
      <c r="G2004">
        <v>18428.759999999998</v>
      </c>
      <c r="H2004">
        <v>2</v>
      </c>
    </row>
    <row r="2005" spans="1:8" x14ac:dyDescent="0.25">
      <c r="A2005" t="s">
        <v>1781</v>
      </c>
      <c r="B2005" t="s">
        <v>3213</v>
      </c>
      <c r="C2005" t="s">
        <v>3219</v>
      </c>
      <c r="D2005" t="s">
        <v>3223</v>
      </c>
      <c r="E2005" t="s">
        <v>3226</v>
      </c>
      <c r="F2005">
        <v>11587.51</v>
      </c>
      <c r="H2005">
        <v>1</v>
      </c>
    </row>
    <row r="2006" spans="1:8" x14ac:dyDescent="0.25">
      <c r="A2006" t="s">
        <v>1782</v>
      </c>
      <c r="B2006" t="s">
        <v>3214</v>
      </c>
      <c r="C2006" t="s">
        <v>3221</v>
      </c>
      <c r="D2006" t="s">
        <v>3223</v>
      </c>
      <c r="E2006" t="s">
        <v>3226</v>
      </c>
      <c r="F2006">
        <v>36348</v>
      </c>
      <c r="G2006">
        <v>23904.5</v>
      </c>
      <c r="H2006">
        <v>4</v>
      </c>
    </row>
    <row r="2007" spans="1:8" x14ac:dyDescent="0.25">
      <c r="A2007" t="s">
        <v>1783</v>
      </c>
      <c r="C2007" t="s">
        <v>3216</v>
      </c>
      <c r="D2007" t="s">
        <v>3223</v>
      </c>
      <c r="E2007" t="s">
        <v>3226</v>
      </c>
      <c r="F2007">
        <v>38157.629999999997</v>
      </c>
      <c r="G2007">
        <v>25276.23</v>
      </c>
      <c r="H2007">
        <v>4</v>
      </c>
    </row>
    <row r="2008" spans="1:8" x14ac:dyDescent="0.25">
      <c r="A2008" t="s">
        <v>1784</v>
      </c>
      <c r="B2008" t="s">
        <v>3215</v>
      </c>
      <c r="C2008" t="s">
        <v>3220</v>
      </c>
      <c r="D2008" t="s">
        <v>3225</v>
      </c>
      <c r="E2008" t="s">
        <v>3226</v>
      </c>
      <c r="F2008">
        <v>16412.12</v>
      </c>
      <c r="G2008">
        <v>15225.35</v>
      </c>
      <c r="H2008">
        <v>1</v>
      </c>
    </row>
    <row r="2009" spans="1:8" x14ac:dyDescent="0.25">
      <c r="A2009" t="s">
        <v>1785</v>
      </c>
      <c r="B2009" t="s">
        <v>3211</v>
      </c>
      <c r="C2009" t="s">
        <v>3219</v>
      </c>
      <c r="D2009" t="s">
        <v>3222</v>
      </c>
      <c r="E2009" t="s">
        <v>3226</v>
      </c>
      <c r="F2009">
        <v>33828.379999999997</v>
      </c>
      <c r="H2009">
        <v>2</v>
      </c>
    </row>
    <row r="2010" spans="1:8" x14ac:dyDescent="0.25">
      <c r="A2010" t="s">
        <v>1786</v>
      </c>
      <c r="B2010" t="s">
        <v>3213</v>
      </c>
      <c r="C2010" t="s">
        <v>3218</v>
      </c>
      <c r="D2010" t="s">
        <v>3225</v>
      </c>
      <c r="E2010" t="s">
        <v>3226</v>
      </c>
      <c r="F2010">
        <v>89713.18</v>
      </c>
      <c r="G2010">
        <v>67564.22</v>
      </c>
      <c r="H2010">
        <v>5</v>
      </c>
    </row>
    <row r="2011" spans="1:8" x14ac:dyDescent="0.25">
      <c r="A2011" t="s">
        <v>1787</v>
      </c>
      <c r="B2011" t="s">
        <v>3215</v>
      </c>
      <c r="C2011" t="s">
        <v>3216</v>
      </c>
      <c r="D2011" t="s">
        <v>3224</v>
      </c>
      <c r="E2011" t="s">
        <v>3226</v>
      </c>
      <c r="F2011">
        <v>150758.26</v>
      </c>
      <c r="H2011">
        <v>3</v>
      </c>
    </row>
    <row r="2012" spans="1:8" x14ac:dyDescent="0.25">
      <c r="A2012" t="s">
        <v>1788</v>
      </c>
      <c r="B2012" t="s">
        <v>3212</v>
      </c>
      <c r="C2012" t="s">
        <v>3216</v>
      </c>
      <c r="D2012" t="s">
        <v>3223</v>
      </c>
      <c r="E2012" t="s">
        <v>3226</v>
      </c>
      <c r="F2012">
        <v>17046.64</v>
      </c>
      <c r="G2012">
        <v>12379.68</v>
      </c>
      <c r="H2012">
        <v>2</v>
      </c>
    </row>
    <row r="2013" spans="1:8" x14ac:dyDescent="0.25">
      <c r="A2013" t="s">
        <v>1789</v>
      </c>
      <c r="B2013" t="s">
        <v>3211</v>
      </c>
      <c r="C2013" t="s">
        <v>3219</v>
      </c>
      <c r="D2013" t="s">
        <v>3225</v>
      </c>
      <c r="E2013" t="s">
        <v>3226</v>
      </c>
      <c r="F2013">
        <v>70519.91</v>
      </c>
      <c r="G2013">
        <v>36600.81</v>
      </c>
      <c r="H2013">
        <v>3</v>
      </c>
    </row>
    <row r="2014" spans="1:8" x14ac:dyDescent="0.25">
      <c r="A2014" t="s">
        <v>1790</v>
      </c>
      <c r="B2014" t="s">
        <v>3213</v>
      </c>
      <c r="C2014" t="s">
        <v>3221</v>
      </c>
      <c r="D2014" t="s">
        <v>3224</v>
      </c>
      <c r="E2014" t="s">
        <v>3226</v>
      </c>
      <c r="F2014">
        <v>281926.15999999997</v>
      </c>
      <c r="G2014">
        <v>243388.7</v>
      </c>
      <c r="H2014">
        <v>5</v>
      </c>
    </row>
    <row r="2015" spans="1:8" x14ac:dyDescent="0.25">
      <c r="A2015" t="s">
        <v>1791</v>
      </c>
      <c r="B2015" t="s">
        <v>3215</v>
      </c>
      <c r="C2015" t="s">
        <v>3220</v>
      </c>
      <c r="D2015" t="s">
        <v>3222</v>
      </c>
      <c r="E2015" t="s">
        <v>3226</v>
      </c>
      <c r="F2015">
        <v>54386.11</v>
      </c>
      <c r="G2015">
        <v>37840.15</v>
      </c>
      <c r="H2015">
        <v>4</v>
      </c>
    </row>
    <row r="2016" spans="1:8" x14ac:dyDescent="0.25">
      <c r="A2016" t="s">
        <v>274</v>
      </c>
      <c r="B2016" t="s">
        <v>3212</v>
      </c>
      <c r="C2016" t="s">
        <v>3220</v>
      </c>
      <c r="D2016" t="s">
        <v>3224</v>
      </c>
      <c r="E2016" t="s">
        <v>3226</v>
      </c>
      <c r="F2016">
        <v>270151.09999999998</v>
      </c>
      <c r="G2016">
        <v>196402.05</v>
      </c>
      <c r="H2016">
        <v>5</v>
      </c>
    </row>
    <row r="2017" spans="1:8" x14ac:dyDescent="0.25">
      <c r="A2017" t="s">
        <v>1483</v>
      </c>
      <c r="B2017" t="s">
        <v>3215</v>
      </c>
      <c r="C2017" t="s">
        <v>3218</v>
      </c>
      <c r="D2017" t="s">
        <v>3224</v>
      </c>
      <c r="E2017" t="s">
        <v>3226</v>
      </c>
      <c r="F2017">
        <v>69349.320000000007</v>
      </c>
      <c r="G2017">
        <v>41418.04</v>
      </c>
      <c r="H2017">
        <v>1</v>
      </c>
    </row>
    <row r="2018" spans="1:8" x14ac:dyDescent="0.25">
      <c r="A2018" t="s">
        <v>1792</v>
      </c>
      <c r="B2018" t="s">
        <v>3213</v>
      </c>
      <c r="C2018" t="s">
        <v>3216</v>
      </c>
      <c r="D2018" t="s">
        <v>3224</v>
      </c>
      <c r="E2018" t="s">
        <v>3226</v>
      </c>
      <c r="F2018">
        <v>51654.239999999998</v>
      </c>
      <c r="G2018">
        <v>38754.660000000003</v>
      </c>
      <c r="H2018">
        <v>1</v>
      </c>
    </row>
    <row r="2019" spans="1:8" x14ac:dyDescent="0.25">
      <c r="A2019" t="s">
        <v>1793</v>
      </c>
      <c r="B2019" t="s">
        <v>3215</v>
      </c>
      <c r="C2019" t="s">
        <v>3216</v>
      </c>
      <c r="D2019" t="s">
        <v>3222</v>
      </c>
      <c r="E2019" t="s">
        <v>3226</v>
      </c>
      <c r="F2019">
        <v>25866.16</v>
      </c>
      <c r="G2019">
        <v>19945.3</v>
      </c>
      <c r="H2019">
        <v>2</v>
      </c>
    </row>
    <row r="2020" spans="1:8" x14ac:dyDescent="0.25">
      <c r="A2020" t="s">
        <v>1794</v>
      </c>
      <c r="B2020" t="s">
        <v>3212</v>
      </c>
      <c r="C2020" t="s">
        <v>3216</v>
      </c>
      <c r="D2020" t="s">
        <v>3224</v>
      </c>
      <c r="E2020" t="s">
        <v>3226</v>
      </c>
      <c r="F2020">
        <v>107630.67</v>
      </c>
      <c r="G2020">
        <v>96542.05</v>
      </c>
      <c r="H2020">
        <v>2</v>
      </c>
    </row>
    <row r="2021" spans="1:8" x14ac:dyDescent="0.25">
      <c r="A2021" t="s">
        <v>1795</v>
      </c>
      <c r="B2021" t="s">
        <v>3213</v>
      </c>
      <c r="C2021" t="s">
        <v>3217</v>
      </c>
      <c r="D2021" t="s">
        <v>3222</v>
      </c>
      <c r="E2021" t="s">
        <v>3226</v>
      </c>
      <c r="F2021">
        <v>34458.17</v>
      </c>
      <c r="G2021">
        <v>19361.79</v>
      </c>
      <c r="H2021">
        <v>2</v>
      </c>
    </row>
    <row r="2022" spans="1:8" x14ac:dyDescent="0.25">
      <c r="A2022" t="s">
        <v>100</v>
      </c>
      <c r="B2022" t="s">
        <v>3213</v>
      </c>
      <c r="C2022" t="s">
        <v>3221</v>
      </c>
      <c r="D2022" t="s">
        <v>3222</v>
      </c>
      <c r="E2022" t="s">
        <v>3226</v>
      </c>
      <c r="G2022">
        <v>20412.03</v>
      </c>
      <c r="H2022">
        <v>2</v>
      </c>
    </row>
    <row r="2023" spans="1:8" x14ac:dyDescent="0.25">
      <c r="A2023" t="s">
        <v>1796</v>
      </c>
      <c r="B2023" t="s">
        <v>3213</v>
      </c>
      <c r="C2023" t="s">
        <v>3217</v>
      </c>
      <c r="D2023" t="s">
        <v>3223</v>
      </c>
      <c r="E2023" t="s">
        <v>3226</v>
      </c>
      <c r="F2023">
        <v>41078.25</v>
      </c>
      <c r="G2023">
        <v>35154.93</v>
      </c>
      <c r="H2023">
        <v>5</v>
      </c>
    </row>
    <row r="2024" spans="1:8" x14ac:dyDescent="0.25">
      <c r="A2024" t="s">
        <v>1797</v>
      </c>
      <c r="C2024" t="s">
        <v>3221</v>
      </c>
      <c r="D2024" t="s">
        <v>3225</v>
      </c>
      <c r="E2024" t="s">
        <v>3226</v>
      </c>
      <c r="F2024">
        <v>105793.92</v>
      </c>
      <c r="H2024">
        <v>5</v>
      </c>
    </row>
    <row r="2025" spans="1:8" x14ac:dyDescent="0.25">
      <c r="A2025" t="s">
        <v>921</v>
      </c>
      <c r="B2025" t="s">
        <v>3212</v>
      </c>
      <c r="C2025" t="s">
        <v>3221</v>
      </c>
      <c r="D2025" t="s">
        <v>3222</v>
      </c>
      <c r="E2025" t="s">
        <v>3226</v>
      </c>
      <c r="F2025">
        <v>38056.42</v>
      </c>
      <c r="H2025">
        <v>3</v>
      </c>
    </row>
    <row r="2026" spans="1:8" x14ac:dyDescent="0.25">
      <c r="A2026" t="s">
        <v>1798</v>
      </c>
      <c r="B2026" t="s">
        <v>3212</v>
      </c>
      <c r="C2026" t="s">
        <v>3220</v>
      </c>
      <c r="D2026" t="s">
        <v>3225</v>
      </c>
      <c r="E2026" t="s">
        <v>3226</v>
      </c>
      <c r="F2026">
        <v>114202.43</v>
      </c>
      <c r="H2026">
        <v>5</v>
      </c>
    </row>
    <row r="2027" spans="1:8" x14ac:dyDescent="0.25">
      <c r="A2027" t="s">
        <v>140</v>
      </c>
      <c r="B2027" t="s">
        <v>3211</v>
      </c>
      <c r="C2027" t="s">
        <v>3219</v>
      </c>
      <c r="D2027" t="s">
        <v>3225</v>
      </c>
      <c r="E2027" t="s">
        <v>3226</v>
      </c>
      <c r="F2027">
        <v>45296.74</v>
      </c>
      <c r="G2027">
        <v>27155.95</v>
      </c>
      <c r="H2027">
        <v>2</v>
      </c>
    </row>
    <row r="2028" spans="1:8" x14ac:dyDescent="0.25">
      <c r="A2028" t="s">
        <v>1799</v>
      </c>
      <c r="B2028" t="s">
        <v>3211</v>
      </c>
      <c r="C2028" t="s">
        <v>3221</v>
      </c>
      <c r="D2028" t="s">
        <v>3224</v>
      </c>
      <c r="E2028" t="s">
        <v>3226</v>
      </c>
      <c r="F2028">
        <v>273235.95</v>
      </c>
      <c r="G2028">
        <v>173467.34</v>
      </c>
      <c r="H2028">
        <v>4</v>
      </c>
    </row>
    <row r="2029" spans="1:8" x14ac:dyDescent="0.25">
      <c r="A2029" t="s">
        <v>1800</v>
      </c>
      <c r="B2029" t="s">
        <v>3213</v>
      </c>
      <c r="C2029" t="s">
        <v>3219</v>
      </c>
      <c r="D2029" t="s">
        <v>3225</v>
      </c>
      <c r="E2029" t="s">
        <v>3226</v>
      </c>
      <c r="F2029">
        <v>23101.27</v>
      </c>
      <c r="G2029">
        <v>13065.29</v>
      </c>
      <c r="H2029">
        <v>1</v>
      </c>
    </row>
    <row r="2030" spans="1:8" x14ac:dyDescent="0.25">
      <c r="A2030" t="s">
        <v>1726</v>
      </c>
      <c r="B2030" t="s">
        <v>3214</v>
      </c>
      <c r="C2030" t="s">
        <v>3221</v>
      </c>
      <c r="D2030" t="s">
        <v>3223</v>
      </c>
      <c r="E2030" t="s">
        <v>3226</v>
      </c>
      <c r="F2030">
        <v>25970.65</v>
      </c>
      <c r="G2030">
        <v>18222.150000000001</v>
      </c>
      <c r="H2030">
        <v>3</v>
      </c>
    </row>
    <row r="2031" spans="1:8" x14ac:dyDescent="0.25">
      <c r="A2031" t="s">
        <v>301</v>
      </c>
      <c r="B2031" t="s">
        <v>3214</v>
      </c>
      <c r="C2031" t="s">
        <v>3221</v>
      </c>
      <c r="D2031" t="s">
        <v>3222</v>
      </c>
      <c r="E2031" t="s">
        <v>3226</v>
      </c>
      <c r="F2031">
        <v>61104.160000000003</v>
      </c>
      <c r="G2031">
        <v>41003.06</v>
      </c>
      <c r="H2031">
        <v>4</v>
      </c>
    </row>
    <row r="2032" spans="1:8" x14ac:dyDescent="0.25">
      <c r="A2032" t="s">
        <v>1801</v>
      </c>
      <c r="B2032" t="s">
        <v>3212</v>
      </c>
      <c r="C2032" t="s">
        <v>3216</v>
      </c>
      <c r="D2032" t="s">
        <v>3223</v>
      </c>
      <c r="E2032" t="s">
        <v>3226</v>
      </c>
      <c r="F2032">
        <v>24940.66</v>
      </c>
      <c r="G2032">
        <v>17959.009999999998</v>
      </c>
      <c r="H2032">
        <v>3</v>
      </c>
    </row>
    <row r="2033" spans="1:8" x14ac:dyDescent="0.25">
      <c r="A2033" t="s">
        <v>1802</v>
      </c>
      <c r="B2033" t="s">
        <v>3212</v>
      </c>
      <c r="C2033" t="s">
        <v>3218</v>
      </c>
      <c r="D2033" t="s">
        <v>3224</v>
      </c>
      <c r="E2033" t="s">
        <v>3226</v>
      </c>
      <c r="F2033">
        <v>266439.78999999998</v>
      </c>
      <c r="G2033">
        <v>176617.51</v>
      </c>
      <c r="H2033">
        <v>4</v>
      </c>
    </row>
    <row r="2034" spans="1:8" x14ac:dyDescent="0.25">
      <c r="A2034" t="s">
        <v>1803</v>
      </c>
      <c r="B2034" t="s">
        <v>3214</v>
      </c>
      <c r="C2034" t="s">
        <v>3219</v>
      </c>
      <c r="D2034" t="s">
        <v>3222</v>
      </c>
      <c r="E2034" t="s">
        <v>3226</v>
      </c>
      <c r="F2034">
        <v>57974.44</v>
      </c>
      <c r="G2034">
        <v>35001.71</v>
      </c>
      <c r="H2034">
        <v>4</v>
      </c>
    </row>
    <row r="2035" spans="1:8" x14ac:dyDescent="0.25">
      <c r="A2035" t="s">
        <v>1804</v>
      </c>
      <c r="B2035" t="s">
        <v>3212</v>
      </c>
      <c r="C2035" t="s">
        <v>3220</v>
      </c>
      <c r="D2035" t="s">
        <v>3225</v>
      </c>
      <c r="E2035" t="s">
        <v>3226</v>
      </c>
      <c r="F2035">
        <v>84141.36</v>
      </c>
      <c r="G2035">
        <v>74848.039999999994</v>
      </c>
      <c r="H2035">
        <v>5</v>
      </c>
    </row>
    <row r="2036" spans="1:8" x14ac:dyDescent="0.25">
      <c r="A2036" t="s">
        <v>1786</v>
      </c>
      <c r="B2036" t="s">
        <v>3213</v>
      </c>
      <c r="C2036" t="s">
        <v>3218</v>
      </c>
      <c r="D2036" t="s">
        <v>3222</v>
      </c>
      <c r="E2036" t="s">
        <v>3226</v>
      </c>
      <c r="F2036">
        <v>53832.77</v>
      </c>
      <c r="G2036">
        <v>30092.62</v>
      </c>
    </row>
    <row r="2037" spans="1:8" x14ac:dyDescent="0.25">
      <c r="A2037" t="s">
        <v>1805</v>
      </c>
      <c r="C2037" t="s">
        <v>3217</v>
      </c>
      <c r="D2037" t="s">
        <v>3225</v>
      </c>
      <c r="E2037" t="s">
        <v>3226</v>
      </c>
      <c r="F2037">
        <v>80134.5</v>
      </c>
      <c r="G2037">
        <v>66161.69</v>
      </c>
      <c r="H2037">
        <v>5</v>
      </c>
    </row>
    <row r="2038" spans="1:8" x14ac:dyDescent="0.25">
      <c r="A2038" t="s">
        <v>1806</v>
      </c>
      <c r="C2038" t="s">
        <v>3219</v>
      </c>
      <c r="D2038" t="s">
        <v>3225</v>
      </c>
      <c r="E2038" t="s">
        <v>3226</v>
      </c>
      <c r="F2038">
        <v>52990.86</v>
      </c>
      <c r="G2038">
        <v>42568.97</v>
      </c>
      <c r="H2038">
        <v>3</v>
      </c>
    </row>
    <row r="2039" spans="1:8" x14ac:dyDescent="0.25">
      <c r="A2039" t="s">
        <v>1807</v>
      </c>
      <c r="C2039" t="s">
        <v>3216</v>
      </c>
      <c r="D2039" t="s">
        <v>3223</v>
      </c>
      <c r="E2039" t="s">
        <v>3226</v>
      </c>
      <c r="F2039">
        <v>47256.91</v>
      </c>
      <c r="G2039">
        <v>29713.71</v>
      </c>
      <c r="H2039">
        <v>4</v>
      </c>
    </row>
    <row r="2040" spans="1:8" x14ac:dyDescent="0.25">
      <c r="A2040" t="s">
        <v>1808</v>
      </c>
      <c r="C2040" t="s">
        <v>3220</v>
      </c>
      <c r="D2040" t="s">
        <v>3222</v>
      </c>
      <c r="E2040" t="s">
        <v>3226</v>
      </c>
      <c r="F2040">
        <v>51040.59</v>
      </c>
    </row>
    <row r="2041" spans="1:8" x14ac:dyDescent="0.25">
      <c r="A2041" t="s">
        <v>1809</v>
      </c>
      <c r="C2041" t="s">
        <v>3218</v>
      </c>
      <c r="D2041" t="s">
        <v>3223</v>
      </c>
      <c r="E2041" t="s">
        <v>3226</v>
      </c>
      <c r="F2041">
        <v>32245.06</v>
      </c>
      <c r="G2041">
        <v>19189.810000000001</v>
      </c>
      <c r="H2041">
        <v>3</v>
      </c>
    </row>
    <row r="2042" spans="1:8" x14ac:dyDescent="0.25">
      <c r="A2042" t="s">
        <v>1810</v>
      </c>
      <c r="B2042" t="s">
        <v>3213</v>
      </c>
      <c r="C2042" t="s">
        <v>3218</v>
      </c>
      <c r="D2042" t="s">
        <v>3223</v>
      </c>
      <c r="E2042" t="s">
        <v>3226</v>
      </c>
      <c r="F2042">
        <v>17454.580000000002</v>
      </c>
      <c r="G2042">
        <v>14004.38</v>
      </c>
      <c r="H2042">
        <v>2</v>
      </c>
    </row>
    <row r="2043" spans="1:8" x14ac:dyDescent="0.25">
      <c r="A2043" t="s">
        <v>1811</v>
      </c>
      <c r="B2043" t="s">
        <v>3214</v>
      </c>
      <c r="C2043" t="s">
        <v>3217</v>
      </c>
      <c r="D2043" t="s">
        <v>3223</v>
      </c>
      <c r="E2043" t="s">
        <v>3226</v>
      </c>
      <c r="F2043">
        <v>33691.760000000002</v>
      </c>
      <c r="G2043">
        <v>23970.05</v>
      </c>
      <c r="H2043">
        <v>4</v>
      </c>
    </row>
    <row r="2044" spans="1:8" x14ac:dyDescent="0.25">
      <c r="A2044" t="s">
        <v>215</v>
      </c>
      <c r="B2044" t="s">
        <v>3215</v>
      </c>
      <c r="C2044" t="s">
        <v>3217</v>
      </c>
      <c r="D2044" t="s">
        <v>3222</v>
      </c>
      <c r="E2044" t="s">
        <v>3226</v>
      </c>
      <c r="F2044">
        <v>81011.81</v>
      </c>
      <c r="H2044">
        <v>5</v>
      </c>
    </row>
    <row r="2045" spans="1:8" x14ac:dyDescent="0.25">
      <c r="A2045" t="s">
        <v>1812</v>
      </c>
      <c r="B2045" t="s">
        <v>3213</v>
      </c>
      <c r="C2045" t="s">
        <v>3218</v>
      </c>
      <c r="D2045" t="s">
        <v>3222</v>
      </c>
      <c r="E2045" t="s">
        <v>3226</v>
      </c>
      <c r="F2045">
        <v>68854.94</v>
      </c>
      <c r="G2045">
        <v>47779.07</v>
      </c>
      <c r="H2045">
        <v>5</v>
      </c>
    </row>
    <row r="2046" spans="1:8" x14ac:dyDescent="0.25">
      <c r="A2046" t="s">
        <v>1813</v>
      </c>
      <c r="C2046" t="s">
        <v>3218</v>
      </c>
      <c r="D2046" t="s">
        <v>3222</v>
      </c>
      <c r="E2046" t="s">
        <v>3226</v>
      </c>
      <c r="F2046">
        <v>50705.53</v>
      </c>
      <c r="G2046">
        <v>34802.18</v>
      </c>
      <c r="H2046">
        <v>4</v>
      </c>
    </row>
    <row r="2047" spans="1:8" x14ac:dyDescent="0.25">
      <c r="A2047" t="s">
        <v>1814</v>
      </c>
      <c r="B2047" t="s">
        <v>3215</v>
      </c>
      <c r="C2047" t="s">
        <v>3218</v>
      </c>
      <c r="D2047" t="s">
        <v>3223</v>
      </c>
      <c r="E2047" t="s">
        <v>3226</v>
      </c>
      <c r="F2047">
        <v>9670.42</v>
      </c>
      <c r="G2047">
        <v>6321.08</v>
      </c>
      <c r="H2047">
        <v>1</v>
      </c>
    </row>
    <row r="2048" spans="1:8" x14ac:dyDescent="0.25">
      <c r="A2048" t="s">
        <v>558</v>
      </c>
      <c r="B2048" t="s">
        <v>3212</v>
      </c>
      <c r="C2048" t="s">
        <v>3217</v>
      </c>
      <c r="D2048" t="s">
        <v>3222</v>
      </c>
      <c r="E2048" t="s">
        <v>3226</v>
      </c>
      <c r="F2048">
        <v>42315.09</v>
      </c>
      <c r="H2048">
        <v>3</v>
      </c>
    </row>
    <row r="2049" spans="1:8" x14ac:dyDescent="0.25">
      <c r="A2049" t="s">
        <v>1815</v>
      </c>
      <c r="C2049" t="s">
        <v>3217</v>
      </c>
      <c r="D2049" t="s">
        <v>3224</v>
      </c>
      <c r="E2049" t="s">
        <v>3226</v>
      </c>
      <c r="F2049">
        <v>65040.55</v>
      </c>
      <c r="G2049">
        <v>44104.41</v>
      </c>
      <c r="H2049">
        <v>1</v>
      </c>
    </row>
    <row r="2050" spans="1:8" x14ac:dyDescent="0.25">
      <c r="A2050" t="s">
        <v>1816</v>
      </c>
      <c r="B2050" t="s">
        <v>3215</v>
      </c>
      <c r="C2050" t="s">
        <v>3217</v>
      </c>
      <c r="D2050" t="s">
        <v>3225</v>
      </c>
      <c r="E2050" t="s">
        <v>3226</v>
      </c>
      <c r="F2050">
        <v>61264.94</v>
      </c>
      <c r="G2050">
        <v>41773.699999999997</v>
      </c>
      <c r="H2050">
        <v>3</v>
      </c>
    </row>
    <row r="2051" spans="1:8" x14ac:dyDescent="0.25">
      <c r="A2051" t="s">
        <v>904</v>
      </c>
      <c r="B2051" t="s">
        <v>3213</v>
      </c>
      <c r="C2051" t="s">
        <v>3220</v>
      </c>
      <c r="D2051" t="s">
        <v>3223</v>
      </c>
      <c r="E2051" t="s">
        <v>3226</v>
      </c>
      <c r="F2051">
        <v>20854.88</v>
      </c>
      <c r="G2051">
        <v>14729.14</v>
      </c>
      <c r="H2051">
        <v>2</v>
      </c>
    </row>
    <row r="2052" spans="1:8" x14ac:dyDescent="0.25">
      <c r="A2052" t="s">
        <v>1817</v>
      </c>
      <c r="B2052" t="s">
        <v>3211</v>
      </c>
      <c r="C2052" t="s">
        <v>3218</v>
      </c>
      <c r="D2052" t="s">
        <v>3224</v>
      </c>
      <c r="E2052" t="s">
        <v>3226</v>
      </c>
      <c r="F2052">
        <v>62330.99</v>
      </c>
      <c r="G2052">
        <v>41036.06</v>
      </c>
    </row>
    <row r="2053" spans="1:8" x14ac:dyDescent="0.25">
      <c r="A2053" t="s">
        <v>1818</v>
      </c>
      <c r="B2053" t="s">
        <v>3215</v>
      </c>
      <c r="C2053" t="s">
        <v>3216</v>
      </c>
      <c r="D2053" t="s">
        <v>3225</v>
      </c>
      <c r="E2053" t="s">
        <v>3226</v>
      </c>
      <c r="F2053">
        <v>91700.31</v>
      </c>
      <c r="G2053">
        <v>68968.740000000005</v>
      </c>
      <c r="H2053">
        <v>5</v>
      </c>
    </row>
    <row r="2054" spans="1:8" x14ac:dyDescent="0.25">
      <c r="A2054" t="s">
        <v>1819</v>
      </c>
      <c r="C2054" t="s">
        <v>3221</v>
      </c>
      <c r="D2054" t="s">
        <v>3224</v>
      </c>
      <c r="E2054" t="s">
        <v>3226</v>
      </c>
      <c r="F2054">
        <v>64329.98</v>
      </c>
      <c r="G2054">
        <v>42613.88</v>
      </c>
      <c r="H2054">
        <v>1</v>
      </c>
    </row>
    <row r="2055" spans="1:8" x14ac:dyDescent="0.25">
      <c r="A2055" t="s">
        <v>1820</v>
      </c>
      <c r="B2055" t="s">
        <v>3214</v>
      </c>
      <c r="C2055" t="s">
        <v>3221</v>
      </c>
      <c r="D2055" t="s">
        <v>3224</v>
      </c>
      <c r="E2055" t="s">
        <v>3226</v>
      </c>
      <c r="G2055">
        <v>195435.53</v>
      </c>
      <c r="H2055">
        <v>4</v>
      </c>
    </row>
    <row r="2056" spans="1:8" x14ac:dyDescent="0.25">
      <c r="A2056" t="s">
        <v>200</v>
      </c>
      <c r="B2056" t="s">
        <v>3211</v>
      </c>
      <c r="C2056" t="s">
        <v>3217</v>
      </c>
      <c r="D2056" t="s">
        <v>3225</v>
      </c>
      <c r="E2056" t="s">
        <v>3226</v>
      </c>
      <c r="G2056">
        <v>74533.17</v>
      </c>
      <c r="H2056">
        <v>5</v>
      </c>
    </row>
    <row r="2057" spans="1:8" x14ac:dyDescent="0.25">
      <c r="A2057" t="s">
        <v>1821</v>
      </c>
      <c r="B2057" t="s">
        <v>3213</v>
      </c>
      <c r="C2057" t="s">
        <v>3219</v>
      </c>
      <c r="D2057" t="s">
        <v>3224</v>
      </c>
      <c r="E2057" t="s">
        <v>3226</v>
      </c>
      <c r="F2057">
        <v>123988.45</v>
      </c>
      <c r="H2057">
        <v>2</v>
      </c>
    </row>
    <row r="2058" spans="1:8" x14ac:dyDescent="0.25">
      <c r="A2058" t="s">
        <v>1822</v>
      </c>
      <c r="B2058" t="s">
        <v>3211</v>
      </c>
      <c r="C2058" t="s">
        <v>3221</v>
      </c>
      <c r="D2058" t="s">
        <v>3225</v>
      </c>
      <c r="E2058" t="s">
        <v>3226</v>
      </c>
      <c r="F2058">
        <v>83207.210000000006</v>
      </c>
      <c r="G2058">
        <v>53336.46</v>
      </c>
      <c r="H2058">
        <v>4</v>
      </c>
    </row>
    <row r="2059" spans="1:8" x14ac:dyDescent="0.25">
      <c r="A2059" t="s">
        <v>1823</v>
      </c>
      <c r="B2059" t="s">
        <v>3212</v>
      </c>
      <c r="C2059" t="s">
        <v>3216</v>
      </c>
      <c r="D2059" t="s">
        <v>3223</v>
      </c>
      <c r="E2059" t="s">
        <v>3226</v>
      </c>
      <c r="F2059">
        <v>31444.11</v>
      </c>
      <c r="H2059">
        <v>3</v>
      </c>
    </row>
    <row r="2060" spans="1:8" x14ac:dyDescent="0.25">
      <c r="A2060" t="s">
        <v>1824</v>
      </c>
      <c r="C2060" t="s">
        <v>3220</v>
      </c>
      <c r="D2060" t="s">
        <v>3222</v>
      </c>
      <c r="E2060" t="s">
        <v>3226</v>
      </c>
      <c r="F2060">
        <v>35399.57</v>
      </c>
      <c r="G2060">
        <v>20570.060000000001</v>
      </c>
      <c r="H2060">
        <v>2</v>
      </c>
    </row>
    <row r="2061" spans="1:8" x14ac:dyDescent="0.25">
      <c r="A2061" t="s">
        <v>1825</v>
      </c>
      <c r="B2061" t="s">
        <v>3213</v>
      </c>
      <c r="C2061" t="s">
        <v>3218</v>
      </c>
      <c r="D2061" t="s">
        <v>3225</v>
      </c>
      <c r="E2061" t="s">
        <v>3226</v>
      </c>
      <c r="G2061">
        <v>29755.69</v>
      </c>
      <c r="H2061">
        <v>2</v>
      </c>
    </row>
    <row r="2062" spans="1:8" x14ac:dyDescent="0.25">
      <c r="A2062" t="s">
        <v>1826</v>
      </c>
      <c r="B2062" t="s">
        <v>3212</v>
      </c>
      <c r="C2062" t="s">
        <v>3218</v>
      </c>
      <c r="D2062" t="s">
        <v>3225</v>
      </c>
      <c r="E2062" t="s">
        <v>3226</v>
      </c>
      <c r="F2062">
        <v>90865.3</v>
      </c>
      <c r="G2062">
        <v>70110.210000000006</v>
      </c>
      <c r="H2062">
        <v>5</v>
      </c>
    </row>
    <row r="2063" spans="1:8" x14ac:dyDescent="0.25">
      <c r="A2063" t="s">
        <v>1827</v>
      </c>
      <c r="B2063" t="s">
        <v>3214</v>
      </c>
      <c r="C2063" t="s">
        <v>3219</v>
      </c>
      <c r="D2063" t="s">
        <v>3223</v>
      </c>
      <c r="E2063" t="s">
        <v>3226</v>
      </c>
      <c r="F2063">
        <v>26170.38</v>
      </c>
      <c r="G2063">
        <v>19535.53</v>
      </c>
      <c r="H2063">
        <v>3</v>
      </c>
    </row>
    <row r="2064" spans="1:8" x14ac:dyDescent="0.25">
      <c r="A2064" t="s">
        <v>1828</v>
      </c>
      <c r="B2064" t="s">
        <v>3213</v>
      </c>
      <c r="C2064" t="s">
        <v>3220</v>
      </c>
      <c r="D2064" t="s">
        <v>3223</v>
      </c>
      <c r="E2064" t="s">
        <v>3226</v>
      </c>
      <c r="F2064">
        <v>37423.53</v>
      </c>
      <c r="G2064">
        <v>26283.61</v>
      </c>
      <c r="H2064">
        <v>4</v>
      </c>
    </row>
    <row r="2065" spans="1:8" x14ac:dyDescent="0.25">
      <c r="A2065" t="s">
        <v>1829</v>
      </c>
      <c r="B2065" t="s">
        <v>3212</v>
      </c>
      <c r="C2065" t="s">
        <v>3220</v>
      </c>
      <c r="D2065" t="s">
        <v>3223</v>
      </c>
      <c r="E2065" t="s">
        <v>3226</v>
      </c>
      <c r="F2065">
        <v>59003.37</v>
      </c>
      <c r="G2065">
        <v>32105.09</v>
      </c>
      <c r="H2065">
        <v>5</v>
      </c>
    </row>
    <row r="2066" spans="1:8" x14ac:dyDescent="0.25">
      <c r="A2066" t="s">
        <v>1830</v>
      </c>
      <c r="B2066" t="s">
        <v>3213</v>
      </c>
      <c r="C2066" t="s">
        <v>3218</v>
      </c>
      <c r="D2066" t="s">
        <v>3225</v>
      </c>
      <c r="E2066" t="s">
        <v>3226</v>
      </c>
      <c r="F2066">
        <v>41162.15</v>
      </c>
      <c r="G2066">
        <v>25773.02</v>
      </c>
      <c r="H2066">
        <v>2</v>
      </c>
    </row>
    <row r="2067" spans="1:8" x14ac:dyDescent="0.25">
      <c r="A2067" t="s">
        <v>1831</v>
      </c>
      <c r="B2067" t="s">
        <v>3214</v>
      </c>
      <c r="C2067" t="s">
        <v>3220</v>
      </c>
      <c r="D2067" t="s">
        <v>3223</v>
      </c>
      <c r="E2067" t="s">
        <v>3226</v>
      </c>
      <c r="F2067">
        <v>39713.300000000003</v>
      </c>
      <c r="G2067">
        <v>27044.51</v>
      </c>
      <c r="H2067">
        <v>4</v>
      </c>
    </row>
    <row r="2068" spans="1:8" x14ac:dyDescent="0.25">
      <c r="A2068" t="s">
        <v>1832</v>
      </c>
      <c r="B2068" t="s">
        <v>3211</v>
      </c>
      <c r="C2068" t="s">
        <v>3219</v>
      </c>
      <c r="D2068" t="s">
        <v>3224</v>
      </c>
      <c r="E2068" t="s">
        <v>3226</v>
      </c>
      <c r="F2068">
        <v>241100.54</v>
      </c>
      <c r="G2068">
        <v>190723.48</v>
      </c>
      <c r="H2068">
        <v>4</v>
      </c>
    </row>
    <row r="2069" spans="1:8" x14ac:dyDescent="0.25">
      <c r="A2069" t="s">
        <v>1833</v>
      </c>
      <c r="B2069" t="s">
        <v>3211</v>
      </c>
      <c r="C2069" t="s">
        <v>3221</v>
      </c>
      <c r="D2069" t="s">
        <v>3222</v>
      </c>
      <c r="E2069" t="s">
        <v>3226</v>
      </c>
      <c r="F2069">
        <v>49287.94</v>
      </c>
      <c r="G2069">
        <v>27549.01</v>
      </c>
      <c r="H2069">
        <v>3</v>
      </c>
    </row>
    <row r="2070" spans="1:8" x14ac:dyDescent="0.25">
      <c r="A2070" t="s">
        <v>711</v>
      </c>
      <c r="B2070" t="s">
        <v>3213</v>
      </c>
      <c r="C2070" t="s">
        <v>3219</v>
      </c>
      <c r="D2070" t="s">
        <v>3224</v>
      </c>
      <c r="E2070" t="s">
        <v>3226</v>
      </c>
      <c r="F2070">
        <v>210832.64000000001</v>
      </c>
      <c r="H2070">
        <v>3</v>
      </c>
    </row>
    <row r="2071" spans="1:8" x14ac:dyDescent="0.25">
      <c r="A2071" t="s">
        <v>1834</v>
      </c>
      <c r="B2071" t="s">
        <v>3215</v>
      </c>
      <c r="C2071" t="s">
        <v>3221</v>
      </c>
      <c r="D2071" t="s">
        <v>3223</v>
      </c>
      <c r="E2071" t="s">
        <v>3226</v>
      </c>
      <c r="F2071">
        <v>57911.23</v>
      </c>
      <c r="G2071">
        <v>33475.9</v>
      </c>
      <c r="H2071">
        <v>5</v>
      </c>
    </row>
    <row r="2072" spans="1:8" x14ac:dyDescent="0.25">
      <c r="A2072" t="s">
        <v>1835</v>
      </c>
      <c r="B2072" t="s">
        <v>3212</v>
      </c>
      <c r="C2072" t="s">
        <v>3216</v>
      </c>
      <c r="D2072" t="s">
        <v>3222</v>
      </c>
      <c r="E2072" t="s">
        <v>3226</v>
      </c>
      <c r="F2072">
        <v>17406.23</v>
      </c>
      <c r="H2072">
        <v>1</v>
      </c>
    </row>
    <row r="2073" spans="1:8" x14ac:dyDescent="0.25">
      <c r="A2073" t="s">
        <v>1836</v>
      </c>
      <c r="B2073" t="s">
        <v>3211</v>
      </c>
      <c r="C2073" t="s">
        <v>3220</v>
      </c>
      <c r="D2073" t="s">
        <v>3224</v>
      </c>
      <c r="E2073" t="s">
        <v>3226</v>
      </c>
      <c r="F2073">
        <v>265552.86</v>
      </c>
      <c r="G2073">
        <v>197181.53</v>
      </c>
      <c r="H2073">
        <v>5</v>
      </c>
    </row>
    <row r="2074" spans="1:8" x14ac:dyDescent="0.25">
      <c r="A2074" t="s">
        <v>1837</v>
      </c>
      <c r="B2074" t="s">
        <v>3212</v>
      </c>
      <c r="C2074" t="s">
        <v>3220</v>
      </c>
      <c r="D2074" t="s">
        <v>3225</v>
      </c>
      <c r="E2074" t="s">
        <v>3226</v>
      </c>
      <c r="F2074">
        <v>32525.8</v>
      </c>
      <c r="G2074">
        <v>24751.35</v>
      </c>
      <c r="H2074">
        <v>2</v>
      </c>
    </row>
    <row r="2075" spans="1:8" x14ac:dyDescent="0.25">
      <c r="A2075" t="s">
        <v>1838</v>
      </c>
      <c r="B2075" t="s">
        <v>3214</v>
      </c>
      <c r="C2075" t="s">
        <v>3221</v>
      </c>
      <c r="D2075" t="s">
        <v>3222</v>
      </c>
      <c r="E2075" t="s">
        <v>3226</v>
      </c>
      <c r="F2075">
        <v>13965.93</v>
      </c>
      <c r="G2075">
        <v>9299.59</v>
      </c>
      <c r="H2075">
        <v>1</v>
      </c>
    </row>
    <row r="2076" spans="1:8" x14ac:dyDescent="0.25">
      <c r="A2076" t="s">
        <v>1839</v>
      </c>
      <c r="B2076" t="s">
        <v>3213</v>
      </c>
      <c r="C2076" t="s">
        <v>3220</v>
      </c>
      <c r="D2076" t="s">
        <v>3223</v>
      </c>
      <c r="E2076" t="s">
        <v>3226</v>
      </c>
      <c r="F2076">
        <v>20518.150000000001</v>
      </c>
      <c r="G2076">
        <v>12338.21</v>
      </c>
      <c r="H2076">
        <v>2</v>
      </c>
    </row>
    <row r="2077" spans="1:8" x14ac:dyDescent="0.25">
      <c r="A2077" t="s">
        <v>1840</v>
      </c>
      <c r="B2077" t="s">
        <v>3213</v>
      </c>
      <c r="C2077" t="s">
        <v>3218</v>
      </c>
      <c r="D2077" t="s">
        <v>3224</v>
      </c>
      <c r="E2077" t="s">
        <v>3226</v>
      </c>
      <c r="F2077">
        <v>100777.71</v>
      </c>
      <c r="G2077">
        <v>87894.25</v>
      </c>
      <c r="H2077">
        <v>2</v>
      </c>
    </row>
    <row r="2078" spans="1:8" x14ac:dyDescent="0.25">
      <c r="A2078" t="s">
        <v>1841</v>
      </c>
      <c r="B2078" t="s">
        <v>3211</v>
      </c>
      <c r="C2078" t="s">
        <v>3221</v>
      </c>
      <c r="D2078" t="s">
        <v>3222</v>
      </c>
      <c r="E2078" t="s">
        <v>3226</v>
      </c>
      <c r="F2078">
        <v>66926.83</v>
      </c>
      <c r="G2078">
        <v>43947.6</v>
      </c>
      <c r="H2078">
        <v>4</v>
      </c>
    </row>
    <row r="2079" spans="1:8" x14ac:dyDescent="0.25">
      <c r="A2079" t="s">
        <v>1842</v>
      </c>
      <c r="C2079" t="s">
        <v>3221</v>
      </c>
      <c r="D2079" t="s">
        <v>3223</v>
      </c>
      <c r="E2079" t="s">
        <v>3226</v>
      </c>
      <c r="F2079">
        <v>18543.7</v>
      </c>
      <c r="G2079">
        <v>12305.33</v>
      </c>
      <c r="H2079">
        <v>2</v>
      </c>
    </row>
    <row r="2080" spans="1:8" x14ac:dyDescent="0.25">
      <c r="A2080" t="s">
        <v>1843</v>
      </c>
      <c r="B2080" t="s">
        <v>3211</v>
      </c>
      <c r="C2080" t="s">
        <v>3218</v>
      </c>
      <c r="D2080" t="s">
        <v>3225</v>
      </c>
      <c r="E2080" t="s">
        <v>3226</v>
      </c>
      <c r="F2080">
        <v>55095.22</v>
      </c>
      <c r="H2080">
        <v>3</v>
      </c>
    </row>
    <row r="2081" spans="1:8" x14ac:dyDescent="0.25">
      <c r="A2081" t="s">
        <v>1844</v>
      </c>
      <c r="C2081" t="s">
        <v>3217</v>
      </c>
      <c r="D2081" t="s">
        <v>3222</v>
      </c>
      <c r="E2081" t="s">
        <v>3226</v>
      </c>
      <c r="F2081">
        <v>26506.69</v>
      </c>
      <c r="G2081">
        <v>17335.330000000002</v>
      </c>
      <c r="H2081">
        <v>2</v>
      </c>
    </row>
    <row r="2082" spans="1:8" x14ac:dyDescent="0.25">
      <c r="A2082" t="s">
        <v>1845</v>
      </c>
      <c r="B2082" t="s">
        <v>3213</v>
      </c>
      <c r="C2082" t="s">
        <v>3219</v>
      </c>
      <c r="D2082" t="s">
        <v>3222</v>
      </c>
      <c r="E2082" t="s">
        <v>3226</v>
      </c>
      <c r="F2082">
        <v>43588.11</v>
      </c>
      <c r="G2082">
        <v>29979.1</v>
      </c>
      <c r="H2082">
        <v>3</v>
      </c>
    </row>
    <row r="2083" spans="1:8" x14ac:dyDescent="0.25">
      <c r="A2083" t="s">
        <v>1846</v>
      </c>
      <c r="C2083" t="s">
        <v>3217</v>
      </c>
      <c r="D2083" t="s">
        <v>3224</v>
      </c>
      <c r="E2083" t="s">
        <v>3226</v>
      </c>
      <c r="F2083">
        <v>204597.6</v>
      </c>
      <c r="G2083">
        <v>192705.64</v>
      </c>
      <c r="H2083">
        <v>4</v>
      </c>
    </row>
    <row r="2084" spans="1:8" x14ac:dyDescent="0.25">
      <c r="A2084" t="s">
        <v>1847</v>
      </c>
      <c r="B2084" t="s">
        <v>3213</v>
      </c>
      <c r="C2084" t="s">
        <v>3217</v>
      </c>
      <c r="D2084" t="s">
        <v>3223</v>
      </c>
      <c r="E2084" t="s">
        <v>3226</v>
      </c>
      <c r="F2084">
        <v>48634.15</v>
      </c>
      <c r="G2084">
        <v>30294.84</v>
      </c>
      <c r="H2084">
        <v>5</v>
      </c>
    </row>
    <row r="2085" spans="1:8" x14ac:dyDescent="0.25">
      <c r="A2085" t="s">
        <v>1848</v>
      </c>
      <c r="B2085" t="s">
        <v>3211</v>
      </c>
      <c r="C2085" t="s">
        <v>3219</v>
      </c>
      <c r="D2085" t="s">
        <v>3224</v>
      </c>
      <c r="E2085" t="s">
        <v>3226</v>
      </c>
      <c r="F2085">
        <v>209829.23</v>
      </c>
      <c r="H2085">
        <v>4</v>
      </c>
    </row>
    <row r="2086" spans="1:8" x14ac:dyDescent="0.25">
      <c r="A2086" t="s">
        <v>1849</v>
      </c>
      <c r="B2086" t="s">
        <v>3215</v>
      </c>
      <c r="C2086" t="s">
        <v>3220</v>
      </c>
      <c r="D2086" t="s">
        <v>3225</v>
      </c>
      <c r="E2086" t="s">
        <v>3226</v>
      </c>
      <c r="F2086">
        <v>23243.69</v>
      </c>
      <c r="G2086">
        <v>13723.03</v>
      </c>
      <c r="H2086">
        <v>1</v>
      </c>
    </row>
    <row r="2087" spans="1:8" x14ac:dyDescent="0.25">
      <c r="A2087" t="s">
        <v>1850</v>
      </c>
      <c r="B2087" t="s">
        <v>3211</v>
      </c>
      <c r="C2087" t="s">
        <v>3220</v>
      </c>
      <c r="D2087" t="s">
        <v>3225</v>
      </c>
      <c r="E2087" t="s">
        <v>3226</v>
      </c>
      <c r="F2087">
        <v>43008.59</v>
      </c>
      <c r="G2087">
        <v>28363.94</v>
      </c>
      <c r="H2087">
        <v>2</v>
      </c>
    </row>
    <row r="2088" spans="1:8" x14ac:dyDescent="0.25">
      <c r="A2088" t="s">
        <v>1851</v>
      </c>
      <c r="C2088" t="s">
        <v>3219</v>
      </c>
      <c r="D2088" t="s">
        <v>3223</v>
      </c>
      <c r="E2088" t="s">
        <v>3226</v>
      </c>
      <c r="F2088">
        <v>26799.63</v>
      </c>
      <c r="G2088">
        <v>21173.360000000001</v>
      </c>
      <c r="H2088">
        <v>3</v>
      </c>
    </row>
    <row r="2089" spans="1:8" x14ac:dyDescent="0.25">
      <c r="A2089" t="s">
        <v>1852</v>
      </c>
      <c r="B2089" t="s">
        <v>3212</v>
      </c>
      <c r="C2089" t="s">
        <v>3217</v>
      </c>
      <c r="D2089" t="s">
        <v>3223</v>
      </c>
      <c r="E2089" t="s">
        <v>3226</v>
      </c>
      <c r="F2089">
        <v>31722.43</v>
      </c>
      <c r="G2089">
        <v>19916.95</v>
      </c>
      <c r="H2089">
        <v>3</v>
      </c>
    </row>
    <row r="2090" spans="1:8" x14ac:dyDescent="0.25">
      <c r="A2090" t="s">
        <v>1853</v>
      </c>
      <c r="B2090" t="s">
        <v>3212</v>
      </c>
      <c r="C2090" t="s">
        <v>3217</v>
      </c>
      <c r="D2090" t="s">
        <v>3222</v>
      </c>
      <c r="E2090" t="s">
        <v>3226</v>
      </c>
      <c r="F2090">
        <v>61362.3</v>
      </c>
      <c r="G2090">
        <v>44369.87</v>
      </c>
      <c r="H2090">
        <v>5</v>
      </c>
    </row>
    <row r="2091" spans="1:8" x14ac:dyDescent="0.25">
      <c r="A2091" t="s">
        <v>593</v>
      </c>
      <c r="B2091" t="s">
        <v>3211</v>
      </c>
      <c r="C2091" t="s">
        <v>3218</v>
      </c>
      <c r="D2091" t="s">
        <v>3223</v>
      </c>
      <c r="E2091" t="s">
        <v>3226</v>
      </c>
      <c r="F2091">
        <v>58240.61</v>
      </c>
      <c r="G2091">
        <v>38257.879999999997</v>
      </c>
      <c r="H2091">
        <v>5</v>
      </c>
    </row>
    <row r="2092" spans="1:8" x14ac:dyDescent="0.25">
      <c r="A2092" t="s">
        <v>1854</v>
      </c>
      <c r="B2092" t="s">
        <v>3214</v>
      </c>
      <c r="C2092" t="s">
        <v>3221</v>
      </c>
      <c r="D2092" t="s">
        <v>3222</v>
      </c>
      <c r="E2092" t="s">
        <v>3226</v>
      </c>
      <c r="F2092">
        <v>12155.41</v>
      </c>
      <c r="G2092">
        <v>9703.14</v>
      </c>
      <c r="H2092">
        <v>1</v>
      </c>
    </row>
    <row r="2093" spans="1:8" x14ac:dyDescent="0.25">
      <c r="A2093" t="s">
        <v>1855</v>
      </c>
      <c r="B2093" t="s">
        <v>3214</v>
      </c>
      <c r="C2093" t="s">
        <v>3221</v>
      </c>
      <c r="D2093" t="s">
        <v>3225</v>
      </c>
      <c r="E2093" t="s">
        <v>3226</v>
      </c>
      <c r="F2093">
        <v>60688.160000000003</v>
      </c>
      <c r="G2093">
        <v>41266.58</v>
      </c>
      <c r="H2093">
        <v>3</v>
      </c>
    </row>
    <row r="2094" spans="1:8" x14ac:dyDescent="0.25">
      <c r="A2094" t="s">
        <v>1856</v>
      </c>
      <c r="B2094" t="s">
        <v>3213</v>
      </c>
      <c r="C2094" t="s">
        <v>3221</v>
      </c>
      <c r="D2094" t="s">
        <v>3222</v>
      </c>
      <c r="E2094" t="s">
        <v>3226</v>
      </c>
      <c r="F2094">
        <v>61420.45</v>
      </c>
      <c r="G2094">
        <v>45508.91</v>
      </c>
      <c r="H2094">
        <v>5</v>
      </c>
    </row>
    <row r="2095" spans="1:8" x14ac:dyDescent="0.25">
      <c r="A2095" t="s">
        <v>1857</v>
      </c>
      <c r="B2095" t="s">
        <v>3214</v>
      </c>
      <c r="C2095" t="s">
        <v>3220</v>
      </c>
      <c r="D2095" t="s">
        <v>3224</v>
      </c>
      <c r="E2095" t="s">
        <v>3226</v>
      </c>
      <c r="F2095">
        <v>192236.98</v>
      </c>
      <c r="H2095">
        <v>4</v>
      </c>
    </row>
    <row r="2096" spans="1:8" x14ac:dyDescent="0.25">
      <c r="A2096" t="s">
        <v>1675</v>
      </c>
      <c r="B2096" t="s">
        <v>3211</v>
      </c>
      <c r="C2096" t="s">
        <v>3216</v>
      </c>
      <c r="D2096" t="s">
        <v>3223</v>
      </c>
      <c r="E2096" t="s">
        <v>3226</v>
      </c>
      <c r="F2096">
        <v>43808.67</v>
      </c>
      <c r="G2096">
        <v>26091.42</v>
      </c>
      <c r="H2096">
        <v>4</v>
      </c>
    </row>
    <row r="2097" spans="1:8" x14ac:dyDescent="0.25">
      <c r="A2097" t="s">
        <v>1858</v>
      </c>
      <c r="B2097" t="s">
        <v>3214</v>
      </c>
      <c r="C2097" t="s">
        <v>3217</v>
      </c>
      <c r="D2097" t="s">
        <v>3222</v>
      </c>
      <c r="E2097" t="s">
        <v>3226</v>
      </c>
      <c r="F2097">
        <v>54844.69</v>
      </c>
      <c r="G2097">
        <v>41928.65</v>
      </c>
      <c r="H2097">
        <v>4</v>
      </c>
    </row>
    <row r="2098" spans="1:8" x14ac:dyDescent="0.25">
      <c r="A2098" t="s">
        <v>1859</v>
      </c>
      <c r="B2098" t="s">
        <v>3213</v>
      </c>
      <c r="C2098" t="s">
        <v>3218</v>
      </c>
      <c r="D2098" t="s">
        <v>3224</v>
      </c>
      <c r="E2098" t="s">
        <v>3226</v>
      </c>
      <c r="F2098">
        <v>68008.73</v>
      </c>
      <c r="G2098">
        <v>42543.1</v>
      </c>
      <c r="H2098">
        <v>1</v>
      </c>
    </row>
    <row r="2099" spans="1:8" x14ac:dyDescent="0.25">
      <c r="A2099" t="s">
        <v>1860</v>
      </c>
      <c r="B2099" t="s">
        <v>3214</v>
      </c>
      <c r="C2099" t="s">
        <v>3219</v>
      </c>
      <c r="D2099" t="s">
        <v>3224</v>
      </c>
      <c r="E2099" t="s">
        <v>3226</v>
      </c>
      <c r="F2099">
        <v>137556.60999999999</v>
      </c>
      <c r="G2099">
        <v>88250.86</v>
      </c>
      <c r="H2099">
        <v>2</v>
      </c>
    </row>
    <row r="2100" spans="1:8" x14ac:dyDescent="0.25">
      <c r="A2100" t="s">
        <v>1861</v>
      </c>
      <c r="B2100" t="s">
        <v>3214</v>
      </c>
      <c r="C2100" t="s">
        <v>3218</v>
      </c>
      <c r="D2100" t="s">
        <v>3224</v>
      </c>
      <c r="E2100" t="s">
        <v>3226</v>
      </c>
      <c r="F2100">
        <v>265558.24</v>
      </c>
      <c r="G2100">
        <v>182766.4</v>
      </c>
      <c r="H2100">
        <v>4</v>
      </c>
    </row>
    <row r="2101" spans="1:8" x14ac:dyDescent="0.25">
      <c r="A2101" t="s">
        <v>1862</v>
      </c>
      <c r="B2101" t="s">
        <v>3213</v>
      </c>
      <c r="C2101" t="s">
        <v>3221</v>
      </c>
      <c r="D2101" t="s">
        <v>3223</v>
      </c>
      <c r="E2101" t="s">
        <v>3226</v>
      </c>
      <c r="F2101">
        <v>24327.45</v>
      </c>
      <c r="G2101">
        <v>19058.45</v>
      </c>
      <c r="H2101">
        <v>3</v>
      </c>
    </row>
    <row r="2102" spans="1:8" x14ac:dyDescent="0.25">
      <c r="A2102" t="s">
        <v>1863</v>
      </c>
      <c r="B2102" t="s">
        <v>3215</v>
      </c>
      <c r="C2102" t="s">
        <v>3218</v>
      </c>
      <c r="D2102" t="s">
        <v>3224</v>
      </c>
      <c r="E2102" t="s">
        <v>3226</v>
      </c>
      <c r="F2102">
        <v>50378.31</v>
      </c>
      <c r="G2102">
        <v>47941.86</v>
      </c>
      <c r="H2102">
        <v>1</v>
      </c>
    </row>
    <row r="2103" spans="1:8" x14ac:dyDescent="0.25">
      <c r="A2103" t="s">
        <v>1864</v>
      </c>
      <c r="B2103" t="s">
        <v>3213</v>
      </c>
      <c r="C2103" t="s">
        <v>3217</v>
      </c>
      <c r="D2103" t="s">
        <v>3225</v>
      </c>
      <c r="E2103" t="s">
        <v>3226</v>
      </c>
      <c r="F2103">
        <v>60944.51</v>
      </c>
      <c r="H2103">
        <v>3</v>
      </c>
    </row>
    <row r="2104" spans="1:8" x14ac:dyDescent="0.25">
      <c r="A2104" t="s">
        <v>1865</v>
      </c>
      <c r="B2104" t="s">
        <v>3213</v>
      </c>
      <c r="C2104" t="s">
        <v>3216</v>
      </c>
      <c r="D2104" t="s">
        <v>3222</v>
      </c>
      <c r="E2104" t="s">
        <v>3226</v>
      </c>
      <c r="F2104">
        <v>74443.39</v>
      </c>
      <c r="G2104">
        <v>54880.71</v>
      </c>
      <c r="H2104">
        <v>5</v>
      </c>
    </row>
    <row r="2105" spans="1:8" x14ac:dyDescent="0.25">
      <c r="A2105" t="s">
        <v>1866</v>
      </c>
      <c r="B2105" t="s">
        <v>3213</v>
      </c>
      <c r="C2105" t="s">
        <v>3217</v>
      </c>
      <c r="D2105" t="s">
        <v>3222</v>
      </c>
      <c r="E2105" t="s">
        <v>3226</v>
      </c>
      <c r="F2105">
        <v>42421.8</v>
      </c>
      <c r="G2105">
        <v>32167.3</v>
      </c>
      <c r="H2105">
        <v>3</v>
      </c>
    </row>
    <row r="2106" spans="1:8" x14ac:dyDescent="0.25">
      <c r="A2106" t="s">
        <v>1867</v>
      </c>
      <c r="B2106" t="s">
        <v>3214</v>
      </c>
      <c r="C2106" t="s">
        <v>3221</v>
      </c>
      <c r="D2106" t="s">
        <v>3225</v>
      </c>
      <c r="E2106" t="s">
        <v>3226</v>
      </c>
      <c r="F2106">
        <v>71806.83</v>
      </c>
      <c r="G2106">
        <v>51600.76</v>
      </c>
      <c r="H2106">
        <v>4</v>
      </c>
    </row>
    <row r="2107" spans="1:8" x14ac:dyDescent="0.25">
      <c r="A2107" t="s">
        <v>1868</v>
      </c>
      <c r="C2107" t="s">
        <v>3219</v>
      </c>
      <c r="D2107" t="s">
        <v>3222</v>
      </c>
      <c r="E2107" t="s">
        <v>3226</v>
      </c>
      <c r="F2107">
        <v>28294.66</v>
      </c>
      <c r="G2107">
        <v>21006.74</v>
      </c>
    </row>
    <row r="2108" spans="1:8" x14ac:dyDescent="0.25">
      <c r="A2108" t="s">
        <v>1869</v>
      </c>
      <c r="B2108" t="s">
        <v>3214</v>
      </c>
      <c r="C2108" t="s">
        <v>3217</v>
      </c>
      <c r="D2108" t="s">
        <v>3223</v>
      </c>
      <c r="E2108" t="s">
        <v>3226</v>
      </c>
      <c r="F2108">
        <v>23385.360000000001</v>
      </c>
      <c r="G2108">
        <v>12411.25</v>
      </c>
      <c r="H2108">
        <v>2</v>
      </c>
    </row>
    <row r="2109" spans="1:8" x14ac:dyDescent="0.25">
      <c r="A2109" t="s">
        <v>1870</v>
      </c>
      <c r="B2109" t="s">
        <v>3211</v>
      </c>
      <c r="C2109" t="s">
        <v>3216</v>
      </c>
      <c r="D2109" t="s">
        <v>3225</v>
      </c>
      <c r="E2109" t="s">
        <v>3226</v>
      </c>
      <c r="F2109">
        <v>66479.22</v>
      </c>
      <c r="G2109">
        <v>55991.26</v>
      </c>
      <c r="H2109">
        <v>4</v>
      </c>
    </row>
    <row r="2110" spans="1:8" x14ac:dyDescent="0.25">
      <c r="A2110" t="s">
        <v>1871</v>
      </c>
      <c r="B2110" t="s">
        <v>3213</v>
      </c>
      <c r="C2110" t="s">
        <v>3217</v>
      </c>
      <c r="D2110" t="s">
        <v>3225</v>
      </c>
      <c r="E2110" t="s">
        <v>3226</v>
      </c>
      <c r="F2110">
        <v>70571.740000000005</v>
      </c>
      <c r="G2110">
        <v>43906.91</v>
      </c>
      <c r="H2110">
        <v>3</v>
      </c>
    </row>
    <row r="2111" spans="1:8" x14ac:dyDescent="0.25">
      <c r="A2111" t="s">
        <v>1872</v>
      </c>
      <c r="C2111" t="s">
        <v>3219</v>
      </c>
      <c r="D2111" t="s">
        <v>3222</v>
      </c>
      <c r="E2111" t="s">
        <v>3226</v>
      </c>
      <c r="F2111">
        <v>43491.38</v>
      </c>
      <c r="G2111">
        <v>31425.200000000001</v>
      </c>
      <c r="H2111">
        <v>3</v>
      </c>
    </row>
    <row r="2112" spans="1:8" x14ac:dyDescent="0.25">
      <c r="A2112" t="s">
        <v>1873</v>
      </c>
      <c r="B2112" t="s">
        <v>3215</v>
      </c>
      <c r="C2112" t="s">
        <v>3221</v>
      </c>
      <c r="D2112" t="s">
        <v>3223</v>
      </c>
      <c r="E2112" t="s">
        <v>3226</v>
      </c>
      <c r="F2112">
        <v>37758.379999999997</v>
      </c>
      <c r="H2112">
        <v>4</v>
      </c>
    </row>
    <row r="2113" spans="1:8" x14ac:dyDescent="0.25">
      <c r="A2113" t="s">
        <v>1874</v>
      </c>
      <c r="B2113" t="s">
        <v>3213</v>
      </c>
      <c r="C2113" t="s">
        <v>3216</v>
      </c>
      <c r="D2113" t="s">
        <v>3224</v>
      </c>
      <c r="E2113" t="s">
        <v>3226</v>
      </c>
      <c r="F2113">
        <v>168668.02</v>
      </c>
      <c r="G2113">
        <v>115519.76</v>
      </c>
    </row>
    <row r="2114" spans="1:8" x14ac:dyDescent="0.25">
      <c r="A2114" t="s">
        <v>727</v>
      </c>
      <c r="C2114" t="s">
        <v>3220</v>
      </c>
      <c r="D2114" t="s">
        <v>3222</v>
      </c>
      <c r="E2114" t="s">
        <v>3226</v>
      </c>
      <c r="F2114">
        <v>74576.95</v>
      </c>
      <c r="G2114">
        <v>51999.59</v>
      </c>
      <c r="H2114">
        <v>5</v>
      </c>
    </row>
    <row r="2115" spans="1:8" x14ac:dyDescent="0.25">
      <c r="A2115" t="s">
        <v>1875</v>
      </c>
      <c r="C2115" t="s">
        <v>3217</v>
      </c>
      <c r="D2115" t="s">
        <v>3223</v>
      </c>
      <c r="E2115" t="s">
        <v>3226</v>
      </c>
      <c r="F2115">
        <v>19336.28</v>
      </c>
      <c r="G2115">
        <v>12682.92</v>
      </c>
      <c r="H2115">
        <v>2</v>
      </c>
    </row>
    <row r="2116" spans="1:8" x14ac:dyDescent="0.25">
      <c r="A2116" t="s">
        <v>1876</v>
      </c>
      <c r="B2116" t="s">
        <v>3214</v>
      </c>
      <c r="C2116" t="s">
        <v>3220</v>
      </c>
      <c r="D2116" t="s">
        <v>3225</v>
      </c>
      <c r="E2116" t="s">
        <v>3226</v>
      </c>
      <c r="F2116">
        <v>97323.78</v>
      </c>
      <c r="G2116">
        <v>67284.06</v>
      </c>
      <c r="H2116">
        <v>5</v>
      </c>
    </row>
    <row r="2117" spans="1:8" x14ac:dyDescent="0.25">
      <c r="A2117" t="s">
        <v>1877</v>
      </c>
      <c r="B2117" t="s">
        <v>3213</v>
      </c>
      <c r="C2117" t="s">
        <v>3219</v>
      </c>
      <c r="D2117" t="s">
        <v>3224</v>
      </c>
      <c r="E2117" t="s">
        <v>3226</v>
      </c>
      <c r="F2117">
        <v>96356.17</v>
      </c>
      <c r="G2117">
        <v>97048</v>
      </c>
      <c r="H2117">
        <v>2</v>
      </c>
    </row>
    <row r="2118" spans="1:8" x14ac:dyDescent="0.25">
      <c r="A2118" t="s">
        <v>1878</v>
      </c>
      <c r="B2118" t="s">
        <v>3213</v>
      </c>
      <c r="C2118" t="s">
        <v>3220</v>
      </c>
      <c r="D2118" t="s">
        <v>3223</v>
      </c>
      <c r="E2118" t="s">
        <v>3226</v>
      </c>
      <c r="F2118">
        <v>36933.17</v>
      </c>
      <c r="G2118">
        <v>28128.21</v>
      </c>
      <c r="H2118">
        <v>4</v>
      </c>
    </row>
    <row r="2119" spans="1:8" x14ac:dyDescent="0.25">
      <c r="A2119" t="s">
        <v>1879</v>
      </c>
      <c r="B2119" t="s">
        <v>3212</v>
      </c>
      <c r="C2119" t="s">
        <v>3218</v>
      </c>
      <c r="D2119" t="s">
        <v>3224</v>
      </c>
      <c r="E2119" t="s">
        <v>3226</v>
      </c>
      <c r="F2119">
        <v>240846.86</v>
      </c>
      <c r="G2119">
        <v>194485.31</v>
      </c>
      <c r="H2119">
        <v>4</v>
      </c>
    </row>
    <row r="2120" spans="1:8" x14ac:dyDescent="0.25">
      <c r="A2120" t="s">
        <v>1880</v>
      </c>
      <c r="B2120" t="s">
        <v>3214</v>
      </c>
      <c r="C2120" t="s">
        <v>3218</v>
      </c>
      <c r="D2120" t="s">
        <v>3224</v>
      </c>
      <c r="E2120" t="s">
        <v>3226</v>
      </c>
      <c r="F2120">
        <v>183149.2</v>
      </c>
      <c r="G2120">
        <v>127779.79</v>
      </c>
      <c r="H2120">
        <v>3</v>
      </c>
    </row>
    <row r="2121" spans="1:8" x14ac:dyDescent="0.25">
      <c r="A2121" t="s">
        <v>1881</v>
      </c>
      <c r="B2121" t="s">
        <v>3211</v>
      </c>
      <c r="C2121" t="s">
        <v>3217</v>
      </c>
      <c r="D2121" t="s">
        <v>3224</v>
      </c>
      <c r="E2121" t="s">
        <v>3226</v>
      </c>
      <c r="F2121">
        <v>119170.08</v>
      </c>
      <c r="G2121">
        <v>79551.839999999997</v>
      </c>
      <c r="H2121">
        <v>2</v>
      </c>
    </row>
    <row r="2122" spans="1:8" x14ac:dyDescent="0.25">
      <c r="A2122" t="s">
        <v>1882</v>
      </c>
      <c r="B2122" t="s">
        <v>3213</v>
      </c>
      <c r="C2122" t="s">
        <v>3217</v>
      </c>
      <c r="D2122" t="s">
        <v>3224</v>
      </c>
      <c r="E2122" t="s">
        <v>3226</v>
      </c>
      <c r="F2122">
        <v>187656.86</v>
      </c>
      <c r="G2122">
        <v>121519.71</v>
      </c>
      <c r="H2122">
        <v>3</v>
      </c>
    </row>
    <row r="2123" spans="1:8" x14ac:dyDescent="0.25">
      <c r="A2123" t="s">
        <v>1883</v>
      </c>
      <c r="C2123" t="s">
        <v>3221</v>
      </c>
      <c r="D2123" t="s">
        <v>3223</v>
      </c>
      <c r="E2123" t="s">
        <v>3226</v>
      </c>
      <c r="F2123">
        <v>37421.49</v>
      </c>
      <c r="G2123">
        <v>29061.23</v>
      </c>
      <c r="H2123">
        <v>4</v>
      </c>
    </row>
    <row r="2124" spans="1:8" x14ac:dyDescent="0.25">
      <c r="A2124" t="s">
        <v>1884</v>
      </c>
      <c r="B2124" t="s">
        <v>3212</v>
      </c>
      <c r="C2124" t="s">
        <v>3219</v>
      </c>
      <c r="D2124" t="s">
        <v>3224</v>
      </c>
      <c r="E2124" t="s">
        <v>3226</v>
      </c>
      <c r="F2124">
        <v>319441.11</v>
      </c>
      <c r="G2124">
        <v>216703.54</v>
      </c>
      <c r="H2124">
        <v>5</v>
      </c>
    </row>
    <row r="2125" spans="1:8" x14ac:dyDescent="0.25">
      <c r="A2125" t="s">
        <v>1885</v>
      </c>
      <c r="C2125" t="s">
        <v>3220</v>
      </c>
      <c r="D2125" t="s">
        <v>3222</v>
      </c>
      <c r="E2125" t="s">
        <v>3226</v>
      </c>
      <c r="F2125">
        <v>34560.68</v>
      </c>
      <c r="H2125">
        <v>2</v>
      </c>
    </row>
    <row r="2126" spans="1:8" x14ac:dyDescent="0.25">
      <c r="A2126" t="s">
        <v>1886</v>
      </c>
      <c r="C2126" t="s">
        <v>3221</v>
      </c>
      <c r="D2126" t="s">
        <v>3225</v>
      </c>
      <c r="E2126" t="s">
        <v>3226</v>
      </c>
      <c r="F2126">
        <v>86157.18</v>
      </c>
      <c r="G2126">
        <v>61251.42</v>
      </c>
      <c r="H2126">
        <v>4</v>
      </c>
    </row>
    <row r="2127" spans="1:8" x14ac:dyDescent="0.25">
      <c r="A2127" t="s">
        <v>1887</v>
      </c>
      <c r="B2127" t="s">
        <v>3212</v>
      </c>
      <c r="C2127" t="s">
        <v>3218</v>
      </c>
      <c r="D2127" t="s">
        <v>3222</v>
      </c>
      <c r="E2127" t="s">
        <v>3226</v>
      </c>
      <c r="F2127">
        <v>15192.11</v>
      </c>
      <c r="G2127">
        <v>9221.65</v>
      </c>
      <c r="H2127">
        <v>1</v>
      </c>
    </row>
    <row r="2128" spans="1:8" x14ac:dyDescent="0.25">
      <c r="A2128" t="s">
        <v>1888</v>
      </c>
      <c r="B2128" t="s">
        <v>3215</v>
      </c>
      <c r="C2128" t="s">
        <v>3220</v>
      </c>
      <c r="D2128" t="s">
        <v>3225</v>
      </c>
      <c r="E2128" t="s">
        <v>3226</v>
      </c>
      <c r="F2128">
        <v>49701.919999999998</v>
      </c>
      <c r="H2128">
        <v>3</v>
      </c>
    </row>
    <row r="2129" spans="1:8" x14ac:dyDescent="0.25">
      <c r="A2129" t="s">
        <v>1889</v>
      </c>
      <c r="B2129" t="s">
        <v>3213</v>
      </c>
      <c r="C2129" t="s">
        <v>3219</v>
      </c>
      <c r="D2129" t="s">
        <v>3223</v>
      </c>
      <c r="E2129" t="s">
        <v>3226</v>
      </c>
      <c r="F2129">
        <v>22526.37</v>
      </c>
      <c r="H2129">
        <v>2</v>
      </c>
    </row>
    <row r="2130" spans="1:8" x14ac:dyDescent="0.25">
      <c r="A2130" t="s">
        <v>1890</v>
      </c>
      <c r="B2130" t="s">
        <v>3213</v>
      </c>
      <c r="C2130" t="s">
        <v>3219</v>
      </c>
      <c r="D2130" t="s">
        <v>3225</v>
      </c>
      <c r="E2130" t="s">
        <v>3226</v>
      </c>
      <c r="F2130">
        <v>89837.06</v>
      </c>
      <c r="G2130">
        <v>62759.06</v>
      </c>
      <c r="H2130">
        <v>5</v>
      </c>
    </row>
    <row r="2131" spans="1:8" x14ac:dyDescent="0.25">
      <c r="A2131" t="s">
        <v>1891</v>
      </c>
      <c r="C2131" t="s">
        <v>3221</v>
      </c>
      <c r="D2131" t="s">
        <v>3222</v>
      </c>
      <c r="E2131" t="s">
        <v>3226</v>
      </c>
      <c r="F2131">
        <v>52299.16</v>
      </c>
      <c r="G2131">
        <v>28810.53</v>
      </c>
      <c r="H2131">
        <v>3</v>
      </c>
    </row>
    <row r="2132" spans="1:8" x14ac:dyDescent="0.25">
      <c r="A2132" t="s">
        <v>1892</v>
      </c>
      <c r="C2132" t="s">
        <v>3218</v>
      </c>
      <c r="D2132" t="s">
        <v>3223</v>
      </c>
      <c r="E2132" t="s">
        <v>3226</v>
      </c>
      <c r="F2132">
        <v>58847.63</v>
      </c>
      <c r="G2132">
        <v>35082.32</v>
      </c>
      <c r="H2132">
        <v>5</v>
      </c>
    </row>
    <row r="2133" spans="1:8" x14ac:dyDescent="0.25">
      <c r="A2133" t="s">
        <v>1893</v>
      </c>
      <c r="B2133" t="s">
        <v>3215</v>
      </c>
      <c r="C2133" t="s">
        <v>3219</v>
      </c>
      <c r="D2133" t="s">
        <v>3222</v>
      </c>
      <c r="E2133" t="s">
        <v>3226</v>
      </c>
      <c r="F2133">
        <v>28823.95</v>
      </c>
      <c r="G2133">
        <v>19558.63</v>
      </c>
      <c r="H2133">
        <v>2</v>
      </c>
    </row>
    <row r="2134" spans="1:8" x14ac:dyDescent="0.25">
      <c r="A2134" t="s">
        <v>1894</v>
      </c>
      <c r="B2134" t="s">
        <v>3213</v>
      </c>
      <c r="C2134" t="s">
        <v>3217</v>
      </c>
      <c r="D2134" t="s">
        <v>3222</v>
      </c>
      <c r="E2134" t="s">
        <v>3226</v>
      </c>
      <c r="F2134">
        <v>52003.5</v>
      </c>
      <c r="G2134">
        <v>41992.39</v>
      </c>
      <c r="H2134">
        <v>4</v>
      </c>
    </row>
    <row r="2135" spans="1:8" x14ac:dyDescent="0.25">
      <c r="A2135" t="s">
        <v>1895</v>
      </c>
      <c r="C2135" t="s">
        <v>3217</v>
      </c>
      <c r="D2135" t="s">
        <v>3223</v>
      </c>
      <c r="E2135" t="s">
        <v>3226</v>
      </c>
      <c r="F2135">
        <v>9262.4</v>
      </c>
      <c r="G2135">
        <v>7637.05</v>
      </c>
      <c r="H2135">
        <v>1</v>
      </c>
    </row>
    <row r="2136" spans="1:8" x14ac:dyDescent="0.25">
      <c r="A2136" t="s">
        <v>1896</v>
      </c>
      <c r="B2136" t="s">
        <v>3211</v>
      </c>
      <c r="C2136" t="s">
        <v>3219</v>
      </c>
      <c r="D2136" t="s">
        <v>3225</v>
      </c>
      <c r="E2136" t="s">
        <v>3226</v>
      </c>
      <c r="F2136">
        <v>94567.79</v>
      </c>
      <c r="G2136">
        <v>68261.67</v>
      </c>
      <c r="H2136">
        <v>5</v>
      </c>
    </row>
    <row r="2137" spans="1:8" x14ac:dyDescent="0.25">
      <c r="A2137" t="s">
        <v>1714</v>
      </c>
      <c r="B2137" t="s">
        <v>3214</v>
      </c>
      <c r="C2137" t="s">
        <v>3221</v>
      </c>
      <c r="D2137" t="s">
        <v>3225</v>
      </c>
      <c r="E2137" t="s">
        <v>3226</v>
      </c>
      <c r="F2137">
        <v>33497.56</v>
      </c>
      <c r="G2137">
        <v>25730.38</v>
      </c>
      <c r="H2137">
        <v>2</v>
      </c>
    </row>
    <row r="2138" spans="1:8" x14ac:dyDescent="0.25">
      <c r="A2138" t="s">
        <v>1897</v>
      </c>
      <c r="B2138" t="s">
        <v>3215</v>
      </c>
      <c r="C2138" t="s">
        <v>3219</v>
      </c>
      <c r="D2138" t="s">
        <v>3223</v>
      </c>
      <c r="E2138" t="s">
        <v>3226</v>
      </c>
      <c r="F2138">
        <v>10850.65</v>
      </c>
      <c r="G2138">
        <v>6126.17</v>
      </c>
      <c r="H2138">
        <v>1</v>
      </c>
    </row>
    <row r="2139" spans="1:8" x14ac:dyDescent="0.25">
      <c r="A2139" t="s">
        <v>1898</v>
      </c>
      <c r="B2139" t="s">
        <v>3211</v>
      </c>
      <c r="C2139" t="s">
        <v>3217</v>
      </c>
      <c r="D2139" t="s">
        <v>3223</v>
      </c>
      <c r="E2139" t="s">
        <v>3226</v>
      </c>
      <c r="F2139">
        <v>57520.09</v>
      </c>
      <c r="H2139">
        <v>5</v>
      </c>
    </row>
    <row r="2140" spans="1:8" x14ac:dyDescent="0.25">
      <c r="A2140" t="s">
        <v>1899</v>
      </c>
      <c r="B2140" t="s">
        <v>3212</v>
      </c>
      <c r="C2140" t="s">
        <v>3220</v>
      </c>
      <c r="D2140" t="s">
        <v>3223</v>
      </c>
      <c r="E2140" t="s">
        <v>3226</v>
      </c>
      <c r="F2140">
        <v>30261.08</v>
      </c>
      <c r="G2140">
        <v>20039.259999999998</v>
      </c>
      <c r="H2140">
        <v>3</v>
      </c>
    </row>
    <row r="2141" spans="1:8" x14ac:dyDescent="0.25">
      <c r="A2141" t="s">
        <v>1900</v>
      </c>
      <c r="B2141" t="s">
        <v>3215</v>
      </c>
      <c r="C2141" t="s">
        <v>3220</v>
      </c>
      <c r="D2141" t="s">
        <v>3224</v>
      </c>
      <c r="E2141" t="s">
        <v>3226</v>
      </c>
      <c r="F2141">
        <v>214005.5</v>
      </c>
      <c r="G2141">
        <v>121168.8</v>
      </c>
      <c r="H2141">
        <v>3</v>
      </c>
    </row>
    <row r="2142" spans="1:8" x14ac:dyDescent="0.25">
      <c r="A2142" t="s">
        <v>1901</v>
      </c>
      <c r="B2142" t="s">
        <v>3215</v>
      </c>
      <c r="C2142" t="s">
        <v>3219</v>
      </c>
      <c r="D2142" t="s">
        <v>3225</v>
      </c>
      <c r="E2142" t="s">
        <v>3226</v>
      </c>
      <c r="F2142">
        <v>95070.71</v>
      </c>
      <c r="G2142">
        <v>60859.96</v>
      </c>
      <c r="H2142">
        <v>5</v>
      </c>
    </row>
    <row r="2143" spans="1:8" x14ac:dyDescent="0.25">
      <c r="A2143" t="s">
        <v>1718</v>
      </c>
      <c r="B2143" t="s">
        <v>3213</v>
      </c>
      <c r="C2143" t="s">
        <v>3221</v>
      </c>
      <c r="D2143" t="s">
        <v>3224</v>
      </c>
      <c r="E2143" t="s">
        <v>3226</v>
      </c>
      <c r="F2143">
        <v>57382.6</v>
      </c>
      <c r="G2143">
        <v>41005</v>
      </c>
      <c r="H2143">
        <v>1</v>
      </c>
    </row>
    <row r="2144" spans="1:8" x14ac:dyDescent="0.25">
      <c r="A2144" t="s">
        <v>1902</v>
      </c>
      <c r="B2144" t="s">
        <v>3213</v>
      </c>
      <c r="C2144" t="s">
        <v>3221</v>
      </c>
      <c r="D2144" t="s">
        <v>3224</v>
      </c>
      <c r="E2144" t="s">
        <v>3226</v>
      </c>
      <c r="F2144">
        <v>222353.09</v>
      </c>
      <c r="G2144">
        <v>190359.01</v>
      </c>
      <c r="H2144">
        <v>4</v>
      </c>
    </row>
    <row r="2145" spans="1:8" x14ac:dyDescent="0.25">
      <c r="A2145" t="s">
        <v>1903</v>
      </c>
      <c r="B2145" t="s">
        <v>3212</v>
      </c>
      <c r="C2145" t="s">
        <v>3218</v>
      </c>
      <c r="D2145" t="s">
        <v>3223</v>
      </c>
      <c r="E2145" t="s">
        <v>3226</v>
      </c>
      <c r="F2145">
        <v>8218.32</v>
      </c>
      <c r="G2145">
        <v>6940.89</v>
      </c>
      <c r="H2145">
        <v>1</v>
      </c>
    </row>
    <row r="2146" spans="1:8" x14ac:dyDescent="0.25">
      <c r="A2146" t="s">
        <v>1904</v>
      </c>
      <c r="C2146" t="s">
        <v>3218</v>
      </c>
      <c r="D2146" t="s">
        <v>3223</v>
      </c>
      <c r="E2146" t="s">
        <v>3226</v>
      </c>
      <c r="G2146">
        <v>38202.300000000003</v>
      </c>
      <c r="H2146">
        <v>5</v>
      </c>
    </row>
    <row r="2147" spans="1:8" x14ac:dyDescent="0.25">
      <c r="A2147" t="s">
        <v>1905</v>
      </c>
      <c r="C2147" t="s">
        <v>3221</v>
      </c>
      <c r="D2147" t="s">
        <v>3225</v>
      </c>
      <c r="E2147" t="s">
        <v>3226</v>
      </c>
      <c r="F2147">
        <v>92470.83</v>
      </c>
      <c r="G2147">
        <v>64914.97</v>
      </c>
    </row>
    <row r="2148" spans="1:8" x14ac:dyDescent="0.25">
      <c r="A2148" t="s">
        <v>1906</v>
      </c>
      <c r="B2148" t="s">
        <v>3212</v>
      </c>
      <c r="C2148" t="s">
        <v>3216</v>
      </c>
      <c r="D2148" t="s">
        <v>3225</v>
      </c>
      <c r="E2148" t="s">
        <v>3226</v>
      </c>
      <c r="F2148">
        <v>81530.570000000007</v>
      </c>
      <c r="G2148">
        <v>74767.460000000006</v>
      </c>
      <c r="H2148">
        <v>5</v>
      </c>
    </row>
    <row r="2149" spans="1:8" x14ac:dyDescent="0.25">
      <c r="A2149" t="s">
        <v>1907</v>
      </c>
      <c r="C2149" t="s">
        <v>3217</v>
      </c>
      <c r="D2149" t="s">
        <v>3223</v>
      </c>
      <c r="E2149" t="s">
        <v>3226</v>
      </c>
      <c r="F2149">
        <v>29389.66</v>
      </c>
      <c r="G2149">
        <v>19608.099999999999</v>
      </c>
    </row>
    <row r="2150" spans="1:8" x14ac:dyDescent="0.25">
      <c r="A2150" t="s">
        <v>405</v>
      </c>
      <c r="B2150" t="s">
        <v>3215</v>
      </c>
      <c r="C2150" t="s">
        <v>3218</v>
      </c>
      <c r="D2150" t="s">
        <v>3224</v>
      </c>
      <c r="E2150" t="s">
        <v>3226</v>
      </c>
      <c r="F2150">
        <v>331641.96999999997</v>
      </c>
      <c r="G2150">
        <v>245071.46</v>
      </c>
      <c r="H2150">
        <v>5</v>
      </c>
    </row>
    <row r="2151" spans="1:8" x14ac:dyDescent="0.25">
      <c r="A2151" t="s">
        <v>1908</v>
      </c>
      <c r="B2151" t="s">
        <v>3215</v>
      </c>
      <c r="C2151" t="s">
        <v>3220</v>
      </c>
      <c r="D2151" t="s">
        <v>3223</v>
      </c>
      <c r="E2151" t="s">
        <v>3226</v>
      </c>
      <c r="F2151">
        <v>10239.76</v>
      </c>
      <c r="G2151">
        <v>6461.32</v>
      </c>
      <c r="H2151">
        <v>1</v>
      </c>
    </row>
    <row r="2152" spans="1:8" x14ac:dyDescent="0.25">
      <c r="A2152" t="s">
        <v>1909</v>
      </c>
      <c r="B2152" t="s">
        <v>3214</v>
      </c>
      <c r="C2152" t="s">
        <v>3216</v>
      </c>
      <c r="D2152" t="s">
        <v>3225</v>
      </c>
      <c r="E2152" t="s">
        <v>3226</v>
      </c>
      <c r="F2152">
        <v>75267.710000000006</v>
      </c>
      <c r="G2152">
        <v>53861.03</v>
      </c>
      <c r="H2152">
        <v>4</v>
      </c>
    </row>
    <row r="2153" spans="1:8" x14ac:dyDescent="0.25">
      <c r="A2153" t="s">
        <v>930</v>
      </c>
      <c r="B2153" t="s">
        <v>3213</v>
      </c>
      <c r="C2153" t="s">
        <v>3219</v>
      </c>
      <c r="D2153" t="s">
        <v>3225</v>
      </c>
      <c r="E2153" t="s">
        <v>3226</v>
      </c>
      <c r="F2153">
        <v>51477.81</v>
      </c>
      <c r="G2153">
        <v>36783.81</v>
      </c>
      <c r="H2153">
        <v>3</v>
      </c>
    </row>
    <row r="2154" spans="1:8" x14ac:dyDescent="0.25">
      <c r="A2154" t="s">
        <v>1910</v>
      </c>
      <c r="B2154" t="s">
        <v>3211</v>
      </c>
      <c r="C2154" t="s">
        <v>3216</v>
      </c>
      <c r="D2154" t="s">
        <v>3222</v>
      </c>
      <c r="E2154" t="s">
        <v>3226</v>
      </c>
      <c r="F2154">
        <v>33055.17</v>
      </c>
      <c r="G2154">
        <v>20444.47</v>
      </c>
      <c r="H2154">
        <v>2</v>
      </c>
    </row>
    <row r="2155" spans="1:8" x14ac:dyDescent="0.25">
      <c r="A2155" t="s">
        <v>1911</v>
      </c>
      <c r="B2155" t="s">
        <v>3211</v>
      </c>
      <c r="C2155" t="s">
        <v>3219</v>
      </c>
      <c r="D2155" t="s">
        <v>3224</v>
      </c>
      <c r="E2155" t="s">
        <v>3226</v>
      </c>
      <c r="F2155">
        <v>62142.15</v>
      </c>
      <c r="G2155">
        <v>40219.1</v>
      </c>
      <c r="H2155">
        <v>1</v>
      </c>
    </row>
    <row r="2156" spans="1:8" x14ac:dyDescent="0.25">
      <c r="A2156" t="s">
        <v>1912</v>
      </c>
      <c r="C2156" t="s">
        <v>3221</v>
      </c>
      <c r="D2156" t="s">
        <v>3222</v>
      </c>
      <c r="E2156" t="s">
        <v>3226</v>
      </c>
      <c r="F2156">
        <v>48735.33</v>
      </c>
      <c r="G2156">
        <v>31602.42</v>
      </c>
      <c r="H2156">
        <v>3</v>
      </c>
    </row>
    <row r="2157" spans="1:8" x14ac:dyDescent="0.25">
      <c r="A2157" t="s">
        <v>1913</v>
      </c>
      <c r="B2157" t="s">
        <v>3211</v>
      </c>
      <c r="C2157" t="s">
        <v>3221</v>
      </c>
      <c r="D2157" t="s">
        <v>3225</v>
      </c>
      <c r="E2157" t="s">
        <v>3226</v>
      </c>
      <c r="F2157">
        <v>20469.22</v>
      </c>
      <c r="G2157">
        <v>11909.63</v>
      </c>
      <c r="H2157">
        <v>1</v>
      </c>
    </row>
    <row r="2158" spans="1:8" x14ac:dyDescent="0.25">
      <c r="A2158" t="s">
        <v>1914</v>
      </c>
      <c r="B2158" t="s">
        <v>3215</v>
      </c>
      <c r="C2158" t="s">
        <v>3221</v>
      </c>
      <c r="D2158" t="s">
        <v>3223</v>
      </c>
      <c r="E2158" t="s">
        <v>3226</v>
      </c>
      <c r="F2158">
        <v>16123.69</v>
      </c>
      <c r="G2158">
        <v>12303.07</v>
      </c>
      <c r="H2158">
        <v>2</v>
      </c>
    </row>
    <row r="2159" spans="1:8" x14ac:dyDescent="0.25">
      <c r="A2159" t="s">
        <v>1915</v>
      </c>
      <c r="B2159" t="s">
        <v>3211</v>
      </c>
      <c r="C2159" t="s">
        <v>3217</v>
      </c>
      <c r="D2159" t="s">
        <v>3223</v>
      </c>
      <c r="E2159" t="s">
        <v>3226</v>
      </c>
      <c r="F2159">
        <v>8144.47</v>
      </c>
      <c r="G2159">
        <v>7014.94</v>
      </c>
      <c r="H2159">
        <v>1</v>
      </c>
    </row>
    <row r="2160" spans="1:8" x14ac:dyDescent="0.25">
      <c r="A2160" t="s">
        <v>1103</v>
      </c>
      <c r="B2160" t="s">
        <v>3213</v>
      </c>
      <c r="C2160" t="s">
        <v>3220</v>
      </c>
      <c r="D2160" t="s">
        <v>3225</v>
      </c>
      <c r="E2160" t="s">
        <v>3226</v>
      </c>
      <c r="F2160">
        <v>21225.47</v>
      </c>
      <c r="G2160">
        <v>12610.17</v>
      </c>
      <c r="H2160">
        <v>1</v>
      </c>
    </row>
    <row r="2161" spans="1:8" x14ac:dyDescent="0.25">
      <c r="A2161" t="s">
        <v>1916</v>
      </c>
      <c r="B2161" t="s">
        <v>3215</v>
      </c>
      <c r="C2161" t="s">
        <v>3220</v>
      </c>
      <c r="D2161" t="s">
        <v>3222</v>
      </c>
      <c r="E2161" t="s">
        <v>3226</v>
      </c>
      <c r="F2161">
        <v>30391.59</v>
      </c>
      <c r="G2161">
        <v>18121.509999999998</v>
      </c>
    </row>
    <row r="2162" spans="1:8" x14ac:dyDescent="0.25">
      <c r="A2162" t="s">
        <v>1917</v>
      </c>
      <c r="B2162" t="s">
        <v>3215</v>
      </c>
      <c r="C2162" t="s">
        <v>3221</v>
      </c>
      <c r="D2162" t="s">
        <v>3223</v>
      </c>
      <c r="E2162" t="s">
        <v>3226</v>
      </c>
      <c r="F2162">
        <v>18685.48</v>
      </c>
      <c r="G2162">
        <v>14561.9</v>
      </c>
      <c r="H2162">
        <v>2</v>
      </c>
    </row>
    <row r="2163" spans="1:8" x14ac:dyDescent="0.25">
      <c r="A2163" t="s">
        <v>1918</v>
      </c>
      <c r="B2163" t="s">
        <v>3213</v>
      </c>
      <c r="C2163" t="s">
        <v>3218</v>
      </c>
      <c r="D2163" t="s">
        <v>3225</v>
      </c>
      <c r="E2163" t="s">
        <v>3226</v>
      </c>
      <c r="F2163">
        <v>20087.82</v>
      </c>
      <c r="G2163">
        <v>14209.11</v>
      </c>
      <c r="H2163">
        <v>1</v>
      </c>
    </row>
    <row r="2164" spans="1:8" x14ac:dyDescent="0.25">
      <c r="A2164" t="s">
        <v>1024</v>
      </c>
      <c r="B2164" t="s">
        <v>3211</v>
      </c>
      <c r="C2164" t="s">
        <v>3216</v>
      </c>
      <c r="D2164" t="s">
        <v>3222</v>
      </c>
      <c r="E2164" t="s">
        <v>3226</v>
      </c>
      <c r="F2164">
        <v>67504.02</v>
      </c>
      <c r="G2164">
        <v>46432.03</v>
      </c>
      <c r="H2164">
        <v>5</v>
      </c>
    </row>
    <row r="2165" spans="1:8" x14ac:dyDescent="0.25">
      <c r="A2165" t="s">
        <v>1380</v>
      </c>
      <c r="B2165" t="s">
        <v>3213</v>
      </c>
      <c r="C2165" t="s">
        <v>3216</v>
      </c>
      <c r="D2165" t="s">
        <v>3224</v>
      </c>
      <c r="E2165" t="s">
        <v>3226</v>
      </c>
      <c r="F2165">
        <v>172862.15</v>
      </c>
      <c r="G2165">
        <v>142855.54999999999</v>
      </c>
      <c r="H2165">
        <v>3</v>
      </c>
    </row>
    <row r="2166" spans="1:8" x14ac:dyDescent="0.25">
      <c r="A2166" t="s">
        <v>1919</v>
      </c>
      <c r="B2166" t="s">
        <v>3215</v>
      </c>
      <c r="C2166" t="s">
        <v>3219</v>
      </c>
      <c r="D2166" t="s">
        <v>3225</v>
      </c>
      <c r="E2166" t="s">
        <v>3226</v>
      </c>
      <c r="F2166">
        <v>35552.57</v>
      </c>
      <c r="G2166">
        <v>27325.74</v>
      </c>
      <c r="H2166">
        <v>2</v>
      </c>
    </row>
    <row r="2167" spans="1:8" x14ac:dyDescent="0.25">
      <c r="A2167" t="s">
        <v>1097</v>
      </c>
      <c r="B2167" t="s">
        <v>3215</v>
      </c>
      <c r="C2167" t="s">
        <v>3220</v>
      </c>
      <c r="D2167" t="s">
        <v>3225</v>
      </c>
      <c r="E2167" t="s">
        <v>3226</v>
      </c>
      <c r="F2167">
        <v>20945.080000000002</v>
      </c>
      <c r="G2167">
        <v>13241.33</v>
      </c>
      <c r="H2167">
        <v>1</v>
      </c>
    </row>
    <row r="2168" spans="1:8" x14ac:dyDescent="0.25">
      <c r="A2168" t="s">
        <v>1920</v>
      </c>
      <c r="B2168" t="s">
        <v>3212</v>
      </c>
      <c r="C2168" t="s">
        <v>3216</v>
      </c>
      <c r="D2168" t="s">
        <v>3224</v>
      </c>
      <c r="E2168" t="s">
        <v>3226</v>
      </c>
      <c r="F2168">
        <v>212954.65</v>
      </c>
      <c r="G2168">
        <v>127740.84</v>
      </c>
      <c r="H2168">
        <v>3</v>
      </c>
    </row>
    <row r="2169" spans="1:8" x14ac:dyDescent="0.25">
      <c r="A2169" t="s">
        <v>1921</v>
      </c>
      <c r="B2169" t="s">
        <v>3215</v>
      </c>
      <c r="C2169" t="s">
        <v>3217</v>
      </c>
      <c r="D2169" t="s">
        <v>3222</v>
      </c>
      <c r="E2169" t="s">
        <v>3226</v>
      </c>
      <c r="F2169">
        <v>12229.84</v>
      </c>
      <c r="G2169">
        <v>8621.24</v>
      </c>
      <c r="H2169">
        <v>1</v>
      </c>
    </row>
    <row r="2170" spans="1:8" x14ac:dyDescent="0.25">
      <c r="A2170" t="s">
        <v>1922</v>
      </c>
      <c r="C2170" t="s">
        <v>3217</v>
      </c>
      <c r="D2170" t="s">
        <v>3223</v>
      </c>
      <c r="E2170" t="s">
        <v>3226</v>
      </c>
      <c r="F2170">
        <v>25894.15</v>
      </c>
      <c r="G2170">
        <v>17983.52</v>
      </c>
      <c r="H2170">
        <v>3</v>
      </c>
    </row>
    <row r="2171" spans="1:8" x14ac:dyDescent="0.25">
      <c r="A2171" t="s">
        <v>712</v>
      </c>
      <c r="B2171" t="s">
        <v>3212</v>
      </c>
      <c r="C2171" t="s">
        <v>3216</v>
      </c>
      <c r="D2171" t="s">
        <v>3223</v>
      </c>
      <c r="E2171" t="s">
        <v>3226</v>
      </c>
      <c r="F2171">
        <v>23944.06</v>
      </c>
      <c r="G2171">
        <v>12541.08</v>
      </c>
      <c r="H2171">
        <v>2</v>
      </c>
    </row>
    <row r="2172" spans="1:8" x14ac:dyDescent="0.25">
      <c r="A2172" t="s">
        <v>1923</v>
      </c>
      <c r="B2172" t="s">
        <v>3215</v>
      </c>
      <c r="C2172" t="s">
        <v>3217</v>
      </c>
      <c r="D2172" t="s">
        <v>3225</v>
      </c>
      <c r="E2172" t="s">
        <v>3226</v>
      </c>
      <c r="F2172">
        <v>17157.009999999998</v>
      </c>
      <c r="G2172">
        <v>13289.74</v>
      </c>
      <c r="H2172">
        <v>1</v>
      </c>
    </row>
    <row r="2173" spans="1:8" x14ac:dyDescent="0.25">
      <c r="A2173" t="s">
        <v>1924</v>
      </c>
      <c r="B2173" t="s">
        <v>3213</v>
      </c>
      <c r="C2173" t="s">
        <v>3218</v>
      </c>
      <c r="D2173" t="s">
        <v>3225</v>
      </c>
      <c r="E2173" t="s">
        <v>3226</v>
      </c>
      <c r="F2173">
        <v>46553</v>
      </c>
      <c r="G2173">
        <v>26984.720000000001</v>
      </c>
      <c r="H2173">
        <v>2</v>
      </c>
    </row>
    <row r="2174" spans="1:8" x14ac:dyDescent="0.25">
      <c r="A2174" t="s">
        <v>533</v>
      </c>
      <c r="B2174" t="s">
        <v>3215</v>
      </c>
      <c r="C2174" t="s">
        <v>3220</v>
      </c>
      <c r="D2174" t="s">
        <v>3225</v>
      </c>
      <c r="E2174" t="s">
        <v>3226</v>
      </c>
      <c r="F2174">
        <v>68524.009999999995</v>
      </c>
      <c r="G2174">
        <v>57725.24</v>
      </c>
      <c r="H2174">
        <v>4</v>
      </c>
    </row>
    <row r="2175" spans="1:8" x14ac:dyDescent="0.25">
      <c r="A2175" t="s">
        <v>722</v>
      </c>
      <c r="B2175" t="s">
        <v>3212</v>
      </c>
      <c r="C2175" t="s">
        <v>3220</v>
      </c>
      <c r="D2175" t="s">
        <v>3224</v>
      </c>
      <c r="E2175" t="s">
        <v>3226</v>
      </c>
      <c r="F2175">
        <v>244552.32000000001</v>
      </c>
      <c r="G2175">
        <v>183113.89</v>
      </c>
    </row>
    <row r="2176" spans="1:8" x14ac:dyDescent="0.25">
      <c r="A2176" t="s">
        <v>1925</v>
      </c>
      <c r="B2176" t="s">
        <v>3214</v>
      </c>
      <c r="C2176" t="s">
        <v>3221</v>
      </c>
      <c r="D2176" t="s">
        <v>3223</v>
      </c>
      <c r="E2176" t="s">
        <v>3226</v>
      </c>
      <c r="F2176">
        <v>31103.67</v>
      </c>
      <c r="G2176">
        <v>22345.37</v>
      </c>
      <c r="H2176">
        <v>3</v>
      </c>
    </row>
    <row r="2177" spans="1:8" x14ac:dyDescent="0.25">
      <c r="A2177" t="s">
        <v>1926</v>
      </c>
      <c r="B2177" t="s">
        <v>3213</v>
      </c>
      <c r="C2177" t="s">
        <v>3217</v>
      </c>
      <c r="D2177" t="s">
        <v>3224</v>
      </c>
      <c r="E2177" t="s">
        <v>3226</v>
      </c>
      <c r="F2177">
        <v>248970.94</v>
      </c>
      <c r="G2177">
        <v>193673.49</v>
      </c>
      <c r="H2177">
        <v>5</v>
      </c>
    </row>
    <row r="2178" spans="1:8" x14ac:dyDescent="0.25">
      <c r="A2178" t="s">
        <v>1927</v>
      </c>
      <c r="B2178" t="s">
        <v>3214</v>
      </c>
      <c r="C2178" t="s">
        <v>3216</v>
      </c>
      <c r="D2178" t="s">
        <v>3222</v>
      </c>
      <c r="E2178" t="s">
        <v>3226</v>
      </c>
      <c r="F2178">
        <v>13827.67</v>
      </c>
      <c r="G2178">
        <v>10449.799999999999</v>
      </c>
      <c r="H2178">
        <v>1</v>
      </c>
    </row>
    <row r="2179" spans="1:8" x14ac:dyDescent="0.25">
      <c r="A2179" t="s">
        <v>1928</v>
      </c>
      <c r="B2179" t="s">
        <v>3214</v>
      </c>
      <c r="C2179" t="s">
        <v>3216</v>
      </c>
      <c r="D2179" t="s">
        <v>3224</v>
      </c>
      <c r="E2179" t="s">
        <v>3226</v>
      </c>
      <c r="F2179">
        <v>287528.62</v>
      </c>
      <c r="G2179">
        <v>224359.18</v>
      </c>
      <c r="H2179">
        <v>5</v>
      </c>
    </row>
    <row r="2180" spans="1:8" x14ac:dyDescent="0.25">
      <c r="A2180" t="s">
        <v>92</v>
      </c>
      <c r="B2180" t="s">
        <v>3215</v>
      </c>
      <c r="C2180" t="s">
        <v>3221</v>
      </c>
      <c r="D2180" t="s">
        <v>3224</v>
      </c>
      <c r="E2180" t="s">
        <v>3226</v>
      </c>
      <c r="F2180">
        <v>255488.93</v>
      </c>
      <c r="G2180">
        <v>158088.97</v>
      </c>
      <c r="H2180">
        <v>4</v>
      </c>
    </row>
    <row r="2181" spans="1:8" x14ac:dyDescent="0.25">
      <c r="A2181" t="s">
        <v>1929</v>
      </c>
      <c r="B2181" t="s">
        <v>3212</v>
      </c>
      <c r="C2181" t="s">
        <v>3218</v>
      </c>
      <c r="D2181" t="s">
        <v>3223</v>
      </c>
      <c r="E2181" t="s">
        <v>3226</v>
      </c>
      <c r="G2181">
        <v>14903.65</v>
      </c>
      <c r="H2181">
        <v>2</v>
      </c>
    </row>
    <row r="2182" spans="1:8" x14ac:dyDescent="0.25">
      <c r="A2182" t="s">
        <v>1930</v>
      </c>
      <c r="B2182" t="s">
        <v>3213</v>
      </c>
      <c r="C2182" t="s">
        <v>3219</v>
      </c>
      <c r="D2182" t="s">
        <v>3223</v>
      </c>
      <c r="E2182" t="s">
        <v>3226</v>
      </c>
      <c r="F2182">
        <v>38944.18</v>
      </c>
      <c r="G2182">
        <v>30620.67</v>
      </c>
      <c r="H2182">
        <v>4</v>
      </c>
    </row>
    <row r="2183" spans="1:8" x14ac:dyDescent="0.25">
      <c r="A2183" t="s">
        <v>423</v>
      </c>
      <c r="B2183" t="s">
        <v>3213</v>
      </c>
      <c r="C2183" t="s">
        <v>3217</v>
      </c>
      <c r="D2183" t="s">
        <v>3223</v>
      </c>
      <c r="E2183" t="s">
        <v>3226</v>
      </c>
      <c r="F2183">
        <v>10320.75</v>
      </c>
      <c r="G2183">
        <v>7063.76</v>
      </c>
      <c r="H2183">
        <v>1</v>
      </c>
    </row>
    <row r="2184" spans="1:8" x14ac:dyDescent="0.25">
      <c r="A2184" t="s">
        <v>1931</v>
      </c>
      <c r="B2184" t="s">
        <v>3215</v>
      </c>
      <c r="C2184" t="s">
        <v>3220</v>
      </c>
      <c r="D2184" t="s">
        <v>3225</v>
      </c>
      <c r="E2184" t="s">
        <v>3226</v>
      </c>
      <c r="F2184">
        <v>89816.42</v>
      </c>
      <c r="H2184">
        <v>5</v>
      </c>
    </row>
    <row r="2185" spans="1:8" x14ac:dyDescent="0.25">
      <c r="A2185" t="s">
        <v>1932</v>
      </c>
      <c r="B2185" t="s">
        <v>3211</v>
      </c>
      <c r="C2185" t="s">
        <v>3217</v>
      </c>
      <c r="D2185" t="s">
        <v>3225</v>
      </c>
      <c r="E2185" t="s">
        <v>3226</v>
      </c>
      <c r="F2185">
        <v>49740.37</v>
      </c>
      <c r="G2185">
        <v>46137.59</v>
      </c>
      <c r="H2185">
        <v>3</v>
      </c>
    </row>
    <row r="2186" spans="1:8" x14ac:dyDescent="0.25">
      <c r="A2186" t="s">
        <v>1933</v>
      </c>
      <c r="B2186" t="s">
        <v>3211</v>
      </c>
      <c r="C2186" t="s">
        <v>3217</v>
      </c>
      <c r="D2186" t="s">
        <v>3223</v>
      </c>
      <c r="E2186" t="s">
        <v>3226</v>
      </c>
      <c r="F2186">
        <v>34938.879999999997</v>
      </c>
      <c r="G2186">
        <v>17902.47</v>
      </c>
      <c r="H2186">
        <v>3</v>
      </c>
    </row>
    <row r="2187" spans="1:8" x14ac:dyDescent="0.25">
      <c r="A2187" t="s">
        <v>1934</v>
      </c>
      <c r="B2187" t="s">
        <v>3211</v>
      </c>
      <c r="C2187" t="s">
        <v>3217</v>
      </c>
      <c r="D2187" t="s">
        <v>3223</v>
      </c>
      <c r="E2187" t="s">
        <v>3226</v>
      </c>
      <c r="F2187">
        <v>20670.7</v>
      </c>
      <c r="G2187">
        <v>12131.16</v>
      </c>
      <c r="H2187">
        <v>2</v>
      </c>
    </row>
    <row r="2188" spans="1:8" x14ac:dyDescent="0.25">
      <c r="A2188" t="s">
        <v>1935</v>
      </c>
      <c r="C2188" t="s">
        <v>3220</v>
      </c>
      <c r="D2188" t="s">
        <v>3224</v>
      </c>
      <c r="E2188" t="s">
        <v>3226</v>
      </c>
      <c r="F2188">
        <v>193280.45</v>
      </c>
      <c r="G2188">
        <v>197952.37</v>
      </c>
      <c r="H2188">
        <v>4</v>
      </c>
    </row>
    <row r="2189" spans="1:8" x14ac:dyDescent="0.25">
      <c r="A2189" t="s">
        <v>365</v>
      </c>
      <c r="B2189" t="s">
        <v>3211</v>
      </c>
      <c r="C2189" t="s">
        <v>3217</v>
      </c>
      <c r="D2189" t="s">
        <v>3222</v>
      </c>
      <c r="E2189" t="s">
        <v>3226</v>
      </c>
      <c r="F2189">
        <v>33569.57</v>
      </c>
      <c r="G2189">
        <v>21162.46</v>
      </c>
      <c r="H2189">
        <v>2</v>
      </c>
    </row>
    <row r="2190" spans="1:8" x14ac:dyDescent="0.25">
      <c r="A2190" t="s">
        <v>1936</v>
      </c>
      <c r="B2190" t="s">
        <v>3214</v>
      </c>
      <c r="C2190" t="s">
        <v>3220</v>
      </c>
      <c r="D2190" t="s">
        <v>3222</v>
      </c>
      <c r="E2190" t="s">
        <v>3226</v>
      </c>
      <c r="F2190">
        <v>14015.8</v>
      </c>
      <c r="G2190">
        <v>9323.11</v>
      </c>
      <c r="H2190">
        <v>1</v>
      </c>
    </row>
    <row r="2191" spans="1:8" x14ac:dyDescent="0.25">
      <c r="A2191" t="s">
        <v>1937</v>
      </c>
      <c r="B2191" t="s">
        <v>3211</v>
      </c>
      <c r="C2191" t="s">
        <v>3216</v>
      </c>
      <c r="D2191" t="s">
        <v>3224</v>
      </c>
      <c r="E2191" t="s">
        <v>3226</v>
      </c>
      <c r="F2191">
        <v>120408.2</v>
      </c>
      <c r="G2191">
        <v>86623.61</v>
      </c>
      <c r="H2191">
        <v>2</v>
      </c>
    </row>
    <row r="2192" spans="1:8" x14ac:dyDescent="0.25">
      <c r="A2192" t="s">
        <v>1938</v>
      </c>
      <c r="B2192" t="s">
        <v>3213</v>
      </c>
      <c r="C2192" t="s">
        <v>3218</v>
      </c>
      <c r="D2192" t="s">
        <v>3224</v>
      </c>
      <c r="E2192" t="s">
        <v>3226</v>
      </c>
      <c r="F2192">
        <v>213482.17</v>
      </c>
      <c r="G2192">
        <v>177080.86</v>
      </c>
      <c r="H2192">
        <v>4</v>
      </c>
    </row>
    <row r="2193" spans="1:8" x14ac:dyDescent="0.25">
      <c r="A2193" t="s">
        <v>1939</v>
      </c>
      <c r="B2193" t="s">
        <v>3212</v>
      </c>
      <c r="C2193" t="s">
        <v>3219</v>
      </c>
      <c r="D2193" t="s">
        <v>3222</v>
      </c>
      <c r="E2193" t="s">
        <v>3226</v>
      </c>
      <c r="F2193">
        <v>15734.71</v>
      </c>
      <c r="G2193">
        <v>9311.67</v>
      </c>
      <c r="H2193">
        <v>1</v>
      </c>
    </row>
    <row r="2194" spans="1:8" x14ac:dyDescent="0.25">
      <c r="A2194" t="s">
        <v>731</v>
      </c>
      <c r="B2194" t="s">
        <v>3212</v>
      </c>
      <c r="C2194" t="s">
        <v>3221</v>
      </c>
      <c r="D2194" t="s">
        <v>3224</v>
      </c>
      <c r="E2194" t="s">
        <v>3226</v>
      </c>
      <c r="F2194">
        <v>231568.75</v>
      </c>
      <c r="G2194">
        <v>194940.82</v>
      </c>
      <c r="H2194">
        <v>4</v>
      </c>
    </row>
    <row r="2195" spans="1:8" x14ac:dyDescent="0.25">
      <c r="A2195" t="s">
        <v>1940</v>
      </c>
      <c r="B2195" t="s">
        <v>3211</v>
      </c>
      <c r="C2195" t="s">
        <v>3220</v>
      </c>
      <c r="D2195" t="s">
        <v>3224</v>
      </c>
      <c r="E2195" t="s">
        <v>3226</v>
      </c>
      <c r="F2195">
        <v>162318.59</v>
      </c>
      <c r="G2195">
        <v>145373.10999999999</v>
      </c>
      <c r="H2195">
        <v>3</v>
      </c>
    </row>
    <row r="2196" spans="1:8" x14ac:dyDescent="0.25">
      <c r="A2196" t="s">
        <v>1941</v>
      </c>
      <c r="B2196" t="s">
        <v>3211</v>
      </c>
      <c r="C2196" t="s">
        <v>3221</v>
      </c>
      <c r="D2196" t="s">
        <v>3222</v>
      </c>
      <c r="E2196" t="s">
        <v>3226</v>
      </c>
      <c r="F2196">
        <v>84261.26</v>
      </c>
      <c r="G2196">
        <v>44879.02</v>
      </c>
      <c r="H2196">
        <v>5</v>
      </c>
    </row>
    <row r="2197" spans="1:8" x14ac:dyDescent="0.25">
      <c r="A2197" t="s">
        <v>1942</v>
      </c>
      <c r="B2197" t="s">
        <v>3212</v>
      </c>
      <c r="C2197" t="s">
        <v>3217</v>
      </c>
      <c r="D2197" t="s">
        <v>3224</v>
      </c>
      <c r="E2197" t="s">
        <v>3226</v>
      </c>
      <c r="F2197">
        <v>310132.98</v>
      </c>
      <c r="H2197">
        <v>5</v>
      </c>
    </row>
    <row r="2198" spans="1:8" x14ac:dyDescent="0.25">
      <c r="A2198" t="s">
        <v>1943</v>
      </c>
      <c r="C2198" t="s">
        <v>3216</v>
      </c>
      <c r="D2198" t="s">
        <v>3223</v>
      </c>
      <c r="E2198" t="s">
        <v>3226</v>
      </c>
      <c r="F2198">
        <v>56198.9</v>
      </c>
      <c r="G2198">
        <v>35092.199999999997</v>
      </c>
      <c r="H2198">
        <v>5</v>
      </c>
    </row>
    <row r="2199" spans="1:8" x14ac:dyDescent="0.25">
      <c r="A2199" t="s">
        <v>1944</v>
      </c>
      <c r="B2199" t="s">
        <v>3212</v>
      </c>
      <c r="C2199" t="s">
        <v>3221</v>
      </c>
      <c r="D2199" t="s">
        <v>3225</v>
      </c>
      <c r="E2199" t="s">
        <v>3226</v>
      </c>
      <c r="F2199">
        <v>64911.08</v>
      </c>
      <c r="G2199">
        <v>57263.41</v>
      </c>
      <c r="H2199">
        <v>4</v>
      </c>
    </row>
    <row r="2200" spans="1:8" x14ac:dyDescent="0.25">
      <c r="A2200" t="s">
        <v>1945</v>
      </c>
      <c r="B2200" t="s">
        <v>3215</v>
      </c>
      <c r="C2200" t="s">
        <v>3221</v>
      </c>
      <c r="D2200" t="s">
        <v>3223</v>
      </c>
      <c r="E2200" t="s">
        <v>3226</v>
      </c>
      <c r="G2200">
        <v>25215.83</v>
      </c>
      <c r="H2200">
        <v>4</v>
      </c>
    </row>
    <row r="2201" spans="1:8" x14ac:dyDescent="0.25">
      <c r="A2201" t="s">
        <v>1946</v>
      </c>
      <c r="B2201" t="s">
        <v>3214</v>
      </c>
      <c r="C2201" t="s">
        <v>3218</v>
      </c>
      <c r="D2201" t="s">
        <v>3224</v>
      </c>
      <c r="E2201" t="s">
        <v>3226</v>
      </c>
      <c r="F2201">
        <v>141552.23000000001</v>
      </c>
      <c r="G2201">
        <v>97673.27</v>
      </c>
      <c r="H2201">
        <v>2</v>
      </c>
    </row>
    <row r="2202" spans="1:8" x14ac:dyDescent="0.25">
      <c r="A2202" t="s">
        <v>1947</v>
      </c>
      <c r="B2202" t="s">
        <v>3211</v>
      </c>
      <c r="C2202" t="s">
        <v>3221</v>
      </c>
      <c r="D2202" t="s">
        <v>3224</v>
      </c>
      <c r="E2202" t="s">
        <v>3226</v>
      </c>
      <c r="F2202">
        <v>53941.49</v>
      </c>
      <c r="G2202">
        <v>39289.01</v>
      </c>
      <c r="H2202">
        <v>1</v>
      </c>
    </row>
    <row r="2203" spans="1:8" x14ac:dyDescent="0.25">
      <c r="A2203" t="s">
        <v>1167</v>
      </c>
      <c r="B2203" t="s">
        <v>3214</v>
      </c>
      <c r="C2203" t="s">
        <v>3219</v>
      </c>
      <c r="D2203" t="s">
        <v>3225</v>
      </c>
      <c r="E2203" t="s">
        <v>3226</v>
      </c>
      <c r="F2203">
        <v>115074.92</v>
      </c>
      <c r="G2203">
        <v>66399.740000000005</v>
      </c>
      <c r="H2203">
        <v>5</v>
      </c>
    </row>
    <row r="2204" spans="1:8" x14ac:dyDescent="0.25">
      <c r="A2204" t="s">
        <v>1948</v>
      </c>
      <c r="B2204" t="s">
        <v>3214</v>
      </c>
      <c r="C2204" t="s">
        <v>3219</v>
      </c>
      <c r="D2204" t="s">
        <v>3225</v>
      </c>
      <c r="E2204" t="s">
        <v>3226</v>
      </c>
      <c r="F2204">
        <v>62170.49</v>
      </c>
      <c r="H2204">
        <v>3</v>
      </c>
    </row>
    <row r="2205" spans="1:8" x14ac:dyDescent="0.25">
      <c r="A2205" t="s">
        <v>1949</v>
      </c>
      <c r="B2205" t="s">
        <v>3215</v>
      </c>
      <c r="C2205" t="s">
        <v>3218</v>
      </c>
      <c r="D2205" t="s">
        <v>3224</v>
      </c>
      <c r="E2205" t="s">
        <v>3226</v>
      </c>
      <c r="F2205">
        <v>334703.96999999997</v>
      </c>
      <c r="G2205">
        <v>234928.43</v>
      </c>
      <c r="H2205">
        <v>5</v>
      </c>
    </row>
    <row r="2206" spans="1:8" x14ac:dyDescent="0.25">
      <c r="A2206" t="s">
        <v>361</v>
      </c>
      <c r="B2206" t="s">
        <v>3211</v>
      </c>
      <c r="C2206" t="s">
        <v>3219</v>
      </c>
      <c r="D2206" t="s">
        <v>3222</v>
      </c>
      <c r="E2206" t="s">
        <v>3226</v>
      </c>
      <c r="F2206">
        <v>13137.53</v>
      </c>
      <c r="G2206">
        <v>10517.13</v>
      </c>
      <c r="H2206">
        <v>1</v>
      </c>
    </row>
    <row r="2207" spans="1:8" x14ac:dyDescent="0.25">
      <c r="A2207" t="s">
        <v>1299</v>
      </c>
      <c r="B2207" t="s">
        <v>3215</v>
      </c>
      <c r="C2207" t="s">
        <v>3217</v>
      </c>
      <c r="D2207" t="s">
        <v>3223</v>
      </c>
      <c r="E2207" t="s">
        <v>3226</v>
      </c>
      <c r="F2207">
        <v>11193.25</v>
      </c>
      <c r="G2207">
        <v>6126.97</v>
      </c>
      <c r="H2207">
        <v>1</v>
      </c>
    </row>
    <row r="2208" spans="1:8" x14ac:dyDescent="0.25">
      <c r="A2208" t="s">
        <v>870</v>
      </c>
      <c r="C2208" t="s">
        <v>3216</v>
      </c>
      <c r="D2208" t="s">
        <v>3223</v>
      </c>
      <c r="E2208" t="s">
        <v>3226</v>
      </c>
      <c r="F2208">
        <v>19894.75</v>
      </c>
      <c r="G2208">
        <v>14715.9</v>
      </c>
      <c r="H2208">
        <v>2</v>
      </c>
    </row>
    <row r="2209" spans="1:8" x14ac:dyDescent="0.25">
      <c r="A2209" t="s">
        <v>1950</v>
      </c>
      <c r="B2209" t="s">
        <v>3213</v>
      </c>
      <c r="C2209" t="s">
        <v>3216</v>
      </c>
      <c r="D2209" t="s">
        <v>3222</v>
      </c>
      <c r="E2209" t="s">
        <v>3226</v>
      </c>
      <c r="F2209">
        <v>77494.850000000006</v>
      </c>
      <c r="G2209">
        <v>48270.14</v>
      </c>
      <c r="H2209">
        <v>5</v>
      </c>
    </row>
    <row r="2210" spans="1:8" x14ac:dyDescent="0.25">
      <c r="A2210" t="s">
        <v>1951</v>
      </c>
      <c r="B2210" t="s">
        <v>3214</v>
      </c>
      <c r="C2210" t="s">
        <v>3218</v>
      </c>
      <c r="D2210" t="s">
        <v>3223</v>
      </c>
      <c r="E2210" t="s">
        <v>3226</v>
      </c>
      <c r="F2210">
        <v>21298.52</v>
      </c>
      <c r="G2210">
        <v>13653.75</v>
      </c>
    </row>
    <row r="2211" spans="1:8" x14ac:dyDescent="0.25">
      <c r="A2211" t="s">
        <v>1952</v>
      </c>
      <c r="B2211" t="s">
        <v>3212</v>
      </c>
      <c r="C2211" t="s">
        <v>3219</v>
      </c>
      <c r="D2211" t="s">
        <v>3225</v>
      </c>
      <c r="E2211" t="s">
        <v>3226</v>
      </c>
      <c r="F2211">
        <v>82744.33</v>
      </c>
      <c r="G2211">
        <v>51834.38</v>
      </c>
      <c r="H2211">
        <v>4</v>
      </c>
    </row>
    <row r="2212" spans="1:8" x14ac:dyDescent="0.25">
      <c r="A2212" t="s">
        <v>1953</v>
      </c>
      <c r="B2212" t="s">
        <v>3212</v>
      </c>
      <c r="C2212" t="s">
        <v>3219</v>
      </c>
      <c r="D2212" t="s">
        <v>3223</v>
      </c>
      <c r="E2212" t="s">
        <v>3226</v>
      </c>
      <c r="F2212">
        <v>35964.35</v>
      </c>
      <c r="G2212">
        <v>29037.34</v>
      </c>
      <c r="H2212">
        <v>4</v>
      </c>
    </row>
    <row r="2213" spans="1:8" x14ac:dyDescent="0.25">
      <c r="A2213" t="s">
        <v>1954</v>
      </c>
      <c r="B2213" t="s">
        <v>3213</v>
      </c>
      <c r="C2213" t="s">
        <v>3220</v>
      </c>
      <c r="D2213" t="s">
        <v>3222</v>
      </c>
      <c r="E2213" t="s">
        <v>3226</v>
      </c>
      <c r="F2213">
        <v>78781.69</v>
      </c>
      <c r="G2213">
        <v>48969.99</v>
      </c>
      <c r="H2213">
        <v>5</v>
      </c>
    </row>
    <row r="2214" spans="1:8" x14ac:dyDescent="0.25">
      <c r="A2214" t="s">
        <v>1955</v>
      </c>
      <c r="C2214" t="s">
        <v>3217</v>
      </c>
      <c r="D2214" t="s">
        <v>3224</v>
      </c>
      <c r="E2214" t="s">
        <v>3226</v>
      </c>
      <c r="F2214">
        <v>68163.03</v>
      </c>
      <c r="H2214">
        <v>1</v>
      </c>
    </row>
    <row r="2215" spans="1:8" x14ac:dyDescent="0.25">
      <c r="A2215" t="s">
        <v>1956</v>
      </c>
      <c r="B2215" t="s">
        <v>3214</v>
      </c>
      <c r="C2215" t="s">
        <v>3218</v>
      </c>
      <c r="D2215" t="s">
        <v>3223</v>
      </c>
      <c r="E2215" t="s">
        <v>3226</v>
      </c>
      <c r="F2215">
        <v>17351.63</v>
      </c>
      <c r="H2215">
        <v>2</v>
      </c>
    </row>
    <row r="2216" spans="1:8" x14ac:dyDescent="0.25">
      <c r="A2216" t="s">
        <v>1957</v>
      </c>
      <c r="B2216" t="s">
        <v>3211</v>
      </c>
      <c r="C2216" t="s">
        <v>3220</v>
      </c>
      <c r="D2216" t="s">
        <v>3224</v>
      </c>
      <c r="E2216" t="s">
        <v>3226</v>
      </c>
      <c r="F2216">
        <v>197531.9</v>
      </c>
      <c r="G2216">
        <v>116203.53</v>
      </c>
      <c r="H2216">
        <v>3</v>
      </c>
    </row>
    <row r="2217" spans="1:8" x14ac:dyDescent="0.25">
      <c r="A2217" t="s">
        <v>1958</v>
      </c>
      <c r="B2217" t="s">
        <v>3214</v>
      </c>
      <c r="C2217" t="s">
        <v>3219</v>
      </c>
      <c r="D2217" t="s">
        <v>3225</v>
      </c>
      <c r="E2217" t="s">
        <v>3226</v>
      </c>
      <c r="F2217">
        <v>91938.8</v>
      </c>
      <c r="G2217">
        <v>61320.3</v>
      </c>
      <c r="H2217">
        <v>4</v>
      </c>
    </row>
    <row r="2218" spans="1:8" x14ac:dyDescent="0.25">
      <c r="A2218" t="s">
        <v>1959</v>
      </c>
      <c r="B2218" t="s">
        <v>3211</v>
      </c>
      <c r="C2218" t="s">
        <v>3220</v>
      </c>
      <c r="D2218" t="s">
        <v>3223</v>
      </c>
      <c r="E2218" t="s">
        <v>3226</v>
      </c>
      <c r="F2218">
        <v>46936.87</v>
      </c>
      <c r="G2218">
        <v>37632.699999999997</v>
      </c>
      <c r="H2218">
        <v>5</v>
      </c>
    </row>
    <row r="2219" spans="1:8" x14ac:dyDescent="0.25">
      <c r="A2219" t="s">
        <v>1960</v>
      </c>
      <c r="C2219" t="s">
        <v>3218</v>
      </c>
      <c r="D2219" t="s">
        <v>3222</v>
      </c>
      <c r="E2219" t="s">
        <v>3226</v>
      </c>
      <c r="F2219">
        <v>53054.01</v>
      </c>
      <c r="G2219">
        <v>41416.769999999997</v>
      </c>
      <c r="H2219">
        <v>4</v>
      </c>
    </row>
    <row r="2220" spans="1:8" x14ac:dyDescent="0.25">
      <c r="A2220" t="s">
        <v>1961</v>
      </c>
      <c r="B2220" t="s">
        <v>3213</v>
      </c>
      <c r="C2220" t="s">
        <v>3219</v>
      </c>
      <c r="D2220" t="s">
        <v>3224</v>
      </c>
      <c r="E2220" t="s">
        <v>3226</v>
      </c>
      <c r="F2220">
        <v>276486.02</v>
      </c>
      <c r="G2220">
        <v>174750.78</v>
      </c>
      <c r="H2220">
        <v>4</v>
      </c>
    </row>
    <row r="2221" spans="1:8" x14ac:dyDescent="0.25">
      <c r="A2221" t="s">
        <v>1962</v>
      </c>
      <c r="C2221" t="s">
        <v>3220</v>
      </c>
      <c r="D2221" t="s">
        <v>3223</v>
      </c>
      <c r="E2221" t="s">
        <v>3226</v>
      </c>
      <c r="F2221">
        <v>10305.549999999999</v>
      </c>
      <c r="G2221">
        <v>7519.45</v>
      </c>
      <c r="H2221">
        <v>1</v>
      </c>
    </row>
    <row r="2222" spans="1:8" x14ac:dyDescent="0.25">
      <c r="A2222" t="s">
        <v>1940</v>
      </c>
      <c r="B2222" t="s">
        <v>3214</v>
      </c>
      <c r="C2222" t="s">
        <v>3218</v>
      </c>
      <c r="D2222" t="s">
        <v>3225</v>
      </c>
      <c r="E2222" t="s">
        <v>3226</v>
      </c>
      <c r="F2222">
        <v>101501.57</v>
      </c>
      <c r="G2222">
        <v>62848.44</v>
      </c>
      <c r="H2222">
        <v>5</v>
      </c>
    </row>
    <row r="2223" spans="1:8" x14ac:dyDescent="0.25">
      <c r="A2223" t="s">
        <v>1963</v>
      </c>
      <c r="B2223" t="s">
        <v>3211</v>
      </c>
      <c r="C2223" t="s">
        <v>3221</v>
      </c>
      <c r="D2223" t="s">
        <v>3224</v>
      </c>
      <c r="E2223" t="s">
        <v>3226</v>
      </c>
      <c r="F2223">
        <v>140323.51999999999</v>
      </c>
      <c r="G2223">
        <v>83125.52</v>
      </c>
      <c r="H2223">
        <v>2</v>
      </c>
    </row>
    <row r="2224" spans="1:8" x14ac:dyDescent="0.25">
      <c r="A2224" t="s">
        <v>1964</v>
      </c>
      <c r="B2224" t="s">
        <v>3213</v>
      </c>
      <c r="C2224" t="s">
        <v>3217</v>
      </c>
      <c r="D2224" t="s">
        <v>3225</v>
      </c>
      <c r="E2224" t="s">
        <v>3226</v>
      </c>
      <c r="F2224">
        <v>87878.25</v>
      </c>
      <c r="G2224">
        <v>52424.17</v>
      </c>
      <c r="H2224">
        <v>4</v>
      </c>
    </row>
    <row r="2225" spans="1:8" x14ac:dyDescent="0.25">
      <c r="A2225" t="s">
        <v>1965</v>
      </c>
      <c r="B2225" t="s">
        <v>3213</v>
      </c>
      <c r="C2225" t="s">
        <v>3219</v>
      </c>
      <c r="D2225" t="s">
        <v>3225</v>
      </c>
      <c r="E2225" t="s">
        <v>3226</v>
      </c>
      <c r="F2225">
        <v>41175.199999999997</v>
      </c>
      <c r="G2225">
        <v>25068.71</v>
      </c>
      <c r="H2225">
        <v>2</v>
      </c>
    </row>
    <row r="2226" spans="1:8" x14ac:dyDescent="0.25">
      <c r="A2226" t="s">
        <v>1966</v>
      </c>
      <c r="B2226" t="s">
        <v>3213</v>
      </c>
      <c r="C2226" t="s">
        <v>3221</v>
      </c>
      <c r="D2226" t="s">
        <v>3224</v>
      </c>
      <c r="E2226" t="s">
        <v>3226</v>
      </c>
      <c r="F2226">
        <v>70885.77</v>
      </c>
      <c r="G2226">
        <v>46526.81</v>
      </c>
      <c r="H2226">
        <v>1</v>
      </c>
    </row>
    <row r="2227" spans="1:8" x14ac:dyDescent="0.25">
      <c r="A2227" t="s">
        <v>1164</v>
      </c>
      <c r="B2227" t="s">
        <v>3212</v>
      </c>
      <c r="C2227" t="s">
        <v>3220</v>
      </c>
      <c r="D2227" t="s">
        <v>3224</v>
      </c>
      <c r="E2227" t="s">
        <v>3226</v>
      </c>
      <c r="F2227">
        <v>104618.11</v>
      </c>
      <c r="G2227">
        <v>96860.17</v>
      </c>
      <c r="H2227">
        <v>2</v>
      </c>
    </row>
    <row r="2228" spans="1:8" x14ac:dyDescent="0.25">
      <c r="A2228" t="s">
        <v>1967</v>
      </c>
      <c r="B2228" t="s">
        <v>3215</v>
      </c>
      <c r="C2228" t="s">
        <v>3219</v>
      </c>
      <c r="D2228" t="s">
        <v>3222</v>
      </c>
      <c r="E2228" t="s">
        <v>3226</v>
      </c>
      <c r="F2228">
        <v>64595.5</v>
      </c>
      <c r="G2228">
        <v>40661.83</v>
      </c>
      <c r="H2228">
        <v>4</v>
      </c>
    </row>
    <row r="2229" spans="1:8" x14ac:dyDescent="0.25">
      <c r="A2229" t="s">
        <v>786</v>
      </c>
      <c r="B2229" t="s">
        <v>3212</v>
      </c>
      <c r="C2229" t="s">
        <v>3221</v>
      </c>
      <c r="D2229" t="s">
        <v>3224</v>
      </c>
      <c r="E2229" t="s">
        <v>3226</v>
      </c>
      <c r="F2229">
        <v>50297.55</v>
      </c>
      <c r="G2229">
        <v>48829.24</v>
      </c>
      <c r="H2229">
        <v>1</v>
      </c>
    </row>
    <row r="2230" spans="1:8" x14ac:dyDescent="0.25">
      <c r="A2230" t="s">
        <v>1112</v>
      </c>
      <c r="B2230" t="s">
        <v>3211</v>
      </c>
      <c r="C2230" t="s">
        <v>3221</v>
      </c>
      <c r="D2230" t="s">
        <v>3225</v>
      </c>
      <c r="E2230" t="s">
        <v>3226</v>
      </c>
      <c r="F2230">
        <v>81494.52</v>
      </c>
      <c r="G2230">
        <v>50512.05</v>
      </c>
      <c r="H2230">
        <v>4</v>
      </c>
    </row>
    <row r="2231" spans="1:8" x14ac:dyDescent="0.25">
      <c r="A2231" t="s">
        <v>1968</v>
      </c>
      <c r="B2231" t="s">
        <v>3214</v>
      </c>
      <c r="C2231" t="s">
        <v>3216</v>
      </c>
      <c r="D2231" t="s">
        <v>3223</v>
      </c>
      <c r="E2231" t="s">
        <v>3226</v>
      </c>
      <c r="F2231">
        <v>43667.32</v>
      </c>
      <c r="G2231">
        <v>26293.200000000001</v>
      </c>
      <c r="H2231">
        <v>4</v>
      </c>
    </row>
    <row r="2232" spans="1:8" x14ac:dyDescent="0.25">
      <c r="A2232" t="s">
        <v>1969</v>
      </c>
      <c r="B2232" t="s">
        <v>3211</v>
      </c>
      <c r="C2232" t="s">
        <v>3217</v>
      </c>
      <c r="D2232" t="s">
        <v>3224</v>
      </c>
      <c r="E2232" t="s">
        <v>3226</v>
      </c>
      <c r="F2232">
        <v>268824.03999999998</v>
      </c>
      <c r="G2232">
        <v>192969.42</v>
      </c>
      <c r="H2232">
        <v>4</v>
      </c>
    </row>
    <row r="2233" spans="1:8" x14ac:dyDescent="0.25">
      <c r="A2233" t="s">
        <v>590</v>
      </c>
      <c r="B2233" t="s">
        <v>3214</v>
      </c>
      <c r="C2233" t="s">
        <v>3217</v>
      </c>
      <c r="D2233" t="s">
        <v>3225</v>
      </c>
      <c r="E2233" t="s">
        <v>3226</v>
      </c>
      <c r="F2233">
        <v>36492.410000000003</v>
      </c>
      <c r="G2233">
        <v>24660.21</v>
      </c>
      <c r="H2233">
        <v>2</v>
      </c>
    </row>
    <row r="2234" spans="1:8" x14ac:dyDescent="0.25">
      <c r="A2234" t="s">
        <v>693</v>
      </c>
      <c r="B2234" t="s">
        <v>3214</v>
      </c>
      <c r="C2234" t="s">
        <v>3220</v>
      </c>
      <c r="D2234" t="s">
        <v>3222</v>
      </c>
      <c r="E2234" t="s">
        <v>3226</v>
      </c>
      <c r="F2234">
        <v>15644.89</v>
      </c>
      <c r="G2234">
        <v>9033.43</v>
      </c>
      <c r="H2234">
        <v>1</v>
      </c>
    </row>
    <row r="2235" spans="1:8" x14ac:dyDescent="0.25">
      <c r="A2235" t="s">
        <v>1970</v>
      </c>
      <c r="B2235" t="s">
        <v>3212</v>
      </c>
      <c r="C2235" t="s">
        <v>3219</v>
      </c>
      <c r="D2235" t="s">
        <v>3222</v>
      </c>
      <c r="E2235" t="s">
        <v>3226</v>
      </c>
      <c r="F2235">
        <v>74111.89</v>
      </c>
      <c r="G2235">
        <v>47874.91</v>
      </c>
      <c r="H2235">
        <v>5</v>
      </c>
    </row>
    <row r="2236" spans="1:8" x14ac:dyDescent="0.25">
      <c r="A2236" t="s">
        <v>923</v>
      </c>
      <c r="B2236" t="s">
        <v>3215</v>
      </c>
      <c r="C2236" t="s">
        <v>3219</v>
      </c>
      <c r="D2236" t="s">
        <v>3223</v>
      </c>
      <c r="E2236" t="s">
        <v>3226</v>
      </c>
      <c r="F2236">
        <v>39266.01</v>
      </c>
      <c r="G2236">
        <v>29896.32</v>
      </c>
      <c r="H2236">
        <v>4</v>
      </c>
    </row>
    <row r="2237" spans="1:8" x14ac:dyDescent="0.25">
      <c r="A2237" t="s">
        <v>1951</v>
      </c>
      <c r="B2237" t="s">
        <v>3212</v>
      </c>
      <c r="C2237" t="s">
        <v>3219</v>
      </c>
      <c r="D2237" t="s">
        <v>3225</v>
      </c>
      <c r="E2237" t="s">
        <v>3226</v>
      </c>
      <c r="F2237">
        <v>20623.66</v>
      </c>
      <c r="G2237">
        <v>14196.87</v>
      </c>
      <c r="H2237">
        <v>1</v>
      </c>
    </row>
    <row r="2238" spans="1:8" x14ac:dyDescent="0.25">
      <c r="A2238" t="s">
        <v>1971</v>
      </c>
      <c r="B2238" t="s">
        <v>3211</v>
      </c>
      <c r="C2238" t="s">
        <v>3218</v>
      </c>
      <c r="D2238" t="s">
        <v>3222</v>
      </c>
      <c r="E2238" t="s">
        <v>3226</v>
      </c>
      <c r="F2238">
        <v>24904.61</v>
      </c>
      <c r="G2238">
        <v>17245.25</v>
      </c>
      <c r="H2238">
        <v>2</v>
      </c>
    </row>
    <row r="2239" spans="1:8" x14ac:dyDescent="0.25">
      <c r="A2239" t="s">
        <v>1972</v>
      </c>
      <c r="B2239" t="s">
        <v>3214</v>
      </c>
      <c r="C2239" t="s">
        <v>3220</v>
      </c>
      <c r="D2239" t="s">
        <v>3222</v>
      </c>
      <c r="E2239" t="s">
        <v>3226</v>
      </c>
      <c r="F2239">
        <v>12526.57</v>
      </c>
      <c r="G2239">
        <v>10653.7</v>
      </c>
      <c r="H2239">
        <v>1</v>
      </c>
    </row>
    <row r="2240" spans="1:8" x14ac:dyDescent="0.25">
      <c r="A2240" t="s">
        <v>1973</v>
      </c>
      <c r="B2240" t="s">
        <v>3212</v>
      </c>
      <c r="C2240" t="s">
        <v>3221</v>
      </c>
      <c r="D2240" t="s">
        <v>3225</v>
      </c>
      <c r="E2240" t="s">
        <v>3226</v>
      </c>
      <c r="F2240">
        <v>42646.26</v>
      </c>
      <c r="G2240">
        <v>25879.919999999998</v>
      </c>
      <c r="H2240">
        <v>2</v>
      </c>
    </row>
    <row r="2241" spans="1:8" x14ac:dyDescent="0.25">
      <c r="A2241" t="s">
        <v>1974</v>
      </c>
      <c r="C2241" t="s">
        <v>3219</v>
      </c>
      <c r="D2241" t="s">
        <v>3224</v>
      </c>
      <c r="E2241" t="s">
        <v>3226</v>
      </c>
      <c r="H2241">
        <v>5</v>
      </c>
    </row>
    <row r="2242" spans="1:8" x14ac:dyDescent="0.25">
      <c r="A2242" t="s">
        <v>1975</v>
      </c>
      <c r="B2242" t="s">
        <v>3212</v>
      </c>
      <c r="C2242" t="s">
        <v>3217</v>
      </c>
      <c r="D2242" t="s">
        <v>3222</v>
      </c>
      <c r="E2242" t="s">
        <v>3226</v>
      </c>
      <c r="F2242">
        <v>14982.78</v>
      </c>
      <c r="G2242">
        <v>9047.74</v>
      </c>
    </row>
    <row r="2243" spans="1:8" x14ac:dyDescent="0.25">
      <c r="A2243" t="s">
        <v>1673</v>
      </c>
      <c r="B2243" t="s">
        <v>3213</v>
      </c>
      <c r="C2243" t="s">
        <v>3221</v>
      </c>
      <c r="D2243" t="s">
        <v>3225</v>
      </c>
      <c r="E2243" t="s">
        <v>3226</v>
      </c>
      <c r="F2243">
        <v>84701.65</v>
      </c>
      <c r="G2243">
        <v>50663.040000000001</v>
      </c>
      <c r="H2243">
        <v>4</v>
      </c>
    </row>
    <row r="2244" spans="1:8" x14ac:dyDescent="0.25">
      <c r="A2244" t="s">
        <v>1976</v>
      </c>
      <c r="B2244" t="s">
        <v>3214</v>
      </c>
      <c r="C2244" t="s">
        <v>3216</v>
      </c>
      <c r="D2244" t="s">
        <v>3225</v>
      </c>
      <c r="E2244" t="s">
        <v>3226</v>
      </c>
      <c r="F2244">
        <v>102067.64</v>
      </c>
      <c r="G2244">
        <v>64409.77</v>
      </c>
      <c r="H2244">
        <v>5</v>
      </c>
    </row>
    <row r="2245" spans="1:8" x14ac:dyDescent="0.25">
      <c r="A2245" t="s">
        <v>1977</v>
      </c>
      <c r="C2245" t="s">
        <v>3217</v>
      </c>
      <c r="D2245" t="s">
        <v>3225</v>
      </c>
      <c r="E2245" t="s">
        <v>3226</v>
      </c>
      <c r="F2245">
        <v>75242.05</v>
      </c>
      <c r="H2245">
        <v>4</v>
      </c>
    </row>
    <row r="2246" spans="1:8" x14ac:dyDescent="0.25">
      <c r="A2246" t="s">
        <v>1978</v>
      </c>
      <c r="B2246" t="s">
        <v>3215</v>
      </c>
      <c r="C2246" t="s">
        <v>3220</v>
      </c>
      <c r="D2246" t="s">
        <v>3223</v>
      </c>
      <c r="E2246" t="s">
        <v>3226</v>
      </c>
      <c r="F2246">
        <v>9154.32</v>
      </c>
      <c r="G2246">
        <v>6843.13</v>
      </c>
      <c r="H2246">
        <v>1</v>
      </c>
    </row>
    <row r="2247" spans="1:8" x14ac:dyDescent="0.25">
      <c r="A2247" t="s">
        <v>1979</v>
      </c>
      <c r="B2247" t="s">
        <v>3211</v>
      </c>
      <c r="C2247" t="s">
        <v>3217</v>
      </c>
      <c r="D2247" t="s">
        <v>3225</v>
      </c>
      <c r="E2247" t="s">
        <v>3226</v>
      </c>
      <c r="F2247">
        <v>73107.429999999993</v>
      </c>
      <c r="G2247">
        <v>52904.34</v>
      </c>
      <c r="H2247">
        <v>4</v>
      </c>
    </row>
    <row r="2248" spans="1:8" x14ac:dyDescent="0.25">
      <c r="A2248" t="s">
        <v>1980</v>
      </c>
      <c r="B2248" t="s">
        <v>3211</v>
      </c>
      <c r="C2248" t="s">
        <v>3221</v>
      </c>
      <c r="D2248" t="s">
        <v>3225</v>
      </c>
      <c r="E2248" t="s">
        <v>3226</v>
      </c>
      <c r="F2248">
        <v>62427.07</v>
      </c>
      <c r="G2248">
        <v>36233.74</v>
      </c>
      <c r="H2248">
        <v>3</v>
      </c>
    </row>
    <row r="2249" spans="1:8" x14ac:dyDescent="0.25">
      <c r="A2249" t="s">
        <v>1981</v>
      </c>
      <c r="B2249" t="s">
        <v>3211</v>
      </c>
      <c r="C2249" t="s">
        <v>3220</v>
      </c>
      <c r="D2249" t="s">
        <v>3223</v>
      </c>
      <c r="E2249" t="s">
        <v>3226</v>
      </c>
      <c r="F2249">
        <v>19147.73</v>
      </c>
      <c r="H2249">
        <v>2</v>
      </c>
    </row>
    <row r="2250" spans="1:8" x14ac:dyDescent="0.25">
      <c r="A2250" t="s">
        <v>1982</v>
      </c>
      <c r="B2250" t="s">
        <v>3213</v>
      </c>
      <c r="C2250" t="s">
        <v>3216</v>
      </c>
      <c r="D2250" t="s">
        <v>3223</v>
      </c>
      <c r="E2250" t="s">
        <v>3226</v>
      </c>
      <c r="F2250">
        <v>32651.35</v>
      </c>
      <c r="G2250">
        <v>20261.5</v>
      </c>
      <c r="H2250">
        <v>3</v>
      </c>
    </row>
    <row r="2251" spans="1:8" x14ac:dyDescent="0.25">
      <c r="A2251" t="s">
        <v>1983</v>
      </c>
      <c r="B2251" t="s">
        <v>3213</v>
      </c>
      <c r="C2251" t="s">
        <v>3220</v>
      </c>
      <c r="D2251" t="s">
        <v>3224</v>
      </c>
      <c r="E2251" t="s">
        <v>3226</v>
      </c>
      <c r="F2251">
        <v>196364.09</v>
      </c>
      <c r="G2251">
        <v>190735.22</v>
      </c>
      <c r="H2251">
        <v>4</v>
      </c>
    </row>
    <row r="2252" spans="1:8" x14ac:dyDescent="0.25">
      <c r="A2252" t="s">
        <v>1984</v>
      </c>
      <c r="B2252" t="s">
        <v>3213</v>
      </c>
      <c r="C2252" t="s">
        <v>3220</v>
      </c>
      <c r="D2252" t="s">
        <v>3225</v>
      </c>
      <c r="E2252" t="s">
        <v>3226</v>
      </c>
      <c r="F2252">
        <v>95830.83</v>
      </c>
      <c r="G2252">
        <v>69161.34</v>
      </c>
      <c r="H2252">
        <v>5</v>
      </c>
    </row>
    <row r="2253" spans="1:8" x14ac:dyDescent="0.25">
      <c r="A2253" t="s">
        <v>1985</v>
      </c>
      <c r="B2253" t="s">
        <v>3215</v>
      </c>
      <c r="C2253" t="s">
        <v>3218</v>
      </c>
      <c r="D2253" t="s">
        <v>3223</v>
      </c>
      <c r="E2253" t="s">
        <v>3226</v>
      </c>
      <c r="F2253">
        <v>10238.030000000001</v>
      </c>
      <c r="G2253">
        <v>7264.36</v>
      </c>
    </row>
    <row r="2254" spans="1:8" x14ac:dyDescent="0.25">
      <c r="A2254" t="s">
        <v>882</v>
      </c>
      <c r="B2254" t="s">
        <v>3213</v>
      </c>
      <c r="C2254" t="s">
        <v>3216</v>
      </c>
      <c r="D2254" t="s">
        <v>3224</v>
      </c>
      <c r="E2254" t="s">
        <v>3226</v>
      </c>
      <c r="F2254">
        <v>172225.95</v>
      </c>
      <c r="G2254">
        <v>132509.54</v>
      </c>
      <c r="H2254">
        <v>3</v>
      </c>
    </row>
    <row r="2255" spans="1:8" x14ac:dyDescent="0.25">
      <c r="A2255" t="s">
        <v>1986</v>
      </c>
      <c r="B2255" t="s">
        <v>3213</v>
      </c>
      <c r="C2255" t="s">
        <v>3220</v>
      </c>
      <c r="D2255" t="s">
        <v>3225</v>
      </c>
      <c r="E2255" t="s">
        <v>3226</v>
      </c>
      <c r="F2255">
        <v>75415.399999999994</v>
      </c>
      <c r="G2255">
        <v>61398.04</v>
      </c>
    </row>
    <row r="2256" spans="1:8" x14ac:dyDescent="0.25">
      <c r="A2256" t="s">
        <v>1987</v>
      </c>
      <c r="B2256" t="s">
        <v>3214</v>
      </c>
      <c r="C2256" t="s">
        <v>3219</v>
      </c>
      <c r="D2256" t="s">
        <v>3225</v>
      </c>
      <c r="E2256" t="s">
        <v>3226</v>
      </c>
      <c r="F2256">
        <v>18837.63</v>
      </c>
      <c r="G2256">
        <v>15113.8</v>
      </c>
      <c r="H2256">
        <v>1</v>
      </c>
    </row>
    <row r="2257" spans="1:8" x14ac:dyDescent="0.25">
      <c r="A2257" t="s">
        <v>1988</v>
      </c>
      <c r="C2257" t="s">
        <v>3218</v>
      </c>
      <c r="D2257" t="s">
        <v>3225</v>
      </c>
      <c r="E2257" t="s">
        <v>3226</v>
      </c>
      <c r="F2257">
        <v>16972.900000000001</v>
      </c>
      <c r="G2257">
        <v>12829.93</v>
      </c>
      <c r="H2257">
        <v>1</v>
      </c>
    </row>
    <row r="2258" spans="1:8" x14ac:dyDescent="0.25">
      <c r="A2258" t="s">
        <v>1989</v>
      </c>
      <c r="B2258" t="s">
        <v>3212</v>
      </c>
      <c r="C2258" t="s">
        <v>3216</v>
      </c>
      <c r="D2258" t="s">
        <v>3224</v>
      </c>
      <c r="E2258" t="s">
        <v>3226</v>
      </c>
      <c r="F2258">
        <v>187083.28</v>
      </c>
      <c r="G2258">
        <v>129254.9</v>
      </c>
      <c r="H2258">
        <v>3</v>
      </c>
    </row>
    <row r="2259" spans="1:8" x14ac:dyDescent="0.25">
      <c r="A2259" t="s">
        <v>1990</v>
      </c>
      <c r="B2259" t="s">
        <v>3213</v>
      </c>
      <c r="C2259" t="s">
        <v>3217</v>
      </c>
      <c r="D2259" t="s">
        <v>3222</v>
      </c>
      <c r="E2259" t="s">
        <v>3226</v>
      </c>
      <c r="F2259">
        <v>13319.91</v>
      </c>
      <c r="G2259">
        <v>8528.1</v>
      </c>
    </row>
    <row r="2260" spans="1:8" x14ac:dyDescent="0.25">
      <c r="A2260" t="s">
        <v>577</v>
      </c>
      <c r="B2260" t="s">
        <v>3214</v>
      </c>
      <c r="C2260" t="s">
        <v>3220</v>
      </c>
      <c r="D2260" t="s">
        <v>3225</v>
      </c>
      <c r="E2260" t="s">
        <v>3226</v>
      </c>
      <c r="F2260">
        <v>64447.38</v>
      </c>
      <c r="G2260">
        <v>47780.66</v>
      </c>
      <c r="H2260">
        <v>4</v>
      </c>
    </row>
    <row r="2261" spans="1:8" x14ac:dyDescent="0.25">
      <c r="A2261" t="s">
        <v>1991</v>
      </c>
      <c r="B2261" t="s">
        <v>3214</v>
      </c>
      <c r="C2261" t="s">
        <v>3216</v>
      </c>
      <c r="D2261" t="s">
        <v>3223</v>
      </c>
      <c r="E2261" t="s">
        <v>3226</v>
      </c>
      <c r="F2261">
        <v>9665.0499999999993</v>
      </c>
      <c r="G2261">
        <v>7141.98</v>
      </c>
      <c r="H2261">
        <v>1</v>
      </c>
    </row>
    <row r="2262" spans="1:8" x14ac:dyDescent="0.25">
      <c r="A2262" t="s">
        <v>1992</v>
      </c>
      <c r="B2262" t="s">
        <v>3214</v>
      </c>
      <c r="C2262" t="s">
        <v>3218</v>
      </c>
      <c r="D2262" t="s">
        <v>3223</v>
      </c>
      <c r="E2262" t="s">
        <v>3226</v>
      </c>
      <c r="F2262">
        <v>19250.169999999998</v>
      </c>
      <c r="G2262">
        <v>13264.1</v>
      </c>
      <c r="H2262">
        <v>2</v>
      </c>
    </row>
    <row r="2263" spans="1:8" x14ac:dyDescent="0.25">
      <c r="A2263" t="s">
        <v>1993</v>
      </c>
      <c r="B2263" t="s">
        <v>3215</v>
      </c>
      <c r="C2263" t="s">
        <v>3217</v>
      </c>
      <c r="D2263" t="s">
        <v>3224</v>
      </c>
      <c r="E2263" t="s">
        <v>3226</v>
      </c>
      <c r="F2263">
        <v>273429.96999999997</v>
      </c>
      <c r="G2263">
        <v>205879.79</v>
      </c>
      <c r="H2263">
        <v>5</v>
      </c>
    </row>
    <row r="2264" spans="1:8" x14ac:dyDescent="0.25">
      <c r="A2264" t="s">
        <v>1994</v>
      </c>
      <c r="B2264" t="s">
        <v>3211</v>
      </c>
      <c r="C2264" t="s">
        <v>3217</v>
      </c>
      <c r="D2264" t="s">
        <v>3223</v>
      </c>
      <c r="E2264" t="s">
        <v>3226</v>
      </c>
      <c r="G2264">
        <v>19310.41</v>
      </c>
      <c r="H2264">
        <v>3</v>
      </c>
    </row>
    <row r="2265" spans="1:8" x14ac:dyDescent="0.25">
      <c r="A2265" t="s">
        <v>1995</v>
      </c>
      <c r="B2265" t="s">
        <v>3213</v>
      </c>
      <c r="C2265" t="s">
        <v>3218</v>
      </c>
      <c r="D2265" t="s">
        <v>3223</v>
      </c>
      <c r="E2265" t="s">
        <v>3226</v>
      </c>
      <c r="F2265">
        <v>20073.830000000002</v>
      </c>
      <c r="G2265">
        <v>12305.48</v>
      </c>
      <c r="H2265">
        <v>2</v>
      </c>
    </row>
    <row r="2266" spans="1:8" x14ac:dyDescent="0.25">
      <c r="A2266" t="s">
        <v>365</v>
      </c>
      <c r="B2266" t="s">
        <v>3214</v>
      </c>
      <c r="C2266" t="s">
        <v>3220</v>
      </c>
      <c r="D2266" t="s">
        <v>3222</v>
      </c>
      <c r="E2266" t="s">
        <v>3226</v>
      </c>
      <c r="F2266">
        <v>82938.81</v>
      </c>
      <c r="G2266">
        <v>50470.94</v>
      </c>
      <c r="H2266">
        <v>5</v>
      </c>
    </row>
    <row r="2267" spans="1:8" x14ac:dyDescent="0.25">
      <c r="A2267" t="s">
        <v>1996</v>
      </c>
      <c r="B2267" t="s">
        <v>3215</v>
      </c>
      <c r="C2267" t="s">
        <v>3216</v>
      </c>
      <c r="D2267" t="s">
        <v>3223</v>
      </c>
      <c r="E2267" t="s">
        <v>3226</v>
      </c>
      <c r="F2267">
        <v>42476.2</v>
      </c>
      <c r="G2267">
        <v>28701.99</v>
      </c>
      <c r="H2267">
        <v>4</v>
      </c>
    </row>
    <row r="2268" spans="1:8" x14ac:dyDescent="0.25">
      <c r="A2268" t="s">
        <v>822</v>
      </c>
      <c r="B2268" t="s">
        <v>3212</v>
      </c>
      <c r="C2268" t="s">
        <v>3221</v>
      </c>
      <c r="D2268" t="s">
        <v>3222</v>
      </c>
      <c r="E2268" t="s">
        <v>3226</v>
      </c>
      <c r="G2268">
        <v>53477.29</v>
      </c>
      <c r="H2268">
        <v>5</v>
      </c>
    </row>
    <row r="2269" spans="1:8" x14ac:dyDescent="0.25">
      <c r="A2269" t="s">
        <v>1997</v>
      </c>
      <c r="B2269" t="s">
        <v>3214</v>
      </c>
      <c r="C2269" t="s">
        <v>3220</v>
      </c>
      <c r="D2269" t="s">
        <v>3225</v>
      </c>
      <c r="E2269" t="s">
        <v>3226</v>
      </c>
      <c r="F2269">
        <v>63668.95</v>
      </c>
      <c r="G2269">
        <v>39058.46</v>
      </c>
      <c r="H2269">
        <v>3</v>
      </c>
    </row>
    <row r="2270" spans="1:8" x14ac:dyDescent="0.25">
      <c r="A2270" t="s">
        <v>1998</v>
      </c>
      <c r="B2270" t="s">
        <v>3215</v>
      </c>
      <c r="C2270" t="s">
        <v>3220</v>
      </c>
      <c r="D2270" t="s">
        <v>3222</v>
      </c>
      <c r="E2270" t="s">
        <v>3226</v>
      </c>
      <c r="F2270">
        <v>16387.740000000002</v>
      </c>
      <c r="G2270">
        <v>10818.65</v>
      </c>
      <c r="H2270">
        <v>1</v>
      </c>
    </row>
    <row r="2271" spans="1:8" x14ac:dyDescent="0.25">
      <c r="A2271" t="s">
        <v>1999</v>
      </c>
      <c r="C2271" t="s">
        <v>3218</v>
      </c>
      <c r="D2271" t="s">
        <v>3222</v>
      </c>
      <c r="E2271" t="s">
        <v>3226</v>
      </c>
      <c r="F2271">
        <v>36879.99</v>
      </c>
      <c r="G2271">
        <v>32270.63</v>
      </c>
      <c r="H2271">
        <v>3</v>
      </c>
    </row>
    <row r="2272" spans="1:8" x14ac:dyDescent="0.25">
      <c r="A2272" t="s">
        <v>2000</v>
      </c>
      <c r="C2272" t="s">
        <v>3218</v>
      </c>
      <c r="D2272" t="s">
        <v>3224</v>
      </c>
      <c r="E2272" t="s">
        <v>3226</v>
      </c>
      <c r="F2272">
        <v>250714.31</v>
      </c>
      <c r="G2272">
        <v>233254.68</v>
      </c>
      <c r="H2272">
        <v>5</v>
      </c>
    </row>
    <row r="2273" spans="1:8" x14ac:dyDescent="0.25">
      <c r="A2273" t="s">
        <v>2001</v>
      </c>
      <c r="B2273" t="s">
        <v>3215</v>
      </c>
      <c r="C2273" t="s">
        <v>3217</v>
      </c>
      <c r="D2273" t="s">
        <v>3223</v>
      </c>
      <c r="E2273" t="s">
        <v>3226</v>
      </c>
      <c r="F2273">
        <v>33276.11</v>
      </c>
      <c r="G2273">
        <v>24767.09</v>
      </c>
      <c r="H2273">
        <v>4</v>
      </c>
    </row>
    <row r="2274" spans="1:8" x14ac:dyDescent="0.25">
      <c r="A2274" t="s">
        <v>2002</v>
      </c>
      <c r="B2274" t="s">
        <v>3211</v>
      </c>
      <c r="C2274" t="s">
        <v>3221</v>
      </c>
      <c r="D2274" t="s">
        <v>3225</v>
      </c>
      <c r="E2274" t="s">
        <v>3226</v>
      </c>
      <c r="F2274">
        <v>21504.71</v>
      </c>
      <c r="G2274">
        <v>14107.19</v>
      </c>
      <c r="H2274">
        <v>1</v>
      </c>
    </row>
    <row r="2275" spans="1:8" x14ac:dyDescent="0.25">
      <c r="A2275" t="s">
        <v>415</v>
      </c>
      <c r="B2275" t="s">
        <v>3211</v>
      </c>
      <c r="C2275" t="s">
        <v>3219</v>
      </c>
      <c r="D2275" t="s">
        <v>3225</v>
      </c>
      <c r="E2275" t="s">
        <v>3226</v>
      </c>
      <c r="G2275">
        <v>56406.42</v>
      </c>
      <c r="H2275">
        <v>4</v>
      </c>
    </row>
    <row r="2276" spans="1:8" x14ac:dyDescent="0.25">
      <c r="A2276" t="s">
        <v>2003</v>
      </c>
      <c r="B2276" t="s">
        <v>3211</v>
      </c>
      <c r="C2276" t="s">
        <v>3216</v>
      </c>
      <c r="D2276" t="s">
        <v>3225</v>
      </c>
      <c r="E2276" t="s">
        <v>3226</v>
      </c>
      <c r="F2276">
        <v>17968.63</v>
      </c>
      <c r="G2276">
        <v>15235.11</v>
      </c>
      <c r="H2276">
        <v>1</v>
      </c>
    </row>
    <row r="2277" spans="1:8" x14ac:dyDescent="0.25">
      <c r="A2277" t="s">
        <v>2004</v>
      </c>
      <c r="B2277" t="s">
        <v>3213</v>
      </c>
      <c r="C2277" t="s">
        <v>3216</v>
      </c>
      <c r="D2277" t="s">
        <v>3222</v>
      </c>
      <c r="E2277" t="s">
        <v>3226</v>
      </c>
      <c r="F2277">
        <v>14952.82</v>
      </c>
      <c r="G2277">
        <v>9255.18</v>
      </c>
      <c r="H2277">
        <v>1</v>
      </c>
    </row>
    <row r="2278" spans="1:8" x14ac:dyDescent="0.25">
      <c r="A2278" t="s">
        <v>2005</v>
      </c>
      <c r="B2278" t="s">
        <v>3213</v>
      </c>
      <c r="C2278" t="s">
        <v>3221</v>
      </c>
      <c r="D2278" t="s">
        <v>3222</v>
      </c>
      <c r="E2278" t="s">
        <v>3226</v>
      </c>
      <c r="F2278">
        <v>64474.42</v>
      </c>
      <c r="G2278">
        <v>41419.67</v>
      </c>
      <c r="H2278">
        <v>4</v>
      </c>
    </row>
    <row r="2279" spans="1:8" x14ac:dyDescent="0.25">
      <c r="A2279" t="s">
        <v>2006</v>
      </c>
      <c r="B2279" t="s">
        <v>3211</v>
      </c>
      <c r="C2279" t="s">
        <v>3216</v>
      </c>
      <c r="D2279" t="s">
        <v>3225</v>
      </c>
      <c r="E2279" t="s">
        <v>3226</v>
      </c>
      <c r="F2279">
        <v>98962.52</v>
      </c>
      <c r="G2279">
        <v>70781.240000000005</v>
      </c>
      <c r="H2279">
        <v>5</v>
      </c>
    </row>
    <row r="2280" spans="1:8" x14ac:dyDescent="0.25">
      <c r="A2280" t="s">
        <v>1289</v>
      </c>
      <c r="B2280" t="s">
        <v>3215</v>
      </c>
      <c r="C2280" t="s">
        <v>3219</v>
      </c>
      <c r="D2280" t="s">
        <v>3223</v>
      </c>
      <c r="E2280" t="s">
        <v>3226</v>
      </c>
      <c r="F2280">
        <v>10759.78</v>
      </c>
      <c r="G2280">
        <v>5961.39</v>
      </c>
      <c r="H2280">
        <v>1</v>
      </c>
    </row>
    <row r="2281" spans="1:8" x14ac:dyDescent="0.25">
      <c r="A2281" t="s">
        <v>678</v>
      </c>
      <c r="B2281" t="s">
        <v>3211</v>
      </c>
      <c r="C2281" t="s">
        <v>3221</v>
      </c>
      <c r="D2281" t="s">
        <v>3225</v>
      </c>
      <c r="E2281" t="s">
        <v>3226</v>
      </c>
      <c r="F2281">
        <v>50323.49</v>
      </c>
      <c r="G2281">
        <v>41162.68</v>
      </c>
      <c r="H2281">
        <v>3</v>
      </c>
    </row>
    <row r="2282" spans="1:8" x14ac:dyDescent="0.25">
      <c r="A2282" t="s">
        <v>2007</v>
      </c>
      <c r="C2282" t="s">
        <v>3221</v>
      </c>
      <c r="D2282" t="s">
        <v>3224</v>
      </c>
      <c r="E2282" t="s">
        <v>3226</v>
      </c>
      <c r="F2282">
        <v>70622.17</v>
      </c>
      <c r="G2282">
        <v>46265.07</v>
      </c>
      <c r="H2282">
        <v>1</v>
      </c>
    </row>
    <row r="2283" spans="1:8" x14ac:dyDescent="0.25">
      <c r="A2283" t="s">
        <v>2008</v>
      </c>
      <c r="B2283" t="s">
        <v>3213</v>
      </c>
      <c r="C2283" t="s">
        <v>3220</v>
      </c>
      <c r="D2283" t="s">
        <v>3222</v>
      </c>
      <c r="E2283" t="s">
        <v>3226</v>
      </c>
      <c r="F2283">
        <v>25517.58</v>
      </c>
      <c r="G2283">
        <v>20856.18</v>
      </c>
      <c r="H2283">
        <v>2</v>
      </c>
    </row>
    <row r="2284" spans="1:8" x14ac:dyDescent="0.25">
      <c r="A2284" t="s">
        <v>2009</v>
      </c>
      <c r="C2284" t="s">
        <v>3216</v>
      </c>
      <c r="D2284" t="s">
        <v>3222</v>
      </c>
      <c r="E2284" t="s">
        <v>3226</v>
      </c>
      <c r="F2284">
        <v>69982.960000000006</v>
      </c>
      <c r="G2284">
        <v>39859.370000000003</v>
      </c>
      <c r="H2284">
        <v>4</v>
      </c>
    </row>
    <row r="2285" spans="1:8" x14ac:dyDescent="0.25">
      <c r="A2285" t="s">
        <v>2010</v>
      </c>
      <c r="B2285" t="s">
        <v>3213</v>
      </c>
      <c r="C2285" t="s">
        <v>3217</v>
      </c>
      <c r="D2285" t="s">
        <v>3224</v>
      </c>
      <c r="E2285" t="s">
        <v>3226</v>
      </c>
      <c r="F2285">
        <v>208123.6</v>
      </c>
      <c r="G2285">
        <v>194416.21</v>
      </c>
      <c r="H2285">
        <v>4</v>
      </c>
    </row>
    <row r="2286" spans="1:8" x14ac:dyDescent="0.25">
      <c r="A2286" t="s">
        <v>1298</v>
      </c>
      <c r="B2286" t="s">
        <v>3212</v>
      </c>
      <c r="C2286" t="s">
        <v>3216</v>
      </c>
      <c r="D2286" t="s">
        <v>3225</v>
      </c>
      <c r="E2286" t="s">
        <v>3226</v>
      </c>
      <c r="F2286">
        <v>32055.5</v>
      </c>
      <c r="G2286">
        <v>29895.79</v>
      </c>
      <c r="H2286">
        <v>2</v>
      </c>
    </row>
    <row r="2287" spans="1:8" x14ac:dyDescent="0.25">
      <c r="A2287" t="s">
        <v>2011</v>
      </c>
      <c r="B2287" t="s">
        <v>3212</v>
      </c>
      <c r="C2287" t="s">
        <v>3220</v>
      </c>
      <c r="D2287" t="s">
        <v>3222</v>
      </c>
      <c r="E2287" t="s">
        <v>3226</v>
      </c>
      <c r="F2287">
        <v>58154.1</v>
      </c>
      <c r="G2287">
        <v>35043.64</v>
      </c>
      <c r="H2287">
        <v>4</v>
      </c>
    </row>
    <row r="2288" spans="1:8" x14ac:dyDescent="0.25">
      <c r="A2288" t="s">
        <v>2012</v>
      </c>
      <c r="B2288" t="s">
        <v>3213</v>
      </c>
      <c r="C2288" t="s">
        <v>3217</v>
      </c>
      <c r="D2288" t="s">
        <v>3225</v>
      </c>
      <c r="E2288" t="s">
        <v>3226</v>
      </c>
      <c r="F2288">
        <v>18091.11</v>
      </c>
      <c r="G2288">
        <v>13347.35</v>
      </c>
      <c r="H2288">
        <v>1</v>
      </c>
    </row>
    <row r="2289" spans="1:8" x14ac:dyDescent="0.25">
      <c r="A2289" t="s">
        <v>2013</v>
      </c>
      <c r="B2289" t="s">
        <v>3211</v>
      </c>
      <c r="C2289" t="s">
        <v>3216</v>
      </c>
      <c r="D2289" t="s">
        <v>3224</v>
      </c>
      <c r="E2289" t="s">
        <v>3226</v>
      </c>
      <c r="F2289">
        <v>177099.19</v>
      </c>
      <c r="G2289">
        <v>119946.03</v>
      </c>
      <c r="H2289">
        <v>3</v>
      </c>
    </row>
    <row r="2290" spans="1:8" x14ac:dyDescent="0.25">
      <c r="A2290" t="s">
        <v>2014</v>
      </c>
      <c r="B2290" t="s">
        <v>3212</v>
      </c>
      <c r="C2290" t="s">
        <v>3217</v>
      </c>
      <c r="D2290" t="s">
        <v>3223</v>
      </c>
      <c r="E2290" t="s">
        <v>3226</v>
      </c>
      <c r="F2290">
        <v>44840.7</v>
      </c>
      <c r="G2290">
        <v>30290.29</v>
      </c>
      <c r="H2290">
        <v>4</v>
      </c>
    </row>
    <row r="2291" spans="1:8" x14ac:dyDescent="0.25">
      <c r="A2291" t="s">
        <v>2015</v>
      </c>
      <c r="B2291" t="s">
        <v>3211</v>
      </c>
      <c r="C2291" t="s">
        <v>3219</v>
      </c>
      <c r="D2291" t="s">
        <v>3225</v>
      </c>
      <c r="E2291" t="s">
        <v>3226</v>
      </c>
      <c r="F2291">
        <v>17631.07</v>
      </c>
      <c r="G2291">
        <v>11983.96</v>
      </c>
      <c r="H2291">
        <v>1</v>
      </c>
    </row>
    <row r="2292" spans="1:8" x14ac:dyDescent="0.25">
      <c r="A2292" t="s">
        <v>2016</v>
      </c>
      <c r="B2292" t="s">
        <v>3214</v>
      </c>
      <c r="C2292" t="s">
        <v>3218</v>
      </c>
      <c r="D2292" t="s">
        <v>3225</v>
      </c>
      <c r="E2292" t="s">
        <v>3226</v>
      </c>
      <c r="F2292">
        <v>17053.12</v>
      </c>
      <c r="G2292">
        <v>13127.7</v>
      </c>
      <c r="H2292">
        <v>1</v>
      </c>
    </row>
    <row r="2293" spans="1:8" x14ac:dyDescent="0.25">
      <c r="A2293" t="s">
        <v>2017</v>
      </c>
      <c r="B2293" t="s">
        <v>3211</v>
      </c>
      <c r="C2293" t="s">
        <v>3218</v>
      </c>
      <c r="D2293" t="s">
        <v>3223</v>
      </c>
      <c r="E2293" t="s">
        <v>3226</v>
      </c>
      <c r="F2293">
        <v>17010.46</v>
      </c>
      <c r="G2293">
        <v>13200.72</v>
      </c>
      <c r="H2293">
        <v>2</v>
      </c>
    </row>
    <row r="2294" spans="1:8" x14ac:dyDescent="0.25">
      <c r="A2294" t="s">
        <v>2018</v>
      </c>
      <c r="C2294" t="s">
        <v>3219</v>
      </c>
      <c r="D2294" t="s">
        <v>3224</v>
      </c>
      <c r="E2294" t="s">
        <v>3226</v>
      </c>
      <c r="F2294">
        <v>51960.9</v>
      </c>
      <c r="G2294">
        <v>49470.55</v>
      </c>
      <c r="H2294">
        <v>1</v>
      </c>
    </row>
    <row r="2295" spans="1:8" x14ac:dyDescent="0.25">
      <c r="A2295" t="s">
        <v>2019</v>
      </c>
      <c r="B2295" t="s">
        <v>3214</v>
      </c>
      <c r="C2295" t="s">
        <v>3217</v>
      </c>
      <c r="D2295" t="s">
        <v>3222</v>
      </c>
      <c r="E2295" t="s">
        <v>3226</v>
      </c>
      <c r="F2295">
        <v>14933.36</v>
      </c>
      <c r="G2295">
        <v>9804.7900000000009</v>
      </c>
      <c r="H2295">
        <v>1</v>
      </c>
    </row>
    <row r="2296" spans="1:8" x14ac:dyDescent="0.25">
      <c r="A2296" t="s">
        <v>2020</v>
      </c>
      <c r="B2296" t="s">
        <v>3215</v>
      </c>
      <c r="C2296" t="s">
        <v>3216</v>
      </c>
      <c r="D2296" t="s">
        <v>3224</v>
      </c>
      <c r="E2296" t="s">
        <v>3226</v>
      </c>
      <c r="F2296">
        <v>160172.42000000001</v>
      </c>
      <c r="G2296">
        <v>116564.91</v>
      </c>
      <c r="H2296">
        <v>3</v>
      </c>
    </row>
    <row r="2297" spans="1:8" x14ac:dyDescent="0.25">
      <c r="A2297" t="s">
        <v>472</v>
      </c>
      <c r="B2297" t="s">
        <v>3215</v>
      </c>
      <c r="C2297" t="s">
        <v>3216</v>
      </c>
      <c r="D2297" t="s">
        <v>3224</v>
      </c>
      <c r="E2297" t="s">
        <v>3226</v>
      </c>
      <c r="F2297">
        <v>118972.58</v>
      </c>
      <c r="G2297">
        <v>84158.7</v>
      </c>
      <c r="H2297">
        <v>2</v>
      </c>
    </row>
    <row r="2298" spans="1:8" x14ac:dyDescent="0.25">
      <c r="A2298" t="s">
        <v>2021</v>
      </c>
      <c r="B2298" t="s">
        <v>3215</v>
      </c>
      <c r="C2298" t="s">
        <v>3221</v>
      </c>
      <c r="D2298" t="s">
        <v>3224</v>
      </c>
      <c r="E2298" t="s">
        <v>3226</v>
      </c>
      <c r="F2298">
        <v>286745.7</v>
      </c>
      <c r="G2298">
        <v>213149.47</v>
      </c>
      <c r="H2298">
        <v>5</v>
      </c>
    </row>
    <row r="2299" spans="1:8" x14ac:dyDescent="0.25">
      <c r="A2299" t="s">
        <v>2022</v>
      </c>
      <c r="C2299" t="s">
        <v>3218</v>
      </c>
      <c r="D2299" t="s">
        <v>3224</v>
      </c>
      <c r="E2299" t="s">
        <v>3226</v>
      </c>
      <c r="F2299">
        <v>204092.81</v>
      </c>
      <c r="G2299">
        <v>190612.94</v>
      </c>
      <c r="H2299">
        <v>4</v>
      </c>
    </row>
    <row r="2300" spans="1:8" x14ac:dyDescent="0.25">
      <c r="A2300" t="s">
        <v>2023</v>
      </c>
      <c r="B2300" t="s">
        <v>3212</v>
      </c>
      <c r="C2300" t="s">
        <v>3221</v>
      </c>
      <c r="D2300" t="s">
        <v>3223</v>
      </c>
      <c r="E2300" t="s">
        <v>3226</v>
      </c>
      <c r="F2300">
        <v>44468.91</v>
      </c>
      <c r="G2300">
        <v>26058.639999999999</v>
      </c>
      <c r="H2300">
        <v>4</v>
      </c>
    </row>
    <row r="2301" spans="1:8" x14ac:dyDescent="0.25">
      <c r="A2301" t="s">
        <v>2024</v>
      </c>
      <c r="B2301" t="s">
        <v>3213</v>
      </c>
      <c r="C2301" t="s">
        <v>3218</v>
      </c>
      <c r="D2301" t="s">
        <v>3225</v>
      </c>
      <c r="E2301" t="s">
        <v>3226</v>
      </c>
      <c r="F2301">
        <v>90116.58</v>
      </c>
      <c r="H2301">
        <v>5</v>
      </c>
    </row>
    <row r="2302" spans="1:8" x14ac:dyDescent="0.25">
      <c r="A2302" t="s">
        <v>1449</v>
      </c>
      <c r="B2302" t="s">
        <v>3215</v>
      </c>
      <c r="C2302" t="s">
        <v>3218</v>
      </c>
      <c r="D2302" t="s">
        <v>3225</v>
      </c>
      <c r="E2302" t="s">
        <v>3226</v>
      </c>
      <c r="F2302">
        <v>49074.05</v>
      </c>
      <c r="G2302">
        <v>43215.66</v>
      </c>
      <c r="H2302">
        <v>3</v>
      </c>
    </row>
    <row r="2303" spans="1:8" x14ac:dyDescent="0.25">
      <c r="A2303" t="s">
        <v>2025</v>
      </c>
      <c r="C2303" t="s">
        <v>3221</v>
      </c>
      <c r="D2303" t="s">
        <v>3225</v>
      </c>
      <c r="E2303" t="s">
        <v>3226</v>
      </c>
      <c r="F2303">
        <v>36425.040000000001</v>
      </c>
      <c r="G2303">
        <v>30256.79</v>
      </c>
      <c r="H2303">
        <v>2</v>
      </c>
    </row>
    <row r="2304" spans="1:8" x14ac:dyDescent="0.25">
      <c r="A2304" t="s">
        <v>2026</v>
      </c>
      <c r="B2304" t="s">
        <v>3212</v>
      </c>
      <c r="C2304" t="s">
        <v>3218</v>
      </c>
      <c r="D2304" t="s">
        <v>3224</v>
      </c>
      <c r="E2304" t="s">
        <v>3226</v>
      </c>
      <c r="F2304">
        <v>70539.820000000007</v>
      </c>
      <c r="G2304">
        <v>38737.56</v>
      </c>
      <c r="H2304">
        <v>1</v>
      </c>
    </row>
    <row r="2305" spans="1:8" x14ac:dyDescent="0.25">
      <c r="A2305" t="s">
        <v>2027</v>
      </c>
      <c r="B2305" t="s">
        <v>3215</v>
      </c>
      <c r="C2305" t="s">
        <v>3220</v>
      </c>
      <c r="D2305" t="s">
        <v>3222</v>
      </c>
      <c r="E2305" t="s">
        <v>3226</v>
      </c>
      <c r="F2305">
        <v>16576.009999999998</v>
      </c>
      <c r="G2305">
        <v>10622.91</v>
      </c>
    </row>
    <row r="2306" spans="1:8" x14ac:dyDescent="0.25">
      <c r="A2306" t="s">
        <v>2028</v>
      </c>
      <c r="B2306" t="s">
        <v>3211</v>
      </c>
      <c r="C2306" t="s">
        <v>3220</v>
      </c>
      <c r="D2306" t="s">
        <v>3223</v>
      </c>
      <c r="E2306" t="s">
        <v>3226</v>
      </c>
      <c r="F2306">
        <v>9736.91</v>
      </c>
      <c r="G2306">
        <v>6167.9</v>
      </c>
      <c r="H2306">
        <v>1</v>
      </c>
    </row>
    <row r="2307" spans="1:8" x14ac:dyDescent="0.25">
      <c r="A2307" t="s">
        <v>2029</v>
      </c>
      <c r="B2307" t="s">
        <v>3211</v>
      </c>
      <c r="C2307" t="s">
        <v>3221</v>
      </c>
      <c r="D2307" t="s">
        <v>3224</v>
      </c>
      <c r="E2307" t="s">
        <v>3226</v>
      </c>
      <c r="F2307">
        <v>71930.73</v>
      </c>
      <c r="G2307">
        <v>45909.19</v>
      </c>
      <c r="H2307">
        <v>1</v>
      </c>
    </row>
    <row r="2308" spans="1:8" x14ac:dyDescent="0.25">
      <c r="A2308" t="s">
        <v>2030</v>
      </c>
      <c r="B2308" t="s">
        <v>3214</v>
      </c>
      <c r="C2308" t="s">
        <v>3221</v>
      </c>
      <c r="D2308" t="s">
        <v>3225</v>
      </c>
      <c r="E2308" t="s">
        <v>3226</v>
      </c>
      <c r="F2308">
        <v>87110.04</v>
      </c>
      <c r="G2308">
        <v>59568.29</v>
      </c>
      <c r="H2308">
        <v>4</v>
      </c>
    </row>
    <row r="2309" spans="1:8" x14ac:dyDescent="0.25">
      <c r="A2309" t="s">
        <v>2031</v>
      </c>
      <c r="B2309" t="s">
        <v>3213</v>
      </c>
      <c r="C2309" t="s">
        <v>3216</v>
      </c>
      <c r="D2309" t="s">
        <v>3223</v>
      </c>
      <c r="E2309" t="s">
        <v>3226</v>
      </c>
      <c r="F2309">
        <v>32530.28</v>
      </c>
      <c r="G2309">
        <v>18920.05</v>
      </c>
      <c r="H2309">
        <v>3</v>
      </c>
    </row>
    <row r="2310" spans="1:8" x14ac:dyDescent="0.25">
      <c r="A2310" t="s">
        <v>944</v>
      </c>
      <c r="B2310" t="s">
        <v>3215</v>
      </c>
      <c r="C2310" t="s">
        <v>3221</v>
      </c>
      <c r="D2310" t="s">
        <v>3225</v>
      </c>
      <c r="E2310" t="s">
        <v>3226</v>
      </c>
      <c r="F2310">
        <v>53726.98</v>
      </c>
      <c r="G2310">
        <v>44134.78</v>
      </c>
      <c r="H2310">
        <v>3</v>
      </c>
    </row>
    <row r="2311" spans="1:8" x14ac:dyDescent="0.25">
      <c r="A2311" t="s">
        <v>2032</v>
      </c>
      <c r="B2311" t="s">
        <v>3214</v>
      </c>
      <c r="C2311" t="s">
        <v>3219</v>
      </c>
      <c r="D2311" t="s">
        <v>3222</v>
      </c>
      <c r="E2311" t="s">
        <v>3226</v>
      </c>
      <c r="F2311">
        <v>65334.67</v>
      </c>
      <c r="G2311">
        <v>38349.71</v>
      </c>
      <c r="H2311">
        <v>4</v>
      </c>
    </row>
    <row r="2312" spans="1:8" x14ac:dyDescent="0.25">
      <c r="A2312" t="s">
        <v>1163</v>
      </c>
      <c r="B2312" t="s">
        <v>3211</v>
      </c>
      <c r="C2312" t="s">
        <v>3218</v>
      </c>
      <c r="D2312" t="s">
        <v>3223</v>
      </c>
      <c r="E2312" t="s">
        <v>3226</v>
      </c>
      <c r="F2312">
        <v>8325.58</v>
      </c>
      <c r="G2312">
        <v>6150.71</v>
      </c>
      <c r="H2312">
        <v>1</v>
      </c>
    </row>
    <row r="2313" spans="1:8" x14ac:dyDescent="0.25">
      <c r="A2313" t="s">
        <v>2033</v>
      </c>
      <c r="B2313" t="s">
        <v>3211</v>
      </c>
      <c r="C2313" t="s">
        <v>3217</v>
      </c>
      <c r="D2313" t="s">
        <v>3225</v>
      </c>
      <c r="E2313" t="s">
        <v>3226</v>
      </c>
      <c r="F2313">
        <v>20011.25</v>
      </c>
      <c r="G2313">
        <v>12843.95</v>
      </c>
      <c r="H2313">
        <v>1</v>
      </c>
    </row>
    <row r="2314" spans="1:8" x14ac:dyDescent="0.25">
      <c r="A2314" t="s">
        <v>1205</v>
      </c>
      <c r="B2314" t="s">
        <v>3215</v>
      </c>
      <c r="C2314" t="s">
        <v>3218</v>
      </c>
      <c r="D2314" t="s">
        <v>3224</v>
      </c>
      <c r="E2314" t="s">
        <v>3226</v>
      </c>
      <c r="F2314">
        <v>127496.43</v>
      </c>
      <c r="H2314">
        <v>2</v>
      </c>
    </row>
    <row r="2315" spans="1:8" x14ac:dyDescent="0.25">
      <c r="A2315" t="s">
        <v>1836</v>
      </c>
      <c r="B2315" t="s">
        <v>3212</v>
      </c>
      <c r="C2315" t="s">
        <v>3220</v>
      </c>
      <c r="D2315" t="s">
        <v>3225</v>
      </c>
      <c r="E2315" t="s">
        <v>3226</v>
      </c>
      <c r="F2315">
        <v>23270.05</v>
      </c>
      <c r="G2315">
        <v>14488.63</v>
      </c>
      <c r="H2315">
        <v>1</v>
      </c>
    </row>
    <row r="2316" spans="1:8" x14ac:dyDescent="0.25">
      <c r="A2316" t="s">
        <v>1595</v>
      </c>
      <c r="B2316" t="s">
        <v>3211</v>
      </c>
      <c r="C2316" t="s">
        <v>3217</v>
      </c>
      <c r="D2316" t="s">
        <v>3224</v>
      </c>
      <c r="E2316" t="s">
        <v>3226</v>
      </c>
      <c r="F2316">
        <v>142062.73000000001</v>
      </c>
      <c r="G2316">
        <v>80663.009999999995</v>
      </c>
      <c r="H2316">
        <v>2</v>
      </c>
    </row>
    <row r="2317" spans="1:8" x14ac:dyDescent="0.25">
      <c r="A2317" t="s">
        <v>2034</v>
      </c>
      <c r="B2317" t="s">
        <v>3214</v>
      </c>
      <c r="C2317" t="s">
        <v>3218</v>
      </c>
      <c r="D2317" t="s">
        <v>3224</v>
      </c>
      <c r="E2317" t="s">
        <v>3226</v>
      </c>
      <c r="F2317">
        <v>54781.04</v>
      </c>
      <c r="G2317">
        <v>41494.97</v>
      </c>
      <c r="H2317">
        <v>1</v>
      </c>
    </row>
    <row r="2318" spans="1:8" x14ac:dyDescent="0.25">
      <c r="A2318" t="s">
        <v>2035</v>
      </c>
      <c r="B2318" t="s">
        <v>3215</v>
      </c>
      <c r="C2318" t="s">
        <v>3221</v>
      </c>
      <c r="D2318" t="s">
        <v>3224</v>
      </c>
      <c r="E2318" t="s">
        <v>3226</v>
      </c>
      <c r="F2318">
        <v>244275.92</v>
      </c>
      <c r="H2318">
        <v>5</v>
      </c>
    </row>
    <row r="2319" spans="1:8" x14ac:dyDescent="0.25">
      <c r="A2319" t="s">
        <v>2036</v>
      </c>
      <c r="B2319" t="s">
        <v>3211</v>
      </c>
      <c r="C2319" t="s">
        <v>3220</v>
      </c>
      <c r="D2319" t="s">
        <v>3223</v>
      </c>
      <c r="E2319" t="s">
        <v>3226</v>
      </c>
      <c r="F2319">
        <v>8523.44</v>
      </c>
      <c r="G2319">
        <v>7345.84</v>
      </c>
      <c r="H2319">
        <v>1</v>
      </c>
    </row>
    <row r="2320" spans="1:8" x14ac:dyDescent="0.25">
      <c r="A2320" t="s">
        <v>2037</v>
      </c>
      <c r="C2320" t="s">
        <v>3218</v>
      </c>
      <c r="D2320" t="s">
        <v>3225</v>
      </c>
      <c r="E2320" t="s">
        <v>3226</v>
      </c>
      <c r="G2320">
        <v>28170.75</v>
      </c>
      <c r="H2320">
        <v>2</v>
      </c>
    </row>
    <row r="2321" spans="1:8" x14ac:dyDescent="0.25">
      <c r="A2321" t="s">
        <v>2038</v>
      </c>
      <c r="B2321" t="s">
        <v>3212</v>
      </c>
      <c r="C2321" t="s">
        <v>3221</v>
      </c>
      <c r="D2321" t="s">
        <v>3222</v>
      </c>
      <c r="E2321" t="s">
        <v>3226</v>
      </c>
      <c r="F2321">
        <v>76605.87</v>
      </c>
      <c r="G2321">
        <v>43474.68</v>
      </c>
      <c r="H2321">
        <v>5</v>
      </c>
    </row>
    <row r="2322" spans="1:8" x14ac:dyDescent="0.25">
      <c r="A2322" t="s">
        <v>1386</v>
      </c>
      <c r="C2322" t="s">
        <v>3217</v>
      </c>
      <c r="D2322" t="s">
        <v>3225</v>
      </c>
      <c r="E2322" t="s">
        <v>3226</v>
      </c>
      <c r="F2322">
        <v>113340.94</v>
      </c>
      <c r="G2322">
        <v>64443.72</v>
      </c>
      <c r="H2322">
        <v>5</v>
      </c>
    </row>
    <row r="2323" spans="1:8" x14ac:dyDescent="0.25">
      <c r="A2323" t="s">
        <v>2039</v>
      </c>
      <c r="B2323" t="s">
        <v>3215</v>
      </c>
      <c r="C2323" t="s">
        <v>3217</v>
      </c>
      <c r="D2323" t="s">
        <v>3224</v>
      </c>
      <c r="E2323" t="s">
        <v>3226</v>
      </c>
      <c r="F2323">
        <v>64270.28</v>
      </c>
      <c r="G2323">
        <v>47482.879999999997</v>
      </c>
      <c r="H2323">
        <v>1</v>
      </c>
    </row>
    <row r="2324" spans="1:8" x14ac:dyDescent="0.25">
      <c r="A2324" t="s">
        <v>2040</v>
      </c>
      <c r="B2324" t="s">
        <v>3213</v>
      </c>
      <c r="C2324" t="s">
        <v>3218</v>
      </c>
      <c r="D2324" t="s">
        <v>3222</v>
      </c>
      <c r="E2324" t="s">
        <v>3226</v>
      </c>
      <c r="F2324">
        <v>49276.45</v>
      </c>
      <c r="G2324">
        <v>43001.55</v>
      </c>
      <c r="H2324">
        <v>4</v>
      </c>
    </row>
    <row r="2325" spans="1:8" x14ac:dyDescent="0.25">
      <c r="A2325" t="s">
        <v>2041</v>
      </c>
      <c r="B2325" t="s">
        <v>3212</v>
      </c>
      <c r="C2325" t="s">
        <v>3216</v>
      </c>
      <c r="D2325" t="s">
        <v>3222</v>
      </c>
      <c r="E2325" t="s">
        <v>3226</v>
      </c>
      <c r="F2325">
        <v>16430.349999999999</v>
      </c>
      <c r="G2325">
        <v>10760.35</v>
      </c>
      <c r="H2325">
        <v>1</v>
      </c>
    </row>
    <row r="2326" spans="1:8" x14ac:dyDescent="0.25">
      <c r="A2326" t="s">
        <v>2042</v>
      </c>
      <c r="B2326" t="s">
        <v>3214</v>
      </c>
      <c r="C2326" t="s">
        <v>3216</v>
      </c>
      <c r="D2326" t="s">
        <v>3225</v>
      </c>
      <c r="E2326" t="s">
        <v>3226</v>
      </c>
      <c r="F2326">
        <v>56697.440000000002</v>
      </c>
      <c r="G2326">
        <v>39751.11</v>
      </c>
      <c r="H2326">
        <v>3</v>
      </c>
    </row>
    <row r="2327" spans="1:8" x14ac:dyDescent="0.25">
      <c r="A2327" t="s">
        <v>2043</v>
      </c>
      <c r="B2327" t="s">
        <v>3214</v>
      </c>
      <c r="C2327" t="s">
        <v>3218</v>
      </c>
      <c r="D2327" t="s">
        <v>3223</v>
      </c>
      <c r="E2327" t="s">
        <v>3226</v>
      </c>
      <c r="F2327">
        <v>40438.83</v>
      </c>
      <c r="G2327">
        <v>36476.22</v>
      </c>
      <c r="H2327">
        <v>5</v>
      </c>
    </row>
    <row r="2328" spans="1:8" x14ac:dyDescent="0.25">
      <c r="A2328" t="s">
        <v>2044</v>
      </c>
      <c r="B2328" t="s">
        <v>3211</v>
      </c>
      <c r="C2328" t="s">
        <v>3217</v>
      </c>
      <c r="D2328" t="s">
        <v>3225</v>
      </c>
      <c r="E2328" t="s">
        <v>3226</v>
      </c>
      <c r="F2328">
        <v>23792.99</v>
      </c>
      <c r="G2328">
        <v>14871.15</v>
      </c>
      <c r="H2328">
        <v>1</v>
      </c>
    </row>
    <row r="2329" spans="1:8" x14ac:dyDescent="0.25">
      <c r="A2329" t="s">
        <v>2045</v>
      </c>
      <c r="C2329" t="s">
        <v>3218</v>
      </c>
      <c r="D2329" t="s">
        <v>3223</v>
      </c>
      <c r="E2329" t="s">
        <v>3226</v>
      </c>
      <c r="F2329">
        <v>23943.27</v>
      </c>
      <c r="G2329">
        <v>14100.83</v>
      </c>
      <c r="H2329">
        <v>2</v>
      </c>
    </row>
    <row r="2330" spans="1:8" x14ac:dyDescent="0.25">
      <c r="A2330" t="s">
        <v>2046</v>
      </c>
      <c r="B2330" t="s">
        <v>3212</v>
      </c>
      <c r="C2330" t="s">
        <v>3220</v>
      </c>
      <c r="D2330" t="s">
        <v>3225</v>
      </c>
      <c r="E2330" t="s">
        <v>3226</v>
      </c>
      <c r="F2330">
        <v>87922.5</v>
      </c>
      <c r="G2330">
        <v>53542.13</v>
      </c>
      <c r="H2330">
        <v>4</v>
      </c>
    </row>
    <row r="2331" spans="1:8" x14ac:dyDescent="0.25">
      <c r="A2331" t="s">
        <v>2047</v>
      </c>
      <c r="B2331" t="s">
        <v>3212</v>
      </c>
      <c r="C2331" t="s">
        <v>3219</v>
      </c>
      <c r="D2331" t="s">
        <v>3222</v>
      </c>
      <c r="E2331" t="s">
        <v>3226</v>
      </c>
      <c r="F2331">
        <v>82263.98</v>
      </c>
      <c r="G2331">
        <v>45677.29</v>
      </c>
      <c r="H2331">
        <v>5</v>
      </c>
    </row>
    <row r="2332" spans="1:8" x14ac:dyDescent="0.25">
      <c r="A2332" t="s">
        <v>2016</v>
      </c>
      <c r="B2332" t="s">
        <v>3214</v>
      </c>
      <c r="C2332" t="s">
        <v>3219</v>
      </c>
      <c r="D2332" t="s">
        <v>3225</v>
      </c>
      <c r="E2332" t="s">
        <v>3226</v>
      </c>
      <c r="F2332">
        <v>87749.54</v>
      </c>
      <c r="G2332">
        <v>70382.19</v>
      </c>
      <c r="H2332">
        <v>5</v>
      </c>
    </row>
    <row r="2333" spans="1:8" x14ac:dyDescent="0.25">
      <c r="A2333" t="s">
        <v>2048</v>
      </c>
      <c r="B2333" t="s">
        <v>3211</v>
      </c>
      <c r="C2333" t="s">
        <v>3217</v>
      </c>
      <c r="D2333" t="s">
        <v>3222</v>
      </c>
      <c r="E2333" t="s">
        <v>3226</v>
      </c>
      <c r="F2333">
        <v>15750.73</v>
      </c>
      <c r="H2333">
        <v>1</v>
      </c>
    </row>
    <row r="2334" spans="1:8" x14ac:dyDescent="0.25">
      <c r="A2334" t="s">
        <v>2049</v>
      </c>
      <c r="B2334" t="s">
        <v>3214</v>
      </c>
      <c r="C2334" t="s">
        <v>3218</v>
      </c>
      <c r="D2334" t="s">
        <v>3223</v>
      </c>
      <c r="E2334" t="s">
        <v>3226</v>
      </c>
      <c r="F2334">
        <v>31045.24</v>
      </c>
      <c r="G2334">
        <v>22791.01</v>
      </c>
      <c r="H2334">
        <v>3</v>
      </c>
    </row>
    <row r="2335" spans="1:8" x14ac:dyDescent="0.25">
      <c r="A2335" t="s">
        <v>2050</v>
      </c>
      <c r="B2335" t="s">
        <v>3215</v>
      </c>
      <c r="C2335" t="s">
        <v>3216</v>
      </c>
      <c r="D2335" t="s">
        <v>3225</v>
      </c>
      <c r="E2335" t="s">
        <v>3226</v>
      </c>
      <c r="F2335">
        <v>63238.720000000001</v>
      </c>
      <c r="G2335">
        <v>40748.43</v>
      </c>
      <c r="H2335">
        <v>3</v>
      </c>
    </row>
    <row r="2336" spans="1:8" x14ac:dyDescent="0.25">
      <c r="A2336" t="s">
        <v>2051</v>
      </c>
      <c r="B2336" t="s">
        <v>3212</v>
      </c>
      <c r="C2336" t="s">
        <v>3221</v>
      </c>
      <c r="D2336" t="s">
        <v>3224</v>
      </c>
      <c r="E2336" t="s">
        <v>3226</v>
      </c>
      <c r="F2336">
        <v>255010.93</v>
      </c>
      <c r="G2336">
        <v>170571.53</v>
      </c>
      <c r="H2336">
        <v>4</v>
      </c>
    </row>
    <row r="2337" spans="1:8" x14ac:dyDescent="0.25">
      <c r="A2337" t="s">
        <v>1018</v>
      </c>
      <c r="B2337" t="s">
        <v>3211</v>
      </c>
      <c r="C2337" t="s">
        <v>3217</v>
      </c>
      <c r="D2337" t="s">
        <v>3225</v>
      </c>
      <c r="E2337" t="s">
        <v>3226</v>
      </c>
      <c r="F2337">
        <v>105209.53</v>
      </c>
      <c r="G2337">
        <v>67139.990000000005</v>
      </c>
      <c r="H2337">
        <v>5</v>
      </c>
    </row>
    <row r="2338" spans="1:8" x14ac:dyDescent="0.25">
      <c r="A2338" t="s">
        <v>2052</v>
      </c>
      <c r="B2338" t="s">
        <v>3211</v>
      </c>
      <c r="C2338" t="s">
        <v>3218</v>
      </c>
      <c r="D2338" t="s">
        <v>3224</v>
      </c>
      <c r="E2338" t="s">
        <v>3226</v>
      </c>
      <c r="F2338">
        <v>244601.89</v>
      </c>
      <c r="H2338">
        <v>5</v>
      </c>
    </row>
    <row r="2339" spans="1:8" x14ac:dyDescent="0.25">
      <c r="A2339" t="s">
        <v>2053</v>
      </c>
      <c r="B2339" t="s">
        <v>3213</v>
      </c>
      <c r="C2339" t="s">
        <v>3218</v>
      </c>
      <c r="D2339" t="s">
        <v>3223</v>
      </c>
      <c r="E2339" t="s">
        <v>3226</v>
      </c>
      <c r="F2339">
        <v>58961.05</v>
      </c>
      <c r="G2339">
        <v>38032.370000000003</v>
      </c>
      <c r="H2339">
        <v>5</v>
      </c>
    </row>
    <row r="2340" spans="1:8" x14ac:dyDescent="0.25">
      <c r="A2340" t="s">
        <v>2054</v>
      </c>
      <c r="C2340" t="s">
        <v>3219</v>
      </c>
      <c r="D2340" t="s">
        <v>3224</v>
      </c>
      <c r="E2340" t="s">
        <v>3226</v>
      </c>
      <c r="F2340">
        <v>64058.29</v>
      </c>
      <c r="G2340">
        <v>41934.959999999999</v>
      </c>
      <c r="H2340">
        <v>1</v>
      </c>
    </row>
    <row r="2341" spans="1:8" x14ac:dyDescent="0.25">
      <c r="A2341" t="s">
        <v>2055</v>
      </c>
      <c r="B2341" t="s">
        <v>3212</v>
      </c>
      <c r="C2341" t="s">
        <v>3218</v>
      </c>
      <c r="D2341" t="s">
        <v>3224</v>
      </c>
      <c r="E2341" t="s">
        <v>3226</v>
      </c>
      <c r="F2341">
        <v>180536.57</v>
      </c>
      <c r="G2341">
        <v>116086.35</v>
      </c>
      <c r="H2341">
        <v>3</v>
      </c>
    </row>
    <row r="2342" spans="1:8" x14ac:dyDescent="0.25">
      <c r="A2342" t="s">
        <v>2056</v>
      </c>
      <c r="B2342" t="s">
        <v>3214</v>
      </c>
      <c r="C2342" t="s">
        <v>3219</v>
      </c>
      <c r="D2342" t="s">
        <v>3224</v>
      </c>
      <c r="E2342" t="s">
        <v>3226</v>
      </c>
      <c r="F2342">
        <v>266849.7</v>
      </c>
      <c r="G2342">
        <v>179163.21</v>
      </c>
      <c r="H2342">
        <v>4</v>
      </c>
    </row>
    <row r="2343" spans="1:8" x14ac:dyDescent="0.25">
      <c r="A2343" t="s">
        <v>2057</v>
      </c>
      <c r="B2343" t="s">
        <v>3214</v>
      </c>
      <c r="C2343" t="s">
        <v>3218</v>
      </c>
      <c r="D2343" t="s">
        <v>3225</v>
      </c>
      <c r="E2343" t="s">
        <v>3226</v>
      </c>
      <c r="F2343">
        <v>102681</v>
      </c>
      <c r="G2343">
        <v>66451.570000000007</v>
      </c>
      <c r="H2343">
        <v>5</v>
      </c>
    </row>
    <row r="2344" spans="1:8" x14ac:dyDescent="0.25">
      <c r="A2344" t="s">
        <v>623</v>
      </c>
      <c r="B2344" t="s">
        <v>3215</v>
      </c>
      <c r="C2344" t="s">
        <v>3216</v>
      </c>
      <c r="D2344" t="s">
        <v>3224</v>
      </c>
      <c r="E2344" t="s">
        <v>3226</v>
      </c>
      <c r="F2344">
        <v>186625.42</v>
      </c>
      <c r="G2344">
        <v>120950.19</v>
      </c>
    </row>
    <row r="2345" spans="1:8" x14ac:dyDescent="0.25">
      <c r="A2345" t="s">
        <v>2058</v>
      </c>
      <c r="B2345" t="s">
        <v>3211</v>
      </c>
      <c r="C2345" t="s">
        <v>3218</v>
      </c>
      <c r="D2345" t="s">
        <v>3223</v>
      </c>
      <c r="E2345" t="s">
        <v>3226</v>
      </c>
      <c r="F2345">
        <v>28791.3</v>
      </c>
      <c r="G2345">
        <v>21766.32</v>
      </c>
      <c r="H2345">
        <v>3</v>
      </c>
    </row>
    <row r="2346" spans="1:8" x14ac:dyDescent="0.25">
      <c r="A2346" t="s">
        <v>875</v>
      </c>
      <c r="B2346" t="s">
        <v>3212</v>
      </c>
      <c r="C2346" t="s">
        <v>3221</v>
      </c>
      <c r="D2346" t="s">
        <v>3224</v>
      </c>
      <c r="E2346" t="s">
        <v>3226</v>
      </c>
      <c r="F2346">
        <v>169999.59</v>
      </c>
      <c r="G2346">
        <v>138967.20000000001</v>
      </c>
      <c r="H2346">
        <v>3</v>
      </c>
    </row>
    <row r="2347" spans="1:8" x14ac:dyDescent="0.25">
      <c r="A2347" t="s">
        <v>1231</v>
      </c>
      <c r="B2347" t="s">
        <v>3213</v>
      </c>
      <c r="C2347" t="s">
        <v>3221</v>
      </c>
      <c r="D2347" t="s">
        <v>3225</v>
      </c>
      <c r="E2347" t="s">
        <v>3226</v>
      </c>
      <c r="F2347">
        <v>87435.17</v>
      </c>
      <c r="G2347">
        <v>48710.23</v>
      </c>
      <c r="H2347">
        <v>4</v>
      </c>
    </row>
    <row r="2348" spans="1:8" x14ac:dyDescent="0.25">
      <c r="A2348" t="s">
        <v>2059</v>
      </c>
      <c r="B2348" t="s">
        <v>3214</v>
      </c>
      <c r="C2348" t="s">
        <v>3219</v>
      </c>
      <c r="D2348" t="s">
        <v>3223</v>
      </c>
      <c r="E2348" t="s">
        <v>3226</v>
      </c>
      <c r="F2348">
        <v>32195.25</v>
      </c>
      <c r="G2348">
        <v>22312.04</v>
      </c>
      <c r="H2348">
        <v>3</v>
      </c>
    </row>
    <row r="2349" spans="1:8" x14ac:dyDescent="0.25">
      <c r="A2349" t="s">
        <v>654</v>
      </c>
      <c r="B2349" t="s">
        <v>3214</v>
      </c>
      <c r="C2349" t="s">
        <v>3220</v>
      </c>
      <c r="D2349" t="s">
        <v>3223</v>
      </c>
      <c r="E2349" t="s">
        <v>3226</v>
      </c>
      <c r="F2349">
        <v>32849.06</v>
      </c>
      <c r="H2349">
        <v>3</v>
      </c>
    </row>
    <row r="2350" spans="1:8" x14ac:dyDescent="0.25">
      <c r="A2350" t="s">
        <v>2060</v>
      </c>
      <c r="B2350" t="s">
        <v>3214</v>
      </c>
      <c r="C2350" t="s">
        <v>3218</v>
      </c>
      <c r="D2350" t="s">
        <v>3223</v>
      </c>
      <c r="E2350" t="s">
        <v>3226</v>
      </c>
      <c r="F2350">
        <v>38153.050000000003</v>
      </c>
      <c r="G2350">
        <v>25926.33</v>
      </c>
      <c r="H2350">
        <v>4</v>
      </c>
    </row>
    <row r="2351" spans="1:8" x14ac:dyDescent="0.25">
      <c r="A2351" t="s">
        <v>2061</v>
      </c>
      <c r="B2351" t="s">
        <v>3215</v>
      </c>
      <c r="C2351" t="s">
        <v>3217</v>
      </c>
      <c r="D2351" t="s">
        <v>3225</v>
      </c>
      <c r="E2351" t="s">
        <v>3226</v>
      </c>
      <c r="F2351">
        <v>39567.74</v>
      </c>
      <c r="G2351">
        <v>29138.71</v>
      </c>
      <c r="H2351">
        <v>2</v>
      </c>
    </row>
    <row r="2352" spans="1:8" x14ac:dyDescent="0.25">
      <c r="A2352" t="s">
        <v>2062</v>
      </c>
      <c r="B2352" t="s">
        <v>3213</v>
      </c>
      <c r="C2352" t="s">
        <v>3216</v>
      </c>
      <c r="D2352" t="s">
        <v>3223</v>
      </c>
      <c r="E2352" t="s">
        <v>3226</v>
      </c>
      <c r="F2352">
        <v>10860.97</v>
      </c>
      <c r="G2352">
        <v>7237.46</v>
      </c>
      <c r="H2352">
        <v>1</v>
      </c>
    </row>
    <row r="2353" spans="1:8" x14ac:dyDescent="0.25">
      <c r="A2353" t="s">
        <v>2063</v>
      </c>
      <c r="B2353" t="s">
        <v>3215</v>
      </c>
      <c r="C2353" t="s">
        <v>3216</v>
      </c>
      <c r="D2353" t="s">
        <v>3224</v>
      </c>
      <c r="E2353" t="s">
        <v>3226</v>
      </c>
      <c r="F2353">
        <v>209243.57</v>
      </c>
      <c r="H2353">
        <v>3</v>
      </c>
    </row>
    <row r="2354" spans="1:8" x14ac:dyDescent="0.25">
      <c r="A2354" t="s">
        <v>1471</v>
      </c>
      <c r="C2354" t="s">
        <v>3221</v>
      </c>
      <c r="D2354" t="s">
        <v>3225</v>
      </c>
      <c r="E2354" t="s">
        <v>3226</v>
      </c>
      <c r="F2354">
        <v>103126.49</v>
      </c>
      <c r="G2354">
        <v>69010.02</v>
      </c>
      <c r="H2354">
        <v>5</v>
      </c>
    </row>
    <row r="2355" spans="1:8" x14ac:dyDescent="0.25">
      <c r="A2355" t="s">
        <v>2018</v>
      </c>
      <c r="B2355" t="s">
        <v>3212</v>
      </c>
      <c r="C2355" t="s">
        <v>3218</v>
      </c>
      <c r="D2355" t="s">
        <v>3222</v>
      </c>
      <c r="E2355" t="s">
        <v>3226</v>
      </c>
      <c r="G2355">
        <v>27157.52</v>
      </c>
      <c r="H2355">
        <v>3</v>
      </c>
    </row>
    <row r="2356" spans="1:8" x14ac:dyDescent="0.25">
      <c r="A2356" t="s">
        <v>2064</v>
      </c>
      <c r="B2356" t="s">
        <v>3213</v>
      </c>
      <c r="C2356" t="s">
        <v>3217</v>
      </c>
      <c r="D2356" t="s">
        <v>3224</v>
      </c>
      <c r="E2356" t="s">
        <v>3226</v>
      </c>
      <c r="F2356">
        <v>66660.710000000006</v>
      </c>
      <c r="G2356">
        <v>42953.71</v>
      </c>
      <c r="H2356">
        <v>1</v>
      </c>
    </row>
    <row r="2357" spans="1:8" x14ac:dyDescent="0.25">
      <c r="A2357" t="s">
        <v>1347</v>
      </c>
      <c r="B2357" t="s">
        <v>3211</v>
      </c>
      <c r="C2357" t="s">
        <v>3216</v>
      </c>
      <c r="D2357" t="s">
        <v>3224</v>
      </c>
      <c r="E2357" t="s">
        <v>3226</v>
      </c>
      <c r="F2357">
        <v>212296.25</v>
      </c>
      <c r="G2357">
        <v>121275.75</v>
      </c>
      <c r="H2357">
        <v>3</v>
      </c>
    </row>
    <row r="2358" spans="1:8" x14ac:dyDescent="0.25">
      <c r="A2358" t="s">
        <v>1592</v>
      </c>
      <c r="B2358" t="s">
        <v>3212</v>
      </c>
      <c r="C2358" t="s">
        <v>3221</v>
      </c>
      <c r="D2358" t="s">
        <v>3224</v>
      </c>
      <c r="E2358" t="s">
        <v>3226</v>
      </c>
      <c r="F2358">
        <v>210083.55</v>
      </c>
      <c r="G2358">
        <v>144579.75</v>
      </c>
      <c r="H2358">
        <v>3</v>
      </c>
    </row>
    <row r="2359" spans="1:8" x14ac:dyDescent="0.25">
      <c r="A2359" t="s">
        <v>482</v>
      </c>
      <c r="B2359" t="s">
        <v>3212</v>
      </c>
      <c r="C2359" t="s">
        <v>3216</v>
      </c>
      <c r="D2359" t="s">
        <v>3224</v>
      </c>
      <c r="E2359" t="s">
        <v>3226</v>
      </c>
      <c r="F2359">
        <v>235319.53</v>
      </c>
      <c r="G2359">
        <v>171018.21</v>
      </c>
      <c r="H2359">
        <v>4</v>
      </c>
    </row>
    <row r="2360" spans="1:8" x14ac:dyDescent="0.25">
      <c r="A2360" t="s">
        <v>2065</v>
      </c>
      <c r="B2360" t="s">
        <v>3213</v>
      </c>
      <c r="C2360" t="s">
        <v>3217</v>
      </c>
      <c r="D2360" t="s">
        <v>3222</v>
      </c>
      <c r="E2360" t="s">
        <v>3226</v>
      </c>
      <c r="F2360">
        <v>40394.870000000003</v>
      </c>
      <c r="G2360">
        <v>32383.18</v>
      </c>
      <c r="H2360">
        <v>3</v>
      </c>
    </row>
    <row r="2361" spans="1:8" x14ac:dyDescent="0.25">
      <c r="A2361" t="s">
        <v>2066</v>
      </c>
      <c r="B2361" t="s">
        <v>3215</v>
      </c>
      <c r="C2361" t="s">
        <v>3218</v>
      </c>
      <c r="D2361" t="s">
        <v>3224</v>
      </c>
      <c r="E2361" t="s">
        <v>3226</v>
      </c>
      <c r="F2361">
        <v>351197.93</v>
      </c>
      <c r="G2361">
        <v>235357.44</v>
      </c>
      <c r="H2361">
        <v>5</v>
      </c>
    </row>
    <row r="2362" spans="1:8" x14ac:dyDescent="0.25">
      <c r="A2362" t="s">
        <v>2067</v>
      </c>
      <c r="B2362" t="s">
        <v>3215</v>
      </c>
      <c r="C2362" t="s">
        <v>3218</v>
      </c>
      <c r="D2362" t="s">
        <v>3223</v>
      </c>
      <c r="E2362" t="s">
        <v>3226</v>
      </c>
      <c r="F2362">
        <v>33533.769999999997</v>
      </c>
      <c r="G2362">
        <v>24442.5</v>
      </c>
      <c r="H2362">
        <v>4</v>
      </c>
    </row>
    <row r="2363" spans="1:8" x14ac:dyDescent="0.25">
      <c r="A2363" t="s">
        <v>2068</v>
      </c>
      <c r="B2363" t="s">
        <v>3211</v>
      </c>
      <c r="C2363" t="s">
        <v>3217</v>
      </c>
      <c r="D2363" t="s">
        <v>3222</v>
      </c>
      <c r="E2363" t="s">
        <v>3226</v>
      </c>
      <c r="F2363">
        <v>56614.2</v>
      </c>
      <c r="G2363">
        <v>35480.980000000003</v>
      </c>
      <c r="H2363">
        <v>4</v>
      </c>
    </row>
    <row r="2364" spans="1:8" x14ac:dyDescent="0.25">
      <c r="A2364" t="s">
        <v>2069</v>
      </c>
      <c r="B2364" t="s">
        <v>3215</v>
      </c>
      <c r="C2364" t="s">
        <v>3220</v>
      </c>
      <c r="D2364" t="s">
        <v>3224</v>
      </c>
      <c r="E2364" t="s">
        <v>3226</v>
      </c>
      <c r="F2364">
        <v>59268.05</v>
      </c>
      <c r="H2364">
        <v>1</v>
      </c>
    </row>
    <row r="2365" spans="1:8" x14ac:dyDescent="0.25">
      <c r="A2365" t="s">
        <v>2070</v>
      </c>
      <c r="B2365" t="s">
        <v>3215</v>
      </c>
      <c r="C2365" t="s">
        <v>3218</v>
      </c>
      <c r="D2365" t="s">
        <v>3224</v>
      </c>
      <c r="E2365" t="s">
        <v>3226</v>
      </c>
      <c r="F2365">
        <v>65745.91</v>
      </c>
      <c r="G2365">
        <v>47036.6</v>
      </c>
      <c r="H2365">
        <v>1</v>
      </c>
    </row>
    <row r="2366" spans="1:8" x14ac:dyDescent="0.25">
      <c r="A2366" t="s">
        <v>2071</v>
      </c>
      <c r="B2366" t="s">
        <v>3214</v>
      </c>
      <c r="C2366" t="s">
        <v>3217</v>
      </c>
      <c r="D2366" t="s">
        <v>3223</v>
      </c>
      <c r="E2366" t="s">
        <v>3226</v>
      </c>
      <c r="F2366">
        <v>17298.560000000001</v>
      </c>
      <c r="G2366">
        <v>12619.99</v>
      </c>
      <c r="H2366">
        <v>2</v>
      </c>
    </row>
    <row r="2367" spans="1:8" x14ac:dyDescent="0.25">
      <c r="A2367" t="s">
        <v>1193</v>
      </c>
      <c r="B2367" t="s">
        <v>3211</v>
      </c>
      <c r="C2367" t="s">
        <v>3218</v>
      </c>
      <c r="D2367" t="s">
        <v>3223</v>
      </c>
      <c r="E2367" t="s">
        <v>3226</v>
      </c>
      <c r="G2367">
        <v>13853.91</v>
      </c>
      <c r="H2367">
        <v>2</v>
      </c>
    </row>
    <row r="2368" spans="1:8" x14ac:dyDescent="0.25">
      <c r="A2368" t="s">
        <v>2052</v>
      </c>
      <c r="B2368" t="s">
        <v>3214</v>
      </c>
      <c r="C2368" t="s">
        <v>3221</v>
      </c>
      <c r="D2368" t="s">
        <v>3224</v>
      </c>
      <c r="E2368" t="s">
        <v>3226</v>
      </c>
      <c r="F2368">
        <v>176433.65</v>
      </c>
      <c r="G2368">
        <v>120452.3</v>
      </c>
      <c r="H2368">
        <v>3</v>
      </c>
    </row>
    <row r="2369" spans="1:8" x14ac:dyDescent="0.25">
      <c r="A2369" t="s">
        <v>2007</v>
      </c>
      <c r="B2369" t="s">
        <v>3213</v>
      </c>
      <c r="C2369" t="s">
        <v>3217</v>
      </c>
      <c r="D2369" t="s">
        <v>3224</v>
      </c>
      <c r="E2369" t="s">
        <v>3226</v>
      </c>
      <c r="F2369">
        <v>68322.19</v>
      </c>
      <c r="G2369">
        <v>45246.09</v>
      </c>
      <c r="H2369">
        <v>1</v>
      </c>
    </row>
    <row r="2370" spans="1:8" x14ac:dyDescent="0.25">
      <c r="A2370" t="s">
        <v>2072</v>
      </c>
      <c r="B2370" t="s">
        <v>3214</v>
      </c>
      <c r="C2370" t="s">
        <v>3218</v>
      </c>
      <c r="D2370" t="s">
        <v>3223</v>
      </c>
      <c r="E2370" t="s">
        <v>3226</v>
      </c>
      <c r="F2370">
        <v>11738.28</v>
      </c>
      <c r="G2370">
        <v>6368.45</v>
      </c>
      <c r="H2370">
        <v>1</v>
      </c>
    </row>
    <row r="2371" spans="1:8" x14ac:dyDescent="0.25">
      <c r="A2371" t="s">
        <v>2073</v>
      </c>
      <c r="B2371" t="s">
        <v>3214</v>
      </c>
      <c r="C2371" t="s">
        <v>3221</v>
      </c>
      <c r="D2371" t="s">
        <v>3225</v>
      </c>
      <c r="E2371" t="s">
        <v>3226</v>
      </c>
      <c r="F2371">
        <v>43336.99</v>
      </c>
      <c r="G2371">
        <v>29228.98</v>
      </c>
      <c r="H2371">
        <v>2</v>
      </c>
    </row>
    <row r="2372" spans="1:8" x14ac:dyDescent="0.25">
      <c r="A2372" t="s">
        <v>1990</v>
      </c>
      <c r="B2372" t="s">
        <v>3213</v>
      </c>
      <c r="C2372" t="s">
        <v>3217</v>
      </c>
      <c r="D2372" t="s">
        <v>3223</v>
      </c>
      <c r="E2372" t="s">
        <v>3226</v>
      </c>
      <c r="F2372">
        <v>21066.86</v>
      </c>
      <c r="G2372">
        <v>12296.44</v>
      </c>
      <c r="H2372">
        <v>2</v>
      </c>
    </row>
    <row r="2373" spans="1:8" x14ac:dyDescent="0.25">
      <c r="A2373" t="s">
        <v>2074</v>
      </c>
      <c r="C2373" t="s">
        <v>3219</v>
      </c>
      <c r="D2373" t="s">
        <v>3224</v>
      </c>
      <c r="E2373" t="s">
        <v>3226</v>
      </c>
      <c r="F2373">
        <v>110541.99</v>
      </c>
      <c r="G2373">
        <v>81470.649999999994</v>
      </c>
      <c r="H2373">
        <v>2</v>
      </c>
    </row>
    <row r="2374" spans="1:8" x14ac:dyDescent="0.25">
      <c r="A2374" t="s">
        <v>633</v>
      </c>
      <c r="B2374" t="s">
        <v>3211</v>
      </c>
      <c r="C2374" t="s">
        <v>3219</v>
      </c>
      <c r="D2374" t="s">
        <v>3223</v>
      </c>
      <c r="E2374" t="s">
        <v>3226</v>
      </c>
      <c r="F2374">
        <v>57977.72</v>
      </c>
      <c r="G2374">
        <v>30346.17</v>
      </c>
      <c r="H2374">
        <v>5</v>
      </c>
    </row>
    <row r="2375" spans="1:8" x14ac:dyDescent="0.25">
      <c r="A2375" t="s">
        <v>2075</v>
      </c>
      <c r="B2375" t="s">
        <v>3211</v>
      </c>
      <c r="C2375" t="s">
        <v>3216</v>
      </c>
      <c r="D2375" t="s">
        <v>3225</v>
      </c>
      <c r="E2375" t="s">
        <v>3226</v>
      </c>
      <c r="F2375">
        <v>81776.37</v>
      </c>
      <c r="G2375">
        <v>59740.959999999999</v>
      </c>
      <c r="H2375">
        <v>4</v>
      </c>
    </row>
    <row r="2376" spans="1:8" x14ac:dyDescent="0.25">
      <c r="A2376" t="s">
        <v>2076</v>
      </c>
      <c r="B2376" t="s">
        <v>3211</v>
      </c>
      <c r="C2376" t="s">
        <v>3218</v>
      </c>
      <c r="D2376" t="s">
        <v>3225</v>
      </c>
      <c r="E2376" t="s">
        <v>3226</v>
      </c>
      <c r="F2376">
        <v>76715.39</v>
      </c>
      <c r="G2376">
        <v>51044.77</v>
      </c>
      <c r="H2376">
        <v>4</v>
      </c>
    </row>
    <row r="2377" spans="1:8" x14ac:dyDescent="0.25">
      <c r="A2377" t="s">
        <v>2077</v>
      </c>
      <c r="B2377" t="s">
        <v>3214</v>
      </c>
      <c r="C2377" t="s">
        <v>3219</v>
      </c>
      <c r="D2377" t="s">
        <v>3222</v>
      </c>
      <c r="E2377" t="s">
        <v>3226</v>
      </c>
      <c r="F2377">
        <v>13484.66</v>
      </c>
      <c r="G2377">
        <v>10859.74</v>
      </c>
      <c r="H2377">
        <v>1</v>
      </c>
    </row>
    <row r="2378" spans="1:8" x14ac:dyDescent="0.25">
      <c r="A2378" t="s">
        <v>2078</v>
      </c>
      <c r="B2378" t="s">
        <v>3213</v>
      </c>
      <c r="C2378" t="s">
        <v>3220</v>
      </c>
      <c r="D2378" t="s">
        <v>3224</v>
      </c>
      <c r="E2378" t="s">
        <v>3226</v>
      </c>
      <c r="F2378">
        <v>200691.53</v>
      </c>
      <c r="G2378">
        <v>116281.48</v>
      </c>
      <c r="H2378">
        <v>3</v>
      </c>
    </row>
    <row r="2379" spans="1:8" x14ac:dyDescent="0.25">
      <c r="A2379" t="s">
        <v>2079</v>
      </c>
      <c r="B2379" t="s">
        <v>3213</v>
      </c>
      <c r="C2379" t="s">
        <v>3219</v>
      </c>
      <c r="D2379" t="s">
        <v>3223</v>
      </c>
      <c r="E2379" t="s">
        <v>3226</v>
      </c>
      <c r="F2379">
        <v>8241.65</v>
      </c>
      <c r="G2379">
        <v>6994.26</v>
      </c>
      <c r="H2379">
        <v>1</v>
      </c>
    </row>
    <row r="2380" spans="1:8" x14ac:dyDescent="0.25">
      <c r="A2380" t="s">
        <v>1665</v>
      </c>
      <c r="B2380" t="s">
        <v>3214</v>
      </c>
      <c r="C2380" t="s">
        <v>3218</v>
      </c>
      <c r="D2380" t="s">
        <v>3224</v>
      </c>
      <c r="E2380" t="s">
        <v>3226</v>
      </c>
      <c r="F2380">
        <v>251811.58</v>
      </c>
      <c r="G2380">
        <v>197142.97</v>
      </c>
      <c r="H2380">
        <v>5</v>
      </c>
    </row>
    <row r="2381" spans="1:8" x14ac:dyDescent="0.25">
      <c r="A2381" t="s">
        <v>2080</v>
      </c>
      <c r="B2381" t="s">
        <v>3214</v>
      </c>
      <c r="C2381" t="s">
        <v>3219</v>
      </c>
      <c r="D2381" t="s">
        <v>3223</v>
      </c>
      <c r="E2381" t="s">
        <v>3226</v>
      </c>
      <c r="F2381">
        <v>22731</v>
      </c>
      <c r="G2381">
        <v>12869.71</v>
      </c>
      <c r="H2381">
        <v>2</v>
      </c>
    </row>
    <row r="2382" spans="1:8" x14ac:dyDescent="0.25">
      <c r="A2382" t="s">
        <v>2081</v>
      </c>
      <c r="B2382" t="s">
        <v>3214</v>
      </c>
      <c r="C2382" t="s">
        <v>3218</v>
      </c>
      <c r="D2382" t="s">
        <v>3225</v>
      </c>
      <c r="E2382" t="s">
        <v>3226</v>
      </c>
      <c r="F2382">
        <v>80512.17</v>
      </c>
      <c r="H2382">
        <v>4</v>
      </c>
    </row>
    <row r="2383" spans="1:8" x14ac:dyDescent="0.25">
      <c r="A2383" t="s">
        <v>2082</v>
      </c>
      <c r="B2383" t="s">
        <v>3214</v>
      </c>
      <c r="C2383" t="s">
        <v>3217</v>
      </c>
      <c r="D2383" t="s">
        <v>3224</v>
      </c>
      <c r="E2383" t="s">
        <v>3226</v>
      </c>
      <c r="F2383">
        <v>109898.37</v>
      </c>
      <c r="G2383">
        <v>89039.98</v>
      </c>
      <c r="H2383">
        <v>2</v>
      </c>
    </row>
    <row r="2384" spans="1:8" x14ac:dyDescent="0.25">
      <c r="A2384" t="s">
        <v>2083</v>
      </c>
      <c r="B2384" t="s">
        <v>3215</v>
      </c>
      <c r="C2384" t="s">
        <v>3218</v>
      </c>
      <c r="D2384" t="s">
        <v>3225</v>
      </c>
      <c r="E2384" t="s">
        <v>3226</v>
      </c>
      <c r="F2384">
        <v>51001.71</v>
      </c>
      <c r="G2384">
        <v>38608.29</v>
      </c>
      <c r="H2384">
        <v>3</v>
      </c>
    </row>
    <row r="2385" spans="1:8" x14ac:dyDescent="0.25">
      <c r="A2385" t="s">
        <v>2084</v>
      </c>
      <c r="B2385" t="s">
        <v>3211</v>
      </c>
      <c r="C2385" t="s">
        <v>3218</v>
      </c>
      <c r="D2385" t="s">
        <v>3223</v>
      </c>
      <c r="E2385" t="s">
        <v>3226</v>
      </c>
      <c r="F2385">
        <v>17786.38</v>
      </c>
      <c r="G2385">
        <v>12851.85</v>
      </c>
      <c r="H2385">
        <v>2</v>
      </c>
    </row>
    <row r="2386" spans="1:8" x14ac:dyDescent="0.25">
      <c r="A2386" t="s">
        <v>2085</v>
      </c>
      <c r="B2386" t="s">
        <v>3214</v>
      </c>
      <c r="C2386" t="s">
        <v>3219</v>
      </c>
      <c r="D2386" t="s">
        <v>3222</v>
      </c>
      <c r="E2386" t="s">
        <v>3226</v>
      </c>
      <c r="F2386">
        <v>36082.81</v>
      </c>
      <c r="G2386">
        <v>27722.86</v>
      </c>
      <c r="H2386">
        <v>3</v>
      </c>
    </row>
    <row r="2387" spans="1:8" x14ac:dyDescent="0.25">
      <c r="A2387" t="s">
        <v>2086</v>
      </c>
      <c r="B2387" t="s">
        <v>3213</v>
      </c>
      <c r="C2387" t="s">
        <v>3217</v>
      </c>
      <c r="D2387" t="s">
        <v>3224</v>
      </c>
      <c r="E2387" t="s">
        <v>3226</v>
      </c>
      <c r="F2387">
        <v>104934.24</v>
      </c>
      <c r="G2387">
        <v>83163.22</v>
      </c>
      <c r="H2387">
        <v>2</v>
      </c>
    </row>
    <row r="2388" spans="1:8" x14ac:dyDescent="0.25">
      <c r="A2388" t="s">
        <v>514</v>
      </c>
      <c r="B2388" t="s">
        <v>3214</v>
      </c>
      <c r="C2388" t="s">
        <v>3221</v>
      </c>
      <c r="D2388" t="s">
        <v>3223</v>
      </c>
      <c r="E2388" t="s">
        <v>3226</v>
      </c>
      <c r="F2388">
        <v>30572.23</v>
      </c>
      <c r="G2388">
        <v>19605.68</v>
      </c>
      <c r="H2388">
        <v>3</v>
      </c>
    </row>
    <row r="2389" spans="1:8" x14ac:dyDescent="0.25">
      <c r="A2389" t="s">
        <v>2087</v>
      </c>
      <c r="B2389" t="s">
        <v>3211</v>
      </c>
      <c r="C2389" t="s">
        <v>3221</v>
      </c>
      <c r="D2389" t="s">
        <v>3222</v>
      </c>
      <c r="E2389" t="s">
        <v>3226</v>
      </c>
      <c r="F2389">
        <v>28244.07</v>
      </c>
      <c r="G2389">
        <v>17663.45</v>
      </c>
      <c r="H2389">
        <v>2</v>
      </c>
    </row>
    <row r="2390" spans="1:8" x14ac:dyDescent="0.25">
      <c r="A2390" t="s">
        <v>2088</v>
      </c>
      <c r="B2390" t="s">
        <v>3212</v>
      </c>
      <c r="C2390" t="s">
        <v>3220</v>
      </c>
      <c r="D2390" t="s">
        <v>3223</v>
      </c>
      <c r="E2390" t="s">
        <v>3226</v>
      </c>
      <c r="F2390">
        <v>41880.61</v>
      </c>
      <c r="G2390">
        <v>32218.37</v>
      </c>
      <c r="H2390">
        <v>5</v>
      </c>
    </row>
    <row r="2391" spans="1:8" x14ac:dyDescent="0.25">
      <c r="A2391" t="s">
        <v>2089</v>
      </c>
      <c r="B2391" t="s">
        <v>3212</v>
      </c>
      <c r="C2391" t="s">
        <v>3221</v>
      </c>
      <c r="D2391" t="s">
        <v>3224</v>
      </c>
      <c r="E2391" t="s">
        <v>3226</v>
      </c>
      <c r="G2391">
        <v>193559.29</v>
      </c>
      <c r="H2391">
        <v>4</v>
      </c>
    </row>
    <row r="2392" spans="1:8" x14ac:dyDescent="0.25">
      <c r="A2392" t="s">
        <v>2090</v>
      </c>
      <c r="B2392" t="s">
        <v>3213</v>
      </c>
      <c r="C2392" t="s">
        <v>3220</v>
      </c>
      <c r="D2392" t="s">
        <v>3222</v>
      </c>
      <c r="E2392" t="s">
        <v>3226</v>
      </c>
      <c r="F2392">
        <v>16511.34</v>
      </c>
      <c r="G2392">
        <v>8882.7800000000007</v>
      </c>
      <c r="H2392">
        <v>1</v>
      </c>
    </row>
    <row r="2393" spans="1:8" x14ac:dyDescent="0.25">
      <c r="A2393" t="s">
        <v>1499</v>
      </c>
      <c r="B2393" t="s">
        <v>3213</v>
      </c>
      <c r="C2393" t="s">
        <v>3218</v>
      </c>
      <c r="D2393" t="s">
        <v>3223</v>
      </c>
      <c r="E2393" t="s">
        <v>3226</v>
      </c>
      <c r="F2393">
        <v>8867.34</v>
      </c>
      <c r="G2393">
        <v>7463.46</v>
      </c>
      <c r="H2393">
        <v>1</v>
      </c>
    </row>
    <row r="2394" spans="1:8" x14ac:dyDescent="0.25">
      <c r="A2394" t="s">
        <v>2091</v>
      </c>
      <c r="B2394" t="s">
        <v>3213</v>
      </c>
      <c r="C2394" t="s">
        <v>3218</v>
      </c>
      <c r="D2394" t="s">
        <v>3225</v>
      </c>
      <c r="E2394" t="s">
        <v>3226</v>
      </c>
      <c r="G2394">
        <v>38711.47</v>
      </c>
      <c r="H2394">
        <v>3</v>
      </c>
    </row>
    <row r="2395" spans="1:8" x14ac:dyDescent="0.25">
      <c r="A2395" t="s">
        <v>2092</v>
      </c>
      <c r="B2395" t="s">
        <v>3213</v>
      </c>
      <c r="C2395" t="s">
        <v>3218</v>
      </c>
      <c r="D2395" t="s">
        <v>3223</v>
      </c>
      <c r="E2395" t="s">
        <v>3226</v>
      </c>
      <c r="F2395">
        <v>32773.800000000003</v>
      </c>
      <c r="G2395">
        <v>28371.95</v>
      </c>
      <c r="H2395">
        <v>4</v>
      </c>
    </row>
    <row r="2396" spans="1:8" x14ac:dyDescent="0.25">
      <c r="A2396" t="s">
        <v>1974</v>
      </c>
      <c r="C2396" t="s">
        <v>3218</v>
      </c>
      <c r="D2396" t="s">
        <v>3222</v>
      </c>
      <c r="E2396" t="s">
        <v>3226</v>
      </c>
      <c r="F2396">
        <v>27128.13</v>
      </c>
      <c r="G2396">
        <v>18966.11</v>
      </c>
      <c r="H2396">
        <v>2</v>
      </c>
    </row>
    <row r="2397" spans="1:8" x14ac:dyDescent="0.25">
      <c r="A2397" t="s">
        <v>2093</v>
      </c>
      <c r="B2397" t="s">
        <v>3215</v>
      </c>
      <c r="C2397" t="s">
        <v>3219</v>
      </c>
      <c r="D2397" t="s">
        <v>3225</v>
      </c>
      <c r="E2397" t="s">
        <v>3226</v>
      </c>
      <c r="F2397">
        <v>78395.67</v>
      </c>
      <c r="G2397">
        <v>55048.1</v>
      </c>
      <c r="H2397">
        <v>4</v>
      </c>
    </row>
    <row r="2398" spans="1:8" x14ac:dyDescent="0.25">
      <c r="A2398" t="s">
        <v>2094</v>
      </c>
      <c r="C2398" t="s">
        <v>3216</v>
      </c>
      <c r="D2398" t="s">
        <v>3225</v>
      </c>
      <c r="E2398" t="s">
        <v>3226</v>
      </c>
      <c r="F2398">
        <v>92643.19</v>
      </c>
      <c r="G2398">
        <v>73512.100000000006</v>
      </c>
      <c r="H2398">
        <v>5</v>
      </c>
    </row>
    <row r="2399" spans="1:8" x14ac:dyDescent="0.25">
      <c r="A2399" t="s">
        <v>2095</v>
      </c>
      <c r="B2399" t="s">
        <v>3212</v>
      </c>
      <c r="C2399" t="s">
        <v>3216</v>
      </c>
      <c r="D2399" t="s">
        <v>3224</v>
      </c>
      <c r="E2399" t="s">
        <v>3226</v>
      </c>
      <c r="F2399">
        <v>115192.03</v>
      </c>
      <c r="G2399">
        <v>81377.350000000006</v>
      </c>
      <c r="H2399">
        <v>2</v>
      </c>
    </row>
    <row r="2400" spans="1:8" x14ac:dyDescent="0.25">
      <c r="A2400" t="s">
        <v>2096</v>
      </c>
      <c r="B2400" t="s">
        <v>3214</v>
      </c>
      <c r="C2400" t="s">
        <v>3220</v>
      </c>
      <c r="D2400" t="s">
        <v>3223</v>
      </c>
      <c r="E2400" t="s">
        <v>3226</v>
      </c>
      <c r="F2400">
        <v>38653.440000000002</v>
      </c>
      <c r="G2400">
        <v>24933.88</v>
      </c>
      <c r="H2400">
        <v>4</v>
      </c>
    </row>
    <row r="2401" spans="1:8" x14ac:dyDescent="0.25">
      <c r="A2401" t="s">
        <v>998</v>
      </c>
      <c r="B2401" t="s">
        <v>3212</v>
      </c>
      <c r="C2401" t="s">
        <v>3220</v>
      </c>
      <c r="D2401" t="s">
        <v>3222</v>
      </c>
      <c r="E2401" t="s">
        <v>3226</v>
      </c>
      <c r="F2401">
        <v>28102.68</v>
      </c>
      <c r="G2401">
        <v>17534.91</v>
      </c>
      <c r="H2401">
        <v>2</v>
      </c>
    </row>
    <row r="2402" spans="1:8" x14ac:dyDescent="0.25">
      <c r="A2402" t="s">
        <v>1553</v>
      </c>
      <c r="B2402" t="s">
        <v>3215</v>
      </c>
      <c r="C2402" t="s">
        <v>3219</v>
      </c>
      <c r="D2402" t="s">
        <v>3225</v>
      </c>
      <c r="E2402" t="s">
        <v>3226</v>
      </c>
      <c r="G2402">
        <v>12084.93</v>
      </c>
      <c r="H2402">
        <v>1</v>
      </c>
    </row>
    <row r="2403" spans="1:8" x14ac:dyDescent="0.25">
      <c r="A2403" t="s">
        <v>2097</v>
      </c>
      <c r="C2403" t="s">
        <v>3219</v>
      </c>
      <c r="D2403" t="s">
        <v>3224</v>
      </c>
      <c r="E2403" t="s">
        <v>3226</v>
      </c>
      <c r="F2403">
        <v>135337.10999999999</v>
      </c>
    </row>
    <row r="2404" spans="1:8" x14ac:dyDescent="0.25">
      <c r="A2404" t="s">
        <v>2098</v>
      </c>
      <c r="B2404" t="s">
        <v>3211</v>
      </c>
      <c r="C2404" t="s">
        <v>3220</v>
      </c>
      <c r="D2404" t="s">
        <v>3223</v>
      </c>
      <c r="E2404" t="s">
        <v>3226</v>
      </c>
      <c r="F2404">
        <v>55963.519999999997</v>
      </c>
      <c r="G2404">
        <v>30909.759999999998</v>
      </c>
      <c r="H2404">
        <v>5</v>
      </c>
    </row>
    <row r="2405" spans="1:8" x14ac:dyDescent="0.25">
      <c r="A2405" t="s">
        <v>789</v>
      </c>
      <c r="B2405" t="s">
        <v>3213</v>
      </c>
      <c r="C2405" t="s">
        <v>3219</v>
      </c>
      <c r="D2405" t="s">
        <v>3224</v>
      </c>
      <c r="E2405" t="s">
        <v>3226</v>
      </c>
      <c r="F2405">
        <v>102663.2</v>
      </c>
      <c r="G2405">
        <v>78278.240000000005</v>
      </c>
      <c r="H2405">
        <v>2</v>
      </c>
    </row>
    <row r="2406" spans="1:8" x14ac:dyDescent="0.25">
      <c r="A2406" t="s">
        <v>2099</v>
      </c>
      <c r="B2406" t="s">
        <v>3213</v>
      </c>
      <c r="C2406" t="s">
        <v>3221</v>
      </c>
      <c r="D2406" t="s">
        <v>3223</v>
      </c>
      <c r="E2406" t="s">
        <v>3226</v>
      </c>
      <c r="F2406">
        <v>30864.41</v>
      </c>
      <c r="H2406">
        <v>3</v>
      </c>
    </row>
    <row r="2407" spans="1:8" x14ac:dyDescent="0.25">
      <c r="A2407" t="s">
        <v>1737</v>
      </c>
      <c r="B2407" t="s">
        <v>3211</v>
      </c>
      <c r="C2407" t="s">
        <v>3219</v>
      </c>
      <c r="D2407" t="s">
        <v>3225</v>
      </c>
      <c r="E2407" t="s">
        <v>3226</v>
      </c>
      <c r="F2407">
        <v>17430.07</v>
      </c>
      <c r="G2407">
        <v>13591.33</v>
      </c>
      <c r="H2407">
        <v>1</v>
      </c>
    </row>
    <row r="2408" spans="1:8" x14ac:dyDescent="0.25">
      <c r="A2408" t="s">
        <v>436</v>
      </c>
      <c r="B2408" t="s">
        <v>3212</v>
      </c>
      <c r="C2408" t="s">
        <v>3221</v>
      </c>
      <c r="D2408" t="s">
        <v>3225</v>
      </c>
      <c r="E2408" t="s">
        <v>3226</v>
      </c>
      <c r="F2408">
        <v>90077.61</v>
      </c>
      <c r="G2408">
        <v>59889.38</v>
      </c>
      <c r="H2408">
        <v>5</v>
      </c>
    </row>
    <row r="2409" spans="1:8" x14ac:dyDescent="0.25">
      <c r="A2409" t="s">
        <v>1408</v>
      </c>
      <c r="C2409" t="s">
        <v>3219</v>
      </c>
      <c r="D2409" t="s">
        <v>3222</v>
      </c>
      <c r="E2409" t="s">
        <v>3226</v>
      </c>
      <c r="F2409">
        <v>38125.06</v>
      </c>
      <c r="G2409">
        <v>27298.81</v>
      </c>
      <c r="H2409">
        <v>3</v>
      </c>
    </row>
    <row r="2410" spans="1:8" x14ac:dyDescent="0.25">
      <c r="A2410" t="s">
        <v>2100</v>
      </c>
      <c r="C2410" t="s">
        <v>3221</v>
      </c>
      <c r="D2410" t="s">
        <v>3223</v>
      </c>
      <c r="E2410" t="s">
        <v>3226</v>
      </c>
      <c r="F2410">
        <v>10173.219999999999</v>
      </c>
      <c r="G2410">
        <v>7681.54</v>
      </c>
      <c r="H2410">
        <v>1</v>
      </c>
    </row>
    <row r="2411" spans="1:8" x14ac:dyDescent="0.25">
      <c r="A2411" t="s">
        <v>2101</v>
      </c>
      <c r="B2411" t="s">
        <v>3215</v>
      </c>
      <c r="C2411" t="s">
        <v>3218</v>
      </c>
      <c r="D2411" t="s">
        <v>3222</v>
      </c>
      <c r="E2411" t="s">
        <v>3226</v>
      </c>
      <c r="F2411">
        <v>61457.74</v>
      </c>
      <c r="G2411">
        <v>39867.769999999997</v>
      </c>
      <c r="H2411">
        <v>4</v>
      </c>
    </row>
    <row r="2412" spans="1:8" x14ac:dyDescent="0.25">
      <c r="A2412" t="s">
        <v>2102</v>
      </c>
      <c r="B2412" t="s">
        <v>3213</v>
      </c>
      <c r="C2412" t="s">
        <v>3221</v>
      </c>
      <c r="D2412" t="s">
        <v>3223</v>
      </c>
      <c r="E2412" t="s">
        <v>3226</v>
      </c>
      <c r="G2412">
        <v>20400.57</v>
      </c>
      <c r="H2412">
        <v>3</v>
      </c>
    </row>
    <row r="2413" spans="1:8" x14ac:dyDescent="0.25">
      <c r="A2413" t="s">
        <v>2103</v>
      </c>
      <c r="B2413" t="s">
        <v>3214</v>
      </c>
      <c r="C2413" t="s">
        <v>3216</v>
      </c>
      <c r="D2413" t="s">
        <v>3222</v>
      </c>
      <c r="E2413" t="s">
        <v>3226</v>
      </c>
      <c r="F2413">
        <v>64046.46</v>
      </c>
      <c r="G2413">
        <v>38260.050000000003</v>
      </c>
      <c r="H2413">
        <v>4</v>
      </c>
    </row>
    <row r="2414" spans="1:8" x14ac:dyDescent="0.25">
      <c r="A2414" t="s">
        <v>1024</v>
      </c>
      <c r="B2414" t="s">
        <v>3215</v>
      </c>
      <c r="C2414" t="s">
        <v>3219</v>
      </c>
      <c r="D2414" t="s">
        <v>3225</v>
      </c>
      <c r="E2414" t="s">
        <v>3226</v>
      </c>
      <c r="F2414">
        <v>21910.75</v>
      </c>
      <c r="H2414">
        <v>1</v>
      </c>
    </row>
    <row r="2415" spans="1:8" x14ac:dyDescent="0.25">
      <c r="A2415" t="s">
        <v>1144</v>
      </c>
      <c r="B2415" t="s">
        <v>3215</v>
      </c>
      <c r="C2415" t="s">
        <v>3216</v>
      </c>
      <c r="D2415" t="s">
        <v>3224</v>
      </c>
      <c r="E2415" t="s">
        <v>3226</v>
      </c>
      <c r="F2415">
        <v>129100.67</v>
      </c>
      <c r="G2415">
        <v>79415.600000000006</v>
      </c>
      <c r="H2415">
        <v>2</v>
      </c>
    </row>
    <row r="2416" spans="1:8" x14ac:dyDescent="0.25">
      <c r="A2416" t="s">
        <v>2104</v>
      </c>
      <c r="B2416" t="s">
        <v>3212</v>
      </c>
      <c r="C2416" t="s">
        <v>3218</v>
      </c>
      <c r="D2416" t="s">
        <v>3225</v>
      </c>
      <c r="E2416" t="s">
        <v>3226</v>
      </c>
      <c r="F2416">
        <v>43840.09</v>
      </c>
      <c r="G2416">
        <v>27371.49</v>
      </c>
      <c r="H2416">
        <v>2</v>
      </c>
    </row>
    <row r="2417" spans="1:8" x14ac:dyDescent="0.25">
      <c r="A2417" t="s">
        <v>742</v>
      </c>
      <c r="B2417" t="s">
        <v>3213</v>
      </c>
      <c r="C2417" t="s">
        <v>3218</v>
      </c>
      <c r="D2417" t="s">
        <v>3225</v>
      </c>
      <c r="E2417" t="s">
        <v>3226</v>
      </c>
      <c r="F2417">
        <v>58557.48</v>
      </c>
      <c r="G2417">
        <v>41669.4</v>
      </c>
      <c r="H2417">
        <v>3</v>
      </c>
    </row>
    <row r="2418" spans="1:8" x14ac:dyDescent="0.25">
      <c r="A2418" t="s">
        <v>1140</v>
      </c>
      <c r="B2418" t="s">
        <v>3211</v>
      </c>
      <c r="C2418" t="s">
        <v>3216</v>
      </c>
      <c r="D2418" t="s">
        <v>3224</v>
      </c>
      <c r="E2418" t="s">
        <v>3226</v>
      </c>
      <c r="F2418">
        <v>227019.25</v>
      </c>
      <c r="G2418">
        <v>178231.4</v>
      </c>
      <c r="H2418">
        <v>4</v>
      </c>
    </row>
    <row r="2419" spans="1:8" x14ac:dyDescent="0.25">
      <c r="A2419" t="s">
        <v>1770</v>
      </c>
      <c r="B2419" t="s">
        <v>3211</v>
      </c>
      <c r="C2419" t="s">
        <v>3221</v>
      </c>
      <c r="D2419" t="s">
        <v>3222</v>
      </c>
      <c r="E2419" t="s">
        <v>3226</v>
      </c>
      <c r="F2419">
        <v>17980.87</v>
      </c>
      <c r="H2419">
        <v>1</v>
      </c>
    </row>
    <row r="2420" spans="1:8" x14ac:dyDescent="0.25">
      <c r="A2420" t="s">
        <v>2105</v>
      </c>
      <c r="B2420" t="s">
        <v>3212</v>
      </c>
      <c r="C2420" t="s">
        <v>3221</v>
      </c>
      <c r="D2420" t="s">
        <v>3222</v>
      </c>
      <c r="E2420" t="s">
        <v>3226</v>
      </c>
      <c r="F2420">
        <v>44282.29</v>
      </c>
      <c r="G2420">
        <v>26118.79</v>
      </c>
      <c r="H2420">
        <v>3</v>
      </c>
    </row>
    <row r="2421" spans="1:8" x14ac:dyDescent="0.25">
      <c r="A2421" t="s">
        <v>2106</v>
      </c>
      <c r="B2421" t="s">
        <v>3212</v>
      </c>
      <c r="C2421" t="s">
        <v>3216</v>
      </c>
      <c r="D2421" t="s">
        <v>3225</v>
      </c>
      <c r="E2421" t="s">
        <v>3226</v>
      </c>
      <c r="F2421">
        <v>38291.83</v>
      </c>
      <c r="G2421">
        <v>29523.27</v>
      </c>
      <c r="H2421">
        <v>2</v>
      </c>
    </row>
    <row r="2422" spans="1:8" x14ac:dyDescent="0.25">
      <c r="A2422" t="s">
        <v>2107</v>
      </c>
      <c r="C2422" t="s">
        <v>3216</v>
      </c>
      <c r="D2422" t="s">
        <v>3224</v>
      </c>
      <c r="E2422" t="s">
        <v>3226</v>
      </c>
      <c r="F2422">
        <v>298512.09999999998</v>
      </c>
      <c r="G2422">
        <v>204649.54</v>
      </c>
      <c r="H2422">
        <v>5</v>
      </c>
    </row>
    <row r="2423" spans="1:8" x14ac:dyDescent="0.25">
      <c r="A2423" t="s">
        <v>2108</v>
      </c>
      <c r="B2423" t="s">
        <v>3215</v>
      </c>
      <c r="C2423" t="s">
        <v>3217</v>
      </c>
      <c r="D2423" t="s">
        <v>3224</v>
      </c>
      <c r="E2423" t="s">
        <v>3226</v>
      </c>
      <c r="F2423">
        <v>173754.07</v>
      </c>
      <c r="G2423">
        <v>131330.46</v>
      </c>
      <c r="H2423">
        <v>3</v>
      </c>
    </row>
    <row r="2424" spans="1:8" x14ac:dyDescent="0.25">
      <c r="A2424" t="s">
        <v>2109</v>
      </c>
      <c r="B2424" t="s">
        <v>3212</v>
      </c>
      <c r="C2424" t="s">
        <v>3221</v>
      </c>
      <c r="D2424" t="s">
        <v>3225</v>
      </c>
      <c r="E2424" t="s">
        <v>3226</v>
      </c>
      <c r="F2424">
        <v>85220.12</v>
      </c>
      <c r="G2424">
        <v>58762.400000000001</v>
      </c>
      <c r="H2424">
        <v>4</v>
      </c>
    </row>
    <row r="2425" spans="1:8" x14ac:dyDescent="0.25">
      <c r="A2425" t="s">
        <v>340</v>
      </c>
      <c r="B2425" t="s">
        <v>3211</v>
      </c>
      <c r="C2425" t="s">
        <v>3219</v>
      </c>
      <c r="D2425" t="s">
        <v>3222</v>
      </c>
      <c r="E2425" t="s">
        <v>3226</v>
      </c>
      <c r="F2425">
        <v>51372.28</v>
      </c>
      <c r="G2425">
        <v>32689.15</v>
      </c>
      <c r="H2425">
        <v>3</v>
      </c>
    </row>
    <row r="2426" spans="1:8" x14ac:dyDescent="0.25">
      <c r="A2426" t="s">
        <v>2110</v>
      </c>
      <c r="B2426" t="s">
        <v>3214</v>
      </c>
      <c r="C2426" t="s">
        <v>3219</v>
      </c>
      <c r="D2426" t="s">
        <v>3222</v>
      </c>
      <c r="E2426" t="s">
        <v>3226</v>
      </c>
      <c r="F2426">
        <v>51118.35</v>
      </c>
      <c r="G2426">
        <v>27272.73</v>
      </c>
      <c r="H2426">
        <v>3</v>
      </c>
    </row>
    <row r="2427" spans="1:8" x14ac:dyDescent="0.25">
      <c r="A2427" t="s">
        <v>2111</v>
      </c>
      <c r="B2427" t="s">
        <v>3211</v>
      </c>
      <c r="C2427" t="s">
        <v>3220</v>
      </c>
      <c r="D2427" t="s">
        <v>3225</v>
      </c>
      <c r="E2427" t="s">
        <v>3226</v>
      </c>
      <c r="F2427">
        <v>64181.77</v>
      </c>
      <c r="G2427">
        <v>37100.769999999997</v>
      </c>
      <c r="H2427">
        <v>3</v>
      </c>
    </row>
    <row r="2428" spans="1:8" x14ac:dyDescent="0.25">
      <c r="A2428" t="s">
        <v>2112</v>
      </c>
      <c r="B2428" t="s">
        <v>3214</v>
      </c>
      <c r="C2428" t="s">
        <v>3221</v>
      </c>
      <c r="D2428" t="s">
        <v>3224</v>
      </c>
      <c r="E2428" t="s">
        <v>3226</v>
      </c>
      <c r="F2428">
        <v>205574.1</v>
      </c>
      <c r="G2428">
        <v>134229.73000000001</v>
      </c>
      <c r="H2428">
        <v>3</v>
      </c>
    </row>
    <row r="2429" spans="1:8" x14ac:dyDescent="0.25">
      <c r="A2429" t="s">
        <v>2113</v>
      </c>
      <c r="B2429" t="s">
        <v>3213</v>
      </c>
      <c r="C2429" t="s">
        <v>3216</v>
      </c>
      <c r="D2429" t="s">
        <v>3222</v>
      </c>
      <c r="E2429" t="s">
        <v>3226</v>
      </c>
      <c r="F2429">
        <v>53422.98</v>
      </c>
      <c r="G2429">
        <v>37496.01</v>
      </c>
      <c r="H2429">
        <v>4</v>
      </c>
    </row>
    <row r="2430" spans="1:8" x14ac:dyDescent="0.25">
      <c r="A2430" t="s">
        <v>2114</v>
      </c>
      <c r="B2430" t="s">
        <v>3212</v>
      </c>
      <c r="C2430" t="s">
        <v>3216</v>
      </c>
      <c r="D2430" t="s">
        <v>3222</v>
      </c>
      <c r="E2430" t="s">
        <v>3226</v>
      </c>
      <c r="F2430">
        <v>13605.34</v>
      </c>
      <c r="G2430">
        <v>8831.23</v>
      </c>
      <c r="H2430">
        <v>1</v>
      </c>
    </row>
    <row r="2431" spans="1:8" x14ac:dyDescent="0.25">
      <c r="A2431" t="s">
        <v>2115</v>
      </c>
      <c r="C2431" t="s">
        <v>3219</v>
      </c>
      <c r="D2431" t="s">
        <v>3222</v>
      </c>
      <c r="E2431" t="s">
        <v>3226</v>
      </c>
      <c r="F2431">
        <v>60590.91</v>
      </c>
      <c r="G2431">
        <v>37735.25</v>
      </c>
      <c r="H2431">
        <v>4</v>
      </c>
    </row>
    <row r="2432" spans="1:8" x14ac:dyDescent="0.25">
      <c r="A2432" t="s">
        <v>2116</v>
      </c>
      <c r="C2432" t="s">
        <v>3218</v>
      </c>
      <c r="D2432" t="s">
        <v>3223</v>
      </c>
      <c r="E2432" t="s">
        <v>3226</v>
      </c>
      <c r="F2432">
        <v>35142.5</v>
      </c>
      <c r="G2432">
        <v>19353.939999999999</v>
      </c>
      <c r="H2432">
        <v>3</v>
      </c>
    </row>
    <row r="2433" spans="1:8" x14ac:dyDescent="0.25">
      <c r="A2433" t="s">
        <v>2117</v>
      </c>
      <c r="C2433" t="s">
        <v>3216</v>
      </c>
      <c r="D2433" t="s">
        <v>3223</v>
      </c>
      <c r="E2433" t="s">
        <v>3226</v>
      </c>
      <c r="F2433">
        <v>9723.75</v>
      </c>
      <c r="G2433">
        <v>7673.22</v>
      </c>
      <c r="H2433">
        <v>1</v>
      </c>
    </row>
    <row r="2434" spans="1:8" x14ac:dyDescent="0.25">
      <c r="A2434" t="s">
        <v>2118</v>
      </c>
      <c r="C2434" t="s">
        <v>3221</v>
      </c>
      <c r="D2434" t="s">
        <v>3223</v>
      </c>
      <c r="E2434" t="s">
        <v>3226</v>
      </c>
      <c r="F2434">
        <v>44417.51</v>
      </c>
      <c r="G2434">
        <v>24270.23</v>
      </c>
      <c r="H2434">
        <v>4</v>
      </c>
    </row>
    <row r="2435" spans="1:8" x14ac:dyDescent="0.25">
      <c r="A2435" t="s">
        <v>41</v>
      </c>
      <c r="B2435" t="s">
        <v>3212</v>
      </c>
      <c r="C2435" t="s">
        <v>3221</v>
      </c>
      <c r="D2435" t="s">
        <v>3225</v>
      </c>
      <c r="E2435" t="s">
        <v>3226</v>
      </c>
      <c r="F2435">
        <v>23121.31</v>
      </c>
      <c r="G2435">
        <v>13030.08</v>
      </c>
      <c r="H2435">
        <v>1</v>
      </c>
    </row>
    <row r="2436" spans="1:8" x14ac:dyDescent="0.25">
      <c r="A2436" t="s">
        <v>880</v>
      </c>
      <c r="B2436" t="s">
        <v>3213</v>
      </c>
      <c r="C2436" t="s">
        <v>3217</v>
      </c>
      <c r="D2436" t="s">
        <v>3224</v>
      </c>
      <c r="E2436" t="s">
        <v>3226</v>
      </c>
      <c r="F2436">
        <v>296780.78999999998</v>
      </c>
      <c r="G2436">
        <v>239478.2</v>
      </c>
      <c r="H2436">
        <v>5</v>
      </c>
    </row>
    <row r="2437" spans="1:8" x14ac:dyDescent="0.25">
      <c r="A2437" t="s">
        <v>2119</v>
      </c>
      <c r="B2437" t="s">
        <v>3213</v>
      </c>
      <c r="C2437" t="s">
        <v>3220</v>
      </c>
      <c r="D2437" t="s">
        <v>3225</v>
      </c>
      <c r="E2437" t="s">
        <v>3226</v>
      </c>
      <c r="F2437">
        <v>42255.91</v>
      </c>
      <c r="G2437">
        <v>23814.57</v>
      </c>
      <c r="H2437">
        <v>2</v>
      </c>
    </row>
    <row r="2438" spans="1:8" x14ac:dyDescent="0.25">
      <c r="A2438" t="s">
        <v>2120</v>
      </c>
      <c r="B2438" t="s">
        <v>3212</v>
      </c>
      <c r="C2438" t="s">
        <v>3219</v>
      </c>
      <c r="D2438" t="s">
        <v>3222</v>
      </c>
      <c r="E2438" t="s">
        <v>3226</v>
      </c>
      <c r="F2438">
        <v>34436.239999999998</v>
      </c>
      <c r="G2438">
        <v>20361.37</v>
      </c>
      <c r="H2438">
        <v>2</v>
      </c>
    </row>
    <row r="2439" spans="1:8" x14ac:dyDescent="0.25">
      <c r="A2439" t="s">
        <v>435</v>
      </c>
      <c r="B2439" t="s">
        <v>3212</v>
      </c>
      <c r="C2439" t="s">
        <v>3220</v>
      </c>
      <c r="D2439" t="s">
        <v>3223</v>
      </c>
      <c r="E2439" t="s">
        <v>3226</v>
      </c>
      <c r="F2439">
        <v>29397.88</v>
      </c>
      <c r="G2439">
        <v>22298.59</v>
      </c>
      <c r="H2439">
        <v>3</v>
      </c>
    </row>
    <row r="2440" spans="1:8" x14ac:dyDescent="0.25">
      <c r="A2440" t="s">
        <v>2121</v>
      </c>
      <c r="C2440" t="s">
        <v>3219</v>
      </c>
      <c r="D2440" t="s">
        <v>3224</v>
      </c>
      <c r="E2440" t="s">
        <v>3226</v>
      </c>
      <c r="F2440">
        <v>115339.66</v>
      </c>
      <c r="G2440">
        <v>84896.63</v>
      </c>
      <c r="H2440">
        <v>2</v>
      </c>
    </row>
    <row r="2441" spans="1:8" x14ac:dyDescent="0.25">
      <c r="A2441" t="s">
        <v>2122</v>
      </c>
      <c r="B2441" t="s">
        <v>3215</v>
      </c>
      <c r="C2441" t="s">
        <v>3220</v>
      </c>
      <c r="D2441" t="s">
        <v>3224</v>
      </c>
      <c r="E2441" t="s">
        <v>3226</v>
      </c>
      <c r="F2441">
        <v>166877.53</v>
      </c>
      <c r="G2441">
        <v>134390.07</v>
      </c>
      <c r="H2441">
        <v>3</v>
      </c>
    </row>
    <row r="2442" spans="1:8" x14ac:dyDescent="0.25">
      <c r="A2442" t="s">
        <v>2123</v>
      </c>
      <c r="B2442" t="s">
        <v>3215</v>
      </c>
      <c r="C2442" t="s">
        <v>3218</v>
      </c>
      <c r="D2442" t="s">
        <v>3224</v>
      </c>
      <c r="E2442" t="s">
        <v>3226</v>
      </c>
      <c r="F2442">
        <v>140243.65</v>
      </c>
      <c r="G2442">
        <v>76785.460000000006</v>
      </c>
      <c r="H2442">
        <v>2</v>
      </c>
    </row>
    <row r="2443" spans="1:8" x14ac:dyDescent="0.25">
      <c r="A2443" t="s">
        <v>771</v>
      </c>
      <c r="C2443" t="s">
        <v>3219</v>
      </c>
      <c r="D2443" t="s">
        <v>3225</v>
      </c>
      <c r="E2443" t="s">
        <v>3226</v>
      </c>
      <c r="F2443">
        <v>96572.54</v>
      </c>
      <c r="G2443">
        <v>62084.35</v>
      </c>
      <c r="H2443">
        <v>5</v>
      </c>
    </row>
    <row r="2444" spans="1:8" x14ac:dyDescent="0.25">
      <c r="A2444" t="s">
        <v>2124</v>
      </c>
      <c r="B2444" t="s">
        <v>3213</v>
      </c>
      <c r="C2444" t="s">
        <v>3218</v>
      </c>
      <c r="D2444" t="s">
        <v>3224</v>
      </c>
      <c r="E2444" t="s">
        <v>3226</v>
      </c>
      <c r="F2444">
        <v>243940.92</v>
      </c>
      <c r="G2444">
        <v>166222.93</v>
      </c>
      <c r="H2444">
        <v>4</v>
      </c>
    </row>
    <row r="2445" spans="1:8" x14ac:dyDescent="0.25">
      <c r="A2445" t="s">
        <v>43</v>
      </c>
      <c r="C2445" t="s">
        <v>3220</v>
      </c>
      <c r="D2445" t="s">
        <v>3224</v>
      </c>
      <c r="E2445" t="s">
        <v>3226</v>
      </c>
      <c r="F2445">
        <v>146451.56</v>
      </c>
      <c r="G2445">
        <v>125594.4</v>
      </c>
      <c r="H2445">
        <v>3</v>
      </c>
    </row>
    <row r="2446" spans="1:8" x14ac:dyDescent="0.25">
      <c r="A2446" t="s">
        <v>2125</v>
      </c>
      <c r="B2446" t="s">
        <v>3214</v>
      </c>
      <c r="C2446" t="s">
        <v>3216</v>
      </c>
      <c r="D2446" t="s">
        <v>3222</v>
      </c>
      <c r="E2446" t="s">
        <v>3226</v>
      </c>
      <c r="F2446">
        <v>17275.439999999999</v>
      </c>
      <c r="G2446">
        <v>9617.75</v>
      </c>
      <c r="H2446">
        <v>1</v>
      </c>
    </row>
    <row r="2447" spans="1:8" x14ac:dyDescent="0.25">
      <c r="A2447" t="s">
        <v>2126</v>
      </c>
      <c r="C2447" t="s">
        <v>3218</v>
      </c>
      <c r="D2447" t="s">
        <v>3223</v>
      </c>
      <c r="E2447" t="s">
        <v>3226</v>
      </c>
      <c r="F2447">
        <v>52534.400000000001</v>
      </c>
      <c r="G2447">
        <v>37914.01</v>
      </c>
    </row>
    <row r="2448" spans="1:8" x14ac:dyDescent="0.25">
      <c r="A2448" t="s">
        <v>555</v>
      </c>
      <c r="B2448" t="s">
        <v>3213</v>
      </c>
      <c r="C2448" t="s">
        <v>3220</v>
      </c>
      <c r="D2448" t="s">
        <v>3222</v>
      </c>
      <c r="E2448" t="s">
        <v>3226</v>
      </c>
      <c r="G2448">
        <v>8854.24</v>
      </c>
      <c r="H2448">
        <v>1</v>
      </c>
    </row>
    <row r="2449" spans="1:8" x14ac:dyDescent="0.25">
      <c r="A2449" t="s">
        <v>1087</v>
      </c>
      <c r="B2449" t="s">
        <v>3215</v>
      </c>
      <c r="C2449" t="s">
        <v>3220</v>
      </c>
      <c r="D2449" t="s">
        <v>3225</v>
      </c>
      <c r="E2449" t="s">
        <v>3226</v>
      </c>
      <c r="F2449">
        <v>59354.42</v>
      </c>
      <c r="G2449">
        <v>38705.339999999997</v>
      </c>
      <c r="H2449">
        <v>3</v>
      </c>
    </row>
    <row r="2450" spans="1:8" x14ac:dyDescent="0.25">
      <c r="A2450" t="s">
        <v>2127</v>
      </c>
      <c r="B2450" t="s">
        <v>3213</v>
      </c>
      <c r="C2450" t="s">
        <v>3217</v>
      </c>
      <c r="D2450" t="s">
        <v>3224</v>
      </c>
      <c r="E2450" t="s">
        <v>3226</v>
      </c>
      <c r="F2450">
        <v>57057.39</v>
      </c>
      <c r="G2450">
        <v>47160.95</v>
      </c>
    </row>
    <row r="2451" spans="1:8" x14ac:dyDescent="0.25">
      <c r="A2451" t="s">
        <v>2128</v>
      </c>
      <c r="B2451" t="s">
        <v>3212</v>
      </c>
      <c r="C2451" t="s">
        <v>3216</v>
      </c>
      <c r="D2451" t="s">
        <v>3224</v>
      </c>
      <c r="E2451" t="s">
        <v>3226</v>
      </c>
      <c r="F2451">
        <v>181215.05</v>
      </c>
      <c r="H2451">
        <v>3</v>
      </c>
    </row>
    <row r="2452" spans="1:8" x14ac:dyDescent="0.25">
      <c r="A2452" t="s">
        <v>2129</v>
      </c>
      <c r="B2452" t="s">
        <v>3211</v>
      </c>
      <c r="C2452" t="s">
        <v>3216</v>
      </c>
      <c r="D2452" t="s">
        <v>3224</v>
      </c>
      <c r="E2452" t="s">
        <v>3226</v>
      </c>
      <c r="F2452">
        <v>233008.78</v>
      </c>
      <c r="G2452">
        <v>165903.29</v>
      </c>
    </row>
    <row r="2453" spans="1:8" x14ac:dyDescent="0.25">
      <c r="A2453" t="s">
        <v>2130</v>
      </c>
      <c r="B2453" t="s">
        <v>3213</v>
      </c>
      <c r="C2453" t="s">
        <v>3218</v>
      </c>
      <c r="D2453" t="s">
        <v>3225</v>
      </c>
      <c r="E2453" t="s">
        <v>3226</v>
      </c>
      <c r="F2453">
        <v>110437.04</v>
      </c>
      <c r="G2453">
        <v>72146.3</v>
      </c>
      <c r="H2453">
        <v>5</v>
      </c>
    </row>
    <row r="2454" spans="1:8" x14ac:dyDescent="0.25">
      <c r="A2454" t="s">
        <v>2131</v>
      </c>
      <c r="B2454" t="s">
        <v>3214</v>
      </c>
      <c r="C2454" t="s">
        <v>3218</v>
      </c>
      <c r="D2454" t="s">
        <v>3223</v>
      </c>
      <c r="E2454" t="s">
        <v>3226</v>
      </c>
      <c r="F2454">
        <v>56740.23</v>
      </c>
      <c r="G2454">
        <v>30288.2</v>
      </c>
      <c r="H2454">
        <v>5</v>
      </c>
    </row>
    <row r="2455" spans="1:8" x14ac:dyDescent="0.25">
      <c r="A2455" t="s">
        <v>2132</v>
      </c>
      <c r="B2455" t="s">
        <v>3215</v>
      </c>
      <c r="C2455" t="s">
        <v>3218</v>
      </c>
      <c r="D2455" t="s">
        <v>3225</v>
      </c>
      <c r="E2455" t="s">
        <v>3226</v>
      </c>
      <c r="F2455">
        <v>108464.5</v>
      </c>
      <c r="G2455">
        <v>71109.58</v>
      </c>
      <c r="H2455">
        <v>5</v>
      </c>
    </row>
    <row r="2456" spans="1:8" x14ac:dyDescent="0.25">
      <c r="A2456" t="s">
        <v>2133</v>
      </c>
      <c r="B2456" t="s">
        <v>3211</v>
      </c>
      <c r="C2456" t="s">
        <v>3216</v>
      </c>
      <c r="D2456" t="s">
        <v>3225</v>
      </c>
      <c r="E2456" t="s">
        <v>3226</v>
      </c>
      <c r="F2456">
        <v>70395.88</v>
      </c>
      <c r="G2456">
        <v>46111.58</v>
      </c>
      <c r="H2456">
        <v>3</v>
      </c>
    </row>
    <row r="2457" spans="1:8" x14ac:dyDescent="0.25">
      <c r="A2457" t="s">
        <v>2134</v>
      </c>
      <c r="B2457" t="s">
        <v>3213</v>
      </c>
      <c r="C2457" t="s">
        <v>3216</v>
      </c>
      <c r="D2457" t="s">
        <v>3222</v>
      </c>
      <c r="E2457" t="s">
        <v>3226</v>
      </c>
      <c r="F2457">
        <v>41540.29</v>
      </c>
      <c r="G2457">
        <v>25530.639999999999</v>
      </c>
      <c r="H2457">
        <v>3</v>
      </c>
    </row>
    <row r="2458" spans="1:8" x14ac:dyDescent="0.25">
      <c r="A2458" t="s">
        <v>802</v>
      </c>
      <c r="B2458" t="s">
        <v>3214</v>
      </c>
      <c r="C2458" t="s">
        <v>3219</v>
      </c>
      <c r="D2458" t="s">
        <v>3225</v>
      </c>
      <c r="E2458" t="s">
        <v>3226</v>
      </c>
      <c r="F2458">
        <v>22071.65</v>
      </c>
      <c r="G2458">
        <v>14694</v>
      </c>
      <c r="H2458">
        <v>1</v>
      </c>
    </row>
    <row r="2459" spans="1:8" x14ac:dyDescent="0.25">
      <c r="A2459" t="s">
        <v>2135</v>
      </c>
      <c r="B2459" t="s">
        <v>3213</v>
      </c>
      <c r="C2459" t="s">
        <v>3219</v>
      </c>
      <c r="D2459" t="s">
        <v>3224</v>
      </c>
      <c r="E2459" t="s">
        <v>3226</v>
      </c>
      <c r="F2459">
        <v>160116.65</v>
      </c>
      <c r="G2459">
        <v>119643.51</v>
      </c>
      <c r="H2459">
        <v>3</v>
      </c>
    </row>
    <row r="2460" spans="1:8" x14ac:dyDescent="0.25">
      <c r="A2460" t="s">
        <v>1816</v>
      </c>
      <c r="B2460" t="s">
        <v>3212</v>
      </c>
      <c r="C2460" t="s">
        <v>3219</v>
      </c>
      <c r="D2460" t="s">
        <v>3222</v>
      </c>
      <c r="E2460" t="s">
        <v>3226</v>
      </c>
      <c r="F2460">
        <v>37442.58</v>
      </c>
      <c r="G2460">
        <v>30814.91</v>
      </c>
      <c r="H2460">
        <v>3</v>
      </c>
    </row>
    <row r="2461" spans="1:8" x14ac:dyDescent="0.25">
      <c r="A2461" t="s">
        <v>2136</v>
      </c>
      <c r="B2461" t="s">
        <v>3212</v>
      </c>
      <c r="C2461" t="s">
        <v>3217</v>
      </c>
      <c r="D2461" t="s">
        <v>3225</v>
      </c>
      <c r="E2461" t="s">
        <v>3226</v>
      </c>
      <c r="F2461">
        <v>89567.46</v>
      </c>
      <c r="G2461">
        <v>71518.81</v>
      </c>
      <c r="H2461">
        <v>5</v>
      </c>
    </row>
    <row r="2462" spans="1:8" x14ac:dyDescent="0.25">
      <c r="A2462" t="s">
        <v>2137</v>
      </c>
      <c r="B2462" t="s">
        <v>3211</v>
      </c>
      <c r="C2462" t="s">
        <v>3216</v>
      </c>
      <c r="D2462" t="s">
        <v>3225</v>
      </c>
      <c r="E2462" t="s">
        <v>3226</v>
      </c>
      <c r="F2462">
        <v>82037.34</v>
      </c>
      <c r="G2462">
        <v>71638.149999999994</v>
      </c>
      <c r="H2462">
        <v>5</v>
      </c>
    </row>
    <row r="2463" spans="1:8" x14ac:dyDescent="0.25">
      <c r="A2463" t="s">
        <v>2138</v>
      </c>
      <c r="B2463" t="s">
        <v>3213</v>
      </c>
      <c r="C2463" t="s">
        <v>3221</v>
      </c>
      <c r="D2463" t="s">
        <v>3224</v>
      </c>
      <c r="E2463" t="s">
        <v>3226</v>
      </c>
      <c r="F2463">
        <v>132624.85999999999</v>
      </c>
      <c r="G2463">
        <v>95521.97</v>
      </c>
      <c r="H2463">
        <v>2</v>
      </c>
    </row>
    <row r="2464" spans="1:8" x14ac:dyDescent="0.25">
      <c r="A2464" t="s">
        <v>2139</v>
      </c>
      <c r="B2464" t="s">
        <v>3214</v>
      </c>
      <c r="C2464" t="s">
        <v>3220</v>
      </c>
      <c r="D2464" t="s">
        <v>3222</v>
      </c>
      <c r="E2464" t="s">
        <v>3226</v>
      </c>
      <c r="F2464">
        <v>39730.44</v>
      </c>
      <c r="G2464">
        <v>28210.83</v>
      </c>
      <c r="H2464">
        <v>3</v>
      </c>
    </row>
    <row r="2465" spans="1:8" x14ac:dyDescent="0.25">
      <c r="A2465" t="s">
        <v>2140</v>
      </c>
      <c r="C2465" t="s">
        <v>3216</v>
      </c>
      <c r="D2465" t="s">
        <v>3223</v>
      </c>
      <c r="E2465" t="s">
        <v>3226</v>
      </c>
      <c r="F2465">
        <v>8318.01</v>
      </c>
      <c r="G2465">
        <v>6695.58</v>
      </c>
      <c r="H2465">
        <v>1</v>
      </c>
    </row>
    <row r="2466" spans="1:8" x14ac:dyDescent="0.25">
      <c r="A2466" t="s">
        <v>2141</v>
      </c>
      <c r="B2466" t="s">
        <v>3215</v>
      </c>
      <c r="C2466" t="s">
        <v>3218</v>
      </c>
      <c r="D2466" t="s">
        <v>3222</v>
      </c>
      <c r="E2466" t="s">
        <v>3226</v>
      </c>
      <c r="F2466">
        <v>28073.54</v>
      </c>
      <c r="G2466">
        <v>19952.66</v>
      </c>
      <c r="H2466">
        <v>2</v>
      </c>
    </row>
    <row r="2467" spans="1:8" x14ac:dyDescent="0.25">
      <c r="A2467" t="s">
        <v>2142</v>
      </c>
      <c r="B2467" t="s">
        <v>3213</v>
      </c>
      <c r="C2467" t="s">
        <v>3219</v>
      </c>
      <c r="D2467" t="s">
        <v>3222</v>
      </c>
      <c r="E2467" t="s">
        <v>3226</v>
      </c>
      <c r="F2467">
        <v>82984.509999999995</v>
      </c>
      <c r="G2467">
        <v>49986.28</v>
      </c>
      <c r="H2467">
        <v>5</v>
      </c>
    </row>
    <row r="2468" spans="1:8" x14ac:dyDescent="0.25">
      <c r="A2468" t="s">
        <v>2143</v>
      </c>
      <c r="B2468" t="s">
        <v>3214</v>
      </c>
      <c r="C2468" t="s">
        <v>3217</v>
      </c>
      <c r="D2468" t="s">
        <v>3222</v>
      </c>
      <c r="E2468" t="s">
        <v>3226</v>
      </c>
      <c r="F2468">
        <v>49127.79</v>
      </c>
      <c r="G2468">
        <v>27275.3</v>
      </c>
      <c r="H2468">
        <v>3</v>
      </c>
    </row>
    <row r="2469" spans="1:8" x14ac:dyDescent="0.25">
      <c r="A2469" t="s">
        <v>2144</v>
      </c>
      <c r="B2469" t="s">
        <v>3212</v>
      </c>
      <c r="C2469" t="s">
        <v>3219</v>
      </c>
      <c r="D2469" t="s">
        <v>3225</v>
      </c>
      <c r="E2469" t="s">
        <v>3226</v>
      </c>
      <c r="F2469">
        <v>90883.62</v>
      </c>
      <c r="G2469">
        <v>59200.02</v>
      </c>
      <c r="H2469">
        <v>4</v>
      </c>
    </row>
    <row r="2470" spans="1:8" x14ac:dyDescent="0.25">
      <c r="A2470" t="s">
        <v>826</v>
      </c>
      <c r="B2470" t="s">
        <v>3215</v>
      </c>
      <c r="C2470" t="s">
        <v>3221</v>
      </c>
      <c r="D2470" t="s">
        <v>3225</v>
      </c>
      <c r="E2470" t="s">
        <v>3226</v>
      </c>
      <c r="F2470">
        <v>19193.599999999999</v>
      </c>
      <c r="G2470">
        <v>12553.75</v>
      </c>
      <c r="H2470">
        <v>1</v>
      </c>
    </row>
    <row r="2471" spans="1:8" x14ac:dyDescent="0.25">
      <c r="A2471" t="s">
        <v>2145</v>
      </c>
      <c r="B2471" t="s">
        <v>3215</v>
      </c>
      <c r="C2471" t="s">
        <v>3221</v>
      </c>
      <c r="D2471" t="s">
        <v>3222</v>
      </c>
      <c r="E2471" t="s">
        <v>3226</v>
      </c>
      <c r="F2471">
        <v>49044.63</v>
      </c>
      <c r="G2471">
        <v>30330.71</v>
      </c>
      <c r="H2471">
        <v>3</v>
      </c>
    </row>
    <row r="2472" spans="1:8" x14ac:dyDescent="0.25">
      <c r="A2472" t="s">
        <v>350</v>
      </c>
      <c r="C2472" t="s">
        <v>3219</v>
      </c>
      <c r="D2472" t="s">
        <v>3225</v>
      </c>
      <c r="E2472" t="s">
        <v>3226</v>
      </c>
      <c r="F2472">
        <v>107949.12</v>
      </c>
      <c r="G2472">
        <v>60687.98</v>
      </c>
    </row>
    <row r="2473" spans="1:8" x14ac:dyDescent="0.25">
      <c r="A2473" t="s">
        <v>2146</v>
      </c>
      <c r="B2473" t="s">
        <v>3213</v>
      </c>
      <c r="C2473" t="s">
        <v>3216</v>
      </c>
      <c r="D2473" t="s">
        <v>3225</v>
      </c>
      <c r="E2473" t="s">
        <v>3226</v>
      </c>
      <c r="F2473">
        <v>20943.64</v>
      </c>
      <c r="G2473">
        <v>14290.44</v>
      </c>
      <c r="H2473">
        <v>1</v>
      </c>
    </row>
    <row r="2474" spans="1:8" x14ac:dyDescent="0.25">
      <c r="A2474" t="s">
        <v>2147</v>
      </c>
      <c r="B2474" t="s">
        <v>3213</v>
      </c>
      <c r="C2474" t="s">
        <v>3216</v>
      </c>
      <c r="D2474" t="s">
        <v>3224</v>
      </c>
      <c r="E2474" t="s">
        <v>3226</v>
      </c>
      <c r="F2474">
        <v>285118.40000000002</v>
      </c>
      <c r="G2474">
        <v>237121.86</v>
      </c>
      <c r="H2474">
        <v>5</v>
      </c>
    </row>
    <row r="2475" spans="1:8" x14ac:dyDescent="0.25">
      <c r="A2475" t="s">
        <v>2148</v>
      </c>
      <c r="C2475" t="s">
        <v>3221</v>
      </c>
      <c r="D2475" t="s">
        <v>3225</v>
      </c>
      <c r="E2475" t="s">
        <v>3226</v>
      </c>
      <c r="G2475">
        <v>71594.87</v>
      </c>
      <c r="H2475">
        <v>5</v>
      </c>
    </row>
    <row r="2476" spans="1:8" x14ac:dyDescent="0.25">
      <c r="A2476" t="s">
        <v>1675</v>
      </c>
      <c r="B2476" t="s">
        <v>3215</v>
      </c>
      <c r="C2476" t="s">
        <v>3216</v>
      </c>
      <c r="D2476" t="s">
        <v>3223</v>
      </c>
      <c r="E2476" t="s">
        <v>3226</v>
      </c>
      <c r="F2476">
        <v>26075.34</v>
      </c>
      <c r="G2476">
        <v>17888.86</v>
      </c>
      <c r="H2476">
        <v>3</v>
      </c>
    </row>
    <row r="2477" spans="1:8" x14ac:dyDescent="0.25">
      <c r="A2477" t="s">
        <v>2149</v>
      </c>
      <c r="B2477" t="s">
        <v>3211</v>
      </c>
      <c r="C2477" t="s">
        <v>3219</v>
      </c>
      <c r="D2477" t="s">
        <v>3225</v>
      </c>
      <c r="E2477" t="s">
        <v>3226</v>
      </c>
      <c r="F2477">
        <v>19991.09</v>
      </c>
      <c r="H2477">
        <v>1</v>
      </c>
    </row>
    <row r="2478" spans="1:8" x14ac:dyDescent="0.25">
      <c r="A2478" t="s">
        <v>2150</v>
      </c>
      <c r="B2478" t="s">
        <v>3211</v>
      </c>
      <c r="C2478" t="s">
        <v>3216</v>
      </c>
      <c r="D2478" t="s">
        <v>3225</v>
      </c>
      <c r="E2478" t="s">
        <v>3226</v>
      </c>
      <c r="F2478">
        <v>66287.100000000006</v>
      </c>
      <c r="G2478">
        <v>44420.06</v>
      </c>
      <c r="H2478">
        <v>3</v>
      </c>
    </row>
    <row r="2479" spans="1:8" x14ac:dyDescent="0.25">
      <c r="A2479" t="s">
        <v>2151</v>
      </c>
      <c r="B2479" t="s">
        <v>3214</v>
      </c>
      <c r="C2479" t="s">
        <v>3217</v>
      </c>
      <c r="D2479" t="s">
        <v>3222</v>
      </c>
      <c r="E2479" t="s">
        <v>3226</v>
      </c>
      <c r="F2479">
        <v>68255.67</v>
      </c>
      <c r="G2479">
        <v>52472.38</v>
      </c>
    </row>
    <row r="2480" spans="1:8" x14ac:dyDescent="0.25">
      <c r="A2480" t="s">
        <v>2152</v>
      </c>
      <c r="B2480" t="s">
        <v>3213</v>
      </c>
      <c r="C2480" t="s">
        <v>3218</v>
      </c>
      <c r="D2480" t="s">
        <v>3222</v>
      </c>
      <c r="E2480" t="s">
        <v>3226</v>
      </c>
      <c r="F2480">
        <v>12046.35</v>
      </c>
      <c r="G2480">
        <v>9359.94</v>
      </c>
      <c r="H2480">
        <v>1</v>
      </c>
    </row>
    <row r="2481" spans="1:8" x14ac:dyDescent="0.25">
      <c r="A2481" t="s">
        <v>2153</v>
      </c>
      <c r="C2481" t="s">
        <v>3217</v>
      </c>
      <c r="D2481" t="s">
        <v>3222</v>
      </c>
      <c r="E2481" t="s">
        <v>3226</v>
      </c>
      <c r="F2481">
        <v>26233.17</v>
      </c>
      <c r="G2481">
        <v>20278.099999999999</v>
      </c>
      <c r="H2481">
        <v>2</v>
      </c>
    </row>
    <row r="2482" spans="1:8" x14ac:dyDescent="0.25">
      <c r="A2482" t="s">
        <v>2154</v>
      </c>
      <c r="B2482" t="s">
        <v>3215</v>
      </c>
      <c r="C2482" t="s">
        <v>3219</v>
      </c>
      <c r="D2482" t="s">
        <v>3222</v>
      </c>
      <c r="E2482" t="s">
        <v>3226</v>
      </c>
      <c r="F2482">
        <v>16907.89</v>
      </c>
      <c r="G2482">
        <v>9601.35</v>
      </c>
      <c r="H2482">
        <v>1</v>
      </c>
    </row>
    <row r="2483" spans="1:8" x14ac:dyDescent="0.25">
      <c r="A2483" t="s">
        <v>2155</v>
      </c>
      <c r="B2483" t="s">
        <v>3215</v>
      </c>
      <c r="C2483" t="s">
        <v>3217</v>
      </c>
      <c r="D2483" t="s">
        <v>3224</v>
      </c>
      <c r="E2483" t="s">
        <v>3226</v>
      </c>
      <c r="F2483">
        <v>67686.58</v>
      </c>
      <c r="G2483">
        <v>41717.660000000003</v>
      </c>
      <c r="H2483">
        <v>1</v>
      </c>
    </row>
    <row r="2484" spans="1:8" x14ac:dyDescent="0.25">
      <c r="A2484" t="s">
        <v>2156</v>
      </c>
      <c r="C2484" t="s">
        <v>3217</v>
      </c>
      <c r="D2484" t="s">
        <v>3225</v>
      </c>
      <c r="E2484" t="s">
        <v>3226</v>
      </c>
      <c r="F2484">
        <v>18849.62</v>
      </c>
      <c r="G2484">
        <v>12822.05</v>
      </c>
      <c r="H2484">
        <v>1</v>
      </c>
    </row>
    <row r="2485" spans="1:8" x14ac:dyDescent="0.25">
      <c r="A2485" t="s">
        <v>347</v>
      </c>
      <c r="B2485" t="s">
        <v>3213</v>
      </c>
      <c r="C2485" t="s">
        <v>3219</v>
      </c>
      <c r="D2485" t="s">
        <v>3225</v>
      </c>
      <c r="E2485" t="s">
        <v>3226</v>
      </c>
      <c r="F2485">
        <v>50658.81</v>
      </c>
      <c r="G2485">
        <v>44241.27</v>
      </c>
      <c r="H2485">
        <v>3</v>
      </c>
    </row>
    <row r="2486" spans="1:8" x14ac:dyDescent="0.25">
      <c r="A2486" t="s">
        <v>2157</v>
      </c>
      <c r="C2486" t="s">
        <v>3216</v>
      </c>
      <c r="D2486" t="s">
        <v>3223</v>
      </c>
      <c r="E2486" t="s">
        <v>3226</v>
      </c>
      <c r="F2486">
        <v>51407.1</v>
      </c>
      <c r="G2486">
        <v>37685.18</v>
      </c>
      <c r="H2486">
        <v>5</v>
      </c>
    </row>
    <row r="2487" spans="1:8" x14ac:dyDescent="0.25">
      <c r="A2487" t="s">
        <v>2158</v>
      </c>
      <c r="B2487" t="s">
        <v>3211</v>
      </c>
      <c r="C2487" t="s">
        <v>3217</v>
      </c>
      <c r="D2487" t="s">
        <v>3225</v>
      </c>
      <c r="E2487" t="s">
        <v>3226</v>
      </c>
      <c r="F2487">
        <v>92762.61</v>
      </c>
      <c r="G2487">
        <v>63423.89</v>
      </c>
      <c r="H2487">
        <v>5</v>
      </c>
    </row>
    <row r="2488" spans="1:8" x14ac:dyDescent="0.25">
      <c r="A2488" t="s">
        <v>1534</v>
      </c>
      <c r="B2488" t="s">
        <v>3212</v>
      </c>
      <c r="C2488" t="s">
        <v>3219</v>
      </c>
      <c r="D2488" t="s">
        <v>3223</v>
      </c>
      <c r="E2488" t="s">
        <v>3226</v>
      </c>
      <c r="F2488">
        <v>30412.66</v>
      </c>
      <c r="G2488">
        <v>22858.32</v>
      </c>
      <c r="H2488">
        <v>3</v>
      </c>
    </row>
    <row r="2489" spans="1:8" x14ac:dyDescent="0.25">
      <c r="A2489" t="s">
        <v>1708</v>
      </c>
      <c r="B2489" t="s">
        <v>3214</v>
      </c>
      <c r="C2489" t="s">
        <v>3219</v>
      </c>
      <c r="D2489" t="s">
        <v>3223</v>
      </c>
      <c r="E2489" t="s">
        <v>3226</v>
      </c>
      <c r="F2489">
        <v>25949.83</v>
      </c>
      <c r="G2489">
        <v>22871.51</v>
      </c>
      <c r="H2489">
        <v>3</v>
      </c>
    </row>
    <row r="2490" spans="1:8" x14ac:dyDescent="0.25">
      <c r="A2490" t="s">
        <v>2159</v>
      </c>
      <c r="B2490" t="s">
        <v>3214</v>
      </c>
      <c r="C2490" t="s">
        <v>3218</v>
      </c>
      <c r="D2490" t="s">
        <v>3222</v>
      </c>
      <c r="E2490" t="s">
        <v>3226</v>
      </c>
      <c r="F2490">
        <v>16145.65</v>
      </c>
      <c r="G2490">
        <v>10024.11</v>
      </c>
      <c r="H2490">
        <v>1</v>
      </c>
    </row>
    <row r="2491" spans="1:8" x14ac:dyDescent="0.25">
      <c r="A2491" t="s">
        <v>298</v>
      </c>
      <c r="B2491" t="s">
        <v>3213</v>
      </c>
      <c r="C2491" t="s">
        <v>3217</v>
      </c>
      <c r="D2491" t="s">
        <v>3223</v>
      </c>
      <c r="E2491" t="s">
        <v>3226</v>
      </c>
      <c r="F2491">
        <v>44202.11</v>
      </c>
      <c r="G2491">
        <v>32333.71</v>
      </c>
      <c r="H2491">
        <v>5</v>
      </c>
    </row>
    <row r="2492" spans="1:8" x14ac:dyDescent="0.25">
      <c r="A2492" t="s">
        <v>2160</v>
      </c>
      <c r="B2492" t="s">
        <v>3212</v>
      </c>
      <c r="C2492" t="s">
        <v>3219</v>
      </c>
      <c r="D2492" t="s">
        <v>3222</v>
      </c>
      <c r="E2492" t="s">
        <v>3226</v>
      </c>
      <c r="F2492">
        <v>81966.14</v>
      </c>
      <c r="G2492">
        <v>43599.57</v>
      </c>
      <c r="H2492">
        <v>5</v>
      </c>
    </row>
    <row r="2493" spans="1:8" x14ac:dyDescent="0.25">
      <c r="A2493" t="s">
        <v>832</v>
      </c>
      <c r="B2493" t="s">
        <v>3215</v>
      </c>
      <c r="C2493" t="s">
        <v>3221</v>
      </c>
      <c r="D2493" t="s">
        <v>3223</v>
      </c>
      <c r="E2493" t="s">
        <v>3226</v>
      </c>
      <c r="F2493">
        <v>41248.050000000003</v>
      </c>
      <c r="H2493">
        <v>5</v>
      </c>
    </row>
    <row r="2494" spans="1:8" x14ac:dyDescent="0.25">
      <c r="A2494" t="s">
        <v>2161</v>
      </c>
      <c r="B2494" t="s">
        <v>3211</v>
      </c>
      <c r="C2494" t="s">
        <v>3221</v>
      </c>
      <c r="D2494" t="s">
        <v>3222</v>
      </c>
      <c r="E2494" t="s">
        <v>3226</v>
      </c>
      <c r="F2494">
        <v>69091.39</v>
      </c>
      <c r="G2494">
        <v>39909.17</v>
      </c>
      <c r="H2494">
        <v>4</v>
      </c>
    </row>
    <row r="2495" spans="1:8" x14ac:dyDescent="0.25">
      <c r="A2495" t="s">
        <v>2162</v>
      </c>
      <c r="B2495" t="s">
        <v>3213</v>
      </c>
      <c r="C2495" t="s">
        <v>3217</v>
      </c>
      <c r="D2495" t="s">
        <v>3225</v>
      </c>
      <c r="E2495" t="s">
        <v>3226</v>
      </c>
      <c r="F2495">
        <v>84891.44</v>
      </c>
      <c r="G2495">
        <v>49405.54</v>
      </c>
      <c r="H2495">
        <v>4</v>
      </c>
    </row>
    <row r="2496" spans="1:8" x14ac:dyDescent="0.25">
      <c r="A2496" t="s">
        <v>2163</v>
      </c>
      <c r="B2496" t="s">
        <v>3212</v>
      </c>
      <c r="C2496" t="s">
        <v>3220</v>
      </c>
      <c r="D2496" t="s">
        <v>3225</v>
      </c>
      <c r="E2496" t="s">
        <v>3226</v>
      </c>
      <c r="F2496">
        <v>81861.600000000006</v>
      </c>
      <c r="G2496">
        <v>70136.11</v>
      </c>
      <c r="H2496">
        <v>5</v>
      </c>
    </row>
    <row r="2497" spans="1:8" x14ac:dyDescent="0.25">
      <c r="A2497" t="s">
        <v>2164</v>
      </c>
      <c r="B2497" t="s">
        <v>3211</v>
      </c>
      <c r="C2497" t="s">
        <v>3221</v>
      </c>
      <c r="D2497" t="s">
        <v>3222</v>
      </c>
      <c r="E2497" t="s">
        <v>3226</v>
      </c>
      <c r="F2497">
        <v>88971.8</v>
      </c>
      <c r="G2497">
        <v>46226.44</v>
      </c>
      <c r="H2497">
        <v>5</v>
      </c>
    </row>
    <row r="2498" spans="1:8" x14ac:dyDescent="0.25">
      <c r="A2498" t="s">
        <v>1835</v>
      </c>
      <c r="B2498" t="s">
        <v>3212</v>
      </c>
      <c r="C2498" t="s">
        <v>3219</v>
      </c>
      <c r="D2498" t="s">
        <v>3225</v>
      </c>
      <c r="E2498" t="s">
        <v>3226</v>
      </c>
      <c r="F2498">
        <v>104993.69</v>
      </c>
      <c r="G2498">
        <v>69946.19</v>
      </c>
      <c r="H2498">
        <v>5</v>
      </c>
    </row>
    <row r="2499" spans="1:8" x14ac:dyDescent="0.25">
      <c r="A2499" t="s">
        <v>177</v>
      </c>
      <c r="C2499" t="s">
        <v>3217</v>
      </c>
      <c r="D2499" t="s">
        <v>3225</v>
      </c>
      <c r="E2499" t="s">
        <v>3226</v>
      </c>
      <c r="F2499">
        <v>58201.120000000003</v>
      </c>
      <c r="H2499">
        <v>3</v>
      </c>
    </row>
    <row r="2500" spans="1:8" x14ac:dyDescent="0.25">
      <c r="A2500" t="s">
        <v>2165</v>
      </c>
      <c r="B2500" t="s">
        <v>3213</v>
      </c>
      <c r="C2500" t="s">
        <v>3220</v>
      </c>
      <c r="D2500" t="s">
        <v>3223</v>
      </c>
      <c r="E2500" t="s">
        <v>3226</v>
      </c>
      <c r="F2500">
        <v>17802.13</v>
      </c>
      <c r="G2500">
        <v>12466.26</v>
      </c>
    </row>
    <row r="2501" spans="1:8" x14ac:dyDescent="0.25">
      <c r="A2501" t="s">
        <v>2166</v>
      </c>
      <c r="B2501" t="s">
        <v>3215</v>
      </c>
      <c r="C2501" t="s">
        <v>3217</v>
      </c>
      <c r="D2501" t="s">
        <v>3222</v>
      </c>
      <c r="E2501" t="s">
        <v>3226</v>
      </c>
      <c r="F2501">
        <v>77783.12</v>
      </c>
      <c r="G2501">
        <v>52016.37</v>
      </c>
      <c r="H2501">
        <v>5</v>
      </c>
    </row>
    <row r="2502" spans="1:8" x14ac:dyDescent="0.25">
      <c r="A2502" t="s">
        <v>2167</v>
      </c>
      <c r="B2502" t="s">
        <v>3214</v>
      </c>
      <c r="C2502" t="s">
        <v>3220</v>
      </c>
      <c r="D2502" t="s">
        <v>3224</v>
      </c>
      <c r="E2502" t="s">
        <v>3226</v>
      </c>
      <c r="F2502">
        <v>333458.81</v>
      </c>
      <c r="G2502">
        <v>192378.77</v>
      </c>
      <c r="H2502">
        <v>5</v>
      </c>
    </row>
    <row r="2503" spans="1:8" x14ac:dyDescent="0.25">
      <c r="A2503" t="s">
        <v>2168</v>
      </c>
      <c r="B2503" t="s">
        <v>3212</v>
      </c>
      <c r="C2503" t="s">
        <v>3221</v>
      </c>
      <c r="D2503" t="s">
        <v>3223</v>
      </c>
      <c r="E2503" t="s">
        <v>3226</v>
      </c>
      <c r="F2503">
        <v>29295.31</v>
      </c>
      <c r="G2503">
        <v>22240.34</v>
      </c>
      <c r="H2503">
        <v>3</v>
      </c>
    </row>
    <row r="2504" spans="1:8" x14ac:dyDescent="0.25">
      <c r="A2504" t="s">
        <v>506</v>
      </c>
      <c r="B2504" t="s">
        <v>3213</v>
      </c>
      <c r="C2504" t="s">
        <v>3216</v>
      </c>
      <c r="D2504" t="s">
        <v>3223</v>
      </c>
      <c r="E2504" t="s">
        <v>3226</v>
      </c>
      <c r="F2504">
        <v>31674.89</v>
      </c>
      <c r="H2504">
        <v>3</v>
      </c>
    </row>
    <row r="2505" spans="1:8" x14ac:dyDescent="0.25">
      <c r="A2505" t="s">
        <v>996</v>
      </c>
      <c r="B2505" t="s">
        <v>3214</v>
      </c>
      <c r="C2505" t="s">
        <v>3219</v>
      </c>
      <c r="D2505" t="s">
        <v>3224</v>
      </c>
      <c r="E2505" t="s">
        <v>3226</v>
      </c>
      <c r="F2505">
        <v>123347.92</v>
      </c>
      <c r="G2505">
        <v>92419.97</v>
      </c>
      <c r="H2505">
        <v>2</v>
      </c>
    </row>
    <row r="2506" spans="1:8" x14ac:dyDescent="0.25">
      <c r="A2506" t="s">
        <v>2169</v>
      </c>
      <c r="B2506" t="s">
        <v>3213</v>
      </c>
      <c r="C2506" t="s">
        <v>3217</v>
      </c>
      <c r="D2506" t="s">
        <v>3225</v>
      </c>
      <c r="E2506" t="s">
        <v>3226</v>
      </c>
      <c r="F2506">
        <v>70865.919999999998</v>
      </c>
      <c r="G2506">
        <v>44021.64</v>
      </c>
      <c r="H2506">
        <v>3</v>
      </c>
    </row>
    <row r="2507" spans="1:8" x14ac:dyDescent="0.25">
      <c r="A2507" t="s">
        <v>2170</v>
      </c>
      <c r="B2507" t="s">
        <v>3212</v>
      </c>
      <c r="C2507" t="s">
        <v>3221</v>
      </c>
      <c r="D2507" t="s">
        <v>3222</v>
      </c>
      <c r="E2507" t="s">
        <v>3226</v>
      </c>
      <c r="F2507">
        <v>37325.9</v>
      </c>
      <c r="G2507">
        <v>29586.41</v>
      </c>
      <c r="H2507">
        <v>3</v>
      </c>
    </row>
    <row r="2508" spans="1:8" x14ac:dyDescent="0.25">
      <c r="A2508" t="s">
        <v>2171</v>
      </c>
      <c r="B2508" t="s">
        <v>3214</v>
      </c>
      <c r="C2508" t="s">
        <v>3217</v>
      </c>
      <c r="D2508" t="s">
        <v>3225</v>
      </c>
      <c r="E2508" t="s">
        <v>3226</v>
      </c>
      <c r="F2508">
        <v>35029.83</v>
      </c>
      <c r="G2508">
        <v>27893.45</v>
      </c>
      <c r="H2508">
        <v>2</v>
      </c>
    </row>
    <row r="2509" spans="1:8" x14ac:dyDescent="0.25">
      <c r="A2509" t="s">
        <v>733</v>
      </c>
      <c r="B2509" t="s">
        <v>3211</v>
      </c>
      <c r="C2509" t="s">
        <v>3218</v>
      </c>
      <c r="D2509" t="s">
        <v>3225</v>
      </c>
      <c r="E2509" t="s">
        <v>3226</v>
      </c>
      <c r="F2509">
        <v>21472.959999999999</v>
      </c>
      <c r="H2509">
        <v>1</v>
      </c>
    </row>
    <row r="2510" spans="1:8" x14ac:dyDescent="0.25">
      <c r="A2510" t="s">
        <v>554</v>
      </c>
      <c r="B2510" t="s">
        <v>3214</v>
      </c>
      <c r="C2510" t="s">
        <v>3217</v>
      </c>
      <c r="D2510" t="s">
        <v>3225</v>
      </c>
      <c r="E2510" t="s">
        <v>3226</v>
      </c>
      <c r="F2510">
        <v>37115.97</v>
      </c>
      <c r="G2510">
        <v>30461.23</v>
      </c>
      <c r="H2510">
        <v>2</v>
      </c>
    </row>
    <row r="2511" spans="1:8" x14ac:dyDescent="0.25">
      <c r="A2511" t="s">
        <v>2172</v>
      </c>
      <c r="B2511" t="s">
        <v>3212</v>
      </c>
      <c r="C2511" t="s">
        <v>3216</v>
      </c>
      <c r="D2511" t="s">
        <v>3223</v>
      </c>
      <c r="E2511" t="s">
        <v>3226</v>
      </c>
      <c r="F2511">
        <v>44187.79</v>
      </c>
      <c r="G2511">
        <v>26311.59</v>
      </c>
      <c r="H2511">
        <v>4</v>
      </c>
    </row>
    <row r="2512" spans="1:8" x14ac:dyDescent="0.25">
      <c r="A2512" t="s">
        <v>2173</v>
      </c>
      <c r="B2512" t="s">
        <v>3215</v>
      </c>
      <c r="C2512" t="s">
        <v>3216</v>
      </c>
      <c r="D2512" t="s">
        <v>3223</v>
      </c>
      <c r="E2512" t="s">
        <v>3226</v>
      </c>
      <c r="F2512">
        <v>30052.11</v>
      </c>
      <c r="G2512">
        <v>21363.61</v>
      </c>
      <c r="H2512">
        <v>3</v>
      </c>
    </row>
    <row r="2513" spans="1:8" x14ac:dyDescent="0.25">
      <c r="A2513" t="s">
        <v>2174</v>
      </c>
      <c r="B2513" t="s">
        <v>3215</v>
      </c>
      <c r="C2513" t="s">
        <v>3217</v>
      </c>
      <c r="D2513" t="s">
        <v>3224</v>
      </c>
      <c r="E2513" t="s">
        <v>3226</v>
      </c>
      <c r="F2513">
        <v>328004.34999999998</v>
      </c>
      <c r="G2513">
        <v>235782.05</v>
      </c>
      <c r="H2513">
        <v>5</v>
      </c>
    </row>
    <row r="2514" spans="1:8" x14ac:dyDescent="0.25">
      <c r="A2514" t="s">
        <v>2175</v>
      </c>
      <c r="B2514" t="s">
        <v>3213</v>
      </c>
      <c r="C2514" t="s">
        <v>3221</v>
      </c>
      <c r="D2514" t="s">
        <v>3224</v>
      </c>
      <c r="E2514" t="s">
        <v>3226</v>
      </c>
      <c r="F2514">
        <v>211739.85</v>
      </c>
      <c r="G2514">
        <v>134260.31</v>
      </c>
      <c r="H2514">
        <v>3</v>
      </c>
    </row>
    <row r="2515" spans="1:8" x14ac:dyDescent="0.25">
      <c r="A2515" t="s">
        <v>2176</v>
      </c>
      <c r="B2515" t="s">
        <v>3212</v>
      </c>
      <c r="C2515" t="s">
        <v>3216</v>
      </c>
      <c r="D2515" t="s">
        <v>3225</v>
      </c>
      <c r="E2515" t="s">
        <v>3226</v>
      </c>
      <c r="F2515">
        <v>38624.01</v>
      </c>
      <c r="G2515">
        <v>26136.74</v>
      </c>
      <c r="H2515">
        <v>2</v>
      </c>
    </row>
    <row r="2516" spans="1:8" x14ac:dyDescent="0.25">
      <c r="A2516" t="s">
        <v>2177</v>
      </c>
      <c r="B2516" t="s">
        <v>3211</v>
      </c>
      <c r="C2516" t="s">
        <v>3218</v>
      </c>
      <c r="D2516" t="s">
        <v>3225</v>
      </c>
      <c r="E2516" t="s">
        <v>3226</v>
      </c>
      <c r="F2516">
        <v>109101.39</v>
      </c>
      <c r="G2516">
        <v>69145.8</v>
      </c>
      <c r="H2516">
        <v>5</v>
      </c>
    </row>
    <row r="2517" spans="1:8" x14ac:dyDescent="0.25">
      <c r="A2517" t="s">
        <v>2178</v>
      </c>
      <c r="B2517" t="s">
        <v>3212</v>
      </c>
      <c r="C2517" t="s">
        <v>3216</v>
      </c>
      <c r="D2517" t="s">
        <v>3223</v>
      </c>
      <c r="E2517" t="s">
        <v>3226</v>
      </c>
      <c r="F2517">
        <v>17717.18</v>
      </c>
      <c r="G2517">
        <v>12229.67</v>
      </c>
      <c r="H2517">
        <v>2</v>
      </c>
    </row>
    <row r="2518" spans="1:8" x14ac:dyDescent="0.25">
      <c r="A2518" t="s">
        <v>2179</v>
      </c>
      <c r="B2518" t="s">
        <v>3214</v>
      </c>
      <c r="C2518" t="s">
        <v>3216</v>
      </c>
      <c r="D2518" t="s">
        <v>3224</v>
      </c>
      <c r="E2518" t="s">
        <v>3226</v>
      </c>
      <c r="F2518">
        <v>271637.28000000003</v>
      </c>
      <c r="G2518">
        <v>184553.79</v>
      </c>
      <c r="H2518">
        <v>4</v>
      </c>
    </row>
    <row r="2519" spans="1:8" x14ac:dyDescent="0.25">
      <c r="A2519" t="s">
        <v>2180</v>
      </c>
      <c r="B2519" t="s">
        <v>3211</v>
      </c>
      <c r="C2519" t="s">
        <v>3218</v>
      </c>
      <c r="D2519" t="s">
        <v>3225</v>
      </c>
      <c r="E2519" t="s">
        <v>3226</v>
      </c>
      <c r="F2519">
        <v>22317.85</v>
      </c>
      <c r="G2519">
        <v>15013.67</v>
      </c>
      <c r="H2519">
        <v>1</v>
      </c>
    </row>
    <row r="2520" spans="1:8" x14ac:dyDescent="0.25">
      <c r="A2520" t="s">
        <v>653</v>
      </c>
      <c r="C2520" t="s">
        <v>3218</v>
      </c>
      <c r="D2520" t="s">
        <v>3225</v>
      </c>
      <c r="E2520" t="s">
        <v>3226</v>
      </c>
      <c r="F2520">
        <v>84755.27</v>
      </c>
      <c r="G2520">
        <v>56165.69</v>
      </c>
      <c r="H2520">
        <v>4</v>
      </c>
    </row>
    <row r="2521" spans="1:8" x14ac:dyDescent="0.25">
      <c r="A2521" t="s">
        <v>2181</v>
      </c>
      <c r="C2521" t="s">
        <v>3221</v>
      </c>
      <c r="D2521" t="s">
        <v>3224</v>
      </c>
      <c r="E2521" t="s">
        <v>3226</v>
      </c>
      <c r="F2521">
        <v>332440.33</v>
      </c>
      <c r="G2521">
        <v>216010.38</v>
      </c>
      <c r="H2521">
        <v>5</v>
      </c>
    </row>
    <row r="2522" spans="1:8" x14ac:dyDescent="0.25">
      <c r="A2522" t="s">
        <v>2182</v>
      </c>
      <c r="B2522" t="s">
        <v>3212</v>
      </c>
      <c r="C2522" t="s">
        <v>3217</v>
      </c>
      <c r="D2522" t="s">
        <v>3225</v>
      </c>
      <c r="E2522" t="s">
        <v>3226</v>
      </c>
      <c r="F2522">
        <v>77639.91</v>
      </c>
      <c r="G2522">
        <v>50844.15</v>
      </c>
      <c r="H2522">
        <v>4</v>
      </c>
    </row>
    <row r="2523" spans="1:8" x14ac:dyDescent="0.25">
      <c r="A2523" t="s">
        <v>2183</v>
      </c>
      <c r="C2523" t="s">
        <v>3218</v>
      </c>
      <c r="D2523" t="s">
        <v>3224</v>
      </c>
      <c r="E2523" t="s">
        <v>3226</v>
      </c>
      <c r="F2523">
        <v>278693.38</v>
      </c>
      <c r="G2523">
        <v>233851.26</v>
      </c>
    </row>
    <row r="2524" spans="1:8" x14ac:dyDescent="0.25">
      <c r="A2524" t="s">
        <v>2184</v>
      </c>
      <c r="B2524" t="s">
        <v>3215</v>
      </c>
      <c r="C2524" t="s">
        <v>3218</v>
      </c>
      <c r="D2524" t="s">
        <v>3222</v>
      </c>
      <c r="E2524" t="s">
        <v>3226</v>
      </c>
      <c r="F2524">
        <v>13611.16</v>
      </c>
      <c r="G2524">
        <v>10782.1</v>
      </c>
      <c r="H2524">
        <v>1</v>
      </c>
    </row>
    <row r="2525" spans="1:8" x14ac:dyDescent="0.25">
      <c r="A2525" t="s">
        <v>2185</v>
      </c>
      <c r="B2525" t="s">
        <v>3214</v>
      </c>
      <c r="C2525" t="s">
        <v>3216</v>
      </c>
      <c r="D2525" t="s">
        <v>3224</v>
      </c>
      <c r="E2525" t="s">
        <v>3226</v>
      </c>
      <c r="F2525">
        <v>223280.12</v>
      </c>
      <c r="G2525">
        <v>157726.26</v>
      </c>
      <c r="H2525">
        <v>4</v>
      </c>
    </row>
    <row r="2526" spans="1:8" x14ac:dyDescent="0.25">
      <c r="A2526" t="s">
        <v>2186</v>
      </c>
      <c r="B2526" t="s">
        <v>3211</v>
      </c>
      <c r="C2526" t="s">
        <v>3220</v>
      </c>
      <c r="D2526" t="s">
        <v>3225</v>
      </c>
      <c r="E2526" t="s">
        <v>3226</v>
      </c>
      <c r="F2526">
        <v>18727.04</v>
      </c>
      <c r="G2526">
        <v>11970.81</v>
      </c>
      <c r="H2526">
        <v>1</v>
      </c>
    </row>
    <row r="2527" spans="1:8" x14ac:dyDescent="0.25">
      <c r="A2527" t="s">
        <v>1032</v>
      </c>
      <c r="B2527" t="s">
        <v>3214</v>
      </c>
      <c r="C2527" t="s">
        <v>3220</v>
      </c>
      <c r="D2527" t="s">
        <v>3224</v>
      </c>
      <c r="E2527" t="s">
        <v>3226</v>
      </c>
      <c r="F2527">
        <v>208919.77</v>
      </c>
      <c r="H2527">
        <v>3</v>
      </c>
    </row>
    <row r="2528" spans="1:8" x14ac:dyDescent="0.25">
      <c r="A2528" t="s">
        <v>2187</v>
      </c>
      <c r="B2528" t="s">
        <v>3212</v>
      </c>
      <c r="C2528" t="s">
        <v>3220</v>
      </c>
      <c r="D2528" t="s">
        <v>3224</v>
      </c>
      <c r="E2528" t="s">
        <v>3226</v>
      </c>
      <c r="F2528">
        <v>202060.83</v>
      </c>
      <c r="G2528">
        <v>132770.97</v>
      </c>
      <c r="H2528">
        <v>3</v>
      </c>
    </row>
    <row r="2529" spans="1:8" x14ac:dyDescent="0.25">
      <c r="A2529" t="s">
        <v>650</v>
      </c>
      <c r="B2529" t="s">
        <v>3214</v>
      </c>
      <c r="C2529" t="s">
        <v>3216</v>
      </c>
      <c r="D2529" t="s">
        <v>3223</v>
      </c>
      <c r="E2529" t="s">
        <v>3226</v>
      </c>
      <c r="F2529">
        <v>22086.21</v>
      </c>
      <c r="G2529">
        <v>12363.11</v>
      </c>
      <c r="H2529">
        <v>2</v>
      </c>
    </row>
    <row r="2530" spans="1:8" x14ac:dyDescent="0.25">
      <c r="A2530" t="s">
        <v>2188</v>
      </c>
      <c r="B2530" t="s">
        <v>3214</v>
      </c>
      <c r="C2530" t="s">
        <v>3217</v>
      </c>
      <c r="D2530" t="s">
        <v>3223</v>
      </c>
      <c r="E2530" t="s">
        <v>3226</v>
      </c>
      <c r="F2530">
        <v>8634.6200000000008</v>
      </c>
      <c r="G2530">
        <v>6880.75</v>
      </c>
      <c r="H2530">
        <v>1</v>
      </c>
    </row>
    <row r="2531" spans="1:8" x14ac:dyDescent="0.25">
      <c r="A2531" t="s">
        <v>2189</v>
      </c>
      <c r="B2531" t="s">
        <v>3212</v>
      </c>
      <c r="C2531" t="s">
        <v>3221</v>
      </c>
      <c r="D2531" t="s">
        <v>3225</v>
      </c>
      <c r="E2531" t="s">
        <v>3226</v>
      </c>
      <c r="F2531">
        <v>63517.98</v>
      </c>
      <c r="G2531">
        <v>45187.21</v>
      </c>
      <c r="H2531">
        <v>3</v>
      </c>
    </row>
    <row r="2532" spans="1:8" x14ac:dyDescent="0.25">
      <c r="A2532" t="s">
        <v>2190</v>
      </c>
      <c r="B2532" t="s">
        <v>3213</v>
      </c>
      <c r="C2532" t="s">
        <v>3219</v>
      </c>
      <c r="D2532" t="s">
        <v>3225</v>
      </c>
      <c r="E2532" t="s">
        <v>3226</v>
      </c>
      <c r="F2532">
        <v>37831.360000000001</v>
      </c>
      <c r="G2532">
        <v>24919.279999999999</v>
      </c>
    </row>
    <row r="2533" spans="1:8" x14ac:dyDescent="0.25">
      <c r="A2533" t="s">
        <v>2191</v>
      </c>
      <c r="B2533" t="s">
        <v>3213</v>
      </c>
      <c r="C2533" t="s">
        <v>3218</v>
      </c>
      <c r="D2533" t="s">
        <v>3225</v>
      </c>
      <c r="E2533" t="s">
        <v>3226</v>
      </c>
      <c r="F2533">
        <v>116020.43</v>
      </c>
      <c r="G2533">
        <v>71686.070000000007</v>
      </c>
      <c r="H2533">
        <v>5</v>
      </c>
    </row>
    <row r="2534" spans="1:8" x14ac:dyDescent="0.25">
      <c r="A2534" t="s">
        <v>2192</v>
      </c>
      <c r="B2534" t="s">
        <v>3211</v>
      </c>
      <c r="C2534" t="s">
        <v>3221</v>
      </c>
      <c r="D2534" t="s">
        <v>3224</v>
      </c>
      <c r="E2534" t="s">
        <v>3226</v>
      </c>
      <c r="F2534">
        <v>113793.7</v>
      </c>
      <c r="G2534">
        <v>96205.18</v>
      </c>
      <c r="H2534">
        <v>2</v>
      </c>
    </row>
    <row r="2535" spans="1:8" x14ac:dyDescent="0.25">
      <c r="A2535" t="s">
        <v>1667</v>
      </c>
      <c r="C2535" t="s">
        <v>3220</v>
      </c>
      <c r="D2535" t="s">
        <v>3225</v>
      </c>
      <c r="E2535" t="s">
        <v>3226</v>
      </c>
      <c r="F2535">
        <v>20341.96</v>
      </c>
      <c r="G2535">
        <v>14665.03</v>
      </c>
      <c r="H2535">
        <v>1</v>
      </c>
    </row>
    <row r="2536" spans="1:8" x14ac:dyDescent="0.25">
      <c r="A2536" t="s">
        <v>970</v>
      </c>
      <c r="B2536" t="s">
        <v>3215</v>
      </c>
      <c r="C2536" t="s">
        <v>3220</v>
      </c>
      <c r="D2536" t="s">
        <v>3223</v>
      </c>
      <c r="E2536" t="s">
        <v>3226</v>
      </c>
      <c r="F2536">
        <v>45469.72</v>
      </c>
      <c r="G2536">
        <v>30457.26</v>
      </c>
      <c r="H2536">
        <v>4</v>
      </c>
    </row>
    <row r="2537" spans="1:8" x14ac:dyDescent="0.25">
      <c r="A2537" t="s">
        <v>729</v>
      </c>
      <c r="B2537" t="s">
        <v>3213</v>
      </c>
      <c r="C2537" t="s">
        <v>3219</v>
      </c>
      <c r="D2537" t="s">
        <v>3222</v>
      </c>
      <c r="E2537" t="s">
        <v>3226</v>
      </c>
      <c r="F2537">
        <v>15816.67</v>
      </c>
      <c r="G2537">
        <v>10231.290000000001</v>
      </c>
      <c r="H2537">
        <v>1</v>
      </c>
    </row>
    <row r="2538" spans="1:8" x14ac:dyDescent="0.25">
      <c r="A2538" t="s">
        <v>2193</v>
      </c>
      <c r="B2538" t="s">
        <v>3211</v>
      </c>
      <c r="C2538" t="s">
        <v>3220</v>
      </c>
      <c r="D2538" t="s">
        <v>3224</v>
      </c>
      <c r="E2538" t="s">
        <v>3226</v>
      </c>
      <c r="F2538">
        <v>205658.78</v>
      </c>
      <c r="G2538">
        <v>189594.6</v>
      </c>
      <c r="H2538">
        <v>4</v>
      </c>
    </row>
    <row r="2539" spans="1:8" x14ac:dyDescent="0.25">
      <c r="A2539" t="s">
        <v>2194</v>
      </c>
      <c r="C2539" t="s">
        <v>3219</v>
      </c>
      <c r="D2539" t="s">
        <v>3222</v>
      </c>
      <c r="E2539" t="s">
        <v>3226</v>
      </c>
      <c r="G2539">
        <v>18356.189999999999</v>
      </c>
      <c r="H2539">
        <v>2</v>
      </c>
    </row>
    <row r="2540" spans="1:8" x14ac:dyDescent="0.25">
      <c r="A2540" t="s">
        <v>2195</v>
      </c>
      <c r="B2540" t="s">
        <v>3212</v>
      </c>
      <c r="C2540" t="s">
        <v>3216</v>
      </c>
      <c r="D2540" t="s">
        <v>3224</v>
      </c>
      <c r="E2540" t="s">
        <v>3226</v>
      </c>
      <c r="F2540">
        <v>64988.39</v>
      </c>
      <c r="G2540">
        <v>46124.69</v>
      </c>
      <c r="H2540">
        <v>1</v>
      </c>
    </row>
    <row r="2541" spans="1:8" x14ac:dyDescent="0.25">
      <c r="A2541" t="s">
        <v>318</v>
      </c>
      <c r="B2541" t="s">
        <v>3215</v>
      </c>
      <c r="C2541" t="s">
        <v>3217</v>
      </c>
      <c r="D2541" t="s">
        <v>3223</v>
      </c>
      <c r="E2541" t="s">
        <v>3226</v>
      </c>
      <c r="F2541">
        <v>41016.19</v>
      </c>
      <c r="G2541">
        <v>26287.05</v>
      </c>
      <c r="H2541">
        <v>4</v>
      </c>
    </row>
    <row r="2542" spans="1:8" x14ac:dyDescent="0.25">
      <c r="A2542" t="s">
        <v>2196</v>
      </c>
      <c r="B2542" t="s">
        <v>3214</v>
      </c>
      <c r="C2542" t="s">
        <v>3221</v>
      </c>
      <c r="D2542" t="s">
        <v>3222</v>
      </c>
      <c r="E2542" t="s">
        <v>3226</v>
      </c>
      <c r="F2542">
        <v>30241.99</v>
      </c>
      <c r="G2542">
        <v>21932.11</v>
      </c>
      <c r="H2542">
        <v>2</v>
      </c>
    </row>
    <row r="2543" spans="1:8" x14ac:dyDescent="0.25">
      <c r="A2543" t="s">
        <v>2197</v>
      </c>
      <c r="B2543" t="s">
        <v>3213</v>
      </c>
      <c r="C2543" t="s">
        <v>3221</v>
      </c>
      <c r="D2543" t="s">
        <v>3223</v>
      </c>
      <c r="E2543" t="s">
        <v>3226</v>
      </c>
      <c r="F2543">
        <v>33106.18</v>
      </c>
      <c r="G2543">
        <v>22654.639999999999</v>
      </c>
      <c r="H2543">
        <v>3</v>
      </c>
    </row>
    <row r="2544" spans="1:8" x14ac:dyDescent="0.25">
      <c r="A2544" t="s">
        <v>2198</v>
      </c>
      <c r="B2544" t="s">
        <v>3212</v>
      </c>
      <c r="C2544" t="s">
        <v>3221</v>
      </c>
      <c r="D2544" t="s">
        <v>3225</v>
      </c>
      <c r="E2544" t="s">
        <v>3226</v>
      </c>
      <c r="F2544">
        <v>110071.34</v>
      </c>
      <c r="G2544">
        <v>59579.96</v>
      </c>
      <c r="H2544">
        <v>5</v>
      </c>
    </row>
    <row r="2545" spans="1:8" x14ac:dyDescent="0.25">
      <c r="A2545" t="s">
        <v>2199</v>
      </c>
      <c r="B2545" t="s">
        <v>3211</v>
      </c>
      <c r="C2545" t="s">
        <v>3216</v>
      </c>
      <c r="D2545" t="s">
        <v>3223</v>
      </c>
      <c r="E2545" t="s">
        <v>3226</v>
      </c>
      <c r="F2545">
        <v>21135.67</v>
      </c>
      <c r="G2545">
        <v>14681.05</v>
      </c>
      <c r="H2545">
        <v>2</v>
      </c>
    </row>
    <row r="2546" spans="1:8" x14ac:dyDescent="0.25">
      <c r="A2546" t="s">
        <v>2200</v>
      </c>
      <c r="B2546" t="s">
        <v>3213</v>
      </c>
      <c r="C2546" t="s">
        <v>3218</v>
      </c>
      <c r="D2546" t="s">
        <v>3225</v>
      </c>
      <c r="E2546" t="s">
        <v>3226</v>
      </c>
      <c r="G2546">
        <v>14370.92</v>
      </c>
      <c r="H2546">
        <v>1</v>
      </c>
    </row>
    <row r="2547" spans="1:8" x14ac:dyDescent="0.25">
      <c r="A2547" t="s">
        <v>588</v>
      </c>
      <c r="B2547" t="s">
        <v>3214</v>
      </c>
      <c r="C2547" t="s">
        <v>3220</v>
      </c>
      <c r="D2547" t="s">
        <v>3223</v>
      </c>
      <c r="E2547" t="s">
        <v>3226</v>
      </c>
      <c r="F2547">
        <v>43734.14</v>
      </c>
      <c r="G2547">
        <v>27313.25</v>
      </c>
      <c r="H2547">
        <v>4</v>
      </c>
    </row>
    <row r="2548" spans="1:8" x14ac:dyDescent="0.25">
      <c r="A2548" t="s">
        <v>2201</v>
      </c>
      <c r="B2548" t="s">
        <v>3212</v>
      </c>
      <c r="C2548" t="s">
        <v>3216</v>
      </c>
      <c r="D2548" t="s">
        <v>3224</v>
      </c>
      <c r="E2548" t="s">
        <v>3226</v>
      </c>
      <c r="F2548">
        <v>244054.58</v>
      </c>
      <c r="G2548">
        <v>200104.63</v>
      </c>
      <c r="H2548">
        <v>5</v>
      </c>
    </row>
    <row r="2549" spans="1:8" x14ac:dyDescent="0.25">
      <c r="A2549" t="s">
        <v>2202</v>
      </c>
      <c r="B2549" t="s">
        <v>3212</v>
      </c>
      <c r="C2549" t="s">
        <v>3220</v>
      </c>
      <c r="D2549" t="s">
        <v>3224</v>
      </c>
      <c r="E2549" t="s">
        <v>3226</v>
      </c>
      <c r="G2549">
        <v>134502.32999999999</v>
      </c>
      <c r="H2549">
        <v>3</v>
      </c>
    </row>
    <row r="2550" spans="1:8" x14ac:dyDescent="0.25">
      <c r="A2550" t="s">
        <v>1207</v>
      </c>
      <c r="B2550" t="s">
        <v>3212</v>
      </c>
      <c r="C2550" t="s">
        <v>3221</v>
      </c>
      <c r="D2550" t="s">
        <v>3224</v>
      </c>
      <c r="E2550" t="s">
        <v>3226</v>
      </c>
      <c r="F2550">
        <v>51705.84</v>
      </c>
      <c r="G2550">
        <v>38890.519999999997</v>
      </c>
      <c r="H2550">
        <v>1</v>
      </c>
    </row>
    <row r="2551" spans="1:8" x14ac:dyDescent="0.25">
      <c r="A2551" t="s">
        <v>1649</v>
      </c>
      <c r="B2551" t="s">
        <v>3211</v>
      </c>
      <c r="C2551" t="s">
        <v>3219</v>
      </c>
      <c r="D2551" t="s">
        <v>3222</v>
      </c>
      <c r="E2551" t="s">
        <v>3226</v>
      </c>
      <c r="F2551">
        <v>13817.37</v>
      </c>
      <c r="G2551">
        <v>9745.0300000000007</v>
      </c>
      <c r="H2551">
        <v>1</v>
      </c>
    </row>
    <row r="2552" spans="1:8" x14ac:dyDescent="0.25">
      <c r="A2552" t="s">
        <v>2203</v>
      </c>
      <c r="C2552" t="s">
        <v>3219</v>
      </c>
      <c r="D2552" t="s">
        <v>3223</v>
      </c>
      <c r="E2552" t="s">
        <v>3226</v>
      </c>
      <c r="F2552">
        <v>54835.54</v>
      </c>
      <c r="G2552">
        <v>37471.449999999997</v>
      </c>
      <c r="H2552">
        <v>5</v>
      </c>
    </row>
    <row r="2553" spans="1:8" x14ac:dyDescent="0.25">
      <c r="A2553" t="s">
        <v>2204</v>
      </c>
      <c r="C2553" t="s">
        <v>3218</v>
      </c>
      <c r="D2553" t="s">
        <v>3225</v>
      </c>
      <c r="E2553" t="s">
        <v>3226</v>
      </c>
      <c r="F2553">
        <v>43699.29</v>
      </c>
      <c r="G2553">
        <v>25694.54</v>
      </c>
      <c r="H2553">
        <v>2</v>
      </c>
    </row>
    <row r="2554" spans="1:8" x14ac:dyDescent="0.25">
      <c r="A2554" t="s">
        <v>2205</v>
      </c>
      <c r="B2554" t="s">
        <v>3215</v>
      </c>
      <c r="C2554" t="s">
        <v>3218</v>
      </c>
      <c r="D2554" t="s">
        <v>3225</v>
      </c>
      <c r="E2554" t="s">
        <v>3226</v>
      </c>
      <c r="F2554">
        <v>17271.240000000002</v>
      </c>
      <c r="G2554">
        <v>14354.15</v>
      </c>
      <c r="H2554">
        <v>1</v>
      </c>
    </row>
    <row r="2555" spans="1:8" x14ac:dyDescent="0.25">
      <c r="A2555" t="s">
        <v>1956</v>
      </c>
      <c r="B2555" t="s">
        <v>3214</v>
      </c>
      <c r="C2555" t="s">
        <v>3220</v>
      </c>
      <c r="D2555" t="s">
        <v>3222</v>
      </c>
      <c r="E2555" t="s">
        <v>3226</v>
      </c>
      <c r="F2555">
        <v>34108.339999999997</v>
      </c>
      <c r="G2555">
        <v>19356.12</v>
      </c>
      <c r="H2555">
        <v>2</v>
      </c>
    </row>
    <row r="2556" spans="1:8" x14ac:dyDescent="0.25">
      <c r="A2556" t="s">
        <v>2206</v>
      </c>
      <c r="B2556" t="s">
        <v>3211</v>
      </c>
      <c r="C2556" t="s">
        <v>3216</v>
      </c>
      <c r="D2556" t="s">
        <v>3222</v>
      </c>
      <c r="E2556" t="s">
        <v>3226</v>
      </c>
      <c r="F2556">
        <v>13884.13</v>
      </c>
      <c r="G2556">
        <v>9630.86</v>
      </c>
      <c r="H2556">
        <v>1</v>
      </c>
    </row>
    <row r="2557" spans="1:8" x14ac:dyDescent="0.25">
      <c r="A2557" t="s">
        <v>2207</v>
      </c>
      <c r="C2557" t="s">
        <v>3217</v>
      </c>
      <c r="D2557" t="s">
        <v>3222</v>
      </c>
      <c r="E2557" t="s">
        <v>3226</v>
      </c>
      <c r="F2557">
        <v>12857.99</v>
      </c>
      <c r="G2557">
        <v>10169.24</v>
      </c>
      <c r="H2557">
        <v>1</v>
      </c>
    </row>
    <row r="2558" spans="1:8" x14ac:dyDescent="0.25">
      <c r="A2558" t="s">
        <v>2208</v>
      </c>
      <c r="C2558" t="s">
        <v>3220</v>
      </c>
      <c r="D2558" t="s">
        <v>3223</v>
      </c>
      <c r="E2558" t="s">
        <v>3226</v>
      </c>
      <c r="F2558">
        <v>9869.75</v>
      </c>
      <c r="G2558">
        <v>6977.15</v>
      </c>
      <c r="H2558">
        <v>1</v>
      </c>
    </row>
    <row r="2559" spans="1:8" x14ac:dyDescent="0.25">
      <c r="A2559" t="s">
        <v>2209</v>
      </c>
      <c r="C2559" t="s">
        <v>3218</v>
      </c>
      <c r="D2559" t="s">
        <v>3224</v>
      </c>
      <c r="E2559" t="s">
        <v>3226</v>
      </c>
      <c r="F2559">
        <v>69718.64</v>
      </c>
    </row>
    <row r="2560" spans="1:8" x14ac:dyDescent="0.25">
      <c r="A2560" t="s">
        <v>2210</v>
      </c>
      <c r="B2560" t="s">
        <v>3212</v>
      </c>
      <c r="C2560" t="s">
        <v>3216</v>
      </c>
      <c r="D2560" t="s">
        <v>3225</v>
      </c>
      <c r="E2560" t="s">
        <v>3226</v>
      </c>
      <c r="F2560">
        <v>96187.71</v>
      </c>
      <c r="H2560">
        <v>5</v>
      </c>
    </row>
    <row r="2561" spans="1:8" x14ac:dyDescent="0.25">
      <c r="A2561" t="s">
        <v>2211</v>
      </c>
      <c r="B2561" t="s">
        <v>3211</v>
      </c>
      <c r="C2561" t="s">
        <v>3219</v>
      </c>
      <c r="D2561" t="s">
        <v>3225</v>
      </c>
      <c r="E2561" t="s">
        <v>3226</v>
      </c>
      <c r="F2561">
        <v>45406.35</v>
      </c>
      <c r="G2561">
        <v>24597.09</v>
      </c>
      <c r="H2561">
        <v>2</v>
      </c>
    </row>
    <row r="2562" spans="1:8" x14ac:dyDescent="0.25">
      <c r="A2562" t="s">
        <v>295</v>
      </c>
      <c r="B2562" t="s">
        <v>3211</v>
      </c>
      <c r="C2562" t="s">
        <v>3219</v>
      </c>
      <c r="D2562" t="s">
        <v>3223</v>
      </c>
      <c r="E2562" t="s">
        <v>3226</v>
      </c>
      <c r="F2562">
        <v>55635.15</v>
      </c>
      <c r="G2562">
        <v>33778.6</v>
      </c>
      <c r="H2562">
        <v>5</v>
      </c>
    </row>
    <row r="2563" spans="1:8" x14ac:dyDescent="0.25">
      <c r="A2563" t="s">
        <v>2212</v>
      </c>
      <c r="B2563" t="s">
        <v>3213</v>
      </c>
      <c r="C2563" t="s">
        <v>3218</v>
      </c>
      <c r="D2563" t="s">
        <v>3222</v>
      </c>
      <c r="E2563" t="s">
        <v>3226</v>
      </c>
      <c r="F2563">
        <v>35589.410000000003</v>
      </c>
      <c r="G2563">
        <v>17370.240000000002</v>
      </c>
      <c r="H2563">
        <v>2</v>
      </c>
    </row>
    <row r="2564" spans="1:8" x14ac:dyDescent="0.25">
      <c r="A2564" t="s">
        <v>2213</v>
      </c>
      <c r="C2564" t="s">
        <v>3219</v>
      </c>
      <c r="D2564" t="s">
        <v>3224</v>
      </c>
      <c r="E2564" t="s">
        <v>3226</v>
      </c>
      <c r="F2564">
        <v>195411.51</v>
      </c>
      <c r="G2564">
        <v>144132.6</v>
      </c>
      <c r="H2564">
        <v>3</v>
      </c>
    </row>
    <row r="2565" spans="1:8" x14ac:dyDescent="0.25">
      <c r="A2565" t="s">
        <v>402</v>
      </c>
      <c r="B2565" t="s">
        <v>3211</v>
      </c>
      <c r="C2565" t="s">
        <v>3217</v>
      </c>
      <c r="D2565" t="s">
        <v>3222</v>
      </c>
      <c r="E2565" t="s">
        <v>3226</v>
      </c>
      <c r="F2565">
        <v>12904.39</v>
      </c>
      <c r="G2565">
        <v>8611.24</v>
      </c>
      <c r="H2565">
        <v>1</v>
      </c>
    </row>
    <row r="2566" spans="1:8" x14ac:dyDescent="0.25">
      <c r="A2566" t="s">
        <v>2214</v>
      </c>
      <c r="B2566" t="s">
        <v>3214</v>
      </c>
      <c r="C2566" t="s">
        <v>3221</v>
      </c>
      <c r="D2566" t="s">
        <v>3224</v>
      </c>
      <c r="E2566" t="s">
        <v>3226</v>
      </c>
      <c r="F2566">
        <v>52791.14</v>
      </c>
      <c r="G2566">
        <v>41272.949999999997</v>
      </c>
      <c r="H2566">
        <v>1</v>
      </c>
    </row>
    <row r="2567" spans="1:8" x14ac:dyDescent="0.25">
      <c r="A2567" t="s">
        <v>2215</v>
      </c>
      <c r="B2567" t="s">
        <v>3212</v>
      </c>
      <c r="C2567" t="s">
        <v>3221</v>
      </c>
      <c r="D2567" t="s">
        <v>3224</v>
      </c>
      <c r="E2567" t="s">
        <v>3226</v>
      </c>
      <c r="F2567">
        <v>117743.02</v>
      </c>
      <c r="G2567">
        <v>86928.63</v>
      </c>
      <c r="H2567">
        <v>2</v>
      </c>
    </row>
    <row r="2568" spans="1:8" x14ac:dyDescent="0.25">
      <c r="A2568" t="s">
        <v>2216</v>
      </c>
      <c r="B2568" t="s">
        <v>3214</v>
      </c>
      <c r="C2568" t="s">
        <v>3219</v>
      </c>
      <c r="D2568" t="s">
        <v>3225</v>
      </c>
      <c r="E2568" t="s">
        <v>3226</v>
      </c>
      <c r="F2568">
        <v>46953.93</v>
      </c>
      <c r="G2568">
        <v>29621.11</v>
      </c>
      <c r="H2568">
        <v>2</v>
      </c>
    </row>
    <row r="2569" spans="1:8" x14ac:dyDescent="0.25">
      <c r="A2569" t="s">
        <v>2217</v>
      </c>
      <c r="B2569" t="s">
        <v>3215</v>
      </c>
      <c r="C2569" t="s">
        <v>3221</v>
      </c>
      <c r="D2569" t="s">
        <v>3222</v>
      </c>
      <c r="E2569" t="s">
        <v>3226</v>
      </c>
      <c r="F2569">
        <v>51941.87</v>
      </c>
      <c r="G2569">
        <v>29843.06</v>
      </c>
      <c r="H2569">
        <v>3</v>
      </c>
    </row>
    <row r="2570" spans="1:8" x14ac:dyDescent="0.25">
      <c r="A2570" t="s">
        <v>42</v>
      </c>
      <c r="B2570" t="s">
        <v>3215</v>
      </c>
      <c r="C2570" t="s">
        <v>3218</v>
      </c>
      <c r="D2570" t="s">
        <v>3224</v>
      </c>
      <c r="E2570" t="s">
        <v>3226</v>
      </c>
      <c r="F2570">
        <v>131716.15</v>
      </c>
      <c r="G2570">
        <v>77291.11</v>
      </c>
      <c r="H2570">
        <v>2</v>
      </c>
    </row>
    <row r="2571" spans="1:8" x14ac:dyDescent="0.25">
      <c r="A2571" t="s">
        <v>2218</v>
      </c>
      <c r="B2571" t="s">
        <v>3215</v>
      </c>
      <c r="C2571" t="s">
        <v>3216</v>
      </c>
      <c r="D2571" t="s">
        <v>3223</v>
      </c>
      <c r="E2571" t="s">
        <v>3226</v>
      </c>
      <c r="F2571">
        <v>17115.72</v>
      </c>
      <c r="G2571">
        <v>14202.08</v>
      </c>
      <c r="H2571">
        <v>2</v>
      </c>
    </row>
    <row r="2572" spans="1:8" x14ac:dyDescent="0.25">
      <c r="A2572" t="s">
        <v>2219</v>
      </c>
      <c r="C2572" t="s">
        <v>3218</v>
      </c>
      <c r="D2572" t="s">
        <v>3224</v>
      </c>
      <c r="E2572" t="s">
        <v>3226</v>
      </c>
      <c r="G2572">
        <v>42222.73</v>
      </c>
    </row>
    <row r="2573" spans="1:8" x14ac:dyDescent="0.25">
      <c r="A2573" t="s">
        <v>2086</v>
      </c>
      <c r="B2573" t="s">
        <v>3212</v>
      </c>
      <c r="C2573" t="s">
        <v>3220</v>
      </c>
      <c r="D2573" t="s">
        <v>3223</v>
      </c>
      <c r="E2573" t="s">
        <v>3226</v>
      </c>
      <c r="F2573">
        <v>40851.79</v>
      </c>
      <c r="G2573">
        <v>26124.06</v>
      </c>
      <c r="H2573">
        <v>4</v>
      </c>
    </row>
    <row r="2574" spans="1:8" x14ac:dyDescent="0.25">
      <c r="A2574" t="s">
        <v>2220</v>
      </c>
      <c r="C2574" t="s">
        <v>3218</v>
      </c>
      <c r="D2574" t="s">
        <v>3223</v>
      </c>
      <c r="E2574" t="s">
        <v>3226</v>
      </c>
      <c r="F2574">
        <v>56139.55</v>
      </c>
      <c r="G2574">
        <v>30933.37</v>
      </c>
      <c r="H2574">
        <v>5</v>
      </c>
    </row>
    <row r="2575" spans="1:8" x14ac:dyDescent="0.25">
      <c r="A2575" t="s">
        <v>787</v>
      </c>
      <c r="B2575" t="s">
        <v>3215</v>
      </c>
      <c r="C2575" t="s">
        <v>3220</v>
      </c>
      <c r="D2575" t="s">
        <v>3225</v>
      </c>
      <c r="E2575" t="s">
        <v>3226</v>
      </c>
      <c r="F2575">
        <v>75447.039999999994</v>
      </c>
      <c r="G2575">
        <v>47631.83</v>
      </c>
      <c r="H2575">
        <v>4</v>
      </c>
    </row>
    <row r="2576" spans="1:8" x14ac:dyDescent="0.25">
      <c r="A2576" t="s">
        <v>2061</v>
      </c>
      <c r="B2576" t="s">
        <v>3213</v>
      </c>
      <c r="C2576" t="s">
        <v>3221</v>
      </c>
      <c r="D2576" t="s">
        <v>3222</v>
      </c>
      <c r="E2576" t="s">
        <v>3226</v>
      </c>
      <c r="F2576">
        <v>28044.21</v>
      </c>
      <c r="G2576">
        <v>20855.22</v>
      </c>
    </row>
    <row r="2577" spans="1:8" x14ac:dyDescent="0.25">
      <c r="A2577" t="s">
        <v>2221</v>
      </c>
      <c r="B2577" t="s">
        <v>3211</v>
      </c>
      <c r="C2577" t="s">
        <v>3217</v>
      </c>
      <c r="D2577" t="s">
        <v>3225</v>
      </c>
      <c r="E2577" t="s">
        <v>3226</v>
      </c>
      <c r="F2577">
        <v>85774.58</v>
      </c>
      <c r="G2577">
        <v>69911.45</v>
      </c>
      <c r="H2577">
        <v>5</v>
      </c>
    </row>
    <row r="2578" spans="1:8" x14ac:dyDescent="0.25">
      <c r="A2578" t="s">
        <v>2222</v>
      </c>
      <c r="B2578" t="s">
        <v>3215</v>
      </c>
      <c r="C2578" t="s">
        <v>3217</v>
      </c>
      <c r="D2578" t="s">
        <v>3223</v>
      </c>
      <c r="E2578" t="s">
        <v>3226</v>
      </c>
      <c r="F2578">
        <v>16158.26</v>
      </c>
      <c r="G2578">
        <v>12592.39</v>
      </c>
      <c r="H2578">
        <v>2</v>
      </c>
    </row>
    <row r="2579" spans="1:8" x14ac:dyDescent="0.25">
      <c r="A2579" t="s">
        <v>2223</v>
      </c>
      <c r="B2579" t="s">
        <v>3211</v>
      </c>
      <c r="C2579" t="s">
        <v>3217</v>
      </c>
      <c r="D2579" t="s">
        <v>3225</v>
      </c>
      <c r="E2579" t="s">
        <v>3226</v>
      </c>
      <c r="F2579">
        <v>49510.38</v>
      </c>
      <c r="G2579">
        <v>41837.35</v>
      </c>
      <c r="H2579">
        <v>3</v>
      </c>
    </row>
    <row r="2580" spans="1:8" x14ac:dyDescent="0.25">
      <c r="A2580" t="s">
        <v>2224</v>
      </c>
      <c r="B2580" t="s">
        <v>3215</v>
      </c>
      <c r="C2580" t="s">
        <v>3216</v>
      </c>
      <c r="D2580" t="s">
        <v>3223</v>
      </c>
      <c r="E2580" t="s">
        <v>3226</v>
      </c>
      <c r="F2580">
        <v>36887.480000000003</v>
      </c>
      <c r="G2580">
        <v>25769.9</v>
      </c>
      <c r="H2580">
        <v>4</v>
      </c>
    </row>
    <row r="2581" spans="1:8" x14ac:dyDescent="0.25">
      <c r="A2581" t="s">
        <v>2225</v>
      </c>
      <c r="C2581" t="s">
        <v>3219</v>
      </c>
      <c r="D2581" t="s">
        <v>3222</v>
      </c>
      <c r="E2581" t="s">
        <v>3226</v>
      </c>
      <c r="F2581">
        <v>15341.15</v>
      </c>
      <c r="G2581">
        <v>10390.15</v>
      </c>
      <c r="H2581">
        <v>1</v>
      </c>
    </row>
    <row r="2582" spans="1:8" x14ac:dyDescent="0.25">
      <c r="A2582" t="s">
        <v>205</v>
      </c>
      <c r="B2582" t="s">
        <v>3213</v>
      </c>
      <c r="C2582" t="s">
        <v>3216</v>
      </c>
      <c r="D2582" t="s">
        <v>3224</v>
      </c>
      <c r="E2582" t="s">
        <v>3226</v>
      </c>
      <c r="F2582">
        <v>207457.76</v>
      </c>
      <c r="G2582">
        <v>176988.72</v>
      </c>
      <c r="H2582">
        <v>4</v>
      </c>
    </row>
    <row r="2583" spans="1:8" x14ac:dyDescent="0.25">
      <c r="A2583" t="s">
        <v>2226</v>
      </c>
      <c r="B2583" t="s">
        <v>3211</v>
      </c>
      <c r="C2583" t="s">
        <v>3217</v>
      </c>
      <c r="D2583" t="s">
        <v>3222</v>
      </c>
      <c r="E2583" t="s">
        <v>3226</v>
      </c>
      <c r="G2583">
        <v>52790.26</v>
      </c>
      <c r="H2583">
        <v>5</v>
      </c>
    </row>
    <row r="2584" spans="1:8" x14ac:dyDescent="0.25">
      <c r="A2584" t="s">
        <v>2227</v>
      </c>
      <c r="B2584" t="s">
        <v>3214</v>
      </c>
      <c r="C2584" t="s">
        <v>3216</v>
      </c>
      <c r="D2584" t="s">
        <v>3222</v>
      </c>
      <c r="E2584" t="s">
        <v>3226</v>
      </c>
      <c r="F2584">
        <v>49465.85</v>
      </c>
      <c r="G2584">
        <v>31799.53</v>
      </c>
      <c r="H2584">
        <v>3</v>
      </c>
    </row>
    <row r="2585" spans="1:8" x14ac:dyDescent="0.25">
      <c r="A2585" t="s">
        <v>1283</v>
      </c>
      <c r="B2585" t="s">
        <v>3215</v>
      </c>
      <c r="C2585" t="s">
        <v>3217</v>
      </c>
      <c r="D2585" t="s">
        <v>3223</v>
      </c>
      <c r="E2585" t="s">
        <v>3226</v>
      </c>
      <c r="F2585">
        <v>17374.12</v>
      </c>
      <c r="G2585">
        <v>11935.74</v>
      </c>
      <c r="H2585">
        <v>2</v>
      </c>
    </row>
    <row r="2586" spans="1:8" x14ac:dyDescent="0.25">
      <c r="A2586" t="s">
        <v>2228</v>
      </c>
      <c r="B2586" t="s">
        <v>3211</v>
      </c>
      <c r="C2586" t="s">
        <v>3218</v>
      </c>
      <c r="D2586" t="s">
        <v>3224</v>
      </c>
      <c r="E2586" t="s">
        <v>3226</v>
      </c>
      <c r="F2586">
        <v>205317.1</v>
      </c>
      <c r="G2586">
        <v>139849.04</v>
      </c>
      <c r="H2586">
        <v>3</v>
      </c>
    </row>
    <row r="2587" spans="1:8" x14ac:dyDescent="0.25">
      <c r="A2587" t="s">
        <v>1917</v>
      </c>
      <c r="B2587" t="s">
        <v>3213</v>
      </c>
      <c r="C2587" t="s">
        <v>3218</v>
      </c>
      <c r="D2587" t="s">
        <v>3224</v>
      </c>
      <c r="E2587" t="s">
        <v>3226</v>
      </c>
      <c r="F2587">
        <v>225197.88</v>
      </c>
      <c r="G2587">
        <v>175646.61</v>
      </c>
      <c r="H2587">
        <v>4</v>
      </c>
    </row>
    <row r="2588" spans="1:8" x14ac:dyDescent="0.25">
      <c r="A2588" t="s">
        <v>2229</v>
      </c>
      <c r="B2588" t="s">
        <v>3214</v>
      </c>
      <c r="C2588" t="s">
        <v>3220</v>
      </c>
      <c r="D2588" t="s">
        <v>3222</v>
      </c>
      <c r="E2588" t="s">
        <v>3226</v>
      </c>
      <c r="F2588">
        <v>65749.48</v>
      </c>
      <c r="G2588">
        <v>50030.559999999998</v>
      </c>
      <c r="H2588">
        <v>5</v>
      </c>
    </row>
    <row r="2589" spans="1:8" x14ac:dyDescent="0.25">
      <c r="A2589" t="s">
        <v>2230</v>
      </c>
      <c r="B2589" t="s">
        <v>3211</v>
      </c>
      <c r="C2589" t="s">
        <v>3216</v>
      </c>
      <c r="D2589" t="s">
        <v>3223</v>
      </c>
      <c r="E2589" t="s">
        <v>3226</v>
      </c>
      <c r="F2589">
        <v>48198.59</v>
      </c>
      <c r="G2589">
        <v>36134.36</v>
      </c>
      <c r="H2589">
        <v>5</v>
      </c>
    </row>
    <row r="2590" spans="1:8" x14ac:dyDescent="0.25">
      <c r="A2590" t="s">
        <v>2231</v>
      </c>
      <c r="B2590" t="s">
        <v>3211</v>
      </c>
      <c r="C2590" t="s">
        <v>3221</v>
      </c>
      <c r="D2590" t="s">
        <v>3224</v>
      </c>
      <c r="E2590" t="s">
        <v>3226</v>
      </c>
      <c r="F2590">
        <v>62075.23</v>
      </c>
      <c r="G2590">
        <v>48232.08</v>
      </c>
      <c r="H2590">
        <v>1</v>
      </c>
    </row>
    <row r="2591" spans="1:8" x14ac:dyDescent="0.25">
      <c r="A2591" t="s">
        <v>446</v>
      </c>
      <c r="B2591" t="s">
        <v>3214</v>
      </c>
      <c r="C2591" t="s">
        <v>3216</v>
      </c>
      <c r="D2591" t="s">
        <v>3223</v>
      </c>
      <c r="E2591" t="s">
        <v>3226</v>
      </c>
      <c r="F2591">
        <v>9162.7999999999993</v>
      </c>
      <c r="G2591">
        <v>6682.61</v>
      </c>
      <c r="H2591">
        <v>1</v>
      </c>
    </row>
    <row r="2592" spans="1:8" x14ac:dyDescent="0.25">
      <c r="A2592" t="s">
        <v>2232</v>
      </c>
      <c r="C2592" t="s">
        <v>3216</v>
      </c>
      <c r="D2592" t="s">
        <v>3225</v>
      </c>
      <c r="E2592" t="s">
        <v>3226</v>
      </c>
      <c r="F2592">
        <v>91098.01</v>
      </c>
      <c r="H2592">
        <v>4</v>
      </c>
    </row>
    <row r="2593" spans="1:8" x14ac:dyDescent="0.25">
      <c r="A2593" t="s">
        <v>348</v>
      </c>
      <c r="B2593" t="s">
        <v>3215</v>
      </c>
      <c r="C2593" t="s">
        <v>3221</v>
      </c>
      <c r="D2593" t="s">
        <v>3224</v>
      </c>
      <c r="E2593" t="s">
        <v>3226</v>
      </c>
      <c r="F2593">
        <v>99460.76</v>
      </c>
      <c r="H2593">
        <v>2</v>
      </c>
    </row>
    <row r="2594" spans="1:8" x14ac:dyDescent="0.25">
      <c r="A2594" t="s">
        <v>2233</v>
      </c>
      <c r="B2594" t="s">
        <v>3215</v>
      </c>
      <c r="C2594" t="s">
        <v>3216</v>
      </c>
      <c r="D2594" t="s">
        <v>3224</v>
      </c>
      <c r="E2594" t="s">
        <v>3226</v>
      </c>
      <c r="F2594">
        <v>283471.23</v>
      </c>
      <c r="G2594">
        <v>156888.41</v>
      </c>
      <c r="H2594">
        <v>4</v>
      </c>
    </row>
    <row r="2595" spans="1:8" x14ac:dyDescent="0.25">
      <c r="A2595" t="s">
        <v>1826</v>
      </c>
      <c r="C2595" t="s">
        <v>3218</v>
      </c>
      <c r="D2595" t="s">
        <v>3223</v>
      </c>
      <c r="E2595" t="s">
        <v>3226</v>
      </c>
      <c r="F2595">
        <v>18154.919999999998</v>
      </c>
      <c r="G2595">
        <v>13868.22</v>
      </c>
      <c r="H2595">
        <v>2</v>
      </c>
    </row>
    <row r="2596" spans="1:8" x14ac:dyDescent="0.25">
      <c r="A2596" t="s">
        <v>2234</v>
      </c>
      <c r="B2596" t="s">
        <v>3212</v>
      </c>
      <c r="C2596" t="s">
        <v>3217</v>
      </c>
      <c r="D2596" t="s">
        <v>3225</v>
      </c>
      <c r="E2596" t="s">
        <v>3226</v>
      </c>
      <c r="F2596">
        <v>88108.66</v>
      </c>
      <c r="G2596">
        <v>73642.95</v>
      </c>
      <c r="H2596">
        <v>5</v>
      </c>
    </row>
    <row r="2597" spans="1:8" x14ac:dyDescent="0.25">
      <c r="A2597" t="s">
        <v>2235</v>
      </c>
      <c r="B2597" t="s">
        <v>3215</v>
      </c>
      <c r="C2597" t="s">
        <v>3219</v>
      </c>
      <c r="D2597" t="s">
        <v>3222</v>
      </c>
      <c r="E2597" t="s">
        <v>3226</v>
      </c>
      <c r="F2597">
        <v>66110.55</v>
      </c>
      <c r="G2597">
        <v>39634.019999999997</v>
      </c>
      <c r="H2597">
        <v>4</v>
      </c>
    </row>
    <row r="2598" spans="1:8" x14ac:dyDescent="0.25">
      <c r="A2598" t="s">
        <v>2236</v>
      </c>
      <c r="B2598" t="s">
        <v>3215</v>
      </c>
      <c r="C2598" t="s">
        <v>3216</v>
      </c>
      <c r="D2598" t="s">
        <v>3223</v>
      </c>
      <c r="E2598" t="s">
        <v>3226</v>
      </c>
      <c r="F2598">
        <v>59775.07</v>
      </c>
      <c r="G2598">
        <v>37817.58</v>
      </c>
      <c r="H2598">
        <v>5</v>
      </c>
    </row>
    <row r="2599" spans="1:8" x14ac:dyDescent="0.25">
      <c r="A2599" t="s">
        <v>2237</v>
      </c>
      <c r="B2599" t="s">
        <v>3211</v>
      </c>
      <c r="C2599" t="s">
        <v>3219</v>
      </c>
      <c r="D2599" t="s">
        <v>3225</v>
      </c>
      <c r="E2599" t="s">
        <v>3226</v>
      </c>
      <c r="F2599">
        <v>85968.23</v>
      </c>
      <c r="G2599">
        <v>57849.279999999999</v>
      </c>
      <c r="H2599">
        <v>4</v>
      </c>
    </row>
    <row r="2600" spans="1:8" x14ac:dyDescent="0.25">
      <c r="A2600" t="s">
        <v>2238</v>
      </c>
      <c r="B2600" t="s">
        <v>3212</v>
      </c>
      <c r="C2600" t="s">
        <v>3218</v>
      </c>
      <c r="D2600" t="s">
        <v>3225</v>
      </c>
      <c r="E2600" t="s">
        <v>3226</v>
      </c>
      <c r="F2600">
        <v>23914.28</v>
      </c>
      <c r="G2600">
        <v>15111.47</v>
      </c>
      <c r="H2600">
        <v>1</v>
      </c>
    </row>
    <row r="2601" spans="1:8" x14ac:dyDescent="0.25">
      <c r="A2601" t="s">
        <v>2239</v>
      </c>
      <c r="B2601" t="s">
        <v>3212</v>
      </c>
      <c r="C2601" t="s">
        <v>3216</v>
      </c>
      <c r="D2601" t="s">
        <v>3224</v>
      </c>
      <c r="E2601" t="s">
        <v>3226</v>
      </c>
      <c r="F2601">
        <v>352179.91</v>
      </c>
      <c r="G2601">
        <v>240396.34</v>
      </c>
      <c r="H2601">
        <v>5</v>
      </c>
    </row>
    <row r="2602" spans="1:8" x14ac:dyDescent="0.25">
      <c r="A2602" t="s">
        <v>2240</v>
      </c>
      <c r="B2602" t="s">
        <v>3212</v>
      </c>
      <c r="C2602" t="s">
        <v>3216</v>
      </c>
      <c r="D2602" t="s">
        <v>3223</v>
      </c>
      <c r="E2602" t="s">
        <v>3226</v>
      </c>
      <c r="F2602">
        <v>34342.129999999997</v>
      </c>
      <c r="H2602">
        <v>4</v>
      </c>
    </row>
    <row r="2603" spans="1:8" x14ac:dyDescent="0.25">
      <c r="A2603" t="s">
        <v>2241</v>
      </c>
      <c r="B2603" t="s">
        <v>3211</v>
      </c>
      <c r="C2603" t="s">
        <v>3221</v>
      </c>
      <c r="D2603" t="s">
        <v>3224</v>
      </c>
      <c r="E2603" t="s">
        <v>3226</v>
      </c>
      <c r="F2603">
        <v>138119.23000000001</v>
      </c>
      <c r="G2603">
        <v>79206.490000000005</v>
      </c>
      <c r="H2603">
        <v>2</v>
      </c>
    </row>
    <row r="2604" spans="1:8" x14ac:dyDescent="0.25">
      <c r="A2604" t="s">
        <v>1735</v>
      </c>
      <c r="C2604" t="s">
        <v>3216</v>
      </c>
      <c r="D2604" t="s">
        <v>3222</v>
      </c>
      <c r="E2604" t="s">
        <v>3226</v>
      </c>
      <c r="F2604">
        <v>24247.040000000001</v>
      </c>
      <c r="G2604">
        <v>18762.79</v>
      </c>
      <c r="H2604">
        <v>2</v>
      </c>
    </row>
    <row r="2605" spans="1:8" x14ac:dyDescent="0.25">
      <c r="A2605" t="s">
        <v>2242</v>
      </c>
      <c r="B2605" t="s">
        <v>3215</v>
      </c>
      <c r="C2605" t="s">
        <v>3220</v>
      </c>
      <c r="D2605" t="s">
        <v>3224</v>
      </c>
      <c r="E2605" t="s">
        <v>3226</v>
      </c>
      <c r="F2605">
        <v>65403.82</v>
      </c>
      <c r="G2605">
        <v>41226.29</v>
      </c>
      <c r="H2605">
        <v>1</v>
      </c>
    </row>
    <row r="2606" spans="1:8" x14ac:dyDescent="0.25">
      <c r="A2606" t="s">
        <v>2243</v>
      </c>
      <c r="B2606" t="s">
        <v>3214</v>
      </c>
      <c r="C2606" t="s">
        <v>3221</v>
      </c>
      <c r="D2606" t="s">
        <v>3223</v>
      </c>
      <c r="E2606" t="s">
        <v>3226</v>
      </c>
      <c r="F2606">
        <v>56481.75</v>
      </c>
      <c r="G2606">
        <v>36127.050000000003</v>
      </c>
    </row>
    <row r="2607" spans="1:8" x14ac:dyDescent="0.25">
      <c r="A2607" t="s">
        <v>2244</v>
      </c>
      <c r="B2607" t="s">
        <v>3213</v>
      </c>
      <c r="C2607" t="s">
        <v>3216</v>
      </c>
      <c r="D2607" t="s">
        <v>3224</v>
      </c>
      <c r="E2607" t="s">
        <v>3226</v>
      </c>
      <c r="F2607">
        <v>102227.08</v>
      </c>
      <c r="G2607">
        <v>80479.45</v>
      </c>
      <c r="H2607">
        <v>2</v>
      </c>
    </row>
    <row r="2608" spans="1:8" x14ac:dyDescent="0.25">
      <c r="A2608" t="s">
        <v>2245</v>
      </c>
      <c r="B2608" t="s">
        <v>3215</v>
      </c>
      <c r="C2608" t="s">
        <v>3217</v>
      </c>
      <c r="D2608" t="s">
        <v>3223</v>
      </c>
      <c r="E2608" t="s">
        <v>3226</v>
      </c>
      <c r="F2608">
        <v>50521.82</v>
      </c>
      <c r="G2608">
        <v>35663.730000000003</v>
      </c>
      <c r="H2608">
        <v>5</v>
      </c>
    </row>
    <row r="2609" spans="1:8" x14ac:dyDescent="0.25">
      <c r="A2609" t="s">
        <v>2246</v>
      </c>
      <c r="B2609" t="s">
        <v>3215</v>
      </c>
      <c r="C2609" t="s">
        <v>3217</v>
      </c>
      <c r="D2609" t="s">
        <v>3222</v>
      </c>
      <c r="E2609" t="s">
        <v>3226</v>
      </c>
      <c r="F2609">
        <v>13734.2</v>
      </c>
      <c r="G2609">
        <v>10983.59</v>
      </c>
      <c r="H2609">
        <v>1</v>
      </c>
    </row>
    <row r="2610" spans="1:8" x14ac:dyDescent="0.25">
      <c r="A2610" t="s">
        <v>2247</v>
      </c>
      <c r="C2610" t="s">
        <v>3216</v>
      </c>
      <c r="D2610" t="s">
        <v>3224</v>
      </c>
      <c r="E2610" t="s">
        <v>3226</v>
      </c>
      <c r="F2610">
        <v>97080.81</v>
      </c>
      <c r="G2610">
        <v>80139.34</v>
      </c>
      <c r="H2610">
        <v>2</v>
      </c>
    </row>
    <row r="2611" spans="1:8" x14ac:dyDescent="0.25">
      <c r="A2611" t="s">
        <v>2248</v>
      </c>
      <c r="C2611" t="s">
        <v>3219</v>
      </c>
      <c r="D2611" t="s">
        <v>3222</v>
      </c>
      <c r="E2611" t="s">
        <v>3226</v>
      </c>
      <c r="F2611">
        <v>31764.42</v>
      </c>
      <c r="G2611">
        <v>20778.84</v>
      </c>
      <c r="H2611">
        <v>2</v>
      </c>
    </row>
    <row r="2612" spans="1:8" x14ac:dyDescent="0.25">
      <c r="A2612" t="s">
        <v>2249</v>
      </c>
      <c r="B2612" t="s">
        <v>3213</v>
      </c>
      <c r="C2612" t="s">
        <v>3221</v>
      </c>
      <c r="D2612" t="s">
        <v>3223</v>
      </c>
      <c r="E2612" t="s">
        <v>3226</v>
      </c>
      <c r="F2612">
        <v>43771.86</v>
      </c>
      <c r="G2612">
        <v>35796.639999999999</v>
      </c>
      <c r="H2612">
        <v>5</v>
      </c>
    </row>
    <row r="2613" spans="1:8" x14ac:dyDescent="0.25">
      <c r="A2613" t="s">
        <v>2250</v>
      </c>
      <c r="B2613" t="s">
        <v>3215</v>
      </c>
      <c r="C2613" t="s">
        <v>3219</v>
      </c>
      <c r="D2613" t="s">
        <v>3225</v>
      </c>
      <c r="E2613" t="s">
        <v>3226</v>
      </c>
      <c r="F2613">
        <v>43757.68</v>
      </c>
      <c r="G2613">
        <v>24075.53</v>
      </c>
      <c r="H2613">
        <v>2</v>
      </c>
    </row>
    <row r="2614" spans="1:8" x14ac:dyDescent="0.25">
      <c r="A2614" t="s">
        <v>2251</v>
      </c>
      <c r="B2614" t="s">
        <v>3215</v>
      </c>
      <c r="C2614" t="s">
        <v>3221</v>
      </c>
      <c r="D2614" t="s">
        <v>3224</v>
      </c>
      <c r="E2614" t="s">
        <v>3226</v>
      </c>
      <c r="F2614">
        <v>57568.92</v>
      </c>
      <c r="G2614">
        <v>39219.449999999997</v>
      </c>
      <c r="H2614">
        <v>1</v>
      </c>
    </row>
    <row r="2615" spans="1:8" x14ac:dyDescent="0.25">
      <c r="A2615" t="s">
        <v>2252</v>
      </c>
      <c r="C2615" t="s">
        <v>3216</v>
      </c>
      <c r="D2615" t="s">
        <v>3223</v>
      </c>
      <c r="E2615" t="s">
        <v>3226</v>
      </c>
      <c r="F2615">
        <v>47155.8</v>
      </c>
      <c r="G2615">
        <v>29033.49</v>
      </c>
      <c r="H2615">
        <v>4</v>
      </c>
    </row>
    <row r="2616" spans="1:8" x14ac:dyDescent="0.25">
      <c r="A2616" t="s">
        <v>2253</v>
      </c>
      <c r="B2616" t="s">
        <v>3213</v>
      </c>
      <c r="C2616" t="s">
        <v>3220</v>
      </c>
      <c r="D2616" t="s">
        <v>3225</v>
      </c>
      <c r="E2616" t="s">
        <v>3226</v>
      </c>
      <c r="F2616">
        <v>48796.15</v>
      </c>
      <c r="G2616">
        <v>41657.72</v>
      </c>
      <c r="H2616">
        <v>3</v>
      </c>
    </row>
    <row r="2617" spans="1:8" x14ac:dyDescent="0.25">
      <c r="A2617" t="s">
        <v>2254</v>
      </c>
      <c r="B2617" t="s">
        <v>3214</v>
      </c>
      <c r="C2617" t="s">
        <v>3217</v>
      </c>
      <c r="D2617" t="s">
        <v>3223</v>
      </c>
      <c r="E2617" t="s">
        <v>3226</v>
      </c>
      <c r="F2617">
        <v>19760.96</v>
      </c>
      <c r="G2617">
        <v>15272.11</v>
      </c>
      <c r="H2617">
        <v>2</v>
      </c>
    </row>
    <row r="2618" spans="1:8" x14ac:dyDescent="0.25">
      <c r="A2618" t="s">
        <v>2255</v>
      </c>
      <c r="B2618" t="s">
        <v>3212</v>
      </c>
      <c r="C2618" t="s">
        <v>3216</v>
      </c>
      <c r="D2618" t="s">
        <v>3224</v>
      </c>
      <c r="E2618" t="s">
        <v>3226</v>
      </c>
      <c r="F2618">
        <v>54184.09</v>
      </c>
      <c r="H2618">
        <v>1</v>
      </c>
    </row>
    <row r="2619" spans="1:8" x14ac:dyDescent="0.25">
      <c r="A2619" t="s">
        <v>2256</v>
      </c>
      <c r="B2619" t="s">
        <v>3213</v>
      </c>
      <c r="C2619" t="s">
        <v>3220</v>
      </c>
      <c r="D2619" t="s">
        <v>3224</v>
      </c>
      <c r="E2619" t="s">
        <v>3226</v>
      </c>
      <c r="F2619">
        <v>287300.39</v>
      </c>
      <c r="G2619">
        <v>244467.55</v>
      </c>
      <c r="H2619">
        <v>5</v>
      </c>
    </row>
    <row r="2620" spans="1:8" x14ac:dyDescent="0.25">
      <c r="A2620" t="s">
        <v>2257</v>
      </c>
      <c r="B2620" t="s">
        <v>3215</v>
      </c>
      <c r="C2620" t="s">
        <v>3217</v>
      </c>
      <c r="D2620" t="s">
        <v>3222</v>
      </c>
      <c r="E2620" t="s">
        <v>3226</v>
      </c>
      <c r="F2620">
        <v>12740.66</v>
      </c>
      <c r="G2620">
        <v>9114.1</v>
      </c>
      <c r="H2620">
        <v>1</v>
      </c>
    </row>
    <row r="2621" spans="1:8" x14ac:dyDescent="0.25">
      <c r="A2621" t="s">
        <v>2258</v>
      </c>
      <c r="C2621" t="s">
        <v>3219</v>
      </c>
      <c r="D2621" t="s">
        <v>3223</v>
      </c>
      <c r="E2621" t="s">
        <v>3226</v>
      </c>
      <c r="F2621">
        <v>21646.62</v>
      </c>
      <c r="G2621">
        <v>15119.44</v>
      </c>
      <c r="H2621">
        <v>2</v>
      </c>
    </row>
    <row r="2622" spans="1:8" x14ac:dyDescent="0.25">
      <c r="A2622" t="s">
        <v>2259</v>
      </c>
      <c r="C2622" t="s">
        <v>3218</v>
      </c>
      <c r="D2622" t="s">
        <v>3222</v>
      </c>
      <c r="E2622" t="s">
        <v>3226</v>
      </c>
      <c r="F2622">
        <v>13340.43</v>
      </c>
      <c r="G2622">
        <v>9599.7800000000007</v>
      </c>
      <c r="H2622">
        <v>1</v>
      </c>
    </row>
    <row r="2623" spans="1:8" x14ac:dyDescent="0.25">
      <c r="A2623" t="s">
        <v>2260</v>
      </c>
      <c r="B2623" t="s">
        <v>3213</v>
      </c>
      <c r="C2623" t="s">
        <v>3221</v>
      </c>
      <c r="D2623" t="s">
        <v>3223</v>
      </c>
      <c r="E2623" t="s">
        <v>3226</v>
      </c>
      <c r="F2623">
        <v>30449.55</v>
      </c>
      <c r="G2623">
        <v>21223.51</v>
      </c>
      <c r="H2623">
        <v>3</v>
      </c>
    </row>
    <row r="2624" spans="1:8" x14ac:dyDescent="0.25">
      <c r="A2624" t="s">
        <v>2261</v>
      </c>
      <c r="B2624" t="s">
        <v>3214</v>
      </c>
      <c r="C2624" t="s">
        <v>3217</v>
      </c>
      <c r="D2624" t="s">
        <v>3222</v>
      </c>
      <c r="E2624" t="s">
        <v>3226</v>
      </c>
      <c r="F2624">
        <v>50553.57</v>
      </c>
      <c r="G2624">
        <v>28350.7</v>
      </c>
      <c r="H2624">
        <v>3</v>
      </c>
    </row>
    <row r="2625" spans="1:8" x14ac:dyDescent="0.25">
      <c r="A2625" t="s">
        <v>2262</v>
      </c>
      <c r="B2625" t="s">
        <v>3211</v>
      </c>
      <c r="C2625" t="s">
        <v>3216</v>
      </c>
      <c r="D2625" t="s">
        <v>3224</v>
      </c>
      <c r="E2625" t="s">
        <v>3226</v>
      </c>
      <c r="F2625">
        <v>64294.29</v>
      </c>
      <c r="G2625">
        <v>48255.62</v>
      </c>
      <c r="H2625">
        <v>1</v>
      </c>
    </row>
    <row r="2626" spans="1:8" x14ac:dyDescent="0.25">
      <c r="A2626" t="s">
        <v>1664</v>
      </c>
      <c r="B2626" t="s">
        <v>3212</v>
      </c>
      <c r="C2626" t="s">
        <v>3216</v>
      </c>
      <c r="D2626" t="s">
        <v>3225</v>
      </c>
      <c r="E2626" t="s">
        <v>3226</v>
      </c>
      <c r="F2626">
        <v>21331.97</v>
      </c>
      <c r="G2626">
        <v>13247.47</v>
      </c>
      <c r="H2626">
        <v>1</v>
      </c>
    </row>
    <row r="2627" spans="1:8" x14ac:dyDescent="0.25">
      <c r="A2627" t="s">
        <v>2263</v>
      </c>
      <c r="B2627" t="s">
        <v>3213</v>
      </c>
      <c r="C2627" t="s">
        <v>3218</v>
      </c>
      <c r="D2627" t="s">
        <v>3225</v>
      </c>
      <c r="E2627" t="s">
        <v>3226</v>
      </c>
      <c r="F2627">
        <v>68169.87</v>
      </c>
      <c r="G2627">
        <v>39157.269999999997</v>
      </c>
      <c r="H2627">
        <v>3</v>
      </c>
    </row>
    <row r="2628" spans="1:8" x14ac:dyDescent="0.25">
      <c r="A2628" t="s">
        <v>2264</v>
      </c>
      <c r="B2628" t="s">
        <v>3214</v>
      </c>
      <c r="C2628" t="s">
        <v>3216</v>
      </c>
      <c r="D2628" t="s">
        <v>3225</v>
      </c>
      <c r="E2628" t="s">
        <v>3226</v>
      </c>
      <c r="F2628">
        <v>95620.6</v>
      </c>
      <c r="G2628">
        <v>74921.3</v>
      </c>
      <c r="H2628">
        <v>5</v>
      </c>
    </row>
    <row r="2629" spans="1:8" x14ac:dyDescent="0.25">
      <c r="A2629" t="s">
        <v>2265</v>
      </c>
      <c r="B2629" t="s">
        <v>3212</v>
      </c>
      <c r="C2629" t="s">
        <v>3217</v>
      </c>
      <c r="D2629" t="s">
        <v>3225</v>
      </c>
      <c r="E2629" t="s">
        <v>3226</v>
      </c>
      <c r="F2629">
        <v>70257.820000000007</v>
      </c>
      <c r="G2629">
        <v>52212.06</v>
      </c>
      <c r="H2629">
        <v>4</v>
      </c>
    </row>
    <row r="2630" spans="1:8" x14ac:dyDescent="0.25">
      <c r="A2630" t="s">
        <v>2266</v>
      </c>
      <c r="B2630" t="s">
        <v>3212</v>
      </c>
      <c r="C2630" t="s">
        <v>3219</v>
      </c>
      <c r="D2630" t="s">
        <v>3224</v>
      </c>
      <c r="E2630" t="s">
        <v>3226</v>
      </c>
      <c r="F2630">
        <v>284102.18</v>
      </c>
      <c r="G2630">
        <v>188909.56</v>
      </c>
      <c r="H2630">
        <v>4</v>
      </c>
    </row>
    <row r="2631" spans="1:8" x14ac:dyDescent="0.25">
      <c r="A2631" t="s">
        <v>2267</v>
      </c>
      <c r="B2631" t="s">
        <v>3213</v>
      </c>
      <c r="C2631" t="s">
        <v>3220</v>
      </c>
      <c r="D2631" t="s">
        <v>3224</v>
      </c>
      <c r="E2631" t="s">
        <v>3226</v>
      </c>
      <c r="F2631">
        <v>232963.67</v>
      </c>
      <c r="H2631">
        <v>4</v>
      </c>
    </row>
    <row r="2632" spans="1:8" x14ac:dyDescent="0.25">
      <c r="A2632" t="s">
        <v>2268</v>
      </c>
      <c r="B2632" t="s">
        <v>3215</v>
      </c>
      <c r="C2632" t="s">
        <v>3220</v>
      </c>
      <c r="D2632" t="s">
        <v>3224</v>
      </c>
      <c r="E2632" t="s">
        <v>3226</v>
      </c>
      <c r="F2632">
        <v>281053.21999999997</v>
      </c>
      <c r="G2632">
        <v>178490.33</v>
      </c>
      <c r="H2632">
        <v>4</v>
      </c>
    </row>
    <row r="2633" spans="1:8" x14ac:dyDescent="0.25">
      <c r="A2633" t="s">
        <v>2269</v>
      </c>
      <c r="B2633" t="s">
        <v>3211</v>
      </c>
      <c r="C2633" t="s">
        <v>3221</v>
      </c>
      <c r="D2633" t="s">
        <v>3225</v>
      </c>
      <c r="E2633" t="s">
        <v>3226</v>
      </c>
      <c r="G2633">
        <v>70364.070000000007</v>
      </c>
      <c r="H2633">
        <v>5</v>
      </c>
    </row>
    <row r="2634" spans="1:8" x14ac:dyDescent="0.25">
      <c r="A2634" t="s">
        <v>1522</v>
      </c>
      <c r="B2634" t="s">
        <v>3214</v>
      </c>
      <c r="C2634" t="s">
        <v>3217</v>
      </c>
      <c r="D2634" t="s">
        <v>3222</v>
      </c>
      <c r="E2634" t="s">
        <v>3226</v>
      </c>
      <c r="F2634">
        <v>67678.17</v>
      </c>
      <c r="G2634">
        <v>46296.75</v>
      </c>
      <c r="H2634">
        <v>5</v>
      </c>
    </row>
    <row r="2635" spans="1:8" x14ac:dyDescent="0.25">
      <c r="A2635" t="s">
        <v>2270</v>
      </c>
      <c r="B2635" t="s">
        <v>3214</v>
      </c>
      <c r="C2635" t="s">
        <v>3221</v>
      </c>
      <c r="D2635" t="s">
        <v>3223</v>
      </c>
      <c r="E2635" t="s">
        <v>3226</v>
      </c>
      <c r="F2635">
        <v>47346.21</v>
      </c>
      <c r="G2635">
        <v>38358.93</v>
      </c>
      <c r="H2635">
        <v>5</v>
      </c>
    </row>
    <row r="2636" spans="1:8" x14ac:dyDescent="0.25">
      <c r="A2636" t="s">
        <v>2271</v>
      </c>
      <c r="B2636" t="s">
        <v>3212</v>
      </c>
      <c r="C2636" t="s">
        <v>3218</v>
      </c>
      <c r="D2636" t="s">
        <v>3222</v>
      </c>
      <c r="E2636" t="s">
        <v>3226</v>
      </c>
      <c r="F2636">
        <v>61064.5</v>
      </c>
      <c r="G2636">
        <v>52950.27</v>
      </c>
      <c r="H2636">
        <v>5</v>
      </c>
    </row>
    <row r="2637" spans="1:8" x14ac:dyDescent="0.25">
      <c r="A2637" t="s">
        <v>2272</v>
      </c>
      <c r="B2637" t="s">
        <v>3211</v>
      </c>
      <c r="C2637" t="s">
        <v>3219</v>
      </c>
      <c r="D2637" t="s">
        <v>3224</v>
      </c>
      <c r="E2637" t="s">
        <v>3226</v>
      </c>
      <c r="F2637">
        <v>68103.86</v>
      </c>
      <c r="G2637">
        <v>39316.22</v>
      </c>
      <c r="H2637">
        <v>1</v>
      </c>
    </row>
    <row r="2638" spans="1:8" x14ac:dyDescent="0.25">
      <c r="A2638" t="s">
        <v>2273</v>
      </c>
      <c r="B2638" t="s">
        <v>3213</v>
      </c>
      <c r="C2638" t="s">
        <v>3219</v>
      </c>
      <c r="D2638" t="s">
        <v>3223</v>
      </c>
      <c r="E2638" t="s">
        <v>3226</v>
      </c>
      <c r="F2638">
        <v>9700.4699999999993</v>
      </c>
      <c r="H2638">
        <v>1</v>
      </c>
    </row>
    <row r="2639" spans="1:8" x14ac:dyDescent="0.25">
      <c r="A2639" t="s">
        <v>2274</v>
      </c>
      <c r="C2639" t="s">
        <v>3216</v>
      </c>
      <c r="D2639" t="s">
        <v>3223</v>
      </c>
      <c r="E2639" t="s">
        <v>3226</v>
      </c>
      <c r="F2639">
        <v>35423.620000000003</v>
      </c>
      <c r="G2639">
        <v>30343.200000000001</v>
      </c>
      <c r="H2639">
        <v>4</v>
      </c>
    </row>
    <row r="2640" spans="1:8" x14ac:dyDescent="0.25">
      <c r="A2640" t="s">
        <v>2275</v>
      </c>
      <c r="B2640" t="s">
        <v>3213</v>
      </c>
      <c r="C2640" t="s">
        <v>3220</v>
      </c>
      <c r="D2640" t="s">
        <v>3224</v>
      </c>
      <c r="E2640" t="s">
        <v>3226</v>
      </c>
      <c r="F2640">
        <v>50938.22</v>
      </c>
      <c r="G2640">
        <v>44660.95</v>
      </c>
      <c r="H2640">
        <v>1</v>
      </c>
    </row>
    <row r="2641" spans="1:8" x14ac:dyDescent="0.25">
      <c r="A2641" t="s">
        <v>1007</v>
      </c>
      <c r="B2641" t="s">
        <v>3212</v>
      </c>
      <c r="C2641" t="s">
        <v>3216</v>
      </c>
      <c r="D2641" t="s">
        <v>3224</v>
      </c>
      <c r="E2641" t="s">
        <v>3226</v>
      </c>
      <c r="F2641">
        <v>49503.77</v>
      </c>
      <c r="G2641">
        <v>46658.74</v>
      </c>
      <c r="H2641">
        <v>1</v>
      </c>
    </row>
    <row r="2642" spans="1:8" x14ac:dyDescent="0.25">
      <c r="A2642" t="s">
        <v>976</v>
      </c>
      <c r="C2642" t="s">
        <v>3220</v>
      </c>
      <c r="D2642" t="s">
        <v>3225</v>
      </c>
      <c r="E2642" t="s">
        <v>3226</v>
      </c>
      <c r="F2642">
        <v>52450.35</v>
      </c>
      <c r="G2642">
        <v>45760.58</v>
      </c>
      <c r="H2642">
        <v>3</v>
      </c>
    </row>
    <row r="2643" spans="1:8" x14ac:dyDescent="0.25">
      <c r="A2643" t="s">
        <v>716</v>
      </c>
      <c r="B2643" t="s">
        <v>3211</v>
      </c>
      <c r="C2643" t="s">
        <v>3216</v>
      </c>
      <c r="D2643" t="s">
        <v>3225</v>
      </c>
      <c r="E2643" t="s">
        <v>3226</v>
      </c>
      <c r="F2643">
        <v>32656.97</v>
      </c>
      <c r="G2643">
        <v>28564.81</v>
      </c>
      <c r="H2643">
        <v>2</v>
      </c>
    </row>
    <row r="2644" spans="1:8" x14ac:dyDescent="0.25">
      <c r="A2644" t="s">
        <v>44</v>
      </c>
      <c r="B2644" t="s">
        <v>3212</v>
      </c>
      <c r="C2644" t="s">
        <v>3217</v>
      </c>
      <c r="D2644" t="s">
        <v>3223</v>
      </c>
      <c r="E2644" t="s">
        <v>3226</v>
      </c>
      <c r="F2644">
        <v>21124.57</v>
      </c>
      <c r="H2644">
        <v>2</v>
      </c>
    </row>
    <row r="2645" spans="1:8" x14ac:dyDescent="0.25">
      <c r="A2645" t="s">
        <v>2276</v>
      </c>
      <c r="B2645" t="s">
        <v>3212</v>
      </c>
      <c r="C2645" t="s">
        <v>3218</v>
      </c>
      <c r="D2645" t="s">
        <v>3223</v>
      </c>
      <c r="E2645" t="s">
        <v>3226</v>
      </c>
      <c r="F2645">
        <v>25870.07</v>
      </c>
      <c r="G2645">
        <v>18955.740000000002</v>
      </c>
      <c r="H2645">
        <v>3</v>
      </c>
    </row>
    <row r="2646" spans="1:8" x14ac:dyDescent="0.25">
      <c r="A2646" t="s">
        <v>2277</v>
      </c>
      <c r="B2646" t="s">
        <v>3213</v>
      </c>
      <c r="C2646" t="s">
        <v>3218</v>
      </c>
      <c r="D2646" t="s">
        <v>3225</v>
      </c>
      <c r="E2646" t="s">
        <v>3226</v>
      </c>
      <c r="F2646">
        <v>18831.060000000001</v>
      </c>
      <c r="G2646">
        <v>14165.22</v>
      </c>
      <c r="H2646">
        <v>1</v>
      </c>
    </row>
    <row r="2647" spans="1:8" x14ac:dyDescent="0.25">
      <c r="A2647" t="s">
        <v>2278</v>
      </c>
      <c r="B2647" t="s">
        <v>3214</v>
      </c>
      <c r="C2647" t="s">
        <v>3220</v>
      </c>
      <c r="D2647" t="s">
        <v>3222</v>
      </c>
      <c r="E2647" t="s">
        <v>3226</v>
      </c>
      <c r="F2647">
        <v>41935.56</v>
      </c>
      <c r="G2647">
        <v>29268.6</v>
      </c>
      <c r="H2647">
        <v>3</v>
      </c>
    </row>
    <row r="2648" spans="1:8" x14ac:dyDescent="0.25">
      <c r="A2648" t="s">
        <v>2279</v>
      </c>
      <c r="C2648" t="s">
        <v>3216</v>
      </c>
      <c r="D2648" t="s">
        <v>3222</v>
      </c>
      <c r="E2648" t="s">
        <v>3226</v>
      </c>
      <c r="F2648">
        <v>67611.960000000006</v>
      </c>
      <c r="G2648">
        <v>34892.550000000003</v>
      </c>
      <c r="H2648">
        <v>4</v>
      </c>
    </row>
    <row r="2649" spans="1:8" x14ac:dyDescent="0.25">
      <c r="A2649" t="s">
        <v>1726</v>
      </c>
      <c r="C2649" t="s">
        <v>3217</v>
      </c>
      <c r="D2649" t="s">
        <v>3222</v>
      </c>
      <c r="E2649" t="s">
        <v>3226</v>
      </c>
      <c r="F2649">
        <v>25425.79</v>
      </c>
      <c r="G2649">
        <v>20349.57</v>
      </c>
      <c r="H2649">
        <v>2</v>
      </c>
    </row>
    <row r="2650" spans="1:8" x14ac:dyDescent="0.25">
      <c r="A2650" t="s">
        <v>765</v>
      </c>
      <c r="B2650" t="s">
        <v>3214</v>
      </c>
      <c r="C2650" t="s">
        <v>3216</v>
      </c>
      <c r="D2650" t="s">
        <v>3224</v>
      </c>
      <c r="E2650" t="s">
        <v>3226</v>
      </c>
      <c r="F2650">
        <v>65349.599999999999</v>
      </c>
      <c r="G2650">
        <v>44246.559999999998</v>
      </c>
      <c r="H2650">
        <v>1</v>
      </c>
    </row>
    <row r="2651" spans="1:8" x14ac:dyDescent="0.25">
      <c r="A2651" t="s">
        <v>476</v>
      </c>
      <c r="B2651" t="s">
        <v>3213</v>
      </c>
      <c r="C2651" t="s">
        <v>3219</v>
      </c>
      <c r="D2651" t="s">
        <v>3223</v>
      </c>
      <c r="E2651" t="s">
        <v>3226</v>
      </c>
      <c r="F2651">
        <v>58145.55</v>
      </c>
      <c r="G2651">
        <v>30506.58</v>
      </c>
      <c r="H2651">
        <v>5</v>
      </c>
    </row>
    <row r="2652" spans="1:8" x14ac:dyDescent="0.25">
      <c r="A2652" t="s">
        <v>2280</v>
      </c>
      <c r="B2652" t="s">
        <v>3212</v>
      </c>
      <c r="C2652" t="s">
        <v>3217</v>
      </c>
      <c r="D2652" t="s">
        <v>3222</v>
      </c>
      <c r="E2652" t="s">
        <v>3226</v>
      </c>
      <c r="F2652">
        <v>74354.47</v>
      </c>
      <c r="G2652">
        <v>42737.99</v>
      </c>
      <c r="H2652">
        <v>5</v>
      </c>
    </row>
    <row r="2653" spans="1:8" x14ac:dyDescent="0.25">
      <c r="A2653" t="s">
        <v>2281</v>
      </c>
      <c r="B2653" t="s">
        <v>3214</v>
      </c>
      <c r="C2653" t="s">
        <v>3216</v>
      </c>
      <c r="D2653" t="s">
        <v>3225</v>
      </c>
      <c r="E2653" t="s">
        <v>3226</v>
      </c>
      <c r="F2653">
        <v>101852.56</v>
      </c>
      <c r="G2653">
        <v>67808.11</v>
      </c>
      <c r="H2653">
        <v>5</v>
      </c>
    </row>
    <row r="2654" spans="1:8" x14ac:dyDescent="0.25">
      <c r="A2654" t="s">
        <v>2282</v>
      </c>
      <c r="B2654" t="s">
        <v>3213</v>
      </c>
      <c r="C2654" t="s">
        <v>3218</v>
      </c>
      <c r="D2654" t="s">
        <v>3222</v>
      </c>
      <c r="E2654" t="s">
        <v>3226</v>
      </c>
      <c r="F2654">
        <v>58656.4</v>
      </c>
      <c r="G2654">
        <v>38238.74</v>
      </c>
      <c r="H2654">
        <v>4</v>
      </c>
    </row>
    <row r="2655" spans="1:8" x14ac:dyDescent="0.25">
      <c r="A2655" t="s">
        <v>2283</v>
      </c>
      <c r="B2655" t="s">
        <v>3212</v>
      </c>
      <c r="C2655" t="s">
        <v>3221</v>
      </c>
      <c r="D2655" t="s">
        <v>3223</v>
      </c>
      <c r="E2655" t="s">
        <v>3226</v>
      </c>
      <c r="F2655">
        <v>50016.63</v>
      </c>
      <c r="G2655">
        <v>37652.86</v>
      </c>
      <c r="H2655">
        <v>5</v>
      </c>
    </row>
    <row r="2656" spans="1:8" x14ac:dyDescent="0.25">
      <c r="A2656" t="s">
        <v>2284</v>
      </c>
      <c r="C2656" t="s">
        <v>3218</v>
      </c>
      <c r="D2656" t="s">
        <v>3223</v>
      </c>
      <c r="E2656" t="s">
        <v>3226</v>
      </c>
      <c r="G2656">
        <v>19140.66</v>
      </c>
      <c r="H2656">
        <v>3</v>
      </c>
    </row>
    <row r="2657" spans="1:8" x14ac:dyDescent="0.25">
      <c r="A2657" t="s">
        <v>2285</v>
      </c>
      <c r="B2657" t="s">
        <v>3213</v>
      </c>
      <c r="C2657" t="s">
        <v>3218</v>
      </c>
      <c r="D2657" t="s">
        <v>3222</v>
      </c>
      <c r="E2657" t="s">
        <v>3226</v>
      </c>
      <c r="F2657">
        <v>27562.41</v>
      </c>
      <c r="G2657">
        <v>21879.43</v>
      </c>
      <c r="H2657">
        <v>2</v>
      </c>
    </row>
    <row r="2658" spans="1:8" x14ac:dyDescent="0.25">
      <c r="A2658" t="s">
        <v>2286</v>
      </c>
      <c r="B2658" t="s">
        <v>3211</v>
      </c>
      <c r="C2658" t="s">
        <v>3220</v>
      </c>
      <c r="D2658" t="s">
        <v>3222</v>
      </c>
      <c r="E2658" t="s">
        <v>3226</v>
      </c>
      <c r="F2658">
        <v>80589.03</v>
      </c>
      <c r="G2658">
        <v>48589.9</v>
      </c>
      <c r="H2658">
        <v>5</v>
      </c>
    </row>
    <row r="2659" spans="1:8" x14ac:dyDescent="0.25">
      <c r="A2659" t="s">
        <v>2287</v>
      </c>
      <c r="B2659" t="s">
        <v>3212</v>
      </c>
      <c r="C2659" t="s">
        <v>3219</v>
      </c>
      <c r="D2659" t="s">
        <v>3222</v>
      </c>
      <c r="E2659" t="s">
        <v>3226</v>
      </c>
      <c r="F2659">
        <v>64700.160000000003</v>
      </c>
      <c r="G2659">
        <v>46093.07</v>
      </c>
      <c r="H2659">
        <v>5</v>
      </c>
    </row>
    <row r="2660" spans="1:8" x14ac:dyDescent="0.25">
      <c r="A2660" t="s">
        <v>2071</v>
      </c>
      <c r="B2660" t="s">
        <v>3214</v>
      </c>
      <c r="C2660" t="s">
        <v>3217</v>
      </c>
      <c r="D2660" t="s">
        <v>3223</v>
      </c>
      <c r="E2660" t="s">
        <v>3226</v>
      </c>
      <c r="F2660">
        <v>49967.03</v>
      </c>
      <c r="G2660">
        <v>38191.86</v>
      </c>
      <c r="H2660">
        <v>5</v>
      </c>
    </row>
    <row r="2661" spans="1:8" x14ac:dyDescent="0.25">
      <c r="A2661" t="s">
        <v>2288</v>
      </c>
      <c r="B2661" t="s">
        <v>3211</v>
      </c>
      <c r="C2661" t="s">
        <v>3217</v>
      </c>
      <c r="D2661" t="s">
        <v>3222</v>
      </c>
      <c r="E2661" t="s">
        <v>3226</v>
      </c>
      <c r="F2661">
        <v>81777.100000000006</v>
      </c>
      <c r="G2661">
        <v>43042.04</v>
      </c>
      <c r="H2661">
        <v>5</v>
      </c>
    </row>
    <row r="2662" spans="1:8" x14ac:dyDescent="0.25">
      <c r="A2662" t="s">
        <v>2289</v>
      </c>
      <c r="B2662" t="s">
        <v>3211</v>
      </c>
      <c r="C2662" t="s">
        <v>3217</v>
      </c>
      <c r="D2662" t="s">
        <v>3222</v>
      </c>
      <c r="E2662" t="s">
        <v>3226</v>
      </c>
      <c r="F2662">
        <v>42040.55</v>
      </c>
      <c r="H2662">
        <v>3</v>
      </c>
    </row>
    <row r="2663" spans="1:8" x14ac:dyDescent="0.25">
      <c r="A2663" t="s">
        <v>2290</v>
      </c>
      <c r="B2663" t="s">
        <v>3211</v>
      </c>
      <c r="C2663" t="s">
        <v>3221</v>
      </c>
      <c r="D2663" t="s">
        <v>3223</v>
      </c>
      <c r="E2663" t="s">
        <v>3226</v>
      </c>
      <c r="F2663">
        <v>32802.019999999997</v>
      </c>
      <c r="G2663">
        <v>25175.8</v>
      </c>
      <c r="H2663">
        <v>4</v>
      </c>
    </row>
    <row r="2664" spans="1:8" x14ac:dyDescent="0.25">
      <c r="A2664" t="s">
        <v>531</v>
      </c>
      <c r="B2664" t="s">
        <v>3213</v>
      </c>
      <c r="C2664" t="s">
        <v>3221</v>
      </c>
      <c r="D2664" t="s">
        <v>3224</v>
      </c>
      <c r="E2664" t="s">
        <v>3226</v>
      </c>
      <c r="F2664">
        <v>160757.29</v>
      </c>
      <c r="G2664">
        <v>136867.68</v>
      </c>
      <c r="H2664">
        <v>3</v>
      </c>
    </row>
    <row r="2665" spans="1:8" x14ac:dyDescent="0.25">
      <c r="A2665" t="s">
        <v>2291</v>
      </c>
      <c r="B2665" t="s">
        <v>3214</v>
      </c>
      <c r="C2665" t="s">
        <v>3216</v>
      </c>
      <c r="D2665" t="s">
        <v>3225</v>
      </c>
      <c r="E2665" t="s">
        <v>3226</v>
      </c>
      <c r="F2665">
        <v>62813.32</v>
      </c>
      <c r="G2665">
        <v>44648.47</v>
      </c>
      <c r="H2665">
        <v>3</v>
      </c>
    </row>
    <row r="2666" spans="1:8" x14ac:dyDescent="0.25">
      <c r="A2666" t="s">
        <v>2292</v>
      </c>
      <c r="C2666" t="s">
        <v>3219</v>
      </c>
      <c r="D2666" t="s">
        <v>3224</v>
      </c>
      <c r="E2666" t="s">
        <v>3226</v>
      </c>
      <c r="F2666">
        <v>329962.34000000003</v>
      </c>
    </row>
    <row r="2667" spans="1:8" x14ac:dyDescent="0.25">
      <c r="A2667" t="s">
        <v>2293</v>
      </c>
      <c r="B2667" t="s">
        <v>3213</v>
      </c>
      <c r="C2667" t="s">
        <v>3217</v>
      </c>
      <c r="D2667" t="s">
        <v>3222</v>
      </c>
      <c r="E2667" t="s">
        <v>3226</v>
      </c>
      <c r="F2667">
        <v>34598.36</v>
      </c>
      <c r="G2667">
        <v>20370.8</v>
      </c>
      <c r="H2667">
        <v>2</v>
      </c>
    </row>
    <row r="2668" spans="1:8" x14ac:dyDescent="0.25">
      <c r="A2668" t="s">
        <v>2294</v>
      </c>
      <c r="B2668" t="s">
        <v>3212</v>
      </c>
      <c r="C2668" t="s">
        <v>3216</v>
      </c>
      <c r="D2668" t="s">
        <v>3224</v>
      </c>
      <c r="E2668" t="s">
        <v>3226</v>
      </c>
      <c r="F2668">
        <v>280671.26</v>
      </c>
      <c r="G2668">
        <v>196291.84</v>
      </c>
      <c r="H2668">
        <v>5</v>
      </c>
    </row>
    <row r="2669" spans="1:8" x14ac:dyDescent="0.25">
      <c r="A2669" t="s">
        <v>2295</v>
      </c>
      <c r="B2669" t="s">
        <v>3215</v>
      </c>
      <c r="C2669" t="s">
        <v>3219</v>
      </c>
      <c r="D2669" t="s">
        <v>3223</v>
      </c>
      <c r="E2669" t="s">
        <v>3226</v>
      </c>
      <c r="F2669">
        <v>34569.18</v>
      </c>
      <c r="G2669">
        <v>18033.3</v>
      </c>
      <c r="H2669">
        <v>3</v>
      </c>
    </row>
    <row r="2670" spans="1:8" x14ac:dyDescent="0.25">
      <c r="A2670" t="s">
        <v>2296</v>
      </c>
      <c r="B2670" t="s">
        <v>3214</v>
      </c>
      <c r="C2670" t="s">
        <v>3221</v>
      </c>
      <c r="D2670" t="s">
        <v>3224</v>
      </c>
      <c r="E2670" t="s">
        <v>3226</v>
      </c>
      <c r="F2670">
        <v>241964.13</v>
      </c>
      <c r="G2670">
        <v>237605.59</v>
      </c>
      <c r="H2670">
        <v>5</v>
      </c>
    </row>
    <row r="2671" spans="1:8" x14ac:dyDescent="0.25">
      <c r="A2671" t="s">
        <v>2297</v>
      </c>
      <c r="B2671" t="s">
        <v>3213</v>
      </c>
      <c r="C2671" t="s">
        <v>3218</v>
      </c>
      <c r="D2671" t="s">
        <v>3224</v>
      </c>
      <c r="E2671" t="s">
        <v>3226</v>
      </c>
      <c r="F2671">
        <v>110802.74</v>
      </c>
      <c r="G2671">
        <v>95553.81</v>
      </c>
      <c r="H2671">
        <v>2</v>
      </c>
    </row>
    <row r="2672" spans="1:8" x14ac:dyDescent="0.25">
      <c r="A2672" t="s">
        <v>2298</v>
      </c>
      <c r="B2672" t="s">
        <v>3211</v>
      </c>
      <c r="C2672" t="s">
        <v>3216</v>
      </c>
      <c r="D2672" t="s">
        <v>3225</v>
      </c>
      <c r="E2672" t="s">
        <v>3226</v>
      </c>
      <c r="F2672">
        <v>20213.240000000002</v>
      </c>
      <c r="G2672">
        <v>14336.27</v>
      </c>
      <c r="H2672">
        <v>1</v>
      </c>
    </row>
    <row r="2673" spans="1:8" x14ac:dyDescent="0.25">
      <c r="A2673" t="s">
        <v>214</v>
      </c>
      <c r="B2673" t="s">
        <v>3212</v>
      </c>
      <c r="C2673" t="s">
        <v>3221</v>
      </c>
      <c r="D2673" t="s">
        <v>3223</v>
      </c>
      <c r="E2673" t="s">
        <v>3226</v>
      </c>
      <c r="F2673">
        <v>34571.08</v>
      </c>
      <c r="G2673">
        <v>19615.759999999998</v>
      </c>
      <c r="H2673">
        <v>3</v>
      </c>
    </row>
    <row r="2674" spans="1:8" x14ac:dyDescent="0.25">
      <c r="A2674" t="s">
        <v>2299</v>
      </c>
      <c r="B2674" t="s">
        <v>3215</v>
      </c>
      <c r="C2674" t="s">
        <v>3220</v>
      </c>
      <c r="D2674" t="s">
        <v>3223</v>
      </c>
      <c r="E2674" t="s">
        <v>3226</v>
      </c>
      <c r="F2674">
        <v>40462.720000000001</v>
      </c>
      <c r="H2674">
        <v>5</v>
      </c>
    </row>
    <row r="2675" spans="1:8" x14ac:dyDescent="0.25">
      <c r="A2675" t="s">
        <v>2300</v>
      </c>
      <c r="B2675" t="s">
        <v>3212</v>
      </c>
      <c r="C2675" t="s">
        <v>3219</v>
      </c>
      <c r="D2675" t="s">
        <v>3222</v>
      </c>
      <c r="E2675" t="s">
        <v>3226</v>
      </c>
      <c r="F2675">
        <v>48170.69</v>
      </c>
      <c r="G2675">
        <v>32466.34</v>
      </c>
      <c r="H2675">
        <v>3</v>
      </c>
    </row>
    <row r="2676" spans="1:8" x14ac:dyDescent="0.25">
      <c r="A2676" t="s">
        <v>1633</v>
      </c>
      <c r="B2676" t="s">
        <v>3212</v>
      </c>
      <c r="C2676" t="s">
        <v>3218</v>
      </c>
      <c r="D2676" t="s">
        <v>3222</v>
      </c>
      <c r="E2676" t="s">
        <v>3226</v>
      </c>
      <c r="F2676">
        <v>30724.39</v>
      </c>
      <c r="G2676">
        <v>21263.919999999998</v>
      </c>
      <c r="H2676">
        <v>2</v>
      </c>
    </row>
    <row r="2677" spans="1:8" x14ac:dyDescent="0.25">
      <c r="A2677" t="s">
        <v>2301</v>
      </c>
      <c r="B2677" t="s">
        <v>3212</v>
      </c>
      <c r="C2677" t="s">
        <v>3216</v>
      </c>
      <c r="D2677" t="s">
        <v>3224</v>
      </c>
      <c r="E2677" t="s">
        <v>3226</v>
      </c>
      <c r="F2677">
        <v>54092.12</v>
      </c>
      <c r="G2677">
        <v>40832.28</v>
      </c>
      <c r="H2677">
        <v>1</v>
      </c>
    </row>
    <row r="2678" spans="1:8" x14ac:dyDescent="0.25">
      <c r="A2678" t="s">
        <v>2302</v>
      </c>
      <c r="B2678" t="s">
        <v>3212</v>
      </c>
      <c r="C2678" t="s">
        <v>3220</v>
      </c>
      <c r="D2678" t="s">
        <v>3223</v>
      </c>
      <c r="E2678" t="s">
        <v>3226</v>
      </c>
      <c r="G2678">
        <v>29758.76</v>
      </c>
      <c r="H2678">
        <v>4</v>
      </c>
    </row>
    <row r="2679" spans="1:8" x14ac:dyDescent="0.25">
      <c r="A2679" t="s">
        <v>2303</v>
      </c>
      <c r="B2679" t="s">
        <v>3212</v>
      </c>
      <c r="C2679" t="s">
        <v>3219</v>
      </c>
      <c r="D2679" t="s">
        <v>3222</v>
      </c>
      <c r="E2679" t="s">
        <v>3226</v>
      </c>
      <c r="F2679">
        <v>84086.33</v>
      </c>
      <c r="G2679">
        <v>49743.77</v>
      </c>
      <c r="H2679">
        <v>5</v>
      </c>
    </row>
    <row r="2680" spans="1:8" x14ac:dyDescent="0.25">
      <c r="A2680" t="s">
        <v>2304</v>
      </c>
      <c r="C2680" t="s">
        <v>3221</v>
      </c>
      <c r="D2680" t="s">
        <v>3225</v>
      </c>
      <c r="E2680" t="s">
        <v>3226</v>
      </c>
      <c r="F2680">
        <v>80977.179999999993</v>
      </c>
      <c r="G2680">
        <v>56128.26</v>
      </c>
      <c r="H2680">
        <v>4</v>
      </c>
    </row>
    <row r="2681" spans="1:8" x14ac:dyDescent="0.25">
      <c r="A2681" t="s">
        <v>2305</v>
      </c>
      <c r="B2681" t="s">
        <v>3212</v>
      </c>
      <c r="C2681" t="s">
        <v>3220</v>
      </c>
      <c r="D2681" t="s">
        <v>3222</v>
      </c>
      <c r="E2681" t="s">
        <v>3226</v>
      </c>
      <c r="F2681">
        <v>12747.41</v>
      </c>
      <c r="G2681">
        <v>9546.5400000000009</v>
      </c>
      <c r="H2681">
        <v>1</v>
      </c>
    </row>
    <row r="2682" spans="1:8" x14ac:dyDescent="0.25">
      <c r="A2682" t="s">
        <v>2306</v>
      </c>
      <c r="B2682" t="s">
        <v>3213</v>
      </c>
      <c r="C2682" t="s">
        <v>3218</v>
      </c>
      <c r="D2682" t="s">
        <v>3224</v>
      </c>
      <c r="E2682" t="s">
        <v>3226</v>
      </c>
      <c r="F2682">
        <v>101031.66</v>
      </c>
      <c r="G2682">
        <v>82989.16</v>
      </c>
      <c r="H2682">
        <v>2</v>
      </c>
    </row>
    <row r="2683" spans="1:8" x14ac:dyDescent="0.25">
      <c r="A2683" t="s">
        <v>2077</v>
      </c>
      <c r="C2683" t="s">
        <v>3220</v>
      </c>
      <c r="D2683" t="s">
        <v>3222</v>
      </c>
      <c r="E2683" t="s">
        <v>3226</v>
      </c>
      <c r="F2683">
        <v>83357.2</v>
      </c>
      <c r="G2683">
        <v>48749.01</v>
      </c>
      <c r="H2683">
        <v>5</v>
      </c>
    </row>
    <row r="2684" spans="1:8" x14ac:dyDescent="0.25">
      <c r="A2684" t="s">
        <v>1035</v>
      </c>
      <c r="B2684" t="s">
        <v>3211</v>
      </c>
      <c r="C2684" t="s">
        <v>3220</v>
      </c>
      <c r="D2684" t="s">
        <v>3222</v>
      </c>
      <c r="E2684" t="s">
        <v>3226</v>
      </c>
      <c r="F2684">
        <v>61137.53</v>
      </c>
      <c r="G2684">
        <v>38201.17</v>
      </c>
      <c r="H2684">
        <v>4</v>
      </c>
    </row>
    <row r="2685" spans="1:8" x14ac:dyDescent="0.25">
      <c r="A2685" t="s">
        <v>2307</v>
      </c>
      <c r="B2685" t="s">
        <v>3212</v>
      </c>
      <c r="C2685" t="s">
        <v>3221</v>
      </c>
      <c r="D2685" t="s">
        <v>3224</v>
      </c>
      <c r="E2685" t="s">
        <v>3226</v>
      </c>
      <c r="F2685">
        <v>136094.6</v>
      </c>
      <c r="H2685">
        <v>2</v>
      </c>
    </row>
    <row r="2686" spans="1:8" x14ac:dyDescent="0.25">
      <c r="A2686" t="s">
        <v>2308</v>
      </c>
      <c r="B2686" t="s">
        <v>3214</v>
      </c>
      <c r="C2686" t="s">
        <v>3221</v>
      </c>
      <c r="D2686" t="s">
        <v>3222</v>
      </c>
      <c r="E2686" t="s">
        <v>3226</v>
      </c>
      <c r="F2686">
        <v>39081.339999999997</v>
      </c>
      <c r="G2686">
        <v>28542.61</v>
      </c>
      <c r="H2686">
        <v>3</v>
      </c>
    </row>
    <row r="2687" spans="1:8" x14ac:dyDescent="0.25">
      <c r="A2687" t="s">
        <v>2309</v>
      </c>
      <c r="B2687" t="s">
        <v>3213</v>
      </c>
      <c r="C2687" t="s">
        <v>3220</v>
      </c>
      <c r="D2687" t="s">
        <v>3222</v>
      </c>
      <c r="E2687" t="s">
        <v>3226</v>
      </c>
      <c r="F2687">
        <v>14552.27</v>
      </c>
      <c r="G2687">
        <v>10007.85</v>
      </c>
      <c r="H2687">
        <v>1</v>
      </c>
    </row>
    <row r="2688" spans="1:8" x14ac:dyDescent="0.25">
      <c r="A2688" t="s">
        <v>2310</v>
      </c>
      <c r="B2688" t="s">
        <v>3212</v>
      </c>
      <c r="C2688" t="s">
        <v>3216</v>
      </c>
      <c r="D2688" t="s">
        <v>3222</v>
      </c>
      <c r="E2688" t="s">
        <v>3226</v>
      </c>
      <c r="G2688">
        <v>25862.11</v>
      </c>
      <c r="H2688">
        <v>3</v>
      </c>
    </row>
    <row r="2689" spans="1:8" x14ac:dyDescent="0.25">
      <c r="A2689" t="s">
        <v>2311</v>
      </c>
      <c r="B2689" t="s">
        <v>3215</v>
      </c>
      <c r="C2689" t="s">
        <v>3217</v>
      </c>
      <c r="D2689" t="s">
        <v>3223</v>
      </c>
      <c r="E2689" t="s">
        <v>3226</v>
      </c>
      <c r="F2689">
        <v>47562.17</v>
      </c>
      <c r="G2689">
        <v>38051.83</v>
      </c>
      <c r="H2689">
        <v>5</v>
      </c>
    </row>
    <row r="2690" spans="1:8" x14ac:dyDescent="0.25">
      <c r="A2690" t="s">
        <v>198</v>
      </c>
      <c r="B2690" t="s">
        <v>3214</v>
      </c>
      <c r="C2690" t="s">
        <v>3216</v>
      </c>
      <c r="D2690" t="s">
        <v>3224</v>
      </c>
      <c r="E2690" t="s">
        <v>3226</v>
      </c>
      <c r="F2690">
        <v>211414.22</v>
      </c>
      <c r="G2690">
        <v>141285.93</v>
      </c>
      <c r="H2690">
        <v>3</v>
      </c>
    </row>
    <row r="2691" spans="1:8" x14ac:dyDescent="0.25">
      <c r="A2691" t="s">
        <v>2312</v>
      </c>
      <c r="B2691" t="s">
        <v>3214</v>
      </c>
      <c r="C2691" t="s">
        <v>3216</v>
      </c>
      <c r="D2691" t="s">
        <v>3224</v>
      </c>
      <c r="E2691" t="s">
        <v>3226</v>
      </c>
      <c r="F2691">
        <v>328039.11</v>
      </c>
      <c r="G2691">
        <v>239446.43</v>
      </c>
      <c r="H2691">
        <v>5</v>
      </c>
    </row>
    <row r="2692" spans="1:8" x14ac:dyDescent="0.25">
      <c r="A2692" t="s">
        <v>216</v>
      </c>
      <c r="B2692" t="s">
        <v>3213</v>
      </c>
      <c r="C2692" t="s">
        <v>3220</v>
      </c>
      <c r="D2692" t="s">
        <v>3225</v>
      </c>
      <c r="E2692" t="s">
        <v>3226</v>
      </c>
      <c r="F2692">
        <v>79441.36</v>
      </c>
      <c r="G2692">
        <v>55081.66</v>
      </c>
      <c r="H2692">
        <v>4</v>
      </c>
    </row>
    <row r="2693" spans="1:8" x14ac:dyDescent="0.25">
      <c r="A2693" t="s">
        <v>2313</v>
      </c>
      <c r="B2693" t="s">
        <v>3215</v>
      </c>
      <c r="C2693" t="s">
        <v>3217</v>
      </c>
      <c r="D2693" t="s">
        <v>3222</v>
      </c>
      <c r="E2693" t="s">
        <v>3226</v>
      </c>
      <c r="G2693">
        <v>8536.7000000000007</v>
      </c>
      <c r="H2693">
        <v>1</v>
      </c>
    </row>
    <row r="2694" spans="1:8" x14ac:dyDescent="0.25">
      <c r="A2694" t="s">
        <v>2314</v>
      </c>
      <c r="B2694" t="s">
        <v>3215</v>
      </c>
      <c r="C2694" t="s">
        <v>3218</v>
      </c>
      <c r="D2694" t="s">
        <v>3223</v>
      </c>
      <c r="E2694" t="s">
        <v>3226</v>
      </c>
      <c r="F2694">
        <v>8918.1299999999992</v>
      </c>
      <c r="G2694">
        <v>6846.58</v>
      </c>
      <c r="H2694">
        <v>1</v>
      </c>
    </row>
    <row r="2695" spans="1:8" x14ac:dyDescent="0.25">
      <c r="A2695" t="s">
        <v>2286</v>
      </c>
      <c r="B2695" t="s">
        <v>3211</v>
      </c>
      <c r="C2695" t="s">
        <v>3221</v>
      </c>
      <c r="D2695" t="s">
        <v>3225</v>
      </c>
      <c r="E2695" t="s">
        <v>3226</v>
      </c>
      <c r="F2695">
        <v>35495.32</v>
      </c>
      <c r="G2695">
        <v>29101.68</v>
      </c>
      <c r="H2695">
        <v>2</v>
      </c>
    </row>
    <row r="2696" spans="1:8" x14ac:dyDescent="0.25">
      <c r="A2696" t="s">
        <v>2140</v>
      </c>
      <c r="B2696" t="s">
        <v>3215</v>
      </c>
      <c r="C2696" t="s">
        <v>3216</v>
      </c>
      <c r="D2696" t="s">
        <v>3224</v>
      </c>
      <c r="E2696" t="s">
        <v>3226</v>
      </c>
      <c r="F2696">
        <v>338643.91</v>
      </c>
      <c r="H2696">
        <v>5</v>
      </c>
    </row>
    <row r="2697" spans="1:8" x14ac:dyDescent="0.25">
      <c r="A2697" t="s">
        <v>2106</v>
      </c>
      <c r="B2697" t="s">
        <v>3211</v>
      </c>
      <c r="C2697" t="s">
        <v>3218</v>
      </c>
      <c r="D2697" t="s">
        <v>3224</v>
      </c>
      <c r="E2697" t="s">
        <v>3226</v>
      </c>
      <c r="F2697">
        <v>126109.41</v>
      </c>
      <c r="G2697">
        <v>83348.2</v>
      </c>
      <c r="H2697">
        <v>2</v>
      </c>
    </row>
    <row r="2698" spans="1:8" x14ac:dyDescent="0.25">
      <c r="A2698" t="s">
        <v>2301</v>
      </c>
      <c r="B2698" t="s">
        <v>3214</v>
      </c>
      <c r="C2698" t="s">
        <v>3220</v>
      </c>
      <c r="D2698" t="s">
        <v>3224</v>
      </c>
      <c r="E2698" t="s">
        <v>3226</v>
      </c>
      <c r="F2698">
        <v>336936.97</v>
      </c>
      <c r="G2698">
        <v>230916.12</v>
      </c>
      <c r="H2698">
        <v>5</v>
      </c>
    </row>
    <row r="2699" spans="1:8" x14ac:dyDescent="0.25">
      <c r="A2699" t="s">
        <v>2315</v>
      </c>
      <c r="B2699" t="s">
        <v>3211</v>
      </c>
      <c r="C2699" t="s">
        <v>3219</v>
      </c>
      <c r="D2699" t="s">
        <v>3223</v>
      </c>
      <c r="E2699" t="s">
        <v>3226</v>
      </c>
      <c r="F2699">
        <v>25762.89</v>
      </c>
      <c r="H2699">
        <v>3</v>
      </c>
    </row>
    <row r="2700" spans="1:8" x14ac:dyDescent="0.25">
      <c r="A2700" t="s">
        <v>1632</v>
      </c>
      <c r="C2700" t="s">
        <v>3221</v>
      </c>
      <c r="D2700" t="s">
        <v>3222</v>
      </c>
      <c r="E2700" t="s">
        <v>3226</v>
      </c>
      <c r="F2700">
        <v>71812.33</v>
      </c>
      <c r="G2700">
        <v>46342.31</v>
      </c>
      <c r="H2700">
        <v>5</v>
      </c>
    </row>
    <row r="2701" spans="1:8" x14ac:dyDescent="0.25">
      <c r="A2701" t="s">
        <v>2316</v>
      </c>
      <c r="B2701" t="s">
        <v>3214</v>
      </c>
      <c r="C2701" t="s">
        <v>3218</v>
      </c>
      <c r="D2701" t="s">
        <v>3223</v>
      </c>
      <c r="E2701" t="s">
        <v>3226</v>
      </c>
      <c r="F2701">
        <v>8527.11</v>
      </c>
      <c r="G2701">
        <v>6844.72</v>
      </c>
      <c r="H2701">
        <v>1</v>
      </c>
    </row>
    <row r="2702" spans="1:8" x14ac:dyDescent="0.25">
      <c r="A2702" t="s">
        <v>2317</v>
      </c>
      <c r="B2702" t="s">
        <v>3212</v>
      </c>
      <c r="C2702" t="s">
        <v>3217</v>
      </c>
      <c r="D2702" t="s">
        <v>3222</v>
      </c>
      <c r="E2702" t="s">
        <v>3226</v>
      </c>
      <c r="F2702">
        <v>14479.44</v>
      </c>
      <c r="G2702">
        <v>9959.64</v>
      </c>
      <c r="H2702">
        <v>1</v>
      </c>
    </row>
    <row r="2703" spans="1:8" x14ac:dyDescent="0.25">
      <c r="A2703" t="s">
        <v>2318</v>
      </c>
      <c r="B2703" t="s">
        <v>3212</v>
      </c>
      <c r="C2703" t="s">
        <v>3216</v>
      </c>
      <c r="D2703" t="s">
        <v>3223</v>
      </c>
      <c r="E2703" t="s">
        <v>3226</v>
      </c>
      <c r="F2703">
        <v>55138.78</v>
      </c>
      <c r="G2703">
        <v>30943.08</v>
      </c>
      <c r="H2703">
        <v>5</v>
      </c>
    </row>
    <row r="2704" spans="1:8" x14ac:dyDescent="0.25">
      <c r="A2704" t="s">
        <v>2293</v>
      </c>
      <c r="B2704" t="s">
        <v>3211</v>
      </c>
      <c r="C2704" t="s">
        <v>3216</v>
      </c>
      <c r="D2704" t="s">
        <v>3222</v>
      </c>
      <c r="E2704" t="s">
        <v>3226</v>
      </c>
      <c r="F2704">
        <v>88300.32</v>
      </c>
      <c r="G2704">
        <v>44523.18</v>
      </c>
      <c r="H2704">
        <v>5</v>
      </c>
    </row>
    <row r="2705" spans="1:8" x14ac:dyDescent="0.25">
      <c r="A2705" t="s">
        <v>2319</v>
      </c>
      <c r="B2705" t="s">
        <v>3215</v>
      </c>
      <c r="C2705" t="s">
        <v>3216</v>
      </c>
      <c r="D2705" t="s">
        <v>3224</v>
      </c>
      <c r="E2705" t="s">
        <v>3226</v>
      </c>
      <c r="F2705">
        <v>350247.39</v>
      </c>
      <c r="G2705">
        <v>224017.64</v>
      </c>
      <c r="H2705">
        <v>5</v>
      </c>
    </row>
    <row r="2706" spans="1:8" x14ac:dyDescent="0.25">
      <c r="A2706" t="s">
        <v>2320</v>
      </c>
      <c r="B2706" t="s">
        <v>3214</v>
      </c>
      <c r="C2706" t="s">
        <v>3220</v>
      </c>
      <c r="D2706" t="s">
        <v>3224</v>
      </c>
      <c r="E2706" t="s">
        <v>3226</v>
      </c>
      <c r="F2706">
        <v>49496</v>
      </c>
      <c r="G2706">
        <v>40137.93</v>
      </c>
      <c r="H2706">
        <v>1</v>
      </c>
    </row>
    <row r="2707" spans="1:8" x14ac:dyDescent="0.25">
      <c r="A2707" t="s">
        <v>1617</v>
      </c>
      <c r="B2707" t="s">
        <v>3212</v>
      </c>
      <c r="C2707" t="s">
        <v>3216</v>
      </c>
      <c r="D2707" t="s">
        <v>3222</v>
      </c>
      <c r="E2707" t="s">
        <v>3226</v>
      </c>
      <c r="F2707">
        <v>32723.040000000001</v>
      </c>
      <c r="G2707">
        <v>21681.17</v>
      </c>
      <c r="H2707">
        <v>2</v>
      </c>
    </row>
    <row r="2708" spans="1:8" x14ac:dyDescent="0.25">
      <c r="A2708" t="s">
        <v>2321</v>
      </c>
      <c r="B2708" t="s">
        <v>3213</v>
      </c>
      <c r="C2708" t="s">
        <v>3221</v>
      </c>
      <c r="D2708" t="s">
        <v>3225</v>
      </c>
      <c r="E2708" t="s">
        <v>3226</v>
      </c>
      <c r="F2708">
        <v>17334.41</v>
      </c>
      <c r="G2708">
        <v>12505.64</v>
      </c>
      <c r="H2708">
        <v>1</v>
      </c>
    </row>
    <row r="2709" spans="1:8" x14ac:dyDescent="0.25">
      <c r="A2709" t="s">
        <v>2322</v>
      </c>
      <c r="B2709" t="s">
        <v>3215</v>
      </c>
      <c r="C2709" t="s">
        <v>3221</v>
      </c>
      <c r="D2709" t="s">
        <v>3222</v>
      </c>
      <c r="E2709" t="s">
        <v>3226</v>
      </c>
      <c r="G2709">
        <v>17400.59</v>
      </c>
      <c r="H2709">
        <v>2</v>
      </c>
    </row>
    <row r="2710" spans="1:8" x14ac:dyDescent="0.25">
      <c r="A2710" t="s">
        <v>2323</v>
      </c>
      <c r="B2710" t="s">
        <v>3212</v>
      </c>
      <c r="C2710" t="s">
        <v>3216</v>
      </c>
      <c r="D2710" t="s">
        <v>3224</v>
      </c>
      <c r="E2710" t="s">
        <v>3226</v>
      </c>
      <c r="F2710">
        <v>50068.29</v>
      </c>
      <c r="G2710">
        <v>40341.760000000002</v>
      </c>
      <c r="H2710">
        <v>1</v>
      </c>
    </row>
    <row r="2711" spans="1:8" x14ac:dyDescent="0.25">
      <c r="A2711" t="s">
        <v>661</v>
      </c>
      <c r="B2711" t="s">
        <v>3211</v>
      </c>
      <c r="C2711" t="s">
        <v>3219</v>
      </c>
      <c r="D2711" t="s">
        <v>3222</v>
      </c>
      <c r="E2711" t="s">
        <v>3226</v>
      </c>
      <c r="F2711">
        <v>72833.16</v>
      </c>
      <c r="G2711">
        <v>53942.37</v>
      </c>
      <c r="H2711">
        <v>5</v>
      </c>
    </row>
    <row r="2712" spans="1:8" x14ac:dyDescent="0.25">
      <c r="A2712" t="s">
        <v>2324</v>
      </c>
      <c r="B2712" t="s">
        <v>3214</v>
      </c>
      <c r="C2712" t="s">
        <v>3216</v>
      </c>
      <c r="D2712" t="s">
        <v>3222</v>
      </c>
      <c r="E2712" t="s">
        <v>3226</v>
      </c>
      <c r="F2712">
        <v>50293.48</v>
      </c>
      <c r="G2712">
        <v>32214.86</v>
      </c>
      <c r="H2712">
        <v>3</v>
      </c>
    </row>
    <row r="2713" spans="1:8" x14ac:dyDescent="0.25">
      <c r="A2713" t="s">
        <v>2325</v>
      </c>
      <c r="B2713" t="s">
        <v>3215</v>
      </c>
      <c r="C2713" t="s">
        <v>3219</v>
      </c>
      <c r="D2713" t="s">
        <v>3225</v>
      </c>
      <c r="E2713" t="s">
        <v>3226</v>
      </c>
      <c r="F2713">
        <v>82247.210000000006</v>
      </c>
      <c r="G2713">
        <v>73696</v>
      </c>
      <c r="H2713">
        <v>5</v>
      </c>
    </row>
    <row r="2714" spans="1:8" x14ac:dyDescent="0.25">
      <c r="A2714" t="s">
        <v>818</v>
      </c>
      <c r="B2714" t="s">
        <v>3214</v>
      </c>
      <c r="C2714" t="s">
        <v>3219</v>
      </c>
      <c r="D2714" t="s">
        <v>3222</v>
      </c>
      <c r="E2714" t="s">
        <v>3226</v>
      </c>
      <c r="F2714">
        <v>50550.49</v>
      </c>
      <c r="G2714">
        <v>43342.54</v>
      </c>
      <c r="H2714">
        <v>4</v>
      </c>
    </row>
    <row r="2715" spans="1:8" x14ac:dyDescent="0.25">
      <c r="A2715" t="s">
        <v>2326</v>
      </c>
      <c r="B2715" t="s">
        <v>3214</v>
      </c>
      <c r="C2715" t="s">
        <v>3220</v>
      </c>
      <c r="D2715" t="s">
        <v>3222</v>
      </c>
      <c r="E2715" t="s">
        <v>3226</v>
      </c>
      <c r="F2715">
        <v>32429.99</v>
      </c>
      <c r="G2715">
        <v>20859.32</v>
      </c>
      <c r="H2715">
        <v>2</v>
      </c>
    </row>
    <row r="2716" spans="1:8" x14ac:dyDescent="0.25">
      <c r="A2716" t="s">
        <v>2327</v>
      </c>
      <c r="C2716" t="s">
        <v>3216</v>
      </c>
      <c r="D2716" t="s">
        <v>3222</v>
      </c>
      <c r="E2716" t="s">
        <v>3226</v>
      </c>
      <c r="F2716">
        <v>15435.16</v>
      </c>
      <c r="G2716">
        <v>10413.09</v>
      </c>
      <c r="H2716">
        <v>1</v>
      </c>
    </row>
    <row r="2717" spans="1:8" x14ac:dyDescent="0.25">
      <c r="A2717" t="s">
        <v>2328</v>
      </c>
      <c r="B2717" t="s">
        <v>3214</v>
      </c>
      <c r="C2717" t="s">
        <v>3218</v>
      </c>
      <c r="D2717" t="s">
        <v>3222</v>
      </c>
      <c r="E2717" t="s">
        <v>3226</v>
      </c>
      <c r="F2717">
        <v>26644.43</v>
      </c>
      <c r="G2717">
        <v>20822.13</v>
      </c>
      <c r="H2717">
        <v>2</v>
      </c>
    </row>
    <row r="2718" spans="1:8" x14ac:dyDescent="0.25">
      <c r="A2718" t="s">
        <v>2329</v>
      </c>
      <c r="B2718" t="s">
        <v>3211</v>
      </c>
      <c r="C2718" t="s">
        <v>3219</v>
      </c>
      <c r="D2718" t="s">
        <v>3224</v>
      </c>
      <c r="E2718" t="s">
        <v>3226</v>
      </c>
      <c r="F2718">
        <v>147116.34</v>
      </c>
      <c r="H2718">
        <v>3</v>
      </c>
    </row>
    <row r="2719" spans="1:8" x14ac:dyDescent="0.25">
      <c r="A2719" t="s">
        <v>2330</v>
      </c>
      <c r="B2719" t="s">
        <v>3212</v>
      </c>
      <c r="C2719" t="s">
        <v>3218</v>
      </c>
      <c r="D2719" t="s">
        <v>3223</v>
      </c>
      <c r="E2719" t="s">
        <v>3226</v>
      </c>
      <c r="F2719">
        <v>44293.04</v>
      </c>
      <c r="G2719">
        <v>29871.72</v>
      </c>
      <c r="H2719">
        <v>4</v>
      </c>
    </row>
    <row r="2720" spans="1:8" x14ac:dyDescent="0.25">
      <c r="A2720" t="s">
        <v>2331</v>
      </c>
      <c r="B2720" t="s">
        <v>3211</v>
      </c>
      <c r="C2720" t="s">
        <v>3221</v>
      </c>
      <c r="D2720" t="s">
        <v>3225</v>
      </c>
      <c r="E2720" t="s">
        <v>3226</v>
      </c>
      <c r="F2720">
        <v>68665.36</v>
      </c>
      <c r="G2720">
        <v>57938.77</v>
      </c>
      <c r="H2720">
        <v>4</v>
      </c>
    </row>
    <row r="2721" spans="1:8" x14ac:dyDescent="0.25">
      <c r="A2721" t="s">
        <v>2332</v>
      </c>
      <c r="B2721" t="s">
        <v>3213</v>
      </c>
      <c r="C2721" t="s">
        <v>3219</v>
      </c>
      <c r="D2721" t="s">
        <v>3223</v>
      </c>
      <c r="E2721" t="s">
        <v>3226</v>
      </c>
      <c r="F2721">
        <v>11014.23</v>
      </c>
      <c r="G2721">
        <v>6264.04</v>
      </c>
      <c r="H2721">
        <v>1</v>
      </c>
    </row>
    <row r="2722" spans="1:8" x14ac:dyDescent="0.25">
      <c r="A2722" t="s">
        <v>2333</v>
      </c>
      <c r="B2722" t="s">
        <v>3211</v>
      </c>
      <c r="C2722" t="s">
        <v>3218</v>
      </c>
      <c r="D2722" t="s">
        <v>3223</v>
      </c>
      <c r="E2722" t="s">
        <v>3226</v>
      </c>
      <c r="F2722">
        <v>51571.93</v>
      </c>
      <c r="G2722">
        <v>31850.29</v>
      </c>
      <c r="H2722">
        <v>5</v>
      </c>
    </row>
    <row r="2723" spans="1:8" x14ac:dyDescent="0.25">
      <c r="A2723" t="s">
        <v>1534</v>
      </c>
      <c r="B2723" t="s">
        <v>3214</v>
      </c>
      <c r="C2723" t="s">
        <v>3219</v>
      </c>
      <c r="D2723" t="s">
        <v>3225</v>
      </c>
      <c r="E2723" t="s">
        <v>3226</v>
      </c>
      <c r="F2723">
        <v>19123.62</v>
      </c>
      <c r="G2723">
        <v>12978.92</v>
      </c>
    </row>
    <row r="2724" spans="1:8" x14ac:dyDescent="0.25">
      <c r="A2724" t="s">
        <v>2334</v>
      </c>
      <c r="B2724" t="s">
        <v>3211</v>
      </c>
      <c r="C2724" t="s">
        <v>3219</v>
      </c>
      <c r="D2724" t="s">
        <v>3225</v>
      </c>
      <c r="E2724" t="s">
        <v>3226</v>
      </c>
      <c r="F2724">
        <v>20131.28</v>
      </c>
      <c r="G2724">
        <v>14235.34</v>
      </c>
      <c r="H2724">
        <v>1</v>
      </c>
    </row>
    <row r="2725" spans="1:8" x14ac:dyDescent="0.25">
      <c r="A2725" t="s">
        <v>2335</v>
      </c>
      <c r="B2725" t="s">
        <v>3213</v>
      </c>
      <c r="C2725" t="s">
        <v>3221</v>
      </c>
      <c r="D2725" t="s">
        <v>3225</v>
      </c>
      <c r="E2725" t="s">
        <v>3226</v>
      </c>
      <c r="F2725">
        <v>103728.35</v>
      </c>
      <c r="G2725">
        <v>72452.639999999999</v>
      </c>
      <c r="H2725">
        <v>5</v>
      </c>
    </row>
    <row r="2726" spans="1:8" x14ac:dyDescent="0.25">
      <c r="A2726" t="s">
        <v>1371</v>
      </c>
      <c r="B2726" t="s">
        <v>3211</v>
      </c>
      <c r="C2726" t="s">
        <v>3217</v>
      </c>
      <c r="D2726" t="s">
        <v>3222</v>
      </c>
      <c r="E2726" t="s">
        <v>3226</v>
      </c>
      <c r="F2726">
        <v>83931.71</v>
      </c>
      <c r="G2726">
        <v>45193.41</v>
      </c>
      <c r="H2726">
        <v>5</v>
      </c>
    </row>
    <row r="2727" spans="1:8" x14ac:dyDescent="0.25">
      <c r="A2727" t="s">
        <v>2336</v>
      </c>
      <c r="B2727" t="s">
        <v>3215</v>
      </c>
      <c r="C2727" t="s">
        <v>3216</v>
      </c>
      <c r="D2727" t="s">
        <v>3225</v>
      </c>
      <c r="E2727" t="s">
        <v>3226</v>
      </c>
      <c r="F2727">
        <v>80664.78</v>
      </c>
      <c r="G2727">
        <v>59032.53</v>
      </c>
      <c r="H2727">
        <v>4</v>
      </c>
    </row>
    <row r="2728" spans="1:8" x14ac:dyDescent="0.25">
      <c r="A2728" t="s">
        <v>2337</v>
      </c>
      <c r="B2728" t="s">
        <v>3215</v>
      </c>
      <c r="C2728" t="s">
        <v>3216</v>
      </c>
      <c r="D2728" t="s">
        <v>3223</v>
      </c>
      <c r="E2728" t="s">
        <v>3226</v>
      </c>
      <c r="F2728">
        <v>41800.81</v>
      </c>
      <c r="G2728">
        <v>29619.360000000001</v>
      </c>
      <c r="H2728">
        <v>4</v>
      </c>
    </row>
    <row r="2729" spans="1:8" x14ac:dyDescent="0.25">
      <c r="A2729" t="s">
        <v>2338</v>
      </c>
      <c r="B2729" t="s">
        <v>3212</v>
      </c>
      <c r="C2729" t="s">
        <v>3216</v>
      </c>
      <c r="D2729" t="s">
        <v>3222</v>
      </c>
      <c r="E2729" t="s">
        <v>3226</v>
      </c>
      <c r="F2729">
        <v>48452.160000000003</v>
      </c>
      <c r="G2729">
        <v>26402.75</v>
      </c>
      <c r="H2729">
        <v>3</v>
      </c>
    </row>
    <row r="2730" spans="1:8" x14ac:dyDescent="0.25">
      <c r="A2730" t="s">
        <v>2339</v>
      </c>
      <c r="C2730" t="s">
        <v>3221</v>
      </c>
      <c r="D2730" t="s">
        <v>3222</v>
      </c>
      <c r="E2730" t="s">
        <v>3226</v>
      </c>
      <c r="F2730">
        <v>81079.600000000006</v>
      </c>
      <c r="G2730">
        <v>47319.81</v>
      </c>
      <c r="H2730">
        <v>5</v>
      </c>
    </row>
    <row r="2731" spans="1:8" x14ac:dyDescent="0.25">
      <c r="A2731" t="s">
        <v>2340</v>
      </c>
      <c r="B2731" t="s">
        <v>3214</v>
      </c>
      <c r="C2731" t="s">
        <v>3218</v>
      </c>
      <c r="D2731" t="s">
        <v>3222</v>
      </c>
      <c r="E2731" t="s">
        <v>3226</v>
      </c>
      <c r="F2731">
        <v>58760.4</v>
      </c>
      <c r="G2731">
        <v>35870.720000000001</v>
      </c>
      <c r="H2731">
        <v>4</v>
      </c>
    </row>
    <row r="2732" spans="1:8" x14ac:dyDescent="0.25">
      <c r="A2732" t="s">
        <v>2341</v>
      </c>
      <c r="B2732" t="s">
        <v>3212</v>
      </c>
      <c r="C2732" t="s">
        <v>3221</v>
      </c>
      <c r="D2732" t="s">
        <v>3223</v>
      </c>
      <c r="E2732" t="s">
        <v>3226</v>
      </c>
      <c r="F2732">
        <v>54717.08</v>
      </c>
      <c r="H2732">
        <v>5</v>
      </c>
    </row>
    <row r="2733" spans="1:8" x14ac:dyDescent="0.25">
      <c r="A2733" t="s">
        <v>2342</v>
      </c>
      <c r="B2733" t="s">
        <v>3214</v>
      </c>
      <c r="C2733" t="s">
        <v>3220</v>
      </c>
      <c r="D2733" t="s">
        <v>3223</v>
      </c>
      <c r="E2733" t="s">
        <v>3226</v>
      </c>
      <c r="F2733">
        <v>8430.35</v>
      </c>
      <c r="G2733">
        <v>7674.76</v>
      </c>
      <c r="H2733">
        <v>1</v>
      </c>
    </row>
    <row r="2734" spans="1:8" x14ac:dyDescent="0.25">
      <c r="A2734" t="s">
        <v>2343</v>
      </c>
      <c r="B2734" t="s">
        <v>3211</v>
      </c>
      <c r="C2734" t="s">
        <v>3221</v>
      </c>
      <c r="D2734" t="s">
        <v>3222</v>
      </c>
      <c r="E2734" t="s">
        <v>3226</v>
      </c>
      <c r="F2734">
        <v>61029.48</v>
      </c>
      <c r="G2734">
        <v>38729.870000000003</v>
      </c>
      <c r="H2734">
        <v>4</v>
      </c>
    </row>
    <row r="2735" spans="1:8" x14ac:dyDescent="0.25">
      <c r="A2735" t="s">
        <v>2344</v>
      </c>
      <c r="B2735" t="s">
        <v>3212</v>
      </c>
      <c r="C2735" t="s">
        <v>3217</v>
      </c>
      <c r="D2735" t="s">
        <v>3224</v>
      </c>
      <c r="E2735" t="s">
        <v>3226</v>
      </c>
      <c r="F2735">
        <v>130927.92</v>
      </c>
      <c r="G2735">
        <v>85442.240000000005</v>
      </c>
      <c r="H2735">
        <v>2</v>
      </c>
    </row>
    <row r="2736" spans="1:8" x14ac:dyDescent="0.25">
      <c r="A2736" t="s">
        <v>2345</v>
      </c>
      <c r="C2736" t="s">
        <v>3218</v>
      </c>
      <c r="D2736" t="s">
        <v>3224</v>
      </c>
      <c r="E2736" t="s">
        <v>3226</v>
      </c>
      <c r="F2736">
        <v>230598.76</v>
      </c>
      <c r="G2736">
        <v>163832.17000000001</v>
      </c>
      <c r="H2736">
        <v>4</v>
      </c>
    </row>
    <row r="2737" spans="1:8" x14ac:dyDescent="0.25">
      <c r="A2737" t="s">
        <v>938</v>
      </c>
      <c r="B2737" t="s">
        <v>3214</v>
      </c>
      <c r="C2737" t="s">
        <v>3220</v>
      </c>
      <c r="D2737" t="s">
        <v>3223</v>
      </c>
      <c r="E2737" t="s">
        <v>3226</v>
      </c>
      <c r="F2737">
        <v>11168.79</v>
      </c>
      <c r="G2737">
        <v>6734.55</v>
      </c>
      <c r="H2737">
        <v>1</v>
      </c>
    </row>
    <row r="2738" spans="1:8" x14ac:dyDescent="0.25">
      <c r="A2738" t="s">
        <v>2346</v>
      </c>
      <c r="B2738" t="s">
        <v>3215</v>
      </c>
      <c r="C2738" t="s">
        <v>3218</v>
      </c>
      <c r="D2738" t="s">
        <v>3222</v>
      </c>
      <c r="E2738" t="s">
        <v>3226</v>
      </c>
      <c r="F2738">
        <v>77985.289999999994</v>
      </c>
      <c r="G2738">
        <v>51260.68</v>
      </c>
      <c r="H2738">
        <v>5</v>
      </c>
    </row>
    <row r="2739" spans="1:8" x14ac:dyDescent="0.25">
      <c r="A2739" t="s">
        <v>2347</v>
      </c>
      <c r="B2739" t="s">
        <v>3212</v>
      </c>
      <c r="C2739" t="s">
        <v>3218</v>
      </c>
      <c r="D2739" t="s">
        <v>3225</v>
      </c>
      <c r="E2739" t="s">
        <v>3226</v>
      </c>
      <c r="F2739">
        <v>54005.21</v>
      </c>
      <c r="G2739">
        <v>36063.56</v>
      </c>
      <c r="H2739">
        <v>3</v>
      </c>
    </row>
    <row r="2740" spans="1:8" x14ac:dyDescent="0.25">
      <c r="A2740" t="s">
        <v>1015</v>
      </c>
      <c r="B2740" t="s">
        <v>3213</v>
      </c>
      <c r="C2740" t="s">
        <v>3219</v>
      </c>
      <c r="D2740" t="s">
        <v>3223</v>
      </c>
      <c r="E2740" t="s">
        <v>3226</v>
      </c>
      <c r="F2740">
        <v>8889.77</v>
      </c>
      <c r="G2740">
        <v>6227.93</v>
      </c>
      <c r="H2740">
        <v>1</v>
      </c>
    </row>
    <row r="2741" spans="1:8" x14ac:dyDescent="0.25">
      <c r="A2741" t="s">
        <v>944</v>
      </c>
      <c r="B2741" t="s">
        <v>3212</v>
      </c>
      <c r="C2741" t="s">
        <v>3218</v>
      </c>
      <c r="D2741" t="s">
        <v>3224</v>
      </c>
      <c r="E2741" t="s">
        <v>3226</v>
      </c>
      <c r="F2741">
        <v>106939.22</v>
      </c>
      <c r="G2741">
        <v>90984.13</v>
      </c>
      <c r="H2741">
        <v>2</v>
      </c>
    </row>
    <row r="2742" spans="1:8" x14ac:dyDescent="0.25">
      <c r="A2742" t="s">
        <v>2348</v>
      </c>
      <c r="C2742" t="s">
        <v>3220</v>
      </c>
      <c r="D2742" t="s">
        <v>3223</v>
      </c>
      <c r="E2742" t="s">
        <v>3226</v>
      </c>
      <c r="F2742">
        <v>10380.39</v>
      </c>
      <c r="G2742">
        <v>6432.22</v>
      </c>
      <c r="H2742">
        <v>1</v>
      </c>
    </row>
    <row r="2743" spans="1:8" x14ac:dyDescent="0.25">
      <c r="A2743" t="s">
        <v>2349</v>
      </c>
      <c r="B2743" t="s">
        <v>3212</v>
      </c>
      <c r="C2743" t="s">
        <v>3218</v>
      </c>
      <c r="D2743" t="s">
        <v>3225</v>
      </c>
      <c r="E2743" t="s">
        <v>3226</v>
      </c>
      <c r="F2743">
        <v>41543.129999999997</v>
      </c>
      <c r="G2743">
        <v>29873.06</v>
      </c>
      <c r="H2743">
        <v>2</v>
      </c>
    </row>
    <row r="2744" spans="1:8" x14ac:dyDescent="0.25">
      <c r="A2744" t="s">
        <v>2002</v>
      </c>
      <c r="B2744" t="s">
        <v>3213</v>
      </c>
      <c r="C2744" t="s">
        <v>3219</v>
      </c>
      <c r="D2744" t="s">
        <v>3222</v>
      </c>
      <c r="E2744" t="s">
        <v>3226</v>
      </c>
      <c r="F2744">
        <v>63542.44</v>
      </c>
      <c r="G2744">
        <v>37822.57</v>
      </c>
      <c r="H2744">
        <v>4</v>
      </c>
    </row>
    <row r="2745" spans="1:8" x14ac:dyDescent="0.25">
      <c r="A2745" t="s">
        <v>2311</v>
      </c>
      <c r="C2745" t="s">
        <v>3217</v>
      </c>
      <c r="D2745" t="s">
        <v>3223</v>
      </c>
      <c r="E2745" t="s">
        <v>3226</v>
      </c>
      <c r="F2745">
        <v>27401.31</v>
      </c>
      <c r="G2745">
        <v>21364.79</v>
      </c>
      <c r="H2745">
        <v>3</v>
      </c>
    </row>
    <row r="2746" spans="1:8" x14ac:dyDescent="0.25">
      <c r="A2746" t="s">
        <v>2350</v>
      </c>
      <c r="B2746" t="s">
        <v>3212</v>
      </c>
      <c r="C2746" t="s">
        <v>3218</v>
      </c>
      <c r="D2746" t="s">
        <v>3224</v>
      </c>
      <c r="E2746" t="s">
        <v>3226</v>
      </c>
      <c r="F2746">
        <v>191186.54</v>
      </c>
      <c r="H2746">
        <v>3</v>
      </c>
    </row>
    <row r="2747" spans="1:8" x14ac:dyDescent="0.25">
      <c r="A2747" t="s">
        <v>2351</v>
      </c>
      <c r="B2747" t="s">
        <v>3212</v>
      </c>
      <c r="C2747" t="s">
        <v>3220</v>
      </c>
      <c r="D2747" t="s">
        <v>3222</v>
      </c>
      <c r="E2747" t="s">
        <v>3226</v>
      </c>
      <c r="F2747">
        <v>42021.11</v>
      </c>
      <c r="H2747">
        <v>3</v>
      </c>
    </row>
    <row r="2748" spans="1:8" x14ac:dyDescent="0.25">
      <c r="A2748" t="s">
        <v>2352</v>
      </c>
      <c r="B2748" t="s">
        <v>3211</v>
      </c>
      <c r="C2748" t="s">
        <v>3220</v>
      </c>
      <c r="D2748" t="s">
        <v>3224</v>
      </c>
      <c r="E2748" t="s">
        <v>3226</v>
      </c>
      <c r="F2748">
        <v>334221.11</v>
      </c>
      <c r="G2748">
        <v>230586.23</v>
      </c>
      <c r="H2748">
        <v>5</v>
      </c>
    </row>
    <row r="2749" spans="1:8" x14ac:dyDescent="0.25">
      <c r="A2749" t="s">
        <v>2353</v>
      </c>
      <c r="B2749" t="s">
        <v>3214</v>
      </c>
      <c r="C2749" t="s">
        <v>3219</v>
      </c>
      <c r="D2749" t="s">
        <v>3225</v>
      </c>
      <c r="E2749" t="s">
        <v>3226</v>
      </c>
      <c r="F2749">
        <v>113257.67</v>
      </c>
      <c r="G2749">
        <v>61829.22</v>
      </c>
    </row>
    <row r="2750" spans="1:8" x14ac:dyDescent="0.25">
      <c r="A2750" t="s">
        <v>2354</v>
      </c>
      <c r="B2750" t="s">
        <v>3214</v>
      </c>
      <c r="C2750" t="s">
        <v>3218</v>
      </c>
      <c r="D2750" t="s">
        <v>3224</v>
      </c>
      <c r="E2750" t="s">
        <v>3226</v>
      </c>
      <c r="F2750">
        <v>69814.87</v>
      </c>
      <c r="G2750">
        <v>45049.32</v>
      </c>
      <c r="H2750">
        <v>1</v>
      </c>
    </row>
    <row r="2751" spans="1:8" x14ac:dyDescent="0.25">
      <c r="A2751" t="s">
        <v>2355</v>
      </c>
      <c r="B2751" t="s">
        <v>3212</v>
      </c>
      <c r="C2751" t="s">
        <v>3220</v>
      </c>
      <c r="D2751" t="s">
        <v>3223</v>
      </c>
      <c r="E2751" t="s">
        <v>3226</v>
      </c>
      <c r="F2751">
        <v>50019.6</v>
      </c>
      <c r="H2751">
        <v>5</v>
      </c>
    </row>
    <row r="2752" spans="1:8" x14ac:dyDescent="0.25">
      <c r="A2752" t="s">
        <v>2356</v>
      </c>
      <c r="C2752" t="s">
        <v>3221</v>
      </c>
      <c r="D2752" t="s">
        <v>3224</v>
      </c>
      <c r="E2752" t="s">
        <v>3226</v>
      </c>
      <c r="F2752">
        <v>123307.43</v>
      </c>
      <c r="G2752">
        <v>86807.69</v>
      </c>
      <c r="H2752">
        <v>2</v>
      </c>
    </row>
    <row r="2753" spans="1:8" x14ac:dyDescent="0.25">
      <c r="A2753" t="s">
        <v>2357</v>
      </c>
      <c r="B2753" t="s">
        <v>3212</v>
      </c>
      <c r="C2753" t="s">
        <v>3216</v>
      </c>
      <c r="D2753" t="s">
        <v>3223</v>
      </c>
      <c r="E2753" t="s">
        <v>3226</v>
      </c>
      <c r="F2753">
        <v>22561.77</v>
      </c>
      <c r="G2753">
        <v>15054.96</v>
      </c>
      <c r="H2753">
        <v>2</v>
      </c>
    </row>
    <row r="2754" spans="1:8" x14ac:dyDescent="0.25">
      <c r="A2754" t="s">
        <v>2358</v>
      </c>
      <c r="B2754" t="s">
        <v>3211</v>
      </c>
      <c r="C2754" t="s">
        <v>3219</v>
      </c>
      <c r="D2754" t="s">
        <v>3223</v>
      </c>
      <c r="E2754" t="s">
        <v>3226</v>
      </c>
      <c r="F2754">
        <v>19360.28</v>
      </c>
      <c r="G2754">
        <v>15115.01</v>
      </c>
      <c r="H2754">
        <v>2</v>
      </c>
    </row>
    <row r="2755" spans="1:8" x14ac:dyDescent="0.25">
      <c r="A2755" t="s">
        <v>2359</v>
      </c>
      <c r="B2755" t="s">
        <v>3212</v>
      </c>
      <c r="C2755" t="s">
        <v>3217</v>
      </c>
      <c r="D2755" t="s">
        <v>3225</v>
      </c>
      <c r="E2755" t="s">
        <v>3226</v>
      </c>
      <c r="F2755">
        <v>85708.01</v>
      </c>
      <c r="G2755">
        <v>64708.37</v>
      </c>
    </row>
    <row r="2756" spans="1:8" x14ac:dyDescent="0.25">
      <c r="A2756" t="s">
        <v>2360</v>
      </c>
      <c r="B2756" t="s">
        <v>3214</v>
      </c>
      <c r="C2756" t="s">
        <v>3219</v>
      </c>
      <c r="D2756" t="s">
        <v>3222</v>
      </c>
      <c r="E2756" t="s">
        <v>3226</v>
      </c>
      <c r="F2756">
        <v>16561.61</v>
      </c>
      <c r="G2756">
        <v>9941.07</v>
      </c>
      <c r="H2756">
        <v>1</v>
      </c>
    </row>
    <row r="2757" spans="1:8" x14ac:dyDescent="0.25">
      <c r="A2757" t="s">
        <v>2361</v>
      </c>
      <c r="B2757" t="s">
        <v>3215</v>
      </c>
      <c r="C2757" t="s">
        <v>3217</v>
      </c>
      <c r="D2757" t="s">
        <v>3224</v>
      </c>
      <c r="E2757" t="s">
        <v>3226</v>
      </c>
      <c r="F2757">
        <v>274949.90999999997</v>
      </c>
      <c r="G2757">
        <v>199309.68</v>
      </c>
      <c r="H2757">
        <v>5</v>
      </c>
    </row>
    <row r="2758" spans="1:8" x14ac:dyDescent="0.25">
      <c r="A2758" t="s">
        <v>1260</v>
      </c>
      <c r="B2758" t="s">
        <v>3214</v>
      </c>
      <c r="C2758" t="s">
        <v>3218</v>
      </c>
      <c r="D2758" t="s">
        <v>3224</v>
      </c>
      <c r="E2758" t="s">
        <v>3226</v>
      </c>
      <c r="F2758">
        <v>59980.31</v>
      </c>
      <c r="G2758">
        <v>45037.58</v>
      </c>
      <c r="H2758">
        <v>1</v>
      </c>
    </row>
    <row r="2759" spans="1:8" x14ac:dyDescent="0.25">
      <c r="A2759" t="s">
        <v>2362</v>
      </c>
      <c r="B2759" t="s">
        <v>3213</v>
      </c>
      <c r="C2759" t="s">
        <v>3217</v>
      </c>
      <c r="D2759" t="s">
        <v>3224</v>
      </c>
      <c r="E2759" t="s">
        <v>3226</v>
      </c>
      <c r="F2759">
        <v>141567.62</v>
      </c>
      <c r="G2759">
        <v>89610.42</v>
      </c>
    </row>
    <row r="2760" spans="1:8" x14ac:dyDescent="0.25">
      <c r="A2760" t="s">
        <v>2363</v>
      </c>
      <c r="B2760" t="s">
        <v>3214</v>
      </c>
      <c r="C2760" t="s">
        <v>3216</v>
      </c>
      <c r="D2760" t="s">
        <v>3223</v>
      </c>
      <c r="E2760" t="s">
        <v>3226</v>
      </c>
      <c r="F2760">
        <v>46031.01</v>
      </c>
      <c r="G2760">
        <v>27634.49</v>
      </c>
      <c r="H2760">
        <v>4</v>
      </c>
    </row>
    <row r="2761" spans="1:8" x14ac:dyDescent="0.25">
      <c r="A2761" t="s">
        <v>2364</v>
      </c>
      <c r="B2761" t="s">
        <v>3211</v>
      </c>
      <c r="C2761" t="s">
        <v>3219</v>
      </c>
      <c r="D2761" t="s">
        <v>3225</v>
      </c>
      <c r="E2761" t="s">
        <v>3226</v>
      </c>
      <c r="F2761">
        <v>16341.19</v>
      </c>
      <c r="G2761">
        <v>13398.29</v>
      </c>
      <c r="H2761">
        <v>1</v>
      </c>
    </row>
    <row r="2762" spans="1:8" x14ac:dyDescent="0.25">
      <c r="A2762" t="s">
        <v>2365</v>
      </c>
      <c r="B2762" t="s">
        <v>3213</v>
      </c>
      <c r="C2762" t="s">
        <v>3217</v>
      </c>
      <c r="D2762" t="s">
        <v>3223</v>
      </c>
      <c r="E2762" t="s">
        <v>3226</v>
      </c>
      <c r="F2762">
        <v>8580.6</v>
      </c>
      <c r="G2762">
        <v>6788.21</v>
      </c>
      <c r="H2762">
        <v>1</v>
      </c>
    </row>
    <row r="2763" spans="1:8" x14ac:dyDescent="0.25">
      <c r="A2763" t="s">
        <v>177</v>
      </c>
      <c r="B2763" t="s">
        <v>3212</v>
      </c>
      <c r="C2763" t="s">
        <v>3218</v>
      </c>
      <c r="D2763" t="s">
        <v>3222</v>
      </c>
      <c r="E2763" t="s">
        <v>3226</v>
      </c>
      <c r="F2763">
        <v>28794.07</v>
      </c>
      <c r="H2763">
        <v>2</v>
      </c>
    </row>
    <row r="2764" spans="1:8" x14ac:dyDescent="0.25">
      <c r="A2764" t="s">
        <v>2366</v>
      </c>
      <c r="C2764" t="s">
        <v>3217</v>
      </c>
      <c r="D2764" t="s">
        <v>3225</v>
      </c>
      <c r="E2764" t="s">
        <v>3226</v>
      </c>
      <c r="F2764">
        <v>20932.62</v>
      </c>
      <c r="G2764">
        <v>12745.57</v>
      </c>
      <c r="H2764">
        <v>1</v>
      </c>
    </row>
    <row r="2765" spans="1:8" x14ac:dyDescent="0.25">
      <c r="A2765" t="s">
        <v>2367</v>
      </c>
      <c r="B2765" t="s">
        <v>3214</v>
      </c>
      <c r="C2765" t="s">
        <v>3221</v>
      </c>
      <c r="D2765" t="s">
        <v>3223</v>
      </c>
      <c r="E2765" t="s">
        <v>3226</v>
      </c>
      <c r="F2765">
        <v>8904.4500000000007</v>
      </c>
      <c r="G2765">
        <v>5983.16</v>
      </c>
      <c r="H2765">
        <v>1</v>
      </c>
    </row>
    <row r="2766" spans="1:8" x14ac:dyDescent="0.25">
      <c r="A2766" t="s">
        <v>688</v>
      </c>
      <c r="B2766" t="s">
        <v>3211</v>
      </c>
      <c r="C2766" t="s">
        <v>3219</v>
      </c>
      <c r="D2766" t="s">
        <v>3223</v>
      </c>
      <c r="E2766" t="s">
        <v>3226</v>
      </c>
      <c r="F2766">
        <v>55107.63</v>
      </c>
      <c r="G2766">
        <v>30981.79</v>
      </c>
      <c r="H2766">
        <v>5</v>
      </c>
    </row>
    <row r="2767" spans="1:8" x14ac:dyDescent="0.25">
      <c r="A2767" t="s">
        <v>2368</v>
      </c>
      <c r="B2767" t="s">
        <v>3212</v>
      </c>
      <c r="C2767" t="s">
        <v>3217</v>
      </c>
      <c r="D2767" t="s">
        <v>3225</v>
      </c>
      <c r="E2767" t="s">
        <v>3226</v>
      </c>
      <c r="F2767">
        <v>79045.34</v>
      </c>
      <c r="G2767">
        <v>57085.15</v>
      </c>
    </row>
    <row r="2768" spans="1:8" x14ac:dyDescent="0.25">
      <c r="A2768" t="s">
        <v>2369</v>
      </c>
      <c r="B2768" t="s">
        <v>3214</v>
      </c>
      <c r="C2768" t="s">
        <v>3221</v>
      </c>
      <c r="D2768" t="s">
        <v>3223</v>
      </c>
      <c r="E2768" t="s">
        <v>3226</v>
      </c>
      <c r="F2768">
        <v>31764.58</v>
      </c>
      <c r="G2768">
        <v>22950.05</v>
      </c>
      <c r="H2768">
        <v>3</v>
      </c>
    </row>
    <row r="2769" spans="1:8" x14ac:dyDescent="0.25">
      <c r="A2769" t="s">
        <v>2370</v>
      </c>
      <c r="B2769" t="s">
        <v>3212</v>
      </c>
      <c r="C2769" t="s">
        <v>3219</v>
      </c>
      <c r="D2769" t="s">
        <v>3225</v>
      </c>
      <c r="E2769" t="s">
        <v>3226</v>
      </c>
      <c r="F2769">
        <v>64845.36</v>
      </c>
      <c r="G2769">
        <v>42347.95</v>
      </c>
      <c r="H2769">
        <v>3</v>
      </c>
    </row>
    <row r="2770" spans="1:8" x14ac:dyDescent="0.25">
      <c r="A2770" t="s">
        <v>2371</v>
      </c>
      <c r="B2770" t="s">
        <v>3213</v>
      </c>
      <c r="C2770" t="s">
        <v>3219</v>
      </c>
      <c r="D2770" t="s">
        <v>3225</v>
      </c>
      <c r="E2770" t="s">
        <v>3226</v>
      </c>
      <c r="F2770">
        <v>91143.57</v>
      </c>
      <c r="H2770">
        <v>4</v>
      </c>
    </row>
    <row r="2771" spans="1:8" x14ac:dyDescent="0.25">
      <c r="A2771" t="s">
        <v>2372</v>
      </c>
      <c r="B2771" t="s">
        <v>3211</v>
      </c>
      <c r="C2771" t="s">
        <v>3220</v>
      </c>
      <c r="D2771" t="s">
        <v>3223</v>
      </c>
      <c r="E2771" t="s">
        <v>3226</v>
      </c>
      <c r="F2771">
        <v>10196.629999999999</v>
      </c>
      <c r="G2771">
        <v>7034.11</v>
      </c>
      <c r="H2771">
        <v>1</v>
      </c>
    </row>
    <row r="2772" spans="1:8" x14ac:dyDescent="0.25">
      <c r="A2772" t="s">
        <v>2373</v>
      </c>
      <c r="B2772" t="s">
        <v>3211</v>
      </c>
      <c r="C2772" t="s">
        <v>3218</v>
      </c>
      <c r="D2772" t="s">
        <v>3224</v>
      </c>
      <c r="E2772" t="s">
        <v>3226</v>
      </c>
      <c r="F2772">
        <v>207222.26</v>
      </c>
      <c r="G2772">
        <v>179085.1</v>
      </c>
      <c r="H2772">
        <v>4</v>
      </c>
    </row>
    <row r="2773" spans="1:8" x14ac:dyDescent="0.25">
      <c r="A2773" t="s">
        <v>2374</v>
      </c>
      <c r="B2773" t="s">
        <v>3215</v>
      </c>
      <c r="C2773" t="s">
        <v>3216</v>
      </c>
      <c r="D2773" t="s">
        <v>3225</v>
      </c>
      <c r="E2773" t="s">
        <v>3226</v>
      </c>
      <c r="F2773">
        <v>62315.71</v>
      </c>
      <c r="H2773">
        <v>3</v>
      </c>
    </row>
    <row r="2774" spans="1:8" x14ac:dyDescent="0.25">
      <c r="A2774" t="s">
        <v>2375</v>
      </c>
      <c r="C2774" t="s">
        <v>3219</v>
      </c>
      <c r="D2774" t="s">
        <v>3223</v>
      </c>
      <c r="E2774" t="s">
        <v>3226</v>
      </c>
      <c r="F2774">
        <v>42280.36</v>
      </c>
      <c r="G2774">
        <v>26016.080000000002</v>
      </c>
      <c r="H2774">
        <v>4</v>
      </c>
    </row>
    <row r="2775" spans="1:8" x14ac:dyDescent="0.25">
      <c r="A2775" t="s">
        <v>2376</v>
      </c>
      <c r="B2775" t="s">
        <v>3214</v>
      </c>
      <c r="C2775" t="s">
        <v>3219</v>
      </c>
      <c r="D2775" t="s">
        <v>3225</v>
      </c>
      <c r="E2775" t="s">
        <v>3226</v>
      </c>
      <c r="F2775">
        <v>64000.66</v>
      </c>
      <c r="G2775">
        <v>55304.93</v>
      </c>
      <c r="H2775">
        <v>4</v>
      </c>
    </row>
    <row r="2776" spans="1:8" x14ac:dyDescent="0.25">
      <c r="A2776" t="s">
        <v>2377</v>
      </c>
      <c r="B2776" t="s">
        <v>3212</v>
      </c>
      <c r="C2776" t="s">
        <v>3220</v>
      </c>
      <c r="D2776" t="s">
        <v>3222</v>
      </c>
      <c r="E2776" t="s">
        <v>3226</v>
      </c>
      <c r="F2776">
        <v>48894.45</v>
      </c>
      <c r="H2776">
        <v>4</v>
      </c>
    </row>
    <row r="2777" spans="1:8" x14ac:dyDescent="0.25">
      <c r="A2777" t="s">
        <v>771</v>
      </c>
      <c r="B2777" t="s">
        <v>3214</v>
      </c>
      <c r="C2777" t="s">
        <v>3218</v>
      </c>
      <c r="D2777" t="s">
        <v>3222</v>
      </c>
      <c r="E2777" t="s">
        <v>3226</v>
      </c>
      <c r="F2777">
        <v>15527.46</v>
      </c>
      <c r="G2777">
        <v>9227.2999999999993</v>
      </c>
      <c r="H2777">
        <v>1</v>
      </c>
    </row>
    <row r="2778" spans="1:8" x14ac:dyDescent="0.25">
      <c r="A2778" t="s">
        <v>2378</v>
      </c>
      <c r="C2778" t="s">
        <v>3217</v>
      </c>
      <c r="D2778" t="s">
        <v>3224</v>
      </c>
      <c r="E2778" t="s">
        <v>3226</v>
      </c>
      <c r="F2778">
        <v>301537.48</v>
      </c>
      <c r="G2778">
        <v>243322.89</v>
      </c>
      <c r="H2778">
        <v>5</v>
      </c>
    </row>
    <row r="2779" spans="1:8" x14ac:dyDescent="0.25">
      <c r="A2779" t="s">
        <v>2379</v>
      </c>
      <c r="B2779" t="s">
        <v>3212</v>
      </c>
      <c r="C2779" t="s">
        <v>3220</v>
      </c>
      <c r="D2779" t="s">
        <v>3225</v>
      </c>
      <c r="E2779" t="s">
        <v>3226</v>
      </c>
      <c r="F2779">
        <v>49055.98</v>
      </c>
      <c r="H2779">
        <v>3</v>
      </c>
    </row>
    <row r="2780" spans="1:8" x14ac:dyDescent="0.25">
      <c r="A2780" t="s">
        <v>2380</v>
      </c>
      <c r="B2780" t="s">
        <v>3214</v>
      </c>
      <c r="C2780" t="s">
        <v>3219</v>
      </c>
      <c r="D2780" t="s">
        <v>3222</v>
      </c>
      <c r="E2780" t="s">
        <v>3226</v>
      </c>
      <c r="F2780">
        <v>31979.83</v>
      </c>
      <c r="G2780">
        <v>18049.13</v>
      </c>
      <c r="H2780">
        <v>2</v>
      </c>
    </row>
    <row r="2781" spans="1:8" x14ac:dyDescent="0.25">
      <c r="A2781" t="s">
        <v>2381</v>
      </c>
      <c r="B2781" t="s">
        <v>3212</v>
      </c>
      <c r="C2781" t="s">
        <v>3219</v>
      </c>
      <c r="D2781" t="s">
        <v>3225</v>
      </c>
      <c r="E2781" t="s">
        <v>3226</v>
      </c>
      <c r="F2781">
        <v>16001.96</v>
      </c>
      <c r="G2781">
        <v>14709.97</v>
      </c>
      <c r="H2781">
        <v>1</v>
      </c>
    </row>
    <row r="2782" spans="1:8" x14ac:dyDescent="0.25">
      <c r="A2782" t="s">
        <v>2157</v>
      </c>
      <c r="B2782" t="s">
        <v>3213</v>
      </c>
      <c r="C2782" t="s">
        <v>3218</v>
      </c>
      <c r="D2782" t="s">
        <v>3222</v>
      </c>
      <c r="E2782" t="s">
        <v>3226</v>
      </c>
      <c r="F2782">
        <v>77628.820000000007</v>
      </c>
      <c r="H2782">
        <v>5</v>
      </c>
    </row>
    <row r="2783" spans="1:8" x14ac:dyDescent="0.25">
      <c r="A2783" t="s">
        <v>2382</v>
      </c>
      <c r="B2783" t="s">
        <v>3214</v>
      </c>
      <c r="C2783" t="s">
        <v>3218</v>
      </c>
      <c r="D2783" t="s">
        <v>3224</v>
      </c>
      <c r="E2783" t="s">
        <v>3226</v>
      </c>
      <c r="F2783">
        <v>244261.31</v>
      </c>
      <c r="G2783">
        <v>241251.48</v>
      </c>
      <c r="H2783">
        <v>5</v>
      </c>
    </row>
    <row r="2784" spans="1:8" x14ac:dyDescent="0.25">
      <c r="A2784" t="s">
        <v>1293</v>
      </c>
      <c r="B2784" t="s">
        <v>3213</v>
      </c>
      <c r="C2784" t="s">
        <v>3218</v>
      </c>
      <c r="D2784" t="s">
        <v>3224</v>
      </c>
      <c r="E2784" t="s">
        <v>3226</v>
      </c>
      <c r="F2784">
        <v>128197.07</v>
      </c>
      <c r="G2784">
        <v>97915.69</v>
      </c>
      <c r="H2784">
        <v>2</v>
      </c>
    </row>
    <row r="2785" spans="1:8" x14ac:dyDescent="0.25">
      <c r="A2785" t="s">
        <v>2383</v>
      </c>
      <c r="B2785" t="s">
        <v>3213</v>
      </c>
      <c r="C2785" t="s">
        <v>3221</v>
      </c>
      <c r="D2785" t="s">
        <v>3224</v>
      </c>
      <c r="E2785" t="s">
        <v>3226</v>
      </c>
      <c r="F2785">
        <v>176185.99</v>
      </c>
      <c r="G2785">
        <v>137832.17000000001</v>
      </c>
      <c r="H2785">
        <v>3</v>
      </c>
    </row>
    <row r="2786" spans="1:8" x14ac:dyDescent="0.25">
      <c r="A2786" t="s">
        <v>957</v>
      </c>
      <c r="B2786" t="s">
        <v>3215</v>
      </c>
      <c r="C2786" t="s">
        <v>3217</v>
      </c>
      <c r="D2786" t="s">
        <v>3222</v>
      </c>
      <c r="E2786" t="s">
        <v>3226</v>
      </c>
      <c r="F2786">
        <v>51566.96</v>
      </c>
      <c r="G2786">
        <v>29772.97</v>
      </c>
      <c r="H2786">
        <v>3</v>
      </c>
    </row>
    <row r="2787" spans="1:8" x14ac:dyDescent="0.25">
      <c r="A2787" t="s">
        <v>1508</v>
      </c>
      <c r="B2787" t="s">
        <v>3215</v>
      </c>
      <c r="C2787" t="s">
        <v>3219</v>
      </c>
      <c r="D2787" t="s">
        <v>3224</v>
      </c>
      <c r="E2787" t="s">
        <v>3226</v>
      </c>
      <c r="F2787">
        <v>135374.43</v>
      </c>
      <c r="G2787">
        <v>80784.66</v>
      </c>
      <c r="H2787">
        <v>2</v>
      </c>
    </row>
    <row r="2788" spans="1:8" x14ac:dyDescent="0.25">
      <c r="A2788" t="s">
        <v>2384</v>
      </c>
      <c r="C2788" t="s">
        <v>3216</v>
      </c>
      <c r="D2788" t="s">
        <v>3224</v>
      </c>
      <c r="E2788" t="s">
        <v>3226</v>
      </c>
      <c r="F2788">
        <v>57545.43</v>
      </c>
      <c r="G2788">
        <v>41287.03</v>
      </c>
      <c r="H2788">
        <v>1</v>
      </c>
    </row>
    <row r="2789" spans="1:8" x14ac:dyDescent="0.25">
      <c r="A2789" t="s">
        <v>981</v>
      </c>
      <c r="B2789" t="s">
        <v>3214</v>
      </c>
      <c r="C2789" t="s">
        <v>3220</v>
      </c>
      <c r="D2789" t="s">
        <v>3223</v>
      </c>
      <c r="E2789" t="s">
        <v>3226</v>
      </c>
      <c r="F2789">
        <v>39587.86</v>
      </c>
      <c r="G2789">
        <v>29818.65</v>
      </c>
      <c r="H2789">
        <v>4</v>
      </c>
    </row>
    <row r="2790" spans="1:8" x14ac:dyDescent="0.25">
      <c r="A2790" t="s">
        <v>1420</v>
      </c>
      <c r="B2790" t="s">
        <v>3211</v>
      </c>
      <c r="C2790" t="s">
        <v>3219</v>
      </c>
      <c r="D2790" t="s">
        <v>3224</v>
      </c>
      <c r="E2790" t="s">
        <v>3226</v>
      </c>
      <c r="F2790">
        <v>196310.43</v>
      </c>
      <c r="H2790">
        <v>4</v>
      </c>
    </row>
    <row r="2791" spans="1:8" x14ac:dyDescent="0.25">
      <c r="A2791" t="s">
        <v>2385</v>
      </c>
      <c r="C2791" t="s">
        <v>3219</v>
      </c>
      <c r="D2791" t="s">
        <v>3225</v>
      </c>
      <c r="E2791" t="s">
        <v>3226</v>
      </c>
      <c r="F2791">
        <v>21588.23</v>
      </c>
      <c r="G2791">
        <v>13484.64</v>
      </c>
      <c r="H2791">
        <v>1</v>
      </c>
    </row>
    <row r="2792" spans="1:8" x14ac:dyDescent="0.25">
      <c r="A2792" t="s">
        <v>2386</v>
      </c>
      <c r="C2792" t="s">
        <v>3217</v>
      </c>
      <c r="D2792" t="s">
        <v>3223</v>
      </c>
      <c r="E2792" t="s">
        <v>3226</v>
      </c>
      <c r="F2792">
        <v>10320.69</v>
      </c>
      <c r="G2792">
        <v>6545.66</v>
      </c>
      <c r="H2792">
        <v>1</v>
      </c>
    </row>
    <row r="2793" spans="1:8" x14ac:dyDescent="0.25">
      <c r="A2793" t="s">
        <v>1913</v>
      </c>
      <c r="B2793" t="s">
        <v>3212</v>
      </c>
      <c r="C2793" t="s">
        <v>3219</v>
      </c>
      <c r="D2793" t="s">
        <v>3223</v>
      </c>
      <c r="E2793" t="s">
        <v>3226</v>
      </c>
      <c r="F2793">
        <v>21898.78</v>
      </c>
      <c r="G2793">
        <v>12662.91</v>
      </c>
      <c r="H2793">
        <v>2</v>
      </c>
    </row>
    <row r="2794" spans="1:8" x14ac:dyDescent="0.25">
      <c r="A2794" t="s">
        <v>2387</v>
      </c>
      <c r="B2794" t="s">
        <v>3212</v>
      </c>
      <c r="C2794" t="s">
        <v>3221</v>
      </c>
      <c r="D2794" t="s">
        <v>3224</v>
      </c>
      <c r="E2794" t="s">
        <v>3226</v>
      </c>
      <c r="G2794">
        <v>93195.520000000004</v>
      </c>
      <c r="H2794">
        <v>2</v>
      </c>
    </row>
    <row r="2795" spans="1:8" x14ac:dyDescent="0.25">
      <c r="A2795" t="s">
        <v>2388</v>
      </c>
      <c r="B2795" t="s">
        <v>3211</v>
      </c>
      <c r="C2795" t="s">
        <v>3221</v>
      </c>
      <c r="D2795" t="s">
        <v>3223</v>
      </c>
      <c r="E2795" t="s">
        <v>3226</v>
      </c>
      <c r="F2795">
        <v>27943.56</v>
      </c>
      <c r="G2795">
        <v>20369.060000000001</v>
      </c>
      <c r="H2795">
        <v>3</v>
      </c>
    </row>
    <row r="2796" spans="1:8" x14ac:dyDescent="0.25">
      <c r="A2796" t="s">
        <v>843</v>
      </c>
      <c r="B2796" t="s">
        <v>3211</v>
      </c>
      <c r="C2796" t="s">
        <v>3216</v>
      </c>
      <c r="D2796" t="s">
        <v>3222</v>
      </c>
      <c r="E2796" t="s">
        <v>3226</v>
      </c>
      <c r="F2796">
        <v>75246.679999999993</v>
      </c>
      <c r="G2796">
        <v>44153.69</v>
      </c>
      <c r="H2796">
        <v>5</v>
      </c>
    </row>
    <row r="2797" spans="1:8" x14ac:dyDescent="0.25">
      <c r="A2797" t="s">
        <v>2389</v>
      </c>
      <c r="B2797" t="s">
        <v>3215</v>
      </c>
      <c r="C2797" t="s">
        <v>3217</v>
      </c>
      <c r="D2797" t="s">
        <v>3224</v>
      </c>
      <c r="E2797" t="s">
        <v>3226</v>
      </c>
      <c r="F2797">
        <v>312870.98</v>
      </c>
      <c r="G2797">
        <v>243363.34</v>
      </c>
      <c r="H2797">
        <v>5</v>
      </c>
    </row>
    <row r="2798" spans="1:8" x14ac:dyDescent="0.25">
      <c r="A2798" t="s">
        <v>1934</v>
      </c>
      <c r="B2798" t="s">
        <v>3214</v>
      </c>
      <c r="C2798" t="s">
        <v>3216</v>
      </c>
      <c r="D2798" t="s">
        <v>3222</v>
      </c>
      <c r="E2798" t="s">
        <v>3226</v>
      </c>
      <c r="F2798">
        <v>87185.57</v>
      </c>
      <c r="G2798">
        <v>54543.99</v>
      </c>
      <c r="H2798">
        <v>5</v>
      </c>
    </row>
    <row r="2799" spans="1:8" x14ac:dyDescent="0.25">
      <c r="A2799" t="s">
        <v>2390</v>
      </c>
      <c r="B2799" t="s">
        <v>3214</v>
      </c>
      <c r="C2799" t="s">
        <v>3218</v>
      </c>
      <c r="D2799" t="s">
        <v>3222</v>
      </c>
      <c r="E2799" t="s">
        <v>3226</v>
      </c>
      <c r="F2799">
        <v>65817.039999999994</v>
      </c>
      <c r="G2799">
        <v>46801.36</v>
      </c>
      <c r="H2799">
        <v>5</v>
      </c>
    </row>
    <row r="2800" spans="1:8" x14ac:dyDescent="0.25">
      <c r="A2800" t="s">
        <v>2391</v>
      </c>
      <c r="C2800" t="s">
        <v>3216</v>
      </c>
      <c r="D2800" t="s">
        <v>3222</v>
      </c>
      <c r="E2800" t="s">
        <v>3226</v>
      </c>
      <c r="F2800">
        <v>66402.78</v>
      </c>
      <c r="G2800">
        <v>49202.61</v>
      </c>
      <c r="H2800">
        <v>5</v>
      </c>
    </row>
    <row r="2801" spans="1:8" x14ac:dyDescent="0.25">
      <c r="A2801" t="s">
        <v>2392</v>
      </c>
      <c r="B2801" t="s">
        <v>3211</v>
      </c>
      <c r="C2801" t="s">
        <v>3217</v>
      </c>
      <c r="D2801" t="s">
        <v>3223</v>
      </c>
      <c r="E2801" t="s">
        <v>3226</v>
      </c>
      <c r="F2801">
        <v>10408.799999999999</v>
      </c>
      <c r="G2801">
        <v>6041.54</v>
      </c>
      <c r="H2801">
        <v>1</v>
      </c>
    </row>
    <row r="2802" spans="1:8" x14ac:dyDescent="0.25">
      <c r="A2802" t="s">
        <v>2393</v>
      </c>
      <c r="C2802" t="s">
        <v>3221</v>
      </c>
      <c r="D2802" t="s">
        <v>3224</v>
      </c>
      <c r="E2802" t="s">
        <v>3226</v>
      </c>
      <c r="F2802">
        <v>49686.63</v>
      </c>
      <c r="G2802">
        <v>43928.98</v>
      </c>
      <c r="H2802">
        <v>1</v>
      </c>
    </row>
    <row r="2803" spans="1:8" x14ac:dyDescent="0.25">
      <c r="A2803" t="s">
        <v>2394</v>
      </c>
      <c r="B2803" t="s">
        <v>3212</v>
      </c>
      <c r="C2803" t="s">
        <v>3221</v>
      </c>
      <c r="D2803" t="s">
        <v>3222</v>
      </c>
      <c r="E2803" t="s">
        <v>3226</v>
      </c>
      <c r="F2803">
        <v>30726.46</v>
      </c>
      <c r="G2803">
        <v>21017.87</v>
      </c>
      <c r="H2803">
        <v>2</v>
      </c>
    </row>
    <row r="2804" spans="1:8" x14ac:dyDescent="0.25">
      <c r="A2804" t="s">
        <v>2395</v>
      </c>
      <c r="B2804" t="s">
        <v>3211</v>
      </c>
      <c r="C2804" t="s">
        <v>3218</v>
      </c>
      <c r="D2804" t="s">
        <v>3222</v>
      </c>
      <c r="E2804" t="s">
        <v>3226</v>
      </c>
      <c r="F2804">
        <v>58487.31</v>
      </c>
      <c r="G2804">
        <v>39988.5</v>
      </c>
      <c r="H2804">
        <v>4</v>
      </c>
    </row>
    <row r="2805" spans="1:8" x14ac:dyDescent="0.25">
      <c r="A2805" t="s">
        <v>2396</v>
      </c>
      <c r="B2805" t="s">
        <v>3212</v>
      </c>
      <c r="C2805" t="s">
        <v>3217</v>
      </c>
      <c r="D2805" t="s">
        <v>3222</v>
      </c>
      <c r="E2805" t="s">
        <v>3226</v>
      </c>
      <c r="F2805">
        <v>50959.54</v>
      </c>
      <c r="G2805">
        <v>36576.910000000003</v>
      </c>
      <c r="H2805">
        <v>4</v>
      </c>
    </row>
    <row r="2806" spans="1:8" x14ac:dyDescent="0.25">
      <c r="A2806" t="s">
        <v>2397</v>
      </c>
      <c r="B2806" t="s">
        <v>3212</v>
      </c>
      <c r="C2806" t="s">
        <v>3219</v>
      </c>
      <c r="D2806" t="s">
        <v>3223</v>
      </c>
      <c r="E2806" t="s">
        <v>3226</v>
      </c>
      <c r="F2806">
        <v>8241.19</v>
      </c>
      <c r="G2806">
        <v>6431.19</v>
      </c>
      <c r="H2806">
        <v>1</v>
      </c>
    </row>
    <row r="2807" spans="1:8" x14ac:dyDescent="0.25">
      <c r="A2807" t="s">
        <v>2398</v>
      </c>
      <c r="C2807" t="s">
        <v>3217</v>
      </c>
      <c r="D2807" t="s">
        <v>3222</v>
      </c>
      <c r="E2807" t="s">
        <v>3226</v>
      </c>
      <c r="F2807">
        <v>45978.92</v>
      </c>
      <c r="G2807">
        <v>32537.14</v>
      </c>
      <c r="H2807">
        <v>3</v>
      </c>
    </row>
    <row r="2808" spans="1:8" x14ac:dyDescent="0.25">
      <c r="A2808" t="s">
        <v>509</v>
      </c>
      <c r="B2808" t="s">
        <v>3213</v>
      </c>
      <c r="C2808" t="s">
        <v>3221</v>
      </c>
      <c r="D2808" t="s">
        <v>3224</v>
      </c>
      <c r="E2808" t="s">
        <v>3226</v>
      </c>
      <c r="F2808">
        <v>271761.24</v>
      </c>
      <c r="G2808">
        <v>171296.96</v>
      </c>
      <c r="H2808">
        <v>4</v>
      </c>
    </row>
    <row r="2809" spans="1:8" x14ac:dyDescent="0.25">
      <c r="A2809" t="s">
        <v>2399</v>
      </c>
      <c r="C2809" t="s">
        <v>3220</v>
      </c>
      <c r="D2809" t="s">
        <v>3222</v>
      </c>
      <c r="E2809" t="s">
        <v>3226</v>
      </c>
      <c r="F2809">
        <v>31937.919999999998</v>
      </c>
      <c r="G2809">
        <v>20931.490000000002</v>
      </c>
      <c r="H2809">
        <v>2</v>
      </c>
    </row>
    <row r="2810" spans="1:8" x14ac:dyDescent="0.25">
      <c r="A2810" t="s">
        <v>2400</v>
      </c>
      <c r="C2810" t="s">
        <v>3221</v>
      </c>
      <c r="D2810" t="s">
        <v>3225</v>
      </c>
      <c r="E2810" t="s">
        <v>3226</v>
      </c>
      <c r="F2810">
        <v>89865.74</v>
      </c>
      <c r="G2810">
        <v>63593.75</v>
      </c>
      <c r="H2810">
        <v>5</v>
      </c>
    </row>
    <row r="2811" spans="1:8" x14ac:dyDescent="0.25">
      <c r="A2811" t="s">
        <v>2401</v>
      </c>
      <c r="B2811" t="s">
        <v>3215</v>
      </c>
      <c r="C2811" t="s">
        <v>3221</v>
      </c>
      <c r="D2811" t="s">
        <v>3224</v>
      </c>
      <c r="E2811" t="s">
        <v>3226</v>
      </c>
      <c r="F2811">
        <v>49719.4</v>
      </c>
      <c r="H2811">
        <v>1</v>
      </c>
    </row>
    <row r="2812" spans="1:8" x14ac:dyDescent="0.25">
      <c r="A2812" t="s">
        <v>2402</v>
      </c>
      <c r="B2812" t="s">
        <v>3211</v>
      </c>
      <c r="C2812" t="s">
        <v>3216</v>
      </c>
      <c r="D2812" t="s">
        <v>3222</v>
      </c>
      <c r="E2812" t="s">
        <v>3226</v>
      </c>
      <c r="F2812">
        <v>89169.95</v>
      </c>
      <c r="G2812">
        <v>44345.440000000002</v>
      </c>
      <c r="H2812">
        <v>5</v>
      </c>
    </row>
    <row r="2813" spans="1:8" x14ac:dyDescent="0.25">
      <c r="A2813" t="s">
        <v>2403</v>
      </c>
      <c r="B2813" t="s">
        <v>3211</v>
      </c>
      <c r="C2813" t="s">
        <v>3220</v>
      </c>
      <c r="D2813" t="s">
        <v>3223</v>
      </c>
      <c r="E2813" t="s">
        <v>3226</v>
      </c>
      <c r="F2813">
        <v>17329.45</v>
      </c>
      <c r="G2813">
        <v>15294.88</v>
      </c>
      <c r="H2813">
        <v>2</v>
      </c>
    </row>
    <row r="2814" spans="1:8" x14ac:dyDescent="0.25">
      <c r="A2814" t="s">
        <v>2404</v>
      </c>
      <c r="B2814" t="s">
        <v>3215</v>
      </c>
      <c r="C2814" t="s">
        <v>3216</v>
      </c>
      <c r="D2814" t="s">
        <v>3224</v>
      </c>
      <c r="E2814" t="s">
        <v>3226</v>
      </c>
      <c r="F2814">
        <v>271309.31</v>
      </c>
      <c r="G2814">
        <v>197928.76</v>
      </c>
      <c r="H2814">
        <v>4</v>
      </c>
    </row>
    <row r="2815" spans="1:8" x14ac:dyDescent="0.25">
      <c r="A2815" t="s">
        <v>2405</v>
      </c>
      <c r="C2815" t="s">
        <v>3217</v>
      </c>
      <c r="D2815" t="s">
        <v>3223</v>
      </c>
      <c r="E2815" t="s">
        <v>3226</v>
      </c>
      <c r="F2815">
        <v>29415.97</v>
      </c>
      <c r="G2815">
        <v>22566.93</v>
      </c>
      <c r="H2815">
        <v>3</v>
      </c>
    </row>
    <row r="2816" spans="1:8" x14ac:dyDescent="0.25">
      <c r="A2816" t="s">
        <v>2406</v>
      </c>
      <c r="C2816" t="s">
        <v>3221</v>
      </c>
      <c r="D2816" t="s">
        <v>3222</v>
      </c>
      <c r="E2816" t="s">
        <v>3226</v>
      </c>
      <c r="F2816">
        <v>39190.76</v>
      </c>
      <c r="G2816">
        <v>31405.48</v>
      </c>
      <c r="H2816">
        <v>3</v>
      </c>
    </row>
    <row r="2817" spans="1:8" x14ac:dyDescent="0.25">
      <c r="A2817" t="s">
        <v>2407</v>
      </c>
      <c r="C2817" t="s">
        <v>3217</v>
      </c>
      <c r="D2817" t="s">
        <v>3224</v>
      </c>
      <c r="E2817" t="s">
        <v>3226</v>
      </c>
      <c r="F2817">
        <v>280308.58</v>
      </c>
      <c r="G2817">
        <v>157996.17000000001</v>
      </c>
      <c r="H2817">
        <v>4</v>
      </c>
    </row>
    <row r="2818" spans="1:8" x14ac:dyDescent="0.25">
      <c r="A2818" t="s">
        <v>1563</v>
      </c>
      <c r="B2818" t="s">
        <v>3214</v>
      </c>
      <c r="C2818" t="s">
        <v>3219</v>
      </c>
      <c r="D2818" t="s">
        <v>3222</v>
      </c>
      <c r="E2818" t="s">
        <v>3226</v>
      </c>
      <c r="F2818">
        <v>62070.96</v>
      </c>
      <c r="G2818">
        <v>52960.06</v>
      </c>
      <c r="H2818">
        <v>5</v>
      </c>
    </row>
    <row r="2819" spans="1:8" x14ac:dyDescent="0.25">
      <c r="A2819" t="s">
        <v>2408</v>
      </c>
      <c r="B2819" t="s">
        <v>3213</v>
      </c>
      <c r="C2819" t="s">
        <v>3220</v>
      </c>
      <c r="D2819" t="s">
        <v>3222</v>
      </c>
      <c r="E2819" t="s">
        <v>3226</v>
      </c>
      <c r="F2819">
        <v>24161.52</v>
      </c>
      <c r="H2819">
        <v>2</v>
      </c>
    </row>
    <row r="2820" spans="1:8" x14ac:dyDescent="0.25">
      <c r="A2820" t="s">
        <v>2409</v>
      </c>
      <c r="B2820" t="s">
        <v>3211</v>
      </c>
      <c r="C2820" t="s">
        <v>3219</v>
      </c>
      <c r="D2820" t="s">
        <v>3222</v>
      </c>
      <c r="E2820" t="s">
        <v>3226</v>
      </c>
      <c r="F2820">
        <v>35161.629999999997</v>
      </c>
      <c r="G2820">
        <v>19226.86</v>
      </c>
      <c r="H2820">
        <v>2</v>
      </c>
    </row>
    <row r="2821" spans="1:8" x14ac:dyDescent="0.25">
      <c r="A2821" t="s">
        <v>2410</v>
      </c>
      <c r="B2821" t="s">
        <v>3215</v>
      </c>
      <c r="C2821" t="s">
        <v>3219</v>
      </c>
      <c r="D2821" t="s">
        <v>3223</v>
      </c>
      <c r="E2821" t="s">
        <v>3226</v>
      </c>
      <c r="F2821">
        <v>33307.440000000002</v>
      </c>
      <c r="G2821">
        <v>30549.74</v>
      </c>
      <c r="H2821">
        <v>4</v>
      </c>
    </row>
    <row r="2822" spans="1:8" x14ac:dyDescent="0.25">
      <c r="A2822" t="s">
        <v>2411</v>
      </c>
      <c r="C2822" t="s">
        <v>3221</v>
      </c>
      <c r="D2822" t="s">
        <v>3224</v>
      </c>
      <c r="E2822" t="s">
        <v>3226</v>
      </c>
      <c r="F2822">
        <v>269134.02</v>
      </c>
      <c r="G2822">
        <v>158496.71</v>
      </c>
      <c r="H2822">
        <v>4</v>
      </c>
    </row>
    <row r="2823" spans="1:8" x14ac:dyDescent="0.25">
      <c r="A2823" t="s">
        <v>2412</v>
      </c>
      <c r="C2823" t="s">
        <v>3219</v>
      </c>
      <c r="D2823" t="s">
        <v>3225</v>
      </c>
      <c r="E2823" t="s">
        <v>3226</v>
      </c>
      <c r="F2823">
        <v>16839.16</v>
      </c>
      <c r="G2823">
        <v>13479.9</v>
      </c>
      <c r="H2823">
        <v>1</v>
      </c>
    </row>
    <row r="2824" spans="1:8" x14ac:dyDescent="0.25">
      <c r="A2824" t="s">
        <v>2413</v>
      </c>
      <c r="B2824" t="s">
        <v>3215</v>
      </c>
      <c r="C2824" t="s">
        <v>3221</v>
      </c>
      <c r="D2824" t="s">
        <v>3225</v>
      </c>
      <c r="E2824" t="s">
        <v>3226</v>
      </c>
      <c r="F2824">
        <v>23912.77</v>
      </c>
      <c r="G2824">
        <v>11946.82</v>
      </c>
      <c r="H2824">
        <v>1</v>
      </c>
    </row>
    <row r="2825" spans="1:8" x14ac:dyDescent="0.25">
      <c r="A2825" t="s">
        <v>1394</v>
      </c>
      <c r="C2825" t="s">
        <v>3220</v>
      </c>
      <c r="D2825" t="s">
        <v>3225</v>
      </c>
      <c r="E2825" t="s">
        <v>3226</v>
      </c>
      <c r="F2825">
        <v>22490.1</v>
      </c>
      <c r="H2825">
        <v>1</v>
      </c>
    </row>
    <row r="2826" spans="1:8" x14ac:dyDescent="0.25">
      <c r="A2826" t="s">
        <v>2414</v>
      </c>
      <c r="B2826" t="s">
        <v>3212</v>
      </c>
      <c r="C2826" t="s">
        <v>3218</v>
      </c>
      <c r="D2826" t="s">
        <v>3222</v>
      </c>
      <c r="E2826" t="s">
        <v>3226</v>
      </c>
      <c r="F2826">
        <v>41513.31</v>
      </c>
      <c r="H2826">
        <v>3</v>
      </c>
    </row>
    <row r="2827" spans="1:8" x14ac:dyDescent="0.25">
      <c r="A2827" t="s">
        <v>2415</v>
      </c>
      <c r="B2827" t="s">
        <v>3211</v>
      </c>
      <c r="C2827" t="s">
        <v>3219</v>
      </c>
      <c r="D2827" t="s">
        <v>3222</v>
      </c>
      <c r="E2827" t="s">
        <v>3226</v>
      </c>
      <c r="F2827">
        <v>70354.759999999995</v>
      </c>
      <c r="G2827">
        <v>39004.480000000003</v>
      </c>
      <c r="H2827">
        <v>4</v>
      </c>
    </row>
    <row r="2828" spans="1:8" x14ac:dyDescent="0.25">
      <c r="A2828" t="s">
        <v>2416</v>
      </c>
      <c r="C2828" t="s">
        <v>3219</v>
      </c>
      <c r="D2828" t="s">
        <v>3223</v>
      </c>
      <c r="E2828" t="s">
        <v>3226</v>
      </c>
      <c r="G2828">
        <v>30907.22</v>
      </c>
      <c r="H2828">
        <v>5</v>
      </c>
    </row>
    <row r="2829" spans="1:8" x14ac:dyDescent="0.25">
      <c r="A2829" t="s">
        <v>2417</v>
      </c>
      <c r="B2829" t="s">
        <v>3211</v>
      </c>
      <c r="C2829" t="s">
        <v>3216</v>
      </c>
      <c r="D2829" t="s">
        <v>3223</v>
      </c>
      <c r="E2829" t="s">
        <v>3226</v>
      </c>
      <c r="F2829">
        <v>29860.43</v>
      </c>
      <c r="G2829">
        <v>18596.169999999998</v>
      </c>
      <c r="H2829">
        <v>3</v>
      </c>
    </row>
    <row r="2830" spans="1:8" x14ac:dyDescent="0.25">
      <c r="A2830" t="s">
        <v>2418</v>
      </c>
      <c r="B2830" t="s">
        <v>3211</v>
      </c>
      <c r="C2830" t="s">
        <v>3220</v>
      </c>
      <c r="D2830" t="s">
        <v>3222</v>
      </c>
      <c r="E2830" t="s">
        <v>3226</v>
      </c>
      <c r="F2830">
        <v>13433.69</v>
      </c>
      <c r="G2830">
        <v>10884.61</v>
      </c>
      <c r="H2830">
        <v>1</v>
      </c>
    </row>
    <row r="2831" spans="1:8" x14ac:dyDescent="0.25">
      <c r="A2831" t="s">
        <v>2419</v>
      </c>
      <c r="B2831" t="s">
        <v>3215</v>
      </c>
      <c r="C2831" t="s">
        <v>3219</v>
      </c>
      <c r="D2831" t="s">
        <v>3222</v>
      </c>
      <c r="E2831" t="s">
        <v>3226</v>
      </c>
      <c r="F2831">
        <v>83890.66</v>
      </c>
      <c r="G2831">
        <v>49503.18</v>
      </c>
      <c r="H2831">
        <v>5</v>
      </c>
    </row>
    <row r="2832" spans="1:8" x14ac:dyDescent="0.25">
      <c r="A2832" t="s">
        <v>2420</v>
      </c>
      <c r="B2832" t="s">
        <v>3211</v>
      </c>
      <c r="C2832" t="s">
        <v>3220</v>
      </c>
      <c r="D2832" t="s">
        <v>3222</v>
      </c>
      <c r="E2832" t="s">
        <v>3226</v>
      </c>
      <c r="F2832">
        <v>30398.13</v>
      </c>
      <c r="G2832">
        <v>18401.099999999999</v>
      </c>
      <c r="H2832">
        <v>2</v>
      </c>
    </row>
    <row r="2833" spans="1:8" x14ac:dyDescent="0.25">
      <c r="A2833" t="s">
        <v>2421</v>
      </c>
      <c r="C2833" t="s">
        <v>3219</v>
      </c>
      <c r="D2833" t="s">
        <v>3223</v>
      </c>
      <c r="E2833" t="s">
        <v>3226</v>
      </c>
      <c r="G2833">
        <v>6621.48</v>
      </c>
      <c r="H2833">
        <v>1</v>
      </c>
    </row>
    <row r="2834" spans="1:8" x14ac:dyDescent="0.25">
      <c r="A2834" t="s">
        <v>2422</v>
      </c>
      <c r="B2834" t="s">
        <v>3214</v>
      </c>
      <c r="C2834" t="s">
        <v>3220</v>
      </c>
      <c r="D2834" t="s">
        <v>3224</v>
      </c>
      <c r="E2834" t="s">
        <v>3226</v>
      </c>
      <c r="F2834">
        <v>197086.41</v>
      </c>
      <c r="G2834">
        <v>125776.48</v>
      </c>
      <c r="H2834">
        <v>3</v>
      </c>
    </row>
    <row r="2835" spans="1:8" x14ac:dyDescent="0.25">
      <c r="A2835" t="s">
        <v>2423</v>
      </c>
      <c r="B2835" t="s">
        <v>3214</v>
      </c>
      <c r="C2835" t="s">
        <v>3218</v>
      </c>
      <c r="D2835" t="s">
        <v>3224</v>
      </c>
      <c r="E2835" t="s">
        <v>3226</v>
      </c>
      <c r="F2835">
        <v>204698.53</v>
      </c>
      <c r="G2835">
        <v>127505.28</v>
      </c>
      <c r="H2835">
        <v>3</v>
      </c>
    </row>
    <row r="2836" spans="1:8" x14ac:dyDescent="0.25">
      <c r="A2836" t="s">
        <v>2424</v>
      </c>
      <c r="B2836" t="s">
        <v>3215</v>
      </c>
      <c r="C2836" t="s">
        <v>3217</v>
      </c>
      <c r="D2836" t="s">
        <v>3223</v>
      </c>
      <c r="E2836" t="s">
        <v>3226</v>
      </c>
      <c r="F2836">
        <v>52424.800000000003</v>
      </c>
      <c r="G2836">
        <v>33609.11</v>
      </c>
      <c r="H2836">
        <v>5</v>
      </c>
    </row>
    <row r="2837" spans="1:8" x14ac:dyDescent="0.25">
      <c r="A2837" t="s">
        <v>586</v>
      </c>
      <c r="C2837" t="s">
        <v>3217</v>
      </c>
      <c r="D2837" t="s">
        <v>3225</v>
      </c>
      <c r="E2837" t="s">
        <v>3226</v>
      </c>
      <c r="F2837">
        <v>42627.01</v>
      </c>
      <c r="G2837">
        <v>30162.52</v>
      </c>
      <c r="H2837">
        <v>2</v>
      </c>
    </row>
    <row r="2838" spans="1:8" x14ac:dyDescent="0.25">
      <c r="A2838" t="s">
        <v>2425</v>
      </c>
      <c r="B2838" t="s">
        <v>3215</v>
      </c>
      <c r="C2838" t="s">
        <v>3221</v>
      </c>
      <c r="D2838" t="s">
        <v>3222</v>
      </c>
      <c r="E2838" t="s">
        <v>3226</v>
      </c>
      <c r="F2838">
        <v>53856.83</v>
      </c>
      <c r="G2838">
        <v>37783.5</v>
      </c>
      <c r="H2838">
        <v>4</v>
      </c>
    </row>
    <row r="2839" spans="1:8" x14ac:dyDescent="0.25">
      <c r="A2839" t="s">
        <v>2172</v>
      </c>
      <c r="B2839" t="s">
        <v>3215</v>
      </c>
      <c r="C2839" t="s">
        <v>3221</v>
      </c>
      <c r="D2839" t="s">
        <v>3224</v>
      </c>
      <c r="E2839" t="s">
        <v>3226</v>
      </c>
      <c r="F2839">
        <v>133480.67000000001</v>
      </c>
      <c r="G2839">
        <v>88219.73</v>
      </c>
      <c r="H2839">
        <v>2</v>
      </c>
    </row>
    <row r="2840" spans="1:8" x14ac:dyDescent="0.25">
      <c r="A2840" t="s">
        <v>2426</v>
      </c>
      <c r="B2840" t="s">
        <v>3212</v>
      </c>
      <c r="C2840" t="s">
        <v>3221</v>
      </c>
      <c r="D2840" t="s">
        <v>3225</v>
      </c>
      <c r="E2840" t="s">
        <v>3226</v>
      </c>
      <c r="F2840">
        <v>16715.59</v>
      </c>
      <c r="G2840">
        <v>14213.97</v>
      </c>
      <c r="H2840">
        <v>1</v>
      </c>
    </row>
    <row r="2841" spans="1:8" x14ac:dyDescent="0.25">
      <c r="A2841" t="s">
        <v>2333</v>
      </c>
      <c r="B2841" t="s">
        <v>3212</v>
      </c>
      <c r="C2841" t="s">
        <v>3216</v>
      </c>
      <c r="D2841" t="s">
        <v>3223</v>
      </c>
      <c r="E2841" t="s">
        <v>3226</v>
      </c>
      <c r="F2841">
        <v>9395.56</v>
      </c>
      <c r="H2841">
        <v>1</v>
      </c>
    </row>
    <row r="2842" spans="1:8" x14ac:dyDescent="0.25">
      <c r="A2842" t="s">
        <v>334</v>
      </c>
      <c r="B2842" t="s">
        <v>3211</v>
      </c>
      <c r="C2842" t="s">
        <v>3218</v>
      </c>
      <c r="D2842" t="s">
        <v>3224</v>
      </c>
      <c r="E2842" t="s">
        <v>3226</v>
      </c>
      <c r="F2842">
        <v>55591.42</v>
      </c>
      <c r="G2842">
        <v>40113.18</v>
      </c>
      <c r="H2842">
        <v>1</v>
      </c>
    </row>
    <row r="2843" spans="1:8" x14ac:dyDescent="0.25">
      <c r="A2843" t="s">
        <v>2427</v>
      </c>
      <c r="C2843" t="s">
        <v>3216</v>
      </c>
      <c r="D2843" t="s">
        <v>3223</v>
      </c>
      <c r="E2843" t="s">
        <v>3226</v>
      </c>
      <c r="F2843">
        <v>11052.2</v>
      </c>
      <c r="G2843">
        <v>6303.61</v>
      </c>
      <c r="H2843">
        <v>1</v>
      </c>
    </row>
    <row r="2844" spans="1:8" x14ac:dyDescent="0.25">
      <c r="A2844" t="s">
        <v>945</v>
      </c>
      <c r="B2844" t="s">
        <v>3213</v>
      </c>
      <c r="C2844" t="s">
        <v>3219</v>
      </c>
      <c r="D2844" t="s">
        <v>3225</v>
      </c>
      <c r="E2844" t="s">
        <v>3226</v>
      </c>
      <c r="F2844">
        <v>43445.66</v>
      </c>
      <c r="G2844">
        <v>28403.07</v>
      </c>
      <c r="H2844">
        <v>2</v>
      </c>
    </row>
    <row r="2845" spans="1:8" x14ac:dyDescent="0.25">
      <c r="A2845" t="s">
        <v>2428</v>
      </c>
      <c r="B2845" t="s">
        <v>3211</v>
      </c>
      <c r="C2845" t="s">
        <v>3221</v>
      </c>
      <c r="D2845" t="s">
        <v>3222</v>
      </c>
      <c r="E2845" t="s">
        <v>3226</v>
      </c>
      <c r="F2845">
        <v>15462.41</v>
      </c>
      <c r="G2845">
        <v>8513.3700000000008</v>
      </c>
      <c r="H2845">
        <v>1</v>
      </c>
    </row>
    <row r="2846" spans="1:8" x14ac:dyDescent="0.25">
      <c r="A2846" t="s">
        <v>2429</v>
      </c>
      <c r="B2846" t="s">
        <v>3211</v>
      </c>
      <c r="C2846" t="s">
        <v>3216</v>
      </c>
      <c r="D2846" t="s">
        <v>3224</v>
      </c>
      <c r="E2846" t="s">
        <v>3226</v>
      </c>
      <c r="F2846">
        <v>168053.65</v>
      </c>
      <c r="G2846">
        <v>135877.18</v>
      </c>
      <c r="H2846">
        <v>3</v>
      </c>
    </row>
    <row r="2847" spans="1:8" x14ac:dyDescent="0.25">
      <c r="A2847" t="s">
        <v>2430</v>
      </c>
      <c r="B2847" t="s">
        <v>3212</v>
      </c>
      <c r="C2847" t="s">
        <v>3219</v>
      </c>
      <c r="D2847" t="s">
        <v>3225</v>
      </c>
      <c r="E2847" t="s">
        <v>3226</v>
      </c>
      <c r="F2847">
        <v>107260.28</v>
      </c>
      <c r="G2847">
        <v>67422.83</v>
      </c>
      <c r="H2847">
        <v>5</v>
      </c>
    </row>
    <row r="2848" spans="1:8" x14ac:dyDescent="0.25">
      <c r="A2848" t="s">
        <v>2431</v>
      </c>
      <c r="B2848" t="s">
        <v>3215</v>
      </c>
      <c r="C2848" t="s">
        <v>3217</v>
      </c>
      <c r="D2848" t="s">
        <v>3222</v>
      </c>
      <c r="E2848" t="s">
        <v>3226</v>
      </c>
      <c r="F2848">
        <v>56130.52</v>
      </c>
      <c r="G2848">
        <v>34416.31</v>
      </c>
      <c r="H2848">
        <v>4</v>
      </c>
    </row>
    <row r="2849" spans="1:8" x14ac:dyDescent="0.25">
      <c r="A2849" t="s">
        <v>2432</v>
      </c>
      <c r="B2849" t="s">
        <v>3213</v>
      </c>
      <c r="C2849" t="s">
        <v>3217</v>
      </c>
      <c r="D2849" t="s">
        <v>3224</v>
      </c>
      <c r="E2849" t="s">
        <v>3226</v>
      </c>
      <c r="F2849">
        <v>67667.13</v>
      </c>
      <c r="G2849">
        <v>42498.57</v>
      </c>
      <c r="H2849">
        <v>1</v>
      </c>
    </row>
    <row r="2850" spans="1:8" x14ac:dyDescent="0.25">
      <c r="A2850" t="s">
        <v>2413</v>
      </c>
      <c r="B2850" t="s">
        <v>3213</v>
      </c>
      <c r="C2850" t="s">
        <v>3219</v>
      </c>
      <c r="D2850" t="s">
        <v>3225</v>
      </c>
      <c r="E2850" t="s">
        <v>3226</v>
      </c>
      <c r="F2850">
        <v>41399.599999999999</v>
      </c>
      <c r="G2850">
        <v>26221.15</v>
      </c>
      <c r="H2850">
        <v>2</v>
      </c>
    </row>
    <row r="2851" spans="1:8" x14ac:dyDescent="0.25">
      <c r="A2851" t="s">
        <v>2433</v>
      </c>
      <c r="C2851" t="s">
        <v>3218</v>
      </c>
      <c r="D2851" t="s">
        <v>3225</v>
      </c>
      <c r="E2851" t="s">
        <v>3226</v>
      </c>
      <c r="F2851">
        <v>78006.399999999994</v>
      </c>
      <c r="G2851">
        <v>47988.51</v>
      </c>
      <c r="H2851">
        <v>4</v>
      </c>
    </row>
    <row r="2852" spans="1:8" x14ac:dyDescent="0.25">
      <c r="A2852" t="s">
        <v>1270</v>
      </c>
      <c r="B2852" t="s">
        <v>3214</v>
      </c>
      <c r="C2852" t="s">
        <v>3218</v>
      </c>
      <c r="D2852" t="s">
        <v>3224</v>
      </c>
      <c r="E2852" t="s">
        <v>3226</v>
      </c>
      <c r="F2852">
        <v>118216.43</v>
      </c>
      <c r="G2852">
        <v>92660.5</v>
      </c>
      <c r="H2852">
        <v>2</v>
      </c>
    </row>
    <row r="2853" spans="1:8" x14ac:dyDescent="0.25">
      <c r="A2853" t="s">
        <v>1125</v>
      </c>
      <c r="B2853" t="s">
        <v>3212</v>
      </c>
      <c r="C2853" t="s">
        <v>3217</v>
      </c>
      <c r="D2853" t="s">
        <v>3225</v>
      </c>
      <c r="E2853" t="s">
        <v>3226</v>
      </c>
      <c r="F2853">
        <v>82560.539999999994</v>
      </c>
      <c r="G2853">
        <v>52073.07</v>
      </c>
    </row>
    <row r="2854" spans="1:8" x14ac:dyDescent="0.25">
      <c r="A2854" t="s">
        <v>1557</v>
      </c>
      <c r="B2854" t="s">
        <v>3211</v>
      </c>
      <c r="C2854" t="s">
        <v>3219</v>
      </c>
      <c r="D2854" t="s">
        <v>3224</v>
      </c>
      <c r="E2854" t="s">
        <v>3226</v>
      </c>
      <c r="G2854">
        <v>86338.23</v>
      </c>
      <c r="H2854">
        <v>2</v>
      </c>
    </row>
    <row r="2855" spans="1:8" x14ac:dyDescent="0.25">
      <c r="A2855" t="s">
        <v>2434</v>
      </c>
      <c r="B2855" t="s">
        <v>3211</v>
      </c>
      <c r="C2855" t="s">
        <v>3216</v>
      </c>
      <c r="D2855" t="s">
        <v>3224</v>
      </c>
      <c r="E2855" t="s">
        <v>3226</v>
      </c>
      <c r="F2855">
        <v>241798.7</v>
      </c>
      <c r="G2855">
        <v>181004.19</v>
      </c>
      <c r="H2855">
        <v>4</v>
      </c>
    </row>
    <row r="2856" spans="1:8" x14ac:dyDescent="0.25">
      <c r="A2856" t="s">
        <v>2435</v>
      </c>
      <c r="B2856" t="s">
        <v>3212</v>
      </c>
      <c r="C2856" t="s">
        <v>3220</v>
      </c>
      <c r="D2856" t="s">
        <v>3224</v>
      </c>
      <c r="E2856" t="s">
        <v>3226</v>
      </c>
      <c r="F2856">
        <v>55645.4</v>
      </c>
      <c r="H2856">
        <v>1</v>
      </c>
    </row>
    <row r="2857" spans="1:8" x14ac:dyDescent="0.25">
      <c r="A2857" t="s">
        <v>2436</v>
      </c>
      <c r="B2857" t="s">
        <v>3214</v>
      </c>
      <c r="C2857" t="s">
        <v>3220</v>
      </c>
      <c r="D2857" t="s">
        <v>3223</v>
      </c>
      <c r="E2857" t="s">
        <v>3226</v>
      </c>
      <c r="F2857">
        <v>59582.64</v>
      </c>
      <c r="G2857">
        <v>35787.440000000002</v>
      </c>
      <c r="H2857">
        <v>5</v>
      </c>
    </row>
    <row r="2858" spans="1:8" x14ac:dyDescent="0.25">
      <c r="A2858" t="s">
        <v>2437</v>
      </c>
      <c r="B2858" t="s">
        <v>3214</v>
      </c>
      <c r="C2858" t="s">
        <v>3221</v>
      </c>
      <c r="D2858" t="s">
        <v>3225</v>
      </c>
      <c r="E2858" t="s">
        <v>3226</v>
      </c>
      <c r="F2858">
        <v>81107.360000000001</v>
      </c>
      <c r="G2858">
        <v>48635</v>
      </c>
      <c r="H2858">
        <v>4</v>
      </c>
    </row>
    <row r="2859" spans="1:8" x14ac:dyDescent="0.25">
      <c r="A2859" t="s">
        <v>2438</v>
      </c>
      <c r="B2859" t="s">
        <v>3211</v>
      </c>
      <c r="C2859" t="s">
        <v>3219</v>
      </c>
      <c r="D2859" t="s">
        <v>3222</v>
      </c>
      <c r="E2859" t="s">
        <v>3226</v>
      </c>
      <c r="F2859">
        <v>16460.14</v>
      </c>
      <c r="G2859">
        <v>9705.86</v>
      </c>
      <c r="H2859">
        <v>1</v>
      </c>
    </row>
    <row r="2860" spans="1:8" x14ac:dyDescent="0.25">
      <c r="A2860" t="s">
        <v>2439</v>
      </c>
      <c r="B2860" t="s">
        <v>3215</v>
      </c>
      <c r="C2860" t="s">
        <v>3220</v>
      </c>
      <c r="D2860" t="s">
        <v>3223</v>
      </c>
      <c r="E2860" t="s">
        <v>3226</v>
      </c>
      <c r="F2860">
        <v>55834.03</v>
      </c>
      <c r="G2860">
        <v>36890.089999999997</v>
      </c>
      <c r="H2860">
        <v>5</v>
      </c>
    </row>
    <row r="2861" spans="1:8" x14ac:dyDescent="0.25">
      <c r="A2861" t="s">
        <v>2440</v>
      </c>
      <c r="C2861" t="s">
        <v>3216</v>
      </c>
      <c r="D2861" t="s">
        <v>3223</v>
      </c>
      <c r="E2861" t="s">
        <v>3226</v>
      </c>
      <c r="F2861">
        <v>30834.69</v>
      </c>
      <c r="G2861">
        <v>19522.400000000001</v>
      </c>
    </row>
    <row r="2862" spans="1:8" x14ac:dyDescent="0.25">
      <c r="A2862" t="s">
        <v>2441</v>
      </c>
      <c r="B2862" t="s">
        <v>3213</v>
      </c>
      <c r="C2862" t="s">
        <v>3220</v>
      </c>
      <c r="D2862" t="s">
        <v>3222</v>
      </c>
      <c r="E2862" t="s">
        <v>3226</v>
      </c>
      <c r="F2862">
        <v>60650.13</v>
      </c>
      <c r="H2862">
        <v>4</v>
      </c>
    </row>
    <row r="2863" spans="1:8" x14ac:dyDescent="0.25">
      <c r="A2863" t="s">
        <v>2379</v>
      </c>
      <c r="B2863" t="s">
        <v>3214</v>
      </c>
      <c r="C2863" t="s">
        <v>3221</v>
      </c>
      <c r="D2863" t="s">
        <v>3224</v>
      </c>
      <c r="E2863" t="s">
        <v>3226</v>
      </c>
      <c r="F2863">
        <v>203241.03</v>
      </c>
      <c r="G2863">
        <v>164589.1</v>
      </c>
      <c r="H2863">
        <v>4</v>
      </c>
    </row>
    <row r="2864" spans="1:8" x14ac:dyDescent="0.25">
      <c r="A2864" t="s">
        <v>1719</v>
      </c>
      <c r="B2864" t="s">
        <v>3215</v>
      </c>
      <c r="C2864" t="s">
        <v>3219</v>
      </c>
      <c r="D2864" t="s">
        <v>3225</v>
      </c>
      <c r="E2864" t="s">
        <v>3226</v>
      </c>
      <c r="F2864">
        <v>22881.919999999998</v>
      </c>
      <c r="G2864">
        <v>15060.38</v>
      </c>
      <c r="H2864">
        <v>1</v>
      </c>
    </row>
    <row r="2865" spans="1:8" x14ac:dyDescent="0.25">
      <c r="A2865" t="s">
        <v>2442</v>
      </c>
      <c r="B2865" t="s">
        <v>3212</v>
      </c>
      <c r="C2865" t="s">
        <v>3220</v>
      </c>
      <c r="D2865" t="s">
        <v>3223</v>
      </c>
      <c r="E2865" t="s">
        <v>3226</v>
      </c>
      <c r="F2865">
        <v>34113.85</v>
      </c>
      <c r="G2865">
        <v>25460.63</v>
      </c>
      <c r="H2865">
        <v>4</v>
      </c>
    </row>
    <row r="2866" spans="1:8" x14ac:dyDescent="0.25">
      <c r="A2866" t="s">
        <v>1150</v>
      </c>
      <c r="C2866" t="s">
        <v>3219</v>
      </c>
      <c r="D2866" t="s">
        <v>3225</v>
      </c>
      <c r="E2866" t="s">
        <v>3226</v>
      </c>
      <c r="F2866">
        <v>46663.23</v>
      </c>
      <c r="G2866">
        <v>24208.75</v>
      </c>
      <c r="H2866">
        <v>2</v>
      </c>
    </row>
    <row r="2867" spans="1:8" x14ac:dyDescent="0.25">
      <c r="A2867" t="s">
        <v>2443</v>
      </c>
      <c r="B2867" t="s">
        <v>3211</v>
      </c>
      <c r="C2867" t="s">
        <v>3216</v>
      </c>
      <c r="D2867" t="s">
        <v>3224</v>
      </c>
      <c r="E2867" t="s">
        <v>3226</v>
      </c>
      <c r="G2867">
        <v>241909.91</v>
      </c>
    </row>
    <row r="2868" spans="1:8" x14ac:dyDescent="0.25">
      <c r="A2868" t="s">
        <v>2444</v>
      </c>
      <c r="B2868" t="s">
        <v>3211</v>
      </c>
      <c r="C2868" t="s">
        <v>3219</v>
      </c>
      <c r="D2868" t="s">
        <v>3223</v>
      </c>
      <c r="E2868" t="s">
        <v>3226</v>
      </c>
      <c r="F2868">
        <v>8936.58</v>
      </c>
      <c r="G2868">
        <v>6434.54</v>
      </c>
      <c r="H2868">
        <v>1</v>
      </c>
    </row>
    <row r="2869" spans="1:8" x14ac:dyDescent="0.25">
      <c r="A2869" t="s">
        <v>2445</v>
      </c>
      <c r="B2869" t="s">
        <v>3215</v>
      </c>
      <c r="C2869" t="s">
        <v>3219</v>
      </c>
      <c r="D2869" t="s">
        <v>3224</v>
      </c>
      <c r="E2869" t="s">
        <v>3226</v>
      </c>
      <c r="F2869">
        <v>298267.92</v>
      </c>
      <c r="G2869">
        <v>201771.29</v>
      </c>
    </row>
    <row r="2870" spans="1:8" x14ac:dyDescent="0.25">
      <c r="A2870" t="s">
        <v>2446</v>
      </c>
      <c r="B2870" t="s">
        <v>3214</v>
      </c>
      <c r="C2870" t="s">
        <v>3216</v>
      </c>
      <c r="D2870" t="s">
        <v>3223</v>
      </c>
      <c r="E2870" t="s">
        <v>3226</v>
      </c>
      <c r="F2870">
        <v>33808.559999999998</v>
      </c>
      <c r="G2870">
        <v>21481.65</v>
      </c>
      <c r="H2870">
        <v>3</v>
      </c>
    </row>
    <row r="2871" spans="1:8" x14ac:dyDescent="0.25">
      <c r="A2871" t="s">
        <v>2059</v>
      </c>
      <c r="B2871" t="s">
        <v>3213</v>
      </c>
      <c r="C2871" t="s">
        <v>3218</v>
      </c>
      <c r="D2871" t="s">
        <v>3225</v>
      </c>
      <c r="E2871" t="s">
        <v>3226</v>
      </c>
      <c r="F2871">
        <v>110343.55</v>
      </c>
      <c r="G2871">
        <v>66279.240000000005</v>
      </c>
      <c r="H2871">
        <v>5</v>
      </c>
    </row>
    <row r="2872" spans="1:8" x14ac:dyDescent="0.25">
      <c r="A2872" t="s">
        <v>2447</v>
      </c>
      <c r="B2872" t="s">
        <v>3212</v>
      </c>
      <c r="C2872" t="s">
        <v>3219</v>
      </c>
      <c r="D2872" t="s">
        <v>3222</v>
      </c>
      <c r="E2872" t="s">
        <v>3226</v>
      </c>
      <c r="F2872">
        <v>33851.370000000003</v>
      </c>
      <c r="G2872">
        <v>17814.900000000001</v>
      </c>
      <c r="H2872">
        <v>2</v>
      </c>
    </row>
    <row r="2873" spans="1:8" x14ac:dyDescent="0.25">
      <c r="A2873" t="s">
        <v>2448</v>
      </c>
      <c r="C2873" t="s">
        <v>3217</v>
      </c>
      <c r="D2873" t="s">
        <v>3224</v>
      </c>
      <c r="E2873" t="s">
        <v>3226</v>
      </c>
      <c r="F2873">
        <v>276503.03999999998</v>
      </c>
      <c r="H2873">
        <v>4</v>
      </c>
    </row>
    <row r="2874" spans="1:8" x14ac:dyDescent="0.25">
      <c r="A2874" t="s">
        <v>2449</v>
      </c>
      <c r="C2874" t="s">
        <v>3218</v>
      </c>
      <c r="D2874" t="s">
        <v>3222</v>
      </c>
      <c r="E2874" t="s">
        <v>3226</v>
      </c>
      <c r="F2874">
        <v>53341.5</v>
      </c>
      <c r="G2874">
        <v>34049.769999999997</v>
      </c>
    </row>
    <row r="2875" spans="1:8" x14ac:dyDescent="0.25">
      <c r="A2875" t="s">
        <v>2450</v>
      </c>
      <c r="C2875" t="s">
        <v>3220</v>
      </c>
      <c r="D2875" t="s">
        <v>3222</v>
      </c>
      <c r="E2875" t="s">
        <v>3226</v>
      </c>
      <c r="F2875">
        <v>13088.45</v>
      </c>
      <c r="G2875">
        <v>10917.17</v>
      </c>
      <c r="H2875">
        <v>1</v>
      </c>
    </row>
    <row r="2876" spans="1:8" x14ac:dyDescent="0.25">
      <c r="A2876" t="s">
        <v>2451</v>
      </c>
      <c r="B2876" t="s">
        <v>3215</v>
      </c>
      <c r="C2876" t="s">
        <v>3217</v>
      </c>
      <c r="D2876" t="s">
        <v>3225</v>
      </c>
      <c r="E2876" t="s">
        <v>3226</v>
      </c>
      <c r="F2876">
        <v>113100.09</v>
      </c>
      <c r="G2876">
        <v>68318.22</v>
      </c>
      <c r="H2876">
        <v>5</v>
      </c>
    </row>
    <row r="2877" spans="1:8" x14ac:dyDescent="0.25">
      <c r="A2877" t="s">
        <v>2452</v>
      </c>
      <c r="B2877" t="s">
        <v>3212</v>
      </c>
      <c r="C2877" t="s">
        <v>3219</v>
      </c>
      <c r="D2877" t="s">
        <v>3223</v>
      </c>
      <c r="E2877" t="s">
        <v>3226</v>
      </c>
      <c r="F2877">
        <v>33736.629999999997</v>
      </c>
      <c r="G2877">
        <v>22674.3</v>
      </c>
      <c r="H2877">
        <v>3</v>
      </c>
    </row>
    <row r="2878" spans="1:8" x14ac:dyDescent="0.25">
      <c r="A2878" t="s">
        <v>2453</v>
      </c>
      <c r="B2878" t="s">
        <v>3214</v>
      </c>
      <c r="C2878" t="s">
        <v>3219</v>
      </c>
      <c r="D2878" t="s">
        <v>3223</v>
      </c>
      <c r="E2878" t="s">
        <v>3226</v>
      </c>
      <c r="F2878">
        <v>49516</v>
      </c>
      <c r="G2878">
        <v>29991.08</v>
      </c>
      <c r="H2878">
        <v>5</v>
      </c>
    </row>
    <row r="2879" spans="1:8" x14ac:dyDescent="0.25">
      <c r="A2879" t="s">
        <v>2390</v>
      </c>
      <c r="B2879" t="s">
        <v>3211</v>
      </c>
      <c r="C2879" t="s">
        <v>3218</v>
      </c>
      <c r="D2879" t="s">
        <v>3222</v>
      </c>
      <c r="E2879" t="s">
        <v>3226</v>
      </c>
      <c r="F2879">
        <v>65380.79</v>
      </c>
      <c r="G2879">
        <v>45457.62</v>
      </c>
      <c r="H2879">
        <v>5</v>
      </c>
    </row>
    <row r="2880" spans="1:8" x14ac:dyDescent="0.25">
      <c r="A2880" t="s">
        <v>2454</v>
      </c>
      <c r="B2880" t="s">
        <v>3211</v>
      </c>
      <c r="C2880" t="s">
        <v>3219</v>
      </c>
      <c r="D2880" t="s">
        <v>3225</v>
      </c>
      <c r="E2880" t="s">
        <v>3226</v>
      </c>
      <c r="F2880">
        <v>44973.38</v>
      </c>
      <c r="G2880">
        <v>25531.98</v>
      </c>
      <c r="H2880">
        <v>2</v>
      </c>
    </row>
    <row r="2881" spans="1:8" x14ac:dyDescent="0.25">
      <c r="A2881" t="s">
        <v>2455</v>
      </c>
      <c r="C2881" t="s">
        <v>3220</v>
      </c>
      <c r="D2881" t="s">
        <v>3224</v>
      </c>
      <c r="E2881" t="s">
        <v>3226</v>
      </c>
      <c r="F2881">
        <v>103537.95</v>
      </c>
      <c r="G2881">
        <v>82583.08</v>
      </c>
      <c r="H2881">
        <v>2</v>
      </c>
    </row>
    <row r="2882" spans="1:8" x14ac:dyDescent="0.25">
      <c r="A2882" t="s">
        <v>421</v>
      </c>
      <c r="B2882" t="s">
        <v>3214</v>
      </c>
      <c r="C2882" t="s">
        <v>3221</v>
      </c>
      <c r="D2882" t="s">
        <v>3223</v>
      </c>
      <c r="E2882" t="s">
        <v>3226</v>
      </c>
      <c r="F2882">
        <v>43530.09</v>
      </c>
      <c r="G2882">
        <v>30562.55</v>
      </c>
      <c r="H2882">
        <v>5</v>
      </c>
    </row>
    <row r="2883" spans="1:8" x14ac:dyDescent="0.25">
      <c r="A2883" t="s">
        <v>2456</v>
      </c>
      <c r="C2883" t="s">
        <v>3219</v>
      </c>
      <c r="D2883" t="s">
        <v>3225</v>
      </c>
      <c r="E2883" t="s">
        <v>3226</v>
      </c>
      <c r="F2883">
        <v>17032.23</v>
      </c>
      <c r="G2883">
        <v>14703.81</v>
      </c>
      <c r="H2883">
        <v>1</v>
      </c>
    </row>
    <row r="2884" spans="1:8" x14ac:dyDescent="0.25">
      <c r="A2884" t="s">
        <v>233</v>
      </c>
      <c r="B2884" t="s">
        <v>3214</v>
      </c>
      <c r="C2884" t="s">
        <v>3219</v>
      </c>
      <c r="D2884" t="s">
        <v>3222</v>
      </c>
      <c r="E2884" t="s">
        <v>3226</v>
      </c>
      <c r="F2884">
        <v>32542.2</v>
      </c>
      <c r="G2884">
        <v>20205.810000000001</v>
      </c>
      <c r="H2884">
        <v>2</v>
      </c>
    </row>
    <row r="2885" spans="1:8" x14ac:dyDescent="0.25">
      <c r="A2885" t="s">
        <v>2457</v>
      </c>
      <c r="B2885" t="s">
        <v>3215</v>
      </c>
      <c r="C2885" t="s">
        <v>3220</v>
      </c>
      <c r="D2885" t="s">
        <v>3223</v>
      </c>
      <c r="E2885" t="s">
        <v>3226</v>
      </c>
      <c r="F2885">
        <v>41186.49</v>
      </c>
      <c r="G2885">
        <v>24644.26</v>
      </c>
      <c r="H2885">
        <v>4</v>
      </c>
    </row>
    <row r="2886" spans="1:8" x14ac:dyDescent="0.25">
      <c r="A2886" t="s">
        <v>542</v>
      </c>
      <c r="B2886" t="s">
        <v>3211</v>
      </c>
      <c r="C2886" t="s">
        <v>3220</v>
      </c>
      <c r="D2886" t="s">
        <v>3224</v>
      </c>
      <c r="E2886" t="s">
        <v>3226</v>
      </c>
      <c r="F2886">
        <v>178978.77</v>
      </c>
      <c r="G2886">
        <v>146114.71</v>
      </c>
      <c r="H2886">
        <v>3</v>
      </c>
    </row>
    <row r="2887" spans="1:8" x14ac:dyDescent="0.25">
      <c r="A2887" t="s">
        <v>2458</v>
      </c>
      <c r="B2887" t="s">
        <v>3212</v>
      </c>
      <c r="C2887" t="s">
        <v>3220</v>
      </c>
      <c r="D2887" t="s">
        <v>3225</v>
      </c>
      <c r="E2887" t="s">
        <v>3226</v>
      </c>
      <c r="F2887">
        <v>47835.33</v>
      </c>
      <c r="G2887">
        <v>30568.05</v>
      </c>
      <c r="H2887">
        <v>2</v>
      </c>
    </row>
    <row r="2888" spans="1:8" x14ac:dyDescent="0.25">
      <c r="A2888" t="s">
        <v>2459</v>
      </c>
      <c r="B2888" t="s">
        <v>3213</v>
      </c>
      <c r="C2888" t="s">
        <v>3220</v>
      </c>
      <c r="D2888" t="s">
        <v>3224</v>
      </c>
      <c r="E2888" t="s">
        <v>3226</v>
      </c>
      <c r="F2888">
        <v>164582.48000000001</v>
      </c>
      <c r="G2888">
        <v>117876.09</v>
      </c>
      <c r="H2888">
        <v>3</v>
      </c>
    </row>
    <row r="2889" spans="1:8" x14ac:dyDescent="0.25">
      <c r="A2889" t="s">
        <v>32</v>
      </c>
      <c r="B2889" t="s">
        <v>3213</v>
      </c>
      <c r="C2889" t="s">
        <v>3216</v>
      </c>
      <c r="D2889" t="s">
        <v>3222</v>
      </c>
      <c r="E2889" t="s">
        <v>3226</v>
      </c>
      <c r="F2889">
        <v>28572.31</v>
      </c>
      <c r="G2889">
        <v>21092.38</v>
      </c>
      <c r="H2889">
        <v>2</v>
      </c>
    </row>
    <row r="2890" spans="1:8" x14ac:dyDescent="0.25">
      <c r="A2890" t="s">
        <v>2460</v>
      </c>
      <c r="B2890" t="s">
        <v>3212</v>
      </c>
      <c r="C2890" t="s">
        <v>3216</v>
      </c>
      <c r="D2890" t="s">
        <v>3225</v>
      </c>
      <c r="E2890" t="s">
        <v>3226</v>
      </c>
      <c r="F2890">
        <v>67272.289999999994</v>
      </c>
      <c r="G2890">
        <v>48742.720000000001</v>
      </c>
      <c r="H2890">
        <v>4</v>
      </c>
    </row>
    <row r="2891" spans="1:8" x14ac:dyDescent="0.25">
      <c r="A2891" t="s">
        <v>2461</v>
      </c>
      <c r="C2891" t="s">
        <v>3220</v>
      </c>
      <c r="D2891" t="s">
        <v>3225</v>
      </c>
      <c r="E2891" t="s">
        <v>3226</v>
      </c>
      <c r="F2891">
        <v>40086.800000000003</v>
      </c>
      <c r="G2891">
        <v>23930.400000000001</v>
      </c>
      <c r="H2891">
        <v>2</v>
      </c>
    </row>
    <row r="2892" spans="1:8" x14ac:dyDescent="0.25">
      <c r="A2892" t="s">
        <v>2462</v>
      </c>
      <c r="B2892" t="s">
        <v>3211</v>
      </c>
      <c r="C2892" t="s">
        <v>3216</v>
      </c>
      <c r="D2892" t="s">
        <v>3224</v>
      </c>
      <c r="E2892" t="s">
        <v>3226</v>
      </c>
      <c r="F2892">
        <v>210981.31</v>
      </c>
      <c r="G2892">
        <v>124381.52</v>
      </c>
      <c r="H2892">
        <v>3</v>
      </c>
    </row>
    <row r="2893" spans="1:8" x14ac:dyDescent="0.25">
      <c r="A2893" t="s">
        <v>966</v>
      </c>
      <c r="B2893" t="s">
        <v>3212</v>
      </c>
      <c r="C2893" t="s">
        <v>3218</v>
      </c>
      <c r="D2893" t="s">
        <v>3225</v>
      </c>
      <c r="E2893" t="s">
        <v>3226</v>
      </c>
      <c r="F2893">
        <v>16583.66</v>
      </c>
      <c r="G2893">
        <v>14547.49</v>
      </c>
      <c r="H2893">
        <v>1</v>
      </c>
    </row>
    <row r="2894" spans="1:8" x14ac:dyDescent="0.25">
      <c r="A2894" t="s">
        <v>2463</v>
      </c>
      <c r="C2894" t="s">
        <v>3217</v>
      </c>
      <c r="D2894" t="s">
        <v>3224</v>
      </c>
      <c r="E2894" t="s">
        <v>3226</v>
      </c>
      <c r="F2894">
        <v>307921.13</v>
      </c>
      <c r="G2894">
        <v>238690.05</v>
      </c>
      <c r="H2894">
        <v>5</v>
      </c>
    </row>
    <row r="2895" spans="1:8" x14ac:dyDescent="0.25">
      <c r="A2895" t="s">
        <v>675</v>
      </c>
      <c r="B2895" t="s">
        <v>3215</v>
      </c>
      <c r="C2895" t="s">
        <v>3217</v>
      </c>
      <c r="D2895" t="s">
        <v>3224</v>
      </c>
      <c r="E2895" t="s">
        <v>3226</v>
      </c>
      <c r="F2895">
        <v>54516.53</v>
      </c>
      <c r="G2895">
        <v>43033.14</v>
      </c>
      <c r="H2895">
        <v>1</v>
      </c>
    </row>
    <row r="2896" spans="1:8" x14ac:dyDescent="0.25">
      <c r="A2896" t="s">
        <v>406</v>
      </c>
      <c r="B2896" t="s">
        <v>3212</v>
      </c>
      <c r="C2896" t="s">
        <v>3221</v>
      </c>
      <c r="D2896" t="s">
        <v>3222</v>
      </c>
      <c r="E2896" t="s">
        <v>3226</v>
      </c>
      <c r="F2896">
        <v>15401.2</v>
      </c>
      <c r="G2896">
        <v>9716.1299999999992</v>
      </c>
      <c r="H2896">
        <v>1</v>
      </c>
    </row>
    <row r="2897" spans="1:8" x14ac:dyDescent="0.25">
      <c r="A2897" t="s">
        <v>1420</v>
      </c>
      <c r="C2897" t="s">
        <v>3217</v>
      </c>
      <c r="D2897" t="s">
        <v>3225</v>
      </c>
      <c r="E2897" t="s">
        <v>3226</v>
      </c>
      <c r="F2897">
        <v>70848.570000000007</v>
      </c>
      <c r="G2897">
        <v>59182.58</v>
      </c>
      <c r="H2897">
        <v>4</v>
      </c>
    </row>
    <row r="2898" spans="1:8" x14ac:dyDescent="0.25">
      <c r="A2898" t="s">
        <v>851</v>
      </c>
      <c r="B2898" t="s">
        <v>3212</v>
      </c>
      <c r="C2898" t="s">
        <v>3221</v>
      </c>
      <c r="D2898" t="s">
        <v>3225</v>
      </c>
      <c r="E2898" t="s">
        <v>3226</v>
      </c>
      <c r="F2898">
        <v>18435.79</v>
      </c>
      <c r="G2898">
        <v>12517.43</v>
      </c>
      <c r="H2898">
        <v>1</v>
      </c>
    </row>
    <row r="2899" spans="1:8" x14ac:dyDescent="0.25">
      <c r="A2899" t="s">
        <v>2464</v>
      </c>
      <c r="C2899" t="s">
        <v>3221</v>
      </c>
      <c r="D2899" t="s">
        <v>3224</v>
      </c>
      <c r="E2899" t="s">
        <v>3226</v>
      </c>
      <c r="F2899">
        <v>131227.22</v>
      </c>
      <c r="G2899">
        <v>94473.56</v>
      </c>
      <c r="H2899">
        <v>2</v>
      </c>
    </row>
    <row r="2900" spans="1:8" x14ac:dyDescent="0.25">
      <c r="A2900" t="s">
        <v>2465</v>
      </c>
      <c r="C2900" t="s">
        <v>3219</v>
      </c>
      <c r="D2900" t="s">
        <v>3225</v>
      </c>
      <c r="E2900" t="s">
        <v>3226</v>
      </c>
      <c r="F2900">
        <v>42466.33</v>
      </c>
      <c r="G2900">
        <v>28694.39</v>
      </c>
      <c r="H2900">
        <v>2</v>
      </c>
    </row>
    <row r="2901" spans="1:8" x14ac:dyDescent="0.25">
      <c r="A2901" t="s">
        <v>2466</v>
      </c>
      <c r="B2901" t="s">
        <v>3213</v>
      </c>
      <c r="C2901" t="s">
        <v>3216</v>
      </c>
      <c r="D2901" t="s">
        <v>3223</v>
      </c>
      <c r="E2901" t="s">
        <v>3226</v>
      </c>
      <c r="F2901">
        <v>42693.09</v>
      </c>
      <c r="G2901">
        <v>37557.480000000003</v>
      </c>
      <c r="H2901">
        <v>5</v>
      </c>
    </row>
    <row r="2902" spans="1:8" x14ac:dyDescent="0.25">
      <c r="A2902" t="s">
        <v>2467</v>
      </c>
      <c r="B2902" t="s">
        <v>3214</v>
      </c>
      <c r="C2902" t="s">
        <v>3217</v>
      </c>
      <c r="D2902" t="s">
        <v>3223</v>
      </c>
      <c r="E2902" t="s">
        <v>3226</v>
      </c>
      <c r="F2902">
        <v>30291.58</v>
      </c>
      <c r="G2902">
        <v>22289.68</v>
      </c>
      <c r="H2902">
        <v>3</v>
      </c>
    </row>
    <row r="2903" spans="1:8" x14ac:dyDescent="0.25">
      <c r="A2903" t="s">
        <v>2468</v>
      </c>
      <c r="B2903" t="s">
        <v>3215</v>
      </c>
      <c r="C2903" t="s">
        <v>3219</v>
      </c>
      <c r="D2903" t="s">
        <v>3225</v>
      </c>
      <c r="E2903" t="s">
        <v>3226</v>
      </c>
      <c r="F2903">
        <v>79498.44</v>
      </c>
      <c r="G2903">
        <v>47742.43</v>
      </c>
      <c r="H2903">
        <v>4</v>
      </c>
    </row>
    <row r="2904" spans="1:8" x14ac:dyDescent="0.25">
      <c r="A2904" t="s">
        <v>2469</v>
      </c>
      <c r="C2904" t="s">
        <v>3218</v>
      </c>
      <c r="D2904" t="s">
        <v>3222</v>
      </c>
      <c r="E2904" t="s">
        <v>3226</v>
      </c>
      <c r="F2904">
        <v>17310.580000000002</v>
      </c>
      <c r="G2904">
        <v>8752.27</v>
      </c>
      <c r="H2904">
        <v>1</v>
      </c>
    </row>
    <row r="2905" spans="1:8" x14ac:dyDescent="0.25">
      <c r="A2905" t="s">
        <v>2470</v>
      </c>
      <c r="B2905" t="s">
        <v>3213</v>
      </c>
      <c r="C2905" t="s">
        <v>3221</v>
      </c>
      <c r="D2905" t="s">
        <v>3223</v>
      </c>
      <c r="E2905" t="s">
        <v>3226</v>
      </c>
      <c r="F2905">
        <v>48874.239999999998</v>
      </c>
      <c r="H2905">
        <v>5</v>
      </c>
    </row>
    <row r="2906" spans="1:8" x14ac:dyDescent="0.25">
      <c r="A2906" t="s">
        <v>1367</v>
      </c>
      <c r="B2906" t="s">
        <v>3214</v>
      </c>
      <c r="C2906" t="s">
        <v>3217</v>
      </c>
      <c r="D2906" t="s">
        <v>3223</v>
      </c>
      <c r="E2906" t="s">
        <v>3226</v>
      </c>
      <c r="F2906">
        <v>29726.43</v>
      </c>
      <c r="G2906">
        <v>18688.52</v>
      </c>
    </row>
    <row r="2907" spans="1:8" x14ac:dyDescent="0.25">
      <c r="A2907" t="s">
        <v>2471</v>
      </c>
      <c r="C2907" t="s">
        <v>3216</v>
      </c>
      <c r="D2907" t="s">
        <v>3223</v>
      </c>
      <c r="E2907" t="s">
        <v>3226</v>
      </c>
      <c r="F2907">
        <v>10355.77</v>
      </c>
      <c r="G2907">
        <v>7227.3</v>
      </c>
      <c r="H2907">
        <v>1</v>
      </c>
    </row>
    <row r="2908" spans="1:8" x14ac:dyDescent="0.25">
      <c r="A2908" t="s">
        <v>2472</v>
      </c>
      <c r="B2908" t="s">
        <v>3214</v>
      </c>
      <c r="C2908" t="s">
        <v>3216</v>
      </c>
      <c r="D2908" t="s">
        <v>3225</v>
      </c>
      <c r="E2908" t="s">
        <v>3226</v>
      </c>
      <c r="F2908">
        <v>18608.89</v>
      </c>
      <c r="G2908">
        <v>12206.2</v>
      </c>
      <c r="H2908">
        <v>1</v>
      </c>
    </row>
    <row r="2909" spans="1:8" x14ac:dyDescent="0.25">
      <c r="A2909" t="s">
        <v>2007</v>
      </c>
      <c r="B2909" t="s">
        <v>3214</v>
      </c>
      <c r="C2909" t="s">
        <v>3220</v>
      </c>
      <c r="D2909" t="s">
        <v>3223</v>
      </c>
      <c r="E2909" t="s">
        <v>3226</v>
      </c>
      <c r="F2909">
        <v>33772.99</v>
      </c>
      <c r="G2909">
        <v>30066.05</v>
      </c>
      <c r="H2909">
        <v>4</v>
      </c>
    </row>
    <row r="2910" spans="1:8" x14ac:dyDescent="0.25">
      <c r="A2910" t="s">
        <v>2473</v>
      </c>
      <c r="B2910" t="s">
        <v>3215</v>
      </c>
      <c r="C2910" t="s">
        <v>3218</v>
      </c>
      <c r="D2910" t="s">
        <v>3223</v>
      </c>
      <c r="E2910" t="s">
        <v>3226</v>
      </c>
      <c r="F2910">
        <v>20352.03</v>
      </c>
      <c r="G2910">
        <v>12859.62</v>
      </c>
      <c r="H2910">
        <v>2</v>
      </c>
    </row>
    <row r="2911" spans="1:8" x14ac:dyDescent="0.25">
      <c r="A2911" t="s">
        <v>460</v>
      </c>
      <c r="B2911" t="s">
        <v>3213</v>
      </c>
      <c r="C2911" t="s">
        <v>3220</v>
      </c>
      <c r="D2911" t="s">
        <v>3223</v>
      </c>
      <c r="E2911" t="s">
        <v>3226</v>
      </c>
      <c r="G2911">
        <v>19981.82</v>
      </c>
      <c r="H2911">
        <v>3</v>
      </c>
    </row>
    <row r="2912" spans="1:8" x14ac:dyDescent="0.25">
      <c r="A2912" t="s">
        <v>2474</v>
      </c>
      <c r="C2912" t="s">
        <v>3219</v>
      </c>
      <c r="D2912" t="s">
        <v>3224</v>
      </c>
      <c r="E2912" t="s">
        <v>3226</v>
      </c>
      <c r="F2912">
        <v>108877.13</v>
      </c>
      <c r="G2912">
        <v>97515.99</v>
      </c>
      <c r="H2912">
        <v>2</v>
      </c>
    </row>
    <row r="2913" spans="1:8" x14ac:dyDescent="0.25">
      <c r="A2913" t="s">
        <v>2475</v>
      </c>
      <c r="B2913" t="s">
        <v>3211</v>
      </c>
      <c r="C2913" t="s">
        <v>3216</v>
      </c>
      <c r="D2913" t="s">
        <v>3224</v>
      </c>
      <c r="E2913" t="s">
        <v>3226</v>
      </c>
      <c r="F2913">
        <v>60140.31</v>
      </c>
      <c r="G2913">
        <v>40341.57</v>
      </c>
      <c r="H2913">
        <v>1</v>
      </c>
    </row>
    <row r="2914" spans="1:8" x14ac:dyDescent="0.25">
      <c r="A2914" t="s">
        <v>2476</v>
      </c>
      <c r="C2914" t="s">
        <v>3217</v>
      </c>
      <c r="D2914" t="s">
        <v>3224</v>
      </c>
      <c r="E2914" t="s">
        <v>3226</v>
      </c>
      <c r="F2914">
        <v>57801.11</v>
      </c>
      <c r="G2914">
        <v>40301.199999999997</v>
      </c>
      <c r="H2914">
        <v>1</v>
      </c>
    </row>
    <row r="2915" spans="1:8" x14ac:dyDescent="0.25">
      <c r="A2915" t="s">
        <v>2477</v>
      </c>
      <c r="B2915" t="s">
        <v>3212</v>
      </c>
      <c r="C2915" t="s">
        <v>3218</v>
      </c>
      <c r="D2915" t="s">
        <v>3225</v>
      </c>
      <c r="E2915" t="s">
        <v>3226</v>
      </c>
      <c r="F2915">
        <v>67388.210000000006</v>
      </c>
      <c r="G2915">
        <v>61271.55</v>
      </c>
      <c r="H2915">
        <v>4</v>
      </c>
    </row>
    <row r="2916" spans="1:8" x14ac:dyDescent="0.25">
      <c r="A2916" t="s">
        <v>2478</v>
      </c>
      <c r="B2916" t="s">
        <v>3215</v>
      </c>
      <c r="C2916" t="s">
        <v>3217</v>
      </c>
      <c r="D2916" t="s">
        <v>3224</v>
      </c>
      <c r="E2916" t="s">
        <v>3226</v>
      </c>
      <c r="F2916">
        <v>65482.11</v>
      </c>
      <c r="G2916">
        <v>43713.9</v>
      </c>
      <c r="H2916">
        <v>1</v>
      </c>
    </row>
    <row r="2917" spans="1:8" x14ac:dyDescent="0.25">
      <c r="A2917" t="s">
        <v>2479</v>
      </c>
      <c r="B2917" t="s">
        <v>3211</v>
      </c>
      <c r="C2917" t="s">
        <v>3221</v>
      </c>
      <c r="D2917" t="s">
        <v>3222</v>
      </c>
      <c r="E2917" t="s">
        <v>3226</v>
      </c>
      <c r="F2917">
        <v>27345.39</v>
      </c>
      <c r="G2917">
        <v>18382.16</v>
      </c>
      <c r="H2917">
        <v>2</v>
      </c>
    </row>
    <row r="2918" spans="1:8" x14ac:dyDescent="0.25">
      <c r="A2918" t="s">
        <v>2480</v>
      </c>
      <c r="B2918" t="s">
        <v>3211</v>
      </c>
      <c r="C2918" t="s">
        <v>3219</v>
      </c>
      <c r="D2918" t="s">
        <v>3225</v>
      </c>
      <c r="E2918" t="s">
        <v>3226</v>
      </c>
      <c r="F2918">
        <v>16116.72</v>
      </c>
      <c r="G2918">
        <v>12939.69</v>
      </c>
      <c r="H2918">
        <v>1</v>
      </c>
    </row>
    <row r="2919" spans="1:8" x14ac:dyDescent="0.25">
      <c r="A2919" t="s">
        <v>855</v>
      </c>
      <c r="B2919" t="s">
        <v>3215</v>
      </c>
      <c r="C2919" t="s">
        <v>3221</v>
      </c>
      <c r="D2919" t="s">
        <v>3223</v>
      </c>
      <c r="E2919" t="s">
        <v>3226</v>
      </c>
      <c r="F2919">
        <v>19295.7</v>
      </c>
      <c r="G2919">
        <v>15048.03</v>
      </c>
      <c r="H2919">
        <v>2</v>
      </c>
    </row>
    <row r="2920" spans="1:8" x14ac:dyDescent="0.25">
      <c r="A2920" t="s">
        <v>2481</v>
      </c>
      <c r="B2920" t="s">
        <v>3212</v>
      </c>
      <c r="C2920" t="s">
        <v>3220</v>
      </c>
      <c r="D2920" t="s">
        <v>3225</v>
      </c>
      <c r="E2920" t="s">
        <v>3226</v>
      </c>
      <c r="F2920">
        <v>50607.99</v>
      </c>
      <c r="G2920">
        <v>42326.73</v>
      </c>
      <c r="H2920">
        <v>3</v>
      </c>
    </row>
    <row r="2921" spans="1:8" x14ac:dyDescent="0.25">
      <c r="A2921" t="s">
        <v>2482</v>
      </c>
      <c r="B2921" t="s">
        <v>3211</v>
      </c>
      <c r="C2921" t="s">
        <v>3218</v>
      </c>
      <c r="D2921" t="s">
        <v>3222</v>
      </c>
      <c r="E2921" t="s">
        <v>3226</v>
      </c>
      <c r="F2921">
        <v>27066.080000000002</v>
      </c>
      <c r="G2921">
        <v>18835.86</v>
      </c>
      <c r="H2921">
        <v>2</v>
      </c>
    </row>
    <row r="2922" spans="1:8" x14ac:dyDescent="0.25">
      <c r="A2922" t="s">
        <v>2483</v>
      </c>
      <c r="C2922" t="s">
        <v>3219</v>
      </c>
      <c r="D2922" t="s">
        <v>3222</v>
      </c>
      <c r="E2922" t="s">
        <v>3226</v>
      </c>
      <c r="F2922">
        <v>13593.83</v>
      </c>
      <c r="G2922">
        <v>8526.9699999999993</v>
      </c>
      <c r="H2922">
        <v>1</v>
      </c>
    </row>
    <row r="2923" spans="1:8" x14ac:dyDescent="0.25">
      <c r="A2923" t="s">
        <v>2484</v>
      </c>
      <c r="B2923" t="s">
        <v>3212</v>
      </c>
      <c r="C2923" t="s">
        <v>3217</v>
      </c>
      <c r="D2923" t="s">
        <v>3222</v>
      </c>
      <c r="E2923" t="s">
        <v>3226</v>
      </c>
      <c r="F2923">
        <v>75344.66</v>
      </c>
      <c r="G2923">
        <v>45171.76</v>
      </c>
      <c r="H2923">
        <v>5</v>
      </c>
    </row>
    <row r="2924" spans="1:8" x14ac:dyDescent="0.25">
      <c r="A2924" t="s">
        <v>2485</v>
      </c>
      <c r="B2924" t="s">
        <v>3213</v>
      </c>
      <c r="C2924" t="s">
        <v>3220</v>
      </c>
      <c r="D2924" t="s">
        <v>3223</v>
      </c>
      <c r="E2924" t="s">
        <v>3226</v>
      </c>
      <c r="F2924">
        <v>9886.41</v>
      </c>
      <c r="G2924">
        <v>5968.18</v>
      </c>
    </row>
    <row r="2925" spans="1:8" x14ac:dyDescent="0.25">
      <c r="A2925" t="s">
        <v>2486</v>
      </c>
      <c r="B2925" t="s">
        <v>3213</v>
      </c>
      <c r="C2925" t="s">
        <v>3217</v>
      </c>
      <c r="D2925" t="s">
        <v>3223</v>
      </c>
      <c r="E2925" t="s">
        <v>3226</v>
      </c>
      <c r="F2925">
        <v>45130.81</v>
      </c>
      <c r="G2925">
        <v>27063.02</v>
      </c>
    </row>
    <row r="2926" spans="1:8" x14ac:dyDescent="0.25">
      <c r="A2926" t="s">
        <v>1043</v>
      </c>
      <c r="B2926" t="s">
        <v>3212</v>
      </c>
      <c r="C2926" t="s">
        <v>3218</v>
      </c>
      <c r="D2926" t="s">
        <v>3224</v>
      </c>
      <c r="E2926" t="s">
        <v>3226</v>
      </c>
      <c r="F2926">
        <v>138866.01999999999</v>
      </c>
      <c r="G2926">
        <v>81401.41</v>
      </c>
      <c r="H2926">
        <v>2</v>
      </c>
    </row>
    <row r="2927" spans="1:8" x14ac:dyDescent="0.25">
      <c r="A2927" t="s">
        <v>2487</v>
      </c>
      <c r="B2927" t="s">
        <v>3212</v>
      </c>
      <c r="C2927" t="s">
        <v>3218</v>
      </c>
      <c r="D2927" t="s">
        <v>3224</v>
      </c>
      <c r="E2927" t="s">
        <v>3226</v>
      </c>
      <c r="F2927">
        <v>204076.92</v>
      </c>
      <c r="G2927">
        <v>162665.54999999999</v>
      </c>
      <c r="H2927">
        <v>4</v>
      </c>
    </row>
    <row r="2928" spans="1:8" x14ac:dyDescent="0.25">
      <c r="A2928" t="s">
        <v>2488</v>
      </c>
      <c r="B2928" t="s">
        <v>3214</v>
      </c>
      <c r="C2928" t="s">
        <v>3216</v>
      </c>
      <c r="D2928" t="s">
        <v>3223</v>
      </c>
      <c r="E2928" t="s">
        <v>3226</v>
      </c>
      <c r="F2928">
        <v>18796.41</v>
      </c>
      <c r="G2928">
        <v>13560.39</v>
      </c>
      <c r="H2928">
        <v>2</v>
      </c>
    </row>
    <row r="2929" spans="1:8" x14ac:dyDescent="0.25">
      <c r="A2929" t="s">
        <v>161</v>
      </c>
      <c r="B2929" t="s">
        <v>3212</v>
      </c>
      <c r="C2929" t="s">
        <v>3219</v>
      </c>
      <c r="D2929" t="s">
        <v>3225</v>
      </c>
      <c r="E2929" t="s">
        <v>3226</v>
      </c>
      <c r="F2929">
        <v>84474.87</v>
      </c>
      <c r="G2929">
        <v>48921.99</v>
      </c>
      <c r="H2929">
        <v>4</v>
      </c>
    </row>
    <row r="2930" spans="1:8" x14ac:dyDescent="0.25">
      <c r="A2930" t="s">
        <v>2489</v>
      </c>
      <c r="C2930" t="s">
        <v>3216</v>
      </c>
      <c r="D2930" t="s">
        <v>3225</v>
      </c>
      <c r="E2930" t="s">
        <v>3226</v>
      </c>
      <c r="F2930">
        <v>66929.740000000005</v>
      </c>
      <c r="G2930">
        <v>61006.53</v>
      </c>
      <c r="H2930">
        <v>4</v>
      </c>
    </row>
    <row r="2931" spans="1:8" x14ac:dyDescent="0.25">
      <c r="A2931" t="s">
        <v>2490</v>
      </c>
      <c r="B2931" t="s">
        <v>3215</v>
      </c>
      <c r="C2931" t="s">
        <v>3218</v>
      </c>
      <c r="D2931" t="s">
        <v>3223</v>
      </c>
      <c r="E2931" t="s">
        <v>3226</v>
      </c>
      <c r="F2931">
        <v>51040.87</v>
      </c>
      <c r="G2931">
        <v>31858.1</v>
      </c>
      <c r="H2931">
        <v>5</v>
      </c>
    </row>
    <row r="2932" spans="1:8" x14ac:dyDescent="0.25">
      <c r="A2932" t="s">
        <v>2362</v>
      </c>
      <c r="B2932" t="s">
        <v>3212</v>
      </c>
      <c r="C2932" t="s">
        <v>3221</v>
      </c>
      <c r="D2932" t="s">
        <v>3223</v>
      </c>
      <c r="E2932" t="s">
        <v>3226</v>
      </c>
      <c r="F2932">
        <v>21966.67</v>
      </c>
      <c r="G2932">
        <v>12250.71</v>
      </c>
      <c r="H2932">
        <v>2</v>
      </c>
    </row>
    <row r="2933" spans="1:8" x14ac:dyDescent="0.25">
      <c r="A2933" t="s">
        <v>2490</v>
      </c>
      <c r="B2933" t="s">
        <v>3213</v>
      </c>
      <c r="C2933" t="s">
        <v>3220</v>
      </c>
      <c r="D2933" t="s">
        <v>3224</v>
      </c>
      <c r="E2933" t="s">
        <v>3226</v>
      </c>
      <c r="F2933">
        <v>100213.27</v>
      </c>
      <c r="G2933">
        <v>76597.539999999994</v>
      </c>
      <c r="H2933">
        <v>2</v>
      </c>
    </row>
    <row r="2934" spans="1:8" x14ac:dyDescent="0.25">
      <c r="A2934" t="s">
        <v>1014</v>
      </c>
      <c r="B2934" t="s">
        <v>3214</v>
      </c>
      <c r="C2934" t="s">
        <v>3220</v>
      </c>
      <c r="D2934" t="s">
        <v>3224</v>
      </c>
      <c r="E2934" t="s">
        <v>3226</v>
      </c>
      <c r="F2934">
        <v>198189.36</v>
      </c>
      <c r="G2934">
        <v>197458.7</v>
      </c>
      <c r="H2934">
        <v>4</v>
      </c>
    </row>
    <row r="2935" spans="1:8" x14ac:dyDescent="0.25">
      <c r="A2935" t="s">
        <v>2491</v>
      </c>
      <c r="B2935" t="s">
        <v>3215</v>
      </c>
      <c r="C2935" t="s">
        <v>3218</v>
      </c>
      <c r="D2935" t="s">
        <v>3223</v>
      </c>
      <c r="E2935" t="s">
        <v>3226</v>
      </c>
      <c r="F2935">
        <v>50026.23</v>
      </c>
      <c r="G2935">
        <v>31382.799999999999</v>
      </c>
      <c r="H2935">
        <v>5</v>
      </c>
    </row>
    <row r="2936" spans="1:8" x14ac:dyDescent="0.25">
      <c r="A2936" t="s">
        <v>305</v>
      </c>
      <c r="B2936" t="s">
        <v>3215</v>
      </c>
      <c r="C2936" t="s">
        <v>3216</v>
      </c>
      <c r="D2936" t="s">
        <v>3225</v>
      </c>
      <c r="E2936" t="s">
        <v>3226</v>
      </c>
      <c r="F2936">
        <v>19385.150000000001</v>
      </c>
      <c r="G2936">
        <v>15119.18</v>
      </c>
      <c r="H2936">
        <v>1</v>
      </c>
    </row>
    <row r="2937" spans="1:8" x14ac:dyDescent="0.25">
      <c r="A2937" t="s">
        <v>2492</v>
      </c>
      <c r="B2937" t="s">
        <v>3213</v>
      </c>
      <c r="C2937" t="s">
        <v>3221</v>
      </c>
      <c r="D2937" t="s">
        <v>3222</v>
      </c>
      <c r="E2937" t="s">
        <v>3226</v>
      </c>
      <c r="F2937">
        <v>60785.26</v>
      </c>
      <c r="G2937">
        <v>36035.35</v>
      </c>
      <c r="H2937">
        <v>4</v>
      </c>
    </row>
    <row r="2938" spans="1:8" x14ac:dyDescent="0.25">
      <c r="A2938" t="s">
        <v>2493</v>
      </c>
      <c r="C2938" t="s">
        <v>3218</v>
      </c>
      <c r="D2938" t="s">
        <v>3223</v>
      </c>
      <c r="E2938" t="s">
        <v>3226</v>
      </c>
      <c r="F2938">
        <v>47269.21</v>
      </c>
      <c r="H2938">
        <v>4</v>
      </c>
    </row>
    <row r="2939" spans="1:8" x14ac:dyDescent="0.25">
      <c r="A2939" t="s">
        <v>2494</v>
      </c>
      <c r="B2939" t="s">
        <v>3215</v>
      </c>
      <c r="C2939" t="s">
        <v>3221</v>
      </c>
      <c r="D2939" t="s">
        <v>3223</v>
      </c>
      <c r="E2939" t="s">
        <v>3226</v>
      </c>
      <c r="F2939">
        <v>29893.7</v>
      </c>
      <c r="G2939">
        <v>18722.03</v>
      </c>
    </row>
    <row r="2940" spans="1:8" x14ac:dyDescent="0.25">
      <c r="A2940" t="s">
        <v>2495</v>
      </c>
      <c r="B2940" t="s">
        <v>3211</v>
      </c>
      <c r="C2940" t="s">
        <v>3219</v>
      </c>
      <c r="D2940" t="s">
        <v>3224</v>
      </c>
      <c r="E2940" t="s">
        <v>3226</v>
      </c>
      <c r="F2940">
        <v>214635.95</v>
      </c>
      <c r="G2940">
        <v>148202.93</v>
      </c>
      <c r="H2940">
        <v>3</v>
      </c>
    </row>
    <row r="2941" spans="1:8" x14ac:dyDescent="0.25">
      <c r="A2941" t="s">
        <v>2496</v>
      </c>
      <c r="B2941" t="s">
        <v>3214</v>
      </c>
      <c r="C2941" t="s">
        <v>3221</v>
      </c>
      <c r="D2941" t="s">
        <v>3225</v>
      </c>
      <c r="E2941" t="s">
        <v>3226</v>
      </c>
      <c r="F2941">
        <v>74714.929999999993</v>
      </c>
      <c r="G2941">
        <v>48635.55</v>
      </c>
      <c r="H2941">
        <v>4</v>
      </c>
    </row>
    <row r="2942" spans="1:8" x14ac:dyDescent="0.25">
      <c r="A2942" t="s">
        <v>2497</v>
      </c>
      <c r="B2942" t="s">
        <v>3212</v>
      </c>
      <c r="C2942" t="s">
        <v>3220</v>
      </c>
      <c r="D2942" t="s">
        <v>3224</v>
      </c>
      <c r="E2942" t="s">
        <v>3226</v>
      </c>
      <c r="H2942">
        <v>3</v>
      </c>
    </row>
    <row r="2943" spans="1:8" x14ac:dyDescent="0.25">
      <c r="A2943" t="s">
        <v>2498</v>
      </c>
      <c r="B2943" t="s">
        <v>3215</v>
      </c>
      <c r="C2943" t="s">
        <v>3218</v>
      </c>
      <c r="D2943" t="s">
        <v>3224</v>
      </c>
      <c r="E2943" t="s">
        <v>3226</v>
      </c>
      <c r="F2943">
        <v>136029.99</v>
      </c>
      <c r="G2943">
        <v>79009.990000000005</v>
      </c>
      <c r="H2943">
        <v>2</v>
      </c>
    </row>
    <row r="2944" spans="1:8" x14ac:dyDescent="0.25">
      <c r="A2944" t="s">
        <v>2499</v>
      </c>
      <c r="B2944" t="s">
        <v>3215</v>
      </c>
      <c r="C2944" t="s">
        <v>3218</v>
      </c>
      <c r="D2944" t="s">
        <v>3222</v>
      </c>
      <c r="E2944" t="s">
        <v>3226</v>
      </c>
      <c r="F2944">
        <v>30961.1</v>
      </c>
      <c r="G2944">
        <v>21129.85</v>
      </c>
      <c r="H2944">
        <v>2</v>
      </c>
    </row>
    <row r="2945" spans="1:8" x14ac:dyDescent="0.25">
      <c r="A2945" t="s">
        <v>2500</v>
      </c>
      <c r="B2945" t="s">
        <v>3213</v>
      </c>
      <c r="C2945" t="s">
        <v>3219</v>
      </c>
      <c r="D2945" t="s">
        <v>3223</v>
      </c>
      <c r="E2945" t="s">
        <v>3226</v>
      </c>
      <c r="F2945">
        <v>53807.5</v>
      </c>
      <c r="G2945">
        <v>35471.550000000003</v>
      </c>
      <c r="H2945">
        <v>5</v>
      </c>
    </row>
    <row r="2946" spans="1:8" x14ac:dyDescent="0.25">
      <c r="A2946" t="s">
        <v>2501</v>
      </c>
      <c r="B2946" t="s">
        <v>3213</v>
      </c>
      <c r="C2946" t="s">
        <v>3220</v>
      </c>
      <c r="D2946" t="s">
        <v>3224</v>
      </c>
      <c r="E2946" t="s">
        <v>3226</v>
      </c>
      <c r="F2946">
        <v>67487.149999999994</v>
      </c>
      <c r="G2946">
        <v>47716.29</v>
      </c>
      <c r="H2946">
        <v>1</v>
      </c>
    </row>
    <row r="2947" spans="1:8" x14ac:dyDescent="0.25">
      <c r="A2947" t="s">
        <v>2502</v>
      </c>
      <c r="B2947" t="s">
        <v>3212</v>
      </c>
      <c r="C2947" t="s">
        <v>3221</v>
      </c>
      <c r="D2947" t="s">
        <v>3225</v>
      </c>
      <c r="E2947" t="s">
        <v>3226</v>
      </c>
      <c r="F2947">
        <v>43665.64</v>
      </c>
      <c r="G2947">
        <v>26439.14</v>
      </c>
      <c r="H2947">
        <v>2</v>
      </c>
    </row>
    <row r="2948" spans="1:8" x14ac:dyDescent="0.25">
      <c r="A2948" t="s">
        <v>2503</v>
      </c>
      <c r="B2948" t="s">
        <v>3215</v>
      </c>
      <c r="C2948" t="s">
        <v>3217</v>
      </c>
      <c r="D2948" t="s">
        <v>3224</v>
      </c>
      <c r="E2948" t="s">
        <v>3226</v>
      </c>
      <c r="F2948">
        <v>187666.41</v>
      </c>
      <c r="G2948">
        <v>125923.32</v>
      </c>
      <c r="H2948">
        <v>3</v>
      </c>
    </row>
    <row r="2949" spans="1:8" x14ac:dyDescent="0.25">
      <c r="A2949" t="s">
        <v>2504</v>
      </c>
      <c r="B2949" t="s">
        <v>3211</v>
      </c>
      <c r="C2949" t="s">
        <v>3217</v>
      </c>
      <c r="D2949" t="s">
        <v>3225</v>
      </c>
      <c r="E2949" t="s">
        <v>3226</v>
      </c>
      <c r="F2949">
        <v>56382.23</v>
      </c>
      <c r="H2949">
        <v>3</v>
      </c>
    </row>
    <row r="2950" spans="1:8" x14ac:dyDescent="0.25">
      <c r="A2950" t="s">
        <v>1141</v>
      </c>
      <c r="B2950" t="s">
        <v>3214</v>
      </c>
      <c r="C2950" t="s">
        <v>3216</v>
      </c>
      <c r="D2950" t="s">
        <v>3223</v>
      </c>
      <c r="E2950" t="s">
        <v>3226</v>
      </c>
      <c r="F2950">
        <v>51684.18</v>
      </c>
      <c r="G2950">
        <v>31000.59</v>
      </c>
    </row>
    <row r="2951" spans="1:8" x14ac:dyDescent="0.25">
      <c r="A2951" t="s">
        <v>2505</v>
      </c>
      <c r="B2951" t="s">
        <v>3213</v>
      </c>
      <c r="C2951" t="s">
        <v>3216</v>
      </c>
      <c r="D2951" t="s">
        <v>3224</v>
      </c>
      <c r="E2951" t="s">
        <v>3226</v>
      </c>
      <c r="F2951">
        <v>184964.4</v>
      </c>
      <c r="G2951">
        <v>130030.87</v>
      </c>
      <c r="H2951">
        <v>3</v>
      </c>
    </row>
    <row r="2952" spans="1:8" x14ac:dyDescent="0.25">
      <c r="A2952" t="s">
        <v>2506</v>
      </c>
      <c r="B2952" t="s">
        <v>3214</v>
      </c>
      <c r="C2952" t="s">
        <v>3218</v>
      </c>
      <c r="D2952" t="s">
        <v>3224</v>
      </c>
      <c r="E2952" t="s">
        <v>3226</v>
      </c>
      <c r="F2952">
        <v>267640.28000000003</v>
      </c>
      <c r="G2952">
        <v>173317.94</v>
      </c>
      <c r="H2952">
        <v>4</v>
      </c>
    </row>
    <row r="2953" spans="1:8" x14ac:dyDescent="0.25">
      <c r="A2953" t="s">
        <v>66</v>
      </c>
      <c r="C2953" t="s">
        <v>3216</v>
      </c>
      <c r="D2953" t="s">
        <v>3223</v>
      </c>
      <c r="E2953" t="s">
        <v>3226</v>
      </c>
      <c r="F2953">
        <v>56941.65</v>
      </c>
      <c r="G2953">
        <v>34934.06</v>
      </c>
      <c r="H2953">
        <v>5</v>
      </c>
    </row>
    <row r="2954" spans="1:8" x14ac:dyDescent="0.25">
      <c r="A2954" t="s">
        <v>1675</v>
      </c>
      <c r="B2954" t="s">
        <v>3215</v>
      </c>
      <c r="C2954" t="s">
        <v>3218</v>
      </c>
      <c r="D2954" t="s">
        <v>3224</v>
      </c>
      <c r="E2954" t="s">
        <v>3226</v>
      </c>
      <c r="F2954">
        <v>206042.15</v>
      </c>
      <c r="G2954">
        <v>148351.24</v>
      </c>
      <c r="H2954">
        <v>3</v>
      </c>
    </row>
    <row r="2955" spans="1:8" x14ac:dyDescent="0.25">
      <c r="A2955" t="s">
        <v>2507</v>
      </c>
      <c r="B2955" t="s">
        <v>3213</v>
      </c>
      <c r="C2955" t="s">
        <v>3216</v>
      </c>
      <c r="D2955" t="s">
        <v>3223</v>
      </c>
      <c r="E2955" t="s">
        <v>3226</v>
      </c>
      <c r="F2955">
        <v>22049.19</v>
      </c>
      <c r="G2955">
        <v>12999.67</v>
      </c>
      <c r="H2955">
        <v>2</v>
      </c>
    </row>
    <row r="2956" spans="1:8" x14ac:dyDescent="0.25">
      <c r="A2956" t="s">
        <v>2508</v>
      </c>
      <c r="B2956" t="s">
        <v>3215</v>
      </c>
      <c r="C2956" t="s">
        <v>3218</v>
      </c>
      <c r="D2956" t="s">
        <v>3222</v>
      </c>
      <c r="E2956" t="s">
        <v>3226</v>
      </c>
      <c r="F2956">
        <v>28415.26</v>
      </c>
      <c r="G2956">
        <v>18357.310000000001</v>
      </c>
      <c r="H2956">
        <v>2</v>
      </c>
    </row>
    <row r="2957" spans="1:8" x14ac:dyDescent="0.25">
      <c r="A2957" t="s">
        <v>2509</v>
      </c>
      <c r="B2957" t="s">
        <v>3213</v>
      </c>
      <c r="C2957" t="s">
        <v>3216</v>
      </c>
      <c r="D2957" t="s">
        <v>3225</v>
      </c>
      <c r="E2957" t="s">
        <v>3226</v>
      </c>
      <c r="F2957">
        <v>114365.5</v>
      </c>
      <c r="G2957">
        <v>75892.960000000006</v>
      </c>
      <c r="H2957">
        <v>5</v>
      </c>
    </row>
    <row r="2958" spans="1:8" x14ac:dyDescent="0.25">
      <c r="A2958" t="s">
        <v>2510</v>
      </c>
      <c r="B2958" t="s">
        <v>3215</v>
      </c>
      <c r="C2958" t="s">
        <v>3220</v>
      </c>
      <c r="D2958" t="s">
        <v>3223</v>
      </c>
      <c r="E2958" t="s">
        <v>3226</v>
      </c>
      <c r="F2958">
        <v>40656.730000000003</v>
      </c>
      <c r="G2958">
        <v>36063.96</v>
      </c>
      <c r="H2958">
        <v>5</v>
      </c>
    </row>
    <row r="2959" spans="1:8" x14ac:dyDescent="0.25">
      <c r="A2959" t="s">
        <v>1594</v>
      </c>
      <c r="B2959" t="s">
        <v>3214</v>
      </c>
      <c r="C2959" t="s">
        <v>3216</v>
      </c>
      <c r="D2959" t="s">
        <v>3223</v>
      </c>
      <c r="E2959" t="s">
        <v>3226</v>
      </c>
      <c r="F2959">
        <v>25407.47</v>
      </c>
      <c r="G2959">
        <v>19878.53</v>
      </c>
      <c r="H2959">
        <v>3</v>
      </c>
    </row>
    <row r="2960" spans="1:8" x14ac:dyDescent="0.25">
      <c r="A2960" t="s">
        <v>2511</v>
      </c>
      <c r="B2960" t="s">
        <v>3213</v>
      </c>
      <c r="C2960" t="s">
        <v>3217</v>
      </c>
      <c r="D2960" t="s">
        <v>3223</v>
      </c>
      <c r="E2960" t="s">
        <v>3226</v>
      </c>
      <c r="F2960">
        <v>45320.85</v>
      </c>
      <c r="G2960">
        <v>26694.37</v>
      </c>
      <c r="H2960">
        <v>4</v>
      </c>
    </row>
    <row r="2961" spans="1:8" x14ac:dyDescent="0.25">
      <c r="A2961" t="s">
        <v>2512</v>
      </c>
      <c r="B2961" t="s">
        <v>3211</v>
      </c>
      <c r="C2961" t="s">
        <v>3216</v>
      </c>
      <c r="D2961" t="s">
        <v>3222</v>
      </c>
      <c r="E2961" t="s">
        <v>3226</v>
      </c>
      <c r="F2961">
        <v>73987.44</v>
      </c>
      <c r="G2961">
        <v>50553.81</v>
      </c>
      <c r="H2961">
        <v>5</v>
      </c>
    </row>
    <row r="2962" spans="1:8" x14ac:dyDescent="0.25">
      <c r="A2962" t="s">
        <v>2513</v>
      </c>
      <c r="B2962" t="s">
        <v>3212</v>
      </c>
      <c r="C2962" t="s">
        <v>3218</v>
      </c>
      <c r="D2962" t="s">
        <v>3222</v>
      </c>
      <c r="E2962" t="s">
        <v>3226</v>
      </c>
      <c r="F2962">
        <v>16197.63</v>
      </c>
      <c r="G2962">
        <v>10662.8</v>
      </c>
      <c r="H2962">
        <v>1</v>
      </c>
    </row>
    <row r="2963" spans="1:8" x14ac:dyDescent="0.25">
      <c r="A2963" t="s">
        <v>2514</v>
      </c>
      <c r="C2963" t="s">
        <v>3216</v>
      </c>
      <c r="D2963" t="s">
        <v>3224</v>
      </c>
      <c r="E2963" t="s">
        <v>3226</v>
      </c>
      <c r="G2963">
        <v>46823.58</v>
      </c>
      <c r="H2963">
        <v>1</v>
      </c>
    </row>
    <row r="2964" spans="1:8" x14ac:dyDescent="0.25">
      <c r="A2964" t="s">
        <v>585</v>
      </c>
      <c r="B2964" t="s">
        <v>3214</v>
      </c>
      <c r="C2964" t="s">
        <v>3216</v>
      </c>
      <c r="D2964" t="s">
        <v>3225</v>
      </c>
      <c r="E2964" t="s">
        <v>3226</v>
      </c>
      <c r="F2964">
        <v>65540.81</v>
      </c>
      <c r="G2964">
        <v>39576.639999999999</v>
      </c>
      <c r="H2964">
        <v>3</v>
      </c>
    </row>
    <row r="2965" spans="1:8" x14ac:dyDescent="0.25">
      <c r="A2965" t="s">
        <v>2515</v>
      </c>
      <c r="B2965" t="s">
        <v>3211</v>
      </c>
      <c r="C2965" t="s">
        <v>3218</v>
      </c>
      <c r="D2965" t="s">
        <v>3222</v>
      </c>
      <c r="E2965" t="s">
        <v>3226</v>
      </c>
      <c r="F2965">
        <v>71124.149999999994</v>
      </c>
      <c r="G2965">
        <v>38526.15</v>
      </c>
      <c r="H2965">
        <v>4</v>
      </c>
    </row>
    <row r="2966" spans="1:8" x14ac:dyDescent="0.25">
      <c r="A2966" t="s">
        <v>2516</v>
      </c>
      <c r="B2966" t="s">
        <v>3215</v>
      </c>
      <c r="C2966" t="s">
        <v>3216</v>
      </c>
      <c r="D2966" t="s">
        <v>3224</v>
      </c>
      <c r="E2966" t="s">
        <v>3226</v>
      </c>
      <c r="F2966">
        <v>340438.62</v>
      </c>
      <c r="G2966">
        <v>233423.63</v>
      </c>
      <c r="H2966">
        <v>5</v>
      </c>
    </row>
    <row r="2967" spans="1:8" x14ac:dyDescent="0.25">
      <c r="A2967" t="s">
        <v>2517</v>
      </c>
      <c r="B2967" t="s">
        <v>3213</v>
      </c>
      <c r="C2967" t="s">
        <v>3219</v>
      </c>
      <c r="D2967" t="s">
        <v>3223</v>
      </c>
      <c r="E2967" t="s">
        <v>3226</v>
      </c>
      <c r="F2967">
        <v>34081.660000000003</v>
      </c>
      <c r="G2967">
        <v>20636.5</v>
      </c>
      <c r="H2967">
        <v>3</v>
      </c>
    </row>
    <row r="2968" spans="1:8" x14ac:dyDescent="0.25">
      <c r="A2968" t="s">
        <v>2518</v>
      </c>
      <c r="B2968" t="s">
        <v>3215</v>
      </c>
      <c r="C2968" t="s">
        <v>3216</v>
      </c>
      <c r="D2968" t="s">
        <v>3222</v>
      </c>
      <c r="E2968" t="s">
        <v>3226</v>
      </c>
      <c r="F2968">
        <v>65786.289999999994</v>
      </c>
      <c r="G2968">
        <v>52850.77</v>
      </c>
      <c r="H2968">
        <v>5</v>
      </c>
    </row>
    <row r="2969" spans="1:8" x14ac:dyDescent="0.25">
      <c r="A2969" t="s">
        <v>2519</v>
      </c>
      <c r="B2969" t="s">
        <v>3214</v>
      </c>
      <c r="C2969" t="s">
        <v>3218</v>
      </c>
      <c r="D2969" t="s">
        <v>3223</v>
      </c>
      <c r="E2969" t="s">
        <v>3226</v>
      </c>
      <c r="F2969">
        <v>19243.509999999998</v>
      </c>
      <c r="G2969">
        <v>15290.3</v>
      </c>
      <c r="H2969">
        <v>2</v>
      </c>
    </row>
    <row r="2970" spans="1:8" x14ac:dyDescent="0.25">
      <c r="A2970" t="s">
        <v>2520</v>
      </c>
      <c r="B2970" t="s">
        <v>3215</v>
      </c>
      <c r="C2970" t="s">
        <v>3216</v>
      </c>
      <c r="D2970" t="s">
        <v>3225</v>
      </c>
      <c r="E2970" t="s">
        <v>3226</v>
      </c>
      <c r="F2970">
        <v>106618.33</v>
      </c>
      <c r="H2970">
        <v>5</v>
      </c>
    </row>
    <row r="2971" spans="1:8" x14ac:dyDescent="0.25">
      <c r="A2971" t="s">
        <v>2521</v>
      </c>
      <c r="B2971" t="s">
        <v>3213</v>
      </c>
      <c r="C2971" t="s">
        <v>3216</v>
      </c>
      <c r="D2971" t="s">
        <v>3223</v>
      </c>
      <c r="E2971" t="s">
        <v>3226</v>
      </c>
      <c r="F2971">
        <v>43085.77</v>
      </c>
      <c r="G2971">
        <v>34121.379999999997</v>
      </c>
      <c r="H2971">
        <v>5</v>
      </c>
    </row>
    <row r="2972" spans="1:8" x14ac:dyDescent="0.25">
      <c r="A2972" t="s">
        <v>2522</v>
      </c>
      <c r="B2972" t="s">
        <v>3211</v>
      </c>
      <c r="C2972" t="s">
        <v>3220</v>
      </c>
      <c r="D2972" t="s">
        <v>3222</v>
      </c>
      <c r="E2972" t="s">
        <v>3226</v>
      </c>
      <c r="F2972">
        <v>45736.85</v>
      </c>
      <c r="G2972">
        <v>26045.64</v>
      </c>
      <c r="H2972">
        <v>3</v>
      </c>
    </row>
    <row r="2973" spans="1:8" x14ac:dyDescent="0.25">
      <c r="A2973" t="s">
        <v>165</v>
      </c>
      <c r="B2973" t="s">
        <v>3214</v>
      </c>
      <c r="C2973" t="s">
        <v>3216</v>
      </c>
      <c r="D2973" t="s">
        <v>3222</v>
      </c>
      <c r="E2973" t="s">
        <v>3226</v>
      </c>
      <c r="F2973">
        <v>61066.879999999997</v>
      </c>
      <c r="G2973">
        <v>35783.78</v>
      </c>
      <c r="H2973">
        <v>4</v>
      </c>
    </row>
    <row r="2974" spans="1:8" x14ac:dyDescent="0.25">
      <c r="A2974" t="s">
        <v>2523</v>
      </c>
      <c r="B2974" t="s">
        <v>3215</v>
      </c>
      <c r="C2974" t="s">
        <v>3219</v>
      </c>
      <c r="D2974" t="s">
        <v>3224</v>
      </c>
      <c r="E2974" t="s">
        <v>3226</v>
      </c>
      <c r="G2974">
        <v>184751.4</v>
      </c>
      <c r="H2974">
        <v>4</v>
      </c>
    </row>
    <row r="2975" spans="1:8" x14ac:dyDescent="0.25">
      <c r="A2975" t="s">
        <v>1238</v>
      </c>
      <c r="C2975" t="s">
        <v>3221</v>
      </c>
      <c r="D2975" t="s">
        <v>3225</v>
      </c>
      <c r="E2975" t="s">
        <v>3226</v>
      </c>
      <c r="F2975">
        <v>67222.69</v>
      </c>
      <c r="G2975">
        <v>38501.56</v>
      </c>
      <c r="H2975">
        <v>3</v>
      </c>
    </row>
    <row r="2976" spans="1:8" x14ac:dyDescent="0.25">
      <c r="A2976" t="s">
        <v>2524</v>
      </c>
      <c r="B2976" t="s">
        <v>3211</v>
      </c>
      <c r="C2976" t="s">
        <v>3218</v>
      </c>
      <c r="D2976" t="s">
        <v>3223</v>
      </c>
      <c r="E2976" t="s">
        <v>3226</v>
      </c>
      <c r="G2976">
        <v>18272.189999999999</v>
      </c>
      <c r="H2976">
        <v>3</v>
      </c>
    </row>
    <row r="2977" spans="1:8" x14ac:dyDescent="0.25">
      <c r="A2977" t="s">
        <v>2525</v>
      </c>
      <c r="B2977" t="s">
        <v>3212</v>
      </c>
      <c r="C2977" t="s">
        <v>3221</v>
      </c>
      <c r="D2977" t="s">
        <v>3224</v>
      </c>
      <c r="E2977" t="s">
        <v>3226</v>
      </c>
      <c r="F2977">
        <v>277785.58</v>
      </c>
      <c r="H2977">
        <v>4</v>
      </c>
    </row>
    <row r="2978" spans="1:8" x14ac:dyDescent="0.25">
      <c r="A2978" t="s">
        <v>1179</v>
      </c>
      <c r="B2978" t="s">
        <v>3213</v>
      </c>
      <c r="C2978" t="s">
        <v>3220</v>
      </c>
      <c r="D2978" t="s">
        <v>3224</v>
      </c>
      <c r="E2978" t="s">
        <v>3226</v>
      </c>
      <c r="F2978">
        <v>66333.77</v>
      </c>
      <c r="H2978">
        <v>1</v>
      </c>
    </row>
    <row r="2979" spans="1:8" x14ac:dyDescent="0.25">
      <c r="A2979" t="s">
        <v>434</v>
      </c>
      <c r="B2979" t="s">
        <v>3213</v>
      </c>
      <c r="C2979" t="s">
        <v>3219</v>
      </c>
      <c r="D2979" t="s">
        <v>3225</v>
      </c>
      <c r="E2979" t="s">
        <v>3226</v>
      </c>
      <c r="F2979">
        <v>116172.29</v>
      </c>
      <c r="G2979">
        <v>73348.460000000006</v>
      </c>
      <c r="H2979">
        <v>5</v>
      </c>
    </row>
    <row r="2980" spans="1:8" x14ac:dyDescent="0.25">
      <c r="A2980" t="s">
        <v>1994</v>
      </c>
      <c r="C2980" t="s">
        <v>3218</v>
      </c>
      <c r="D2980" t="s">
        <v>3224</v>
      </c>
      <c r="E2980" t="s">
        <v>3226</v>
      </c>
      <c r="F2980">
        <v>216640.59</v>
      </c>
      <c r="G2980">
        <v>190695.32</v>
      </c>
      <c r="H2980">
        <v>4</v>
      </c>
    </row>
    <row r="2981" spans="1:8" x14ac:dyDescent="0.25">
      <c r="A2981" t="s">
        <v>2526</v>
      </c>
      <c r="B2981" t="s">
        <v>3215</v>
      </c>
      <c r="C2981" t="s">
        <v>3218</v>
      </c>
      <c r="D2981" t="s">
        <v>3224</v>
      </c>
      <c r="E2981" t="s">
        <v>3226</v>
      </c>
      <c r="F2981">
        <v>159974.57999999999</v>
      </c>
      <c r="G2981">
        <v>136091.62</v>
      </c>
      <c r="H2981">
        <v>3</v>
      </c>
    </row>
    <row r="2982" spans="1:8" x14ac:dyDescent="0.25">
      <c r="A2982" t="s">
        <v>2527</v>
      </c>
      <c r="B2982" t="s">
        <v>3214</v>
      </c>
      <c r="C2982" t="s">
        <v>3220</v>
      </c>
      <c r="D2982" t="s">
        <v>3225</v>
      </c>
      <c r="E2982" t="s">
        <v>3226</v>
      </c>
      <c r="F2982">
        <v>64090.41</v>
      </c>
      <c r="G2982">
        <v>42472.94</v>
      </c>
      <c r="H2982">
        <v>3</v>
      </c>
    </row>
    <row r="2983" spans="1:8" x14ac:dyDescent="0.25">
      <c r="A2983" t="s">
        <v>2528</v>
      </c>
      <c r="B2983" t="s">
        <v>3215</v>
      </c>
      <c r="C2983" t="s">
        <v>3219</v>
      </c>
      <c r="D2983" t="s">
        <v>3224</v>
      </c>
      <c r="E2983" t="s">
        <v>3226</v>
      </c>
      <c r="F2983">
        <v>333838.06</v>
      </c>
      <c r="G2983">
        <v>233175.95</v>
      </c>
      <c r="H2983">
        <v>5</v>
      </c>
    </row>
    <row r="2984" spans="1:8" x14ac:dyDescent="0.25">
      <c r="A2984" t="s">
        <v>2529</v>
      </c>
      <c r="B2984" t="s">
        <v>3211</v>
      </c>
      <c r="C2984" t="s">
        <v>3219</v>
      </c>
      <c r="D2984" t="s">
        <v>3224</v>
      </c>
      <c r="E2984" t="s">
        <v>3226</v>
      </c>
      <c r="F2984">
        <v>194225.86</v>
      </c>
      <c r="G2984">
        <v>190134.83</v>
      </c>
      <c r="H2984">
        <v>4</v>
      </c>
    </row>
    <row r="2985" spans="1:8" x14ac:dyDescent="0.25">
      <c r="A2985" t="s">
        <v>2530</v>
      </c>
      <c r="B2985" t="s">
        <v>3211</v>
      </c>
      <c r="C2985" t="s">
        <v>3218</v>
      </c>
      <c r="D2985" t="s">
        <v>3224</v>
      </c>
      <c r="E2985" t="s">
        <v>3226</v>
      </c>
      <c r="F2985">
        <v>209782.09</v>
      </c>
      <c r="G2985">
        <v>122652.81</v>
      </c>
      <c r="H2985">
        <v>3</v>
      </c>
    </row>
    <row r="2986" spans="1:8" x14ac:dyDescent="0.25">
      <c r="A2986" t="s">
        <v>2531</v>
      </c>
      <c r="C2986" t="s">
        <v>3219</v>
      </c>
      <c r="D2986" t="s">
        <v>3223</v>
      </c>
      <c r="E2986" t="s">
        <v>3226</v>
      </c>
      <c r="F2986">
        <v>55326.96</v>
      </c>
      <c r="G2986">
        <v>32976.879999999997</v>
      </c>
      <c r="H2986">
        <v>5</v>
      </c>
    </row>
    <row r="2987" spans="1:8" x14ac:dyDescent="0.25">
      <c r="A2987" t="s">
        <v>2532</v>
      </c>
      <c r="B2987" t="s">
        <v>3214</v>
      </c>
      <c r="C2987" t="s">
        <v>3218</v>
      </c>
      <c r="D2987" t="s">
        <v>3225</v>
      </c>
      <c r="E2987" t="s">
        <v>3226</v>
      </c>
      <c r="F2987">
        <v>32566.07</v>
      </c>
      <c r="G2987">
        <v>25773.66</v>
      </c>
      <c r="H2987">
        <v>2</v>
      </c>
    </row>
    <row r="2988" spans="1:8" x14ac:dyDescent="0.25">
      <c r="A2988" t="s">
        <v>2533</v>
      </c>
      <c r="B2988" t="s">
        <v>3215</v>
      </c>
      <c r="C2988" t="s">
        <v>3219</v>
      </c>
      <c r="D2988" t="s">
        <v>3224</v>
      </c>
      <c r="E2988" t="s">
        <v>3226</v>
      </c>
      <c r="F2988">
        <v>141568.07</v>
      </c>
      <c r="G2988">
        <v>88550.49</v>
      </c>
      <c r="H2988">
        <v>2</v>
      </c>
    </row>
    <row r="2989" spans="1:8" x14ac:dyDescent="0.25">
      <c r="A2989" t="s">
        <v>2534</v>
      </c>
      <c r="B2989" t="s">
        <v>3215</v>
      </c>
      <c r="C2989" t="s">
        <v>3219</v>
      </c>
      <c r="D2989" t="s">
        <v>3222</v>
      </c>
      <c r="E2989" t="s">
        <v>3226</v>
      </c>
      <c r="F2989">
        <v>31887.19</v>
      </c>
      <c r="H2989">
        <v>2</v>
      </c>
    </row>
    <row r="2990" spans="1:8" x14ac:dyDescent="0.25">
      <c r="A2990" t="s">
        <v>2535</v>
      </c>
      <c r="B2990" t="s">
        <v>3213</v>
      </c>
      <c r="C2990" t="s">
        <v>3216</v>
      </c>
      <c r="D2990" t="s">
        <v>3225</v>
      </c>
      <c r="E2990" t="s">
        <v>3226</v>
      </c>
      <c r="F2990">
        <v>47756.83</v>
      </c>
      <c r="G2990">
        <v>29933.42</v>
      </c>
      <c r="H2990">
        <v>2</v>
      </c>
    </row>
    <row r="2991" spans="1:8" x14ac:dyDescent="0.25">
      <c r="A2991" t="s">
        <v>2536</v>
      </c>
      <c r="B2991" t="s">
        <v>3214</v>
      </c>
      <c r="C2991" t="s">
        <v>3216</v>
      </c>
      <c r="D2991" t="s">
        <v>3223</v>
      </c>
      <c r="E2991" t="s">
        <v>3226</v>
      </c>
      <c r="F2991">
        <v>21434.3</v>
      </c>
      <c r="G2991">
        <v>12929.9</v>
      </c>
      <c r="H2991">
        <v>2</v>
      </c>
    </row>
    <row r="2992" spans="1:8" x14ac:dyDescent="0.25">
      <c r="A2992" t="s">
        <v>2537</v>
      </c>
      <c r="B2992" t="s">
        <v>3211</v>
      </c>
      <c r="C2992" t="s">
        <v>3217</v>
      </c>
      <c r="D2992" t="s">
        <v>3223</v>
      </c>
      <c r="E2992" t="s">
        <v>3226</v>
      </c>
      <c r="F2992">
        <v>19517.169999999998</v>
      </c>
      <c r="G2992">
        <v>14522.9</v>
      </c>
      <c r="H2992">
        <v>2</v>
      </c>
    </row>
    <row r="2993" spans="1:8" x14ac:dyDescent="0.25">
      <c r="A2993" t="s">
        <v>2538</v>
      </c>
      <c r="B2993" t="s">
        <v>3214</v>
      </c>
      <c r="C2993" t="s">
        <v>3220</v>
      </c>
      <c r="D2993" t="s">
        <v>3224</v>
      </c>
      <c r="E2993" t="s">
        <v>3226</v>
      </c>
      <c r="F2993">
        <v>122341.08</v>
      </c>
      <c r="G2993">
        <v>85524.02</v>
      </c>
      <c r="H2993">
        <v>2</v>
      </c>
    </row>
    <row r="2994" spans="1:8" x14ac:dyDescent="0.25">
      <c r="A2994" t="s">
        <v>2539</v>
      </c>
      <c r="B2994" t="s">
        <v>3215</v>
      </c>
      <c r="C2994" t="s">
        <v>3219</v>
      </c>
      <c r="D2994" t="s">
        <v>3222</v>
      </c>
      <c r="E2994" t="s">
        <v>3226</v>
      </c>
      <c r="F2994">
        <v>43058.59</v>
      </c>
      <c r="G2994">
        <v>25743.97</v>
      </c>
      <c r="H2994">
        <v>3</v>
      </c>
    </row>
    <row r="2995" spans="1:8" x14ac:dyDescent="0.25">
      <c r="A2995" t="s">
        <v>2540</v>
      </c>
      <c r="B2995" t="s">
        <v>3211</v>
      </c>
      <c r="C2995" t="s">
        <v>3219</v>
      </c>
      <c r="D2995" t="s">
        <v>3225</v>
      </c>
      <c r="E2995" t="s">
        <v>3226</v>
      </c>
      <c r="F2995">
        <v>104238.43</v>
      </c>
      <c r="G2995">
        <v>69070.52</v>
      </c>
      <c r="H2995">
        <v>5</v>
      </c>
    </row>
    <row r="2996" spans="1:8" x14ac:dyDescent="0.25">
      <c r="A2996" t="s">
        <v>2290</v>
      </c>
      <c r="C2996" t="s">
        <v>3216</v>
      </c>
      <c r="D2996" t="s">
        <v>3222</v>
      </c>
      <c r="E2996" t="s">
        <v>3226</v>
      </c>
      <c r="F2996">
        <v>49091.58</v>
      </c>
      <c r="G2996">
        <v>26880.35</v>
      </c>
      <c r="H2996">
        <v>3</v>
      </c>
    </row>
    <row r="2997" spans="1:8" x14ac:dyDescent="0.25">
      <c r="A2997" t="s">
        <v>2541</v>
      </c>
      <c r="B2997" t="s">
        <v>3211</v>
      </c>
      <c r="C2997" t="s">
        <v>3220</v>
      </c>
      <c r="D2997" t="s">
        <v>3225</v>
      </c>
      <c r="E2997" t="s">
        <v>3226</v>
      </c>
      <c r="F2997">
        <v>21221.48</v>
      </c>
      <c r="G2997">
        <v>13096.02</v>
      </c>
      <c r="H2997">
        <v>1</v>
      </c>
    </row>
    <row r="2998" spans="1:8" x14ac:dyDescent="0.25">
      <c r="A2998" t="s">
        <v>2542</v>
      </c>
      <c r="B2998" t="s">
        <v>3211</v>
      </c>
      <c r="C2998" t="s">
        <v>3220</v>
      </c>
      <c r="D2998" t="s">
        <v>3223</v>
      </c>
      <c r="E2998" t="s">
        <v>3226</v>
      </c>
      <c r="F2998">
        <v>31198.94</v>
      </c>
      <c r="G2998">
        <v>21513.18</v>
      </c>
      <c r="H2998">
        <v>3</v>
      </c>
    </row>
    <row r="2999" spans="1:8" x14ac:dyDescent="0.25">
      <c r="A2999" t="s">
        <v>1647</v>
      </c>
      <c r="B2999" t="s">
        <v>3213</v>
      </c>
      <c r="C2999" t="s">
        <v>3221</v>
      </c>
      <c r="D2999" t="s">
        <v>3224</v>
      </c>
      <c r="E2999" t="s">
        <v>3226</v>
      </c>
      <c r="F2999">
        <v>200015.53</v>
      </c>
      <c r="G2999">
        <v>187935.83</v>
      </c>
      <c r="H2999">
        <v>4</v>
      </c>
    </row>
    <row r="3000" spans="1:8" x14ac:dyDescent="0.25">
      <c r="A3000" t="s">
        <v>2543</v>
      </c>
      <c r="B3000" t="s">
        <v>3211</v>
      </c>
      <c r="C3000" t="s">
        <v>3216</v>
      </c>
      <c r="D3000" t="s">
        <v>3225</v>
      </c>
      <c r="E3000" t="s">
        <v>3226</v>
      </c>
      <c r="F3000">
        <v>85949.37</v>
      </c>
      <c r="G3000">
        <v>72870.03</v>
      </c>
    </row>
    <row r="3001" spans="1:8" x14ac:dyDescent="0.25">
      <c r="A3001" t="s">
        <v>1830</v>
      </c>
      <c r="B3001" t="s">
        <v>3213</v>
      </c>
      <c r="C3001" t="s">
        <v>3220</v>
      </c>
      <c r="D3001" t="s">
        <v>3225</v>
      </c>
      <c r="E3001" t="s">
        <v>3226</v>
      </c>
      <c r="G3001">
        <v>60690.86</v>
      </c>
      <c r="H3001">
        <v>5</v>
      </c>
    </row>
    <row r="3002" spans="1:8" x14ac:dyDescent="0.25">
      <c r="A3002" t="s">
        <v>2544</v>
      </c>
      <c r="C3002" t="s">
        <v>3218</v>
      </c>
      <c r="D3002" t="s">
        <v>3222</v>
      </c>
      <c r="E3002" t="s">
        <v>3226</v>
      </c>
      <c r="F3002">
        <v>25205.91</v>
      </c>
      <c r="H3002">
        <v>2</v>
      </c>
    </row>
    <row r="3003" spans="1:8" x14ac:dyDescent="0.25">
      <c r="A3003" t="s">
        <v>2545</v>
      </c>
      <c r="B3003" t="s">
        <v>3214</v>
      </c>
      <c r="C3003" t="s">
        <v>3221</v>
      </c>
      <c r="D3003" t="s">
        <v>3225</v>
      </c>
      <c r="E3003" t="s">
        <v>3226</v>
      </c>
      <c r="F3003">
        <v>16963.72</v>
      </c>
      <c r="G3003">
        <v>15206.35</v>
      </c>
      <c r="H3003">
        <v>1</v>
      </c>
    </row>
    <row r="3004" spans="1:8" x14ac:dyDescent="0.25">
      <c r="A3004" t="s">
        <v>2546</v>
      </c>
      <c r="B3004" t="s">
        <v>3212</v>
      </c>
      <c r="C3004" t="s">
        <v>3219</v>
      </c>
      <c r="D3004" t="s">
        <v>3225</v>
      </c>
      <c r="E3004" t="s">
        <v>3226</v>
      </c>
      <c r="F3004">
        <v>21438.47</v>
      </c>
      <c r="G3004">
        <v>14951.57</v>
      </c>
      <c r="H3004">
        <v>1</v>
      </c>
    </row>
    <row r="3005" spans="1:8" x14ac:dyDescent="0.25">
      <c r="A3005" t="s">
        <v>752</v>
      </c>
      <c r="B3005" t="s">
        <v>3215</v>
      </c>
      <c r="C3005" t="s">
        <v>3219</v>
      </c>
      <c r="D3005" t="s">
        <v>3225</v>
      </c>
      <c r="E3005" t="s">
        <v>3226</v>
      </c>
      <c r="F3005">
        <v>23051.18</v>
      </c>
      <c r="G3005">
        <v>12426.02</v>
      </c>
      <c r="H3005">
        <v>1</v>
      </c>
    </row>
    <row r="3006" spans="1:8" x14ac:dyDescent="0.25">
      <c r="A3006" t="s">
        <v>1141</v>
      </c>
      <c r="B3006" t="s">
        <v>3211</v>
      </c>
      <c r="C3006" t="s">
        <v>3221</v>
      </c>
      <c r="D3006" t="s">
        <v>3223</v>
      </c>
      <c r="E3006" t="s">
        <v>3226</v>
      </c>
      <c r="F3006">
        <v>18766.11</v>
      </c>
      <c r="G3006">
        <v>13396.21</v>
      </c>
      <c r="H3006">
        <v>2</v>
      </c>
    </row>
    <row r="3007" spans="1:8" x14ac:dyDescent="0.25">
      <c r="A3007" t="s">
        <v>2547</v>
      </c>
      <c r="B3007" t="s">
        <v>3212</v>
      </c>
      <c r="C3007" t="s">
        <v>3218</v>
      </c>
      <c r="D3007" t="s">
        <v>3224</v>
      </c>
      <c r="E3007" t="s">
        <v>3226</v>
      </c>
      <c r="F3007">
        <v>274631.44</v>
      </c>
      <c r="G3007">
        <v>171705.67</v>
      </c>
    </row>
    <row r="3008" spans="1:8" x14ac:dyDescent="0.25">
      <c r="A3008" t="s">
        <v>467</v>
      </c>
      <c r="B3008" t="s">
        <v>3212</v>
      </c>
      <c r="C3008" t="s">
        <v>3219</v>
      </c>
      <c r="D3008" t="s">
        <v>3222</v>
      </c>
      <c r="E3008" t="s">
        <v>3226</v>
      </c>
      <c r="G3008">
        <v>18142.86</v>
      </c>
      <c r="H3008">
        <v>2</v>
      </c>
    </row>
    <row r="3009" spans="1:8" x14ac:dyDescent="0.25">
      <c r="A3009" t="s">
        <v>2548</v>
      </c>
      <c r="B3009" t="s">
        <v>3213</v>
      </c>
      <c r="C3009" t="s">
        <v>3216</v>
      </c>
      <c r="D3009" t="s">
        <v>3223</v>
      </c>
      <c r="E3009" t="s">
        <v>3226</v>
      </c>
      <c r="F3009">
        <v>9081.31</v>
      </c>
      <c r="G3009">
        <v>6252.7</v>
      </c>
      <c r="H3009">
        <v>1</v>
      </c>
    </row>
    <row r="3010" spans="1:8" x14ac:dyDescent="0.25">
      <c r="A3010" t="s">
        <v>2549</v>
      </c>
      <c r="B3010" t="s">
        <v>3213</v>
      </c>
      <c r="C3010" t="s">
        <v>3221</v>
      </c>
      <c r="D3010" t="s">
        <v>3224</v>
      </c>
      <c r="E3010" t="s">
        <v>3226</v>
      </c>
      <c r="F3010">
        <v>278968.03999999998</v>
      </c>
      <c r="G3010">
        <v>199322.37</v>
      </c>
      <c r="H3010">
        <v>5</v>
      </c>
    </row>
    <row r="3011" spans="1:8" x14ac:dyDescent="0.25">
      <c r="A3011" t="s">
        <v>2550</v>
      </c>
      <c r="B3011" t="s">
        <v>3212</v>
      </c>
      <c r="C3011" t="s">
        <v>3220</v>
      </c>
      <c r="D3011" t="s">
        <v>3222</v>
      </c>
      <c r="E3011" t="s">
        <v>3226</v>
      </c>
      <c r="F3011">
        <v>29962.66</v>
      </c>
      <c r="G3011">
        <v>17010.87</v>
      </c>
      <c r="H3011">
        <v>2</v>
      </c>
    </row>
    <row r="3012" spans="1:8" x14ac:dyDescent="0.25">
      <c r="A3012" t="s">
        <v>2551</v>
      </c>
      <c r="C3012" t="s">
        <v>3217</v>
      </c>
      <c r="D3012" t="s">
        <v>3222</v>
      </c>
      <c r="E3012" t="s">
        <v>3226</v>
      </c>
      <c r="F3012">
        <v>75602.8</v>
      </c>
      <c r="G3012">
        <v>43560.59</v>
      </c>
      <c r="H3012">
        <v>5</v>
      </c>
    </row>
    <row r="3013" spans="1:8" x14ac:dyDescent="0.25">
      <c r="A3013" t="s">
        <v>2552</v>
      </c>
      <c r="B3013" t="s">
        <v>3213</v>
      </c>
      <c r="C3013" t="s">
        <v>3216</v>
      </c>
      <c r="D3013" t="s">
        <v>3224</v>
      </c>
      <c r="E3013" t="s">
        <v>3226</v>
      </c>
      <c r="F3013">
        <v>211515.36</v>
      </c>
      <c r="G3013">
        <v>129121.1</v>
      </c>
      <c r="H3013">
        <v>3</v>
      </c>
    </row>
    <row r="3014" spans="1:8" x14ac:dyDescent="0.25">
      <c r="A3014" t="s">
        <v>2553</v>
      </c>
      <c r="B3014" t="s">
        <v>3215</v>
      </c>
      <c r="C3014" t="s">
        <v>3217</v>
      </c>
      <c r="D3014" t="s">
        <v>3222</v>
      </c>
      <c r="E3014" t="s">
        <v>3226</v>
      </c>
      <c r="F3014">
        <v>50841.54</v>
      </c>
      <c r="G3014">
        <v>31644.23</v>
      </c>
      <c r="H3014">
        <v>3</v>
      </c>
    </row>
    <row r="3015" spans="1:8" x14ac:dyDescent="0.25">
      <c r="A3015" t="s">
        <v>2554</v>
      </c>
      <c r="B3015" t="s">
        <v>3213</v>
      </c>
      <c r="C3015" t="s">
        <v>3219</v>
      </c>
      <c r="D3015" t="s">
        <v>3223</v>
      </c>
      <c r="E3015" t="s">
        <v>3226</v>
      </c>
      <c r="F3015">
        <v>38377.910000000003</v>
      </c>
      <c r="G3015">
        <v>23986.39</v>
      </c>
      <c r="H3015">
        <v>4</v>
      </c>
    </row>
    <row r="3016" spans="1:8" x14ac:dyDescent="0.25">
      <c r="A3016" t="s">
        <v>2555</v>
      </c>
      <c r="B3016" t="s">
        <v>3212</v>
      </c>
      <c r="C3016" t="s">
        <v>3217</v>
      </c>
      <c r="D3016" t="s">
        <v>3222</v>
      </c>
      <c r="E3016" t="s">
        <v>3226</v>
      </c>
      <c r="F3016">
        <v>27886.45</v>
      </c>
      <c r="G3016">
        <v>18634.64</v>
      </c>
      <c r="H3016">
        <v>2</v>
      </c>
    </row>
    <row r="3017" spans="1:8" x14ac:dyDescent="0.25">
      <c r="A3017" t="s">
        <v>2556</v>
      </c>
      <c r="B3017" t="s">
        <v>3214</v>
      </c>
      <c r="C3017" t="s">
        <v>3216</v>
      </c>
      <c r="D3017" t="s">
        <v>3225</v>
      </c>
      <c r="E3017" t="s">
        <v>3226</v>
      </c>
      <c r="F3017">
        <v>90968.5</v>
      </c>
      <c r="G3017">
        <v>63316.18</v>
      </c>
      <c r="H3017">
        <v>5</v>
      </c>
    </row>
    <row r="3018" spans="1:8" x14ac:dyDescent="0.25">
      <c r="A3018" t="s">
        <v>2557</v>
      </c>
      <c r="B3018" t="s">
        <v>3214</v>
      </c>
      <c r="C3018" t="s">
        <v>3221</v>
      </c>
      <c r="D3018" t="s">
        <v>3225</v>
      </c>
      <c r="E3018" t="s">
        <v>3226</v>
      </c>
      <c r="F3018">
        <v>58013.760000000002</v>
      </c>
      <c r="G3018">
        <v>38434.81</v>
      </c>
      <c r="H3018">
        <v>3</v>
      </c>
    </row>
    <row r="3019" spans="1:8" x14ac:dyDescent="0.25">
      <c r="A3019" t="s">
        <v>198</v>
      </c>
      <c r="B3019" t="s">
        <v>3212</v>
      </c>
      <c r="C3019" t="s">
        <v>3217</v>
      </c>
      <c r="D3019" t="s">
        <v>3224</v>
      </c>
      <c r="E3019" t="s">
        <v>3226</v>
      </c>
      <c r="F3019">
        <v>70246.100000000006</v>
      </c>
      <c r="G3019">
        <v>44126.59</v>
      </c>
      <c r="H3019">
        <v>1</v>
      </c>
    </row>
    <row r="3020" spans="1:8" x14ac:dyDescent="0.25">
      <c r="A3020" t="s">
        <v>2558</v>
      </c>
      <c r="B3020" t="s">
        <v>3213</v>
      </c>
      <c r="C3020" t="s">
        <v>3219</v>
      </c>
      <c r="D3020" t="s">
        <v>3224</v>
      </c>
      <c r="E3020" t="s">
        <v>3226</v>
      </c>
      <c r="F3020">
        <v>118273.59</v>
      </c>
      <c r="G3020">
        <v>95314.68</v>
      </c>
      <c r="H3020">
        <v>2</v>
      </c>
    </row>
    <row r="3021" spans="1:8" x14ac:dyDescent="0.25">
      <c r="A3021" t="s">
        <v>1145</v>
      </c>
      <c r="B3021" t="s">
        <v>3215</v>
      </c>
      <c r="C3021" t="s">
        <v>3218</v>
      </c>
      <c r="D3021" t="s">
        <v>3225</v>
      </c>
      <c r="E3021" t="s">
        <v>3226</v>
      </c>
      <c r="F3021">
        <v>66866.600000000006</v>
      </c>
      <c r="G3021">
        <v>39100.629999999997</v>
      </c>
      <c r="H3021">
        <v>3</v>
      </c>
    </row>
    <row r="3022" spans="1:8" x14ac:dyDescent="0.25">
      <c r="A3022" t="s">
        <v>2559</v>
      </c>
      <c r="C3022" t="s">
        <v>3218</v>
      </c>
      <c r="D3022" t="s">
        <v>3223</v>
      </c>
      <c r="E3022" t="s">
        <v>3226</v>
      </c>
      <c r="F3022">
        <v>56853.279999999999</v>
      </c>
      <c r="G3022">
        <v>32067.33</v>
      </c>
      <c r="H3022">
        <v>5</v>
      </c>
    </row>
    <row r="3023" spans="1:8" x14ac:dyDescent="0.25">
      <c r="A3023" t="s">
        <v>2560</v>
      </c>
      <c r="B3023" t="s">
        <v>3211</v>
      </c>
      <c r="C3023" t="s">
        <v>3221</v>
      </c>
      <c r="D3023" t="s">
        <v>3222</v>
      </c>
      <c r="E3023" t="s">
        <v>3226</v>
      </c>
      <c r="F3023">
        <v>75275.070000000007</v>
      </c>
      <c r="G3023">
        <v>52859.48</v>
      </c>
      <c r="H3023">
        <v>5</v>
      </c>
    </row>
    <row r="3024" spans="1:8" x14ac:dyDescent="0.25">
      <c r="A3024" t="s">
        <v>466</v>
      </c>
      <c r="B3024" t="s">
        <v>3211</v>
      </c>
      <c r="C3024" t="s">
        <v>3219</v>
      </c>
      <c r="D3024" t="s">
        <v>3223</v>
      </c>
      <c r="E3024" t="s">
        <v>3226</v>
      </c>
      <c r="F3024">
        <v>11201.6</v>
      </c>
      <c r="G3024">
        <v>6271.77</v>
      </c>
      <c r="H3024">
        <v>1</v>
      </c>
    </row>
    <row r="3025" spans="1:8" x14ac:dyDescent="0.25">
      <c r="A3025" t="s">
        <v>2561</v>
      </c>
      <c r="B3025" t="s">
        <v>3215</v>
      </c>
      <c r="C3025" t="s">
        <v>3217</v>
      </c>
      <c r="D3025" t="s">
        <v>3224</v>
      </c>
      <c r="E3025" t="s">
        <v>3226</v>
      </c>
      <c r="F3025">
        <v>70996.42</v>
      </c>
      <c r="G3025">
        <v>48272.08</v>
      </c>
    </row>
    <row r="3026" spans="1:8" x14ac:dyDescent="0.25">
      <c r="A3026" t="s">
        <v>990</v>
      </c>
      <c r="B3026" t="s">
        <v>3215</v>
      </c>
      <c r="C3026" t="s">
        <v>3220</v>
      </c>
      <c r="D3026" t="s">
        <v>3223</v>
      </c>
      <c r="E3026" t="s">
        <v>3226</v>
      </c>
      <c r="F3026">
        <v>11982.74</v>
      </c>
      <c r="G3026">
        <v>7293.35</v>
      </c>
      <c r="H3026">
        <v>1</v>
      </c>
    </row>
    <row r="3027" spans="1:8" x14ac:dyDescent="0.25">
      <c r="A3027" t="s">
        <v>984</v>
      </c>
      <c r="C3027" t="s">
        <v>3216</v>
      </c>
      <c r="D3027" t="s">
        <v>3225</v>
      </c>
      <c r="E3027" t="s">
        <v>3226</v>
      </c>
      <c r="F3027">
        <v>18944.099999999999</v>
      </c>
      <c r="G3027">
        <v>14089.15</v>
      </c>
      <c r="H3027">
        <v>1</v>
      </c>
    </row>
    <row r="3028" spans="1:8" x14ac:dyDescent="0.25">
      <c r="A3028" t="s">
        <v>1979</v>
      </c>
      <c r="B3028" t="s">
        <v>3213</v>
      </c>
      <c r="C3028" t="s">
        <v>3217</v>
      </c>
      <c r="D3028" t="s">
        <v>3222</v>
      </c>
      <c r="E3028" t="s">
        <v>3226</v>
      </c>
      <c r="F3028">
        <v>65912.91</v>
      </c>
      <c r="G3028">
        <v>48760.34</v>
      </c>
      <c r="H3028">
        <v>5</v>
      </c>
    </row>
    <row r="3029" spans="1:8" x14ac:dyDescent="0.25">
      <c r="A3029" t="s">
        <v>64</v>
      </c>
      <c r="B3029" t="s">
        <v>3214</v>
      </c>
      <c r="C3029" t="s">
        <v>3220</v>
      </c>
      <c r="D3029" t="s">
        <v>3224</v>
      </c>
      <c r="E3029" t="s">
        <v>3226</v>
      </c>
      <c r="F3029">
        <v>196381.67</v>
      </c>
      <c r="G3029">
        <v>181450.2</v>
      </c>
    </row>
    <row r="3030" spans="1:8" x14ac:dyDescent="0.25">
      <c r="A3030" t="s">
        <v>476</v>
      </c>
      <c r="B3030" t="s">
        <v>3215</v>
      </c>
      <c r="C3030" t="s">
        <v>3218</v>
      </c>
      <c r="D3030" t="s">
        <v>3222</v>
      </c>
      <c r="E3030" t="s">
        <v>3226</v>
      </c>
      <c r="G3030">
        <v>9816.3799999999992</v>
      </c>
      <c r="H3030">
        <v>1</v>
      </c>
    </row>
    <row r="3031" spans="1:8" x14ac:dyDescent="0.25">
      <c r="A3031" t="s">
        <v>2562</v>
      </c>
      <c r="C3031" t="s">
        <v>3218</v>
      </c>
      <c r="D3031" t="s">
        <v>3224</v>
      </c>
      <c r="E3031" t="s">
        <v>3226</v>
      </c>
      <c r="F3031">
        <v>68231.08</v>
      </c>
      <c r="G3031">
        <v>39125.53</v>
      </c>
      <c r="H3031">
        <v>1</v>
      </c>
    </row>
    <row r="3032" spans="1:8" x14ac:dyDescent="0.25">
      <c r="A3032" t="s">
        <v>2563</v>
      </c>
      <c r="C3032" t="s">
        <v>3217</v>
      </c>
      <c r="D3032" t="s">
        <v>3225</v>
      </c>
      <c r="E3032" t="s">
        <v>3226</v>
      </c>
      <c r="F3032">
        <v>20199.52</v>
      </c>
      <c r="G3032">
        <v>14296.71</v>
      </c>
      <c r="H3032">
        <v>1</v>
      </c>
    </row>
    <row r="3033" spans="1:8" x14ac:dyDescent="0.25">
      <c r="A3033" t="s">
        <v>2564</v>
      </c>
      <c r="B3033" t="s">
        <v>3215</v>
      </c>
      <c r="C3033" t="s">
        <v>3217</v>
      </c>
      <c r="D3033" t="s">
        <v>3224</v>
      </c>
      <c r="E3033" t="s">
        <v>3226</v>
      </c>
      <c r="F3033">
        <v>56600.29</v>
      </c>
      <c r="G3033">
        <v>45601.24</v>
      </c>
      <c r="H3033">
        <v>1</v>
      </c>
    </row>
    <row r="3034" spans="1:8" x14ac:dyDescent="0.25">
      <c r="A3034" t="s">
        <v>2565</v>
      </c>
      <c r="B3034" t="s">
        <v>3214</v>
      </c>
      <c r="C3034" t="s">
        <v>3216</v>
      </c>
      <c r="D3034" t="s">
        <v>3225</v>
      </c>
      <c r="E3034" t="s">
        <v>3226</v>
      </c>
      <c r="F3034">
        <v>52417.53</v>
      </c>
      <c r="G3034">
        <v>36083.17</v>
      </c>
      <c r="H3034">
        <v>3</v>
      </c>
    </row>
    <row r="3035" spans="1:8" x14ac:dyDescent="0.25">
      <c r="A3035" t="s">
        <v>2566</v>
      </c>
      <c r="B3035" t="s">
        <v>3212</v>
      </c>
      <c r="C3035" t="s">
        <v>3216</v>
      </c>
      <c r="D3035" t="s">
        <v>3224</v>
      </c>
      <c r="E3035" t="s">
        <v>3226</v>
      </c>
      <c r="F3035">
        <v>212251.91</v>
      </c>
      <c r="G3035">
        <v>192703.58</v>
      </c>
    </row>
    <row r="3036" spans="1:8" x14ac:dyDescent="0.25">
      <c r="A3036" t="s">
        <v>1480</v>
      </c>
      <c r="B3036" t="s">
        <v>3215</v>
      </c>
      <c r="C3036" t="s">
        <v>3221</v>
      </c>
      <c r="D3036" t="s">
        <v>3224</v>
      </c>
      <c r="E3036" t="s">
        <v>3226</v>
      </c>
      <c r="F3036">
        <v>227511</v>
      </c>
      <c r="H3036">
        <v>4</v>
      </c>
    </row>
    <row r="3037" spans="1:8" x14ac:dyDescent="0.25">
      <c r="A3037" t="s">
        <v>2567</v>
      </c>
      <c r="B3037" t="s">
        <v>3214</v>
      </c>
      <c r="C3037" t="s">
        <v>3221</v>
      </c>
      <c r="D3037" t="s">
        <v>3223</v>
      </c>
      <c r="E3037" t="s">
        <v>3226</v>
      </c>
      <c r="G3037">
        <v>15351.75</v>
      </c>
      <c r="H3037">
        <v>2</v>
      </c>
    </row>
    <row r="3038" spans="1:8" x14ac:dyDescent="0.25">
      <c r="A3038" t="s">
        <v>1236</v>
      </c>
      <c r="B3038" t="s">
        <v>3212</v>
      </c>
      <c r="C3038" t="s">
        <v>3216</v>
      </c>
      <c r="D3038" t="s">
        <v>3225</v>
      </c>
      <c r="E3038" t="s">
        <v>3226</v>
      </c>
      <c r="F3038">
        <v>58612.14</v>
      </c>
      <c r="G3038">
        <v>39327.230000000003</v>
      </c>
      <c r="H3038">
        <v>3</v>
      </c>
    </row>
    <row r="3039" spans="1:8" x14ac:dyDescent="0.25">
      <c r="A3039" t="s">
        <v>1568</v>
      </c>
      <c r="C3039" t="s">
        <v>3216</v>
      </c>
      <c r="D3039" t="s">
        <v>3224</v>
      </c>
      <c r="E3039" t="s">
        <v>3226</v>
      </c>
      <c r="F3039">
        <v>98388.18</v>
      </c>
      <c r="G3039">
        <v>79368.08</v>
      </c>
      <c r="H3039">
        <v>2</v>
      </c>
    </row>
    <row r="3040" spans="1:8" x14ac:dyDescent="0.25">
      <c r="A3040" t="s">
        <v>2568</v>
      </c>
      <c r="B3040" t="s">
        <v>3214</v>
      </c>
      <c r="C3040" t="s">
        <v>3218</v>
      </c>
      <c r="D3040" t="s">
        <v>3225</v>
      </c>
      <c r="E3040" t="s">
        <v>3226</v>
      </c>
      <c r="F3040">
        <v>104892.14</v>
      </c>
      <c r="G3040">
        <v>69650.850000000006</v>
      </c>
      <c r="H3040">
        <v>5</v>
      </c>
    </row>
    <row r="3041" spans="1:8" x14ac:dyDescent="0.25">
      <c r="A3041" t="s">
        <v>2569</v>
      </c>
      <c r="B3041" t="s">
        <v>3211</v>
      </c>
      <c r="C3041" t="s">
        <v>3219</v>
      </c>
      <c r="D3041" t="s">
        <v>3224</v>
      </c>
      <c r="E3041" t="s">
        <v>3226</v>
      </c>
      <c r="H3041">
        <v>1</v>
      </c>
    </row>
    <row r="3042" spans="1:8" x14ac:dyDescent="0.25">
      <c r="A3042" t="s">
        <v>2570</v>
      </c>
      <c r="B3042" t="s">
        <v>3214</v>
      </c>
      <c r="C3042" t="s">
        <v>3218</v>
      </c>
      <c r="D3042" t="s">
        <v>3224</v>
      </c>
      <c r="E3042" t="s">
        <v>3226</v>
      </c>
      <c r="F3042">
        <v>59841.5</v>
      </c>
      <c r="G3042">
        <v>40105.96</v>
      </c>
      <c r="H3042">
        <v>1</v>
      </c>
    </row>
    <row r="3043" spans="1:8" x14ac:dyDescent="0.25">
      <c r="A3043" t="s">
        <v>351</v>
      </c>
      <c r="B3043" t="s">
        <v>3215</v>
      </c>
      <c r="C3043" t="s">
        <v>3219</v>
      </c>
      <c r="D3043" t="s">
        <v>3224</v>
      </c>
      <c r="E3043" t="s">
        <v>3226</v>
      </c>
      <c r="F3043">
        <v>192553.24</v>
      </c>
      <c r="G3043">
        <v>186385.66</v>
      </c>
      <c r="H3043">
        <v>4</v>
      </c>
    </row>
    <row r="3044" spans="1:8" x14ac:dyDescent="0.25">
      <c r="A3044" t="s">
        <v>2571</v>
      </c>
      <c r="C3044" t="s">
        <v>3219</v>
      </c>
      <c r="D3044" t="s">
        <v>3222</v>
      </c>
      <c r="E3044" t="s">
        <v>3226</v>
      </c>
      <c r="F3044">
        <v>16171.27</v>
      </c>
      <c r="G3044">
        <v>9355.2800000000007</v>
      </c>
      <c r="H3044">
        <v>1</v>
      </c>
    </row>
    <row r="3045" spans="1:8" x14ac:dyDescent="0.25">
      <c r="A3045" t="s">
        <v>1565</v>
      </c>
      <c r="B3045" t="s">
        <v>3215</v>
      </c>
      <c r="C3045" t="s">
        <v>3217</v>
      </c>
      <c r="D3045" t="s">
        <v>3222</v>
      </c>
      <c r="E3045" t="s">
        <v>3226</v>
      </c>
      <c r="F3045">
        <v>29677.05</v>
      </c>
      <c r="G3045">
        <v>17890.43</v>
      </c>
      <c r="H3045">
        <v>2</v>
      </c>
    </row>
    <row r="3046" spans="1:8" x14ac:dyDescent="0.25">
      <c r="A3046" t="s">
        <v>529</v>
      </c>
      <c r="B3046" t="s">
        <v>3213</v>
      </c>
      <c r="C3046" t="s">
        <v>3221</v>
      </c>
      <c r="D3046" t="s">
        <v>3225</v>
      </c>
      <c r="E3046" t="s">
        <v>3226</v>
      </c>
      <c r="F3046">
        <v>32046.94</v>
      </c>
      <c r="H3046">
        <v>2</v>
      </c>
    </row>
    <row r="3047" spans="1:8" x14ac:dyDescent="0.25">
      <c r="A3047" t="s">
        <v>1053</v>
      </c>
      <c r="B3047" t="s">
        <v>3212</v>
      </c>
      <c r="C3047" t="s">
        <v>3216</v>
      </c>
      <c r="D3047" t="s">
        <v>3222</v>
      </c>
      <c r="E3047" t="s">
        <v>3226</v>
      </c>
      <c r="F3047">
        <v>56006.43</v>
      </c>
      <c r="G3047">
        <v>40594.97</v>
      </c>
      <c r="H3047">
        <v>4</v>
      </c>
    </row>
    <row r="3048" spans="1:8" x14ac:dyDescent="0.25">
      <c r="A3048" t="s">
        <v>2572</v>
      </c>
      <c r="B3048" t="s">
        <v>3212</v>
      </c>
      <c r="C3048" t="s">
        <v>3219</v>
      </c>
      <c r="D3048" t="s">
        <v>3225</v>
      </c>
      <c r="E3048" t="s">
        <v>3226</v>
      </c>
      <c r="G3048">
        <v>49956.43</v>
      </c>
      <c r="H3048">
        <v>4</v>
      </c>
    </row>
    <row r="3049" spans="1:8" x14ac:dyDescent="0.25">
      <c r="A3049" t="s">
        <v>2573</v>
      </c>
      <c r="B3049" t="s">
        <v>3212</v>
      </c>
      <c r="C3049" t="s">
        <v>3218</v>
      </c>
      <c r="D3049" t="s">
        <v>3222</v>
      </c>
      <c r="E3049" t="s">
        <v>3226</v>
      </c>
      <c r="F3049">
        <v>24856.87</v>
      </c>
      <c r="G3049">
        <v>21460.97</v>
      </c>
      <c r="H3049">
        <v>2</v>
      </c>
    </row>
    <row r="3050" spans="1:8" x14ac:dyDescent="0.25">
      <c r="A3050" t="s">
        <v>1017</v>
      </c>
      <c r="B3050" t="s">
        <v>3214</v>
      </c>
      <c r="C3050" t="s">
        <v>3219</v>
      </c>
      <c r="D3050" t="s">
        <v>3224</v>
      </c>
      <c r="E3050" t="s">
        <v>3226</v>
      </c>
      <c r="F3050">
        <v>266026.59999999998</v>
      </c>
      <c r="G3050">
        <v>156697.79999999999</v>
      </c>
      <c r="H3050">
        <v>4</v>
      </c>
    </row>
    <row r="3051" spans="1:8" x14ac:dyDescent="0.25">
      <c r="A3051" t="s">
        <v>2574</v>
      </c>
      <c r="B3051" t="s">
        <v>3212</v>
      </c>
      <c r="C3051" t="s">
        <v>3216</v>
      </c>
      <c r="D3051" t="s">
        <v>3222</v>
      </c>
      <c r="E3051" t="s">
        <v>3226</v>
      </c>
      <c r="F3051">
        <v>16171.9</v>
      </c>
      <c r="G3051">
        <v>9395.41</v>
      </c>
      <c r="H3051">
        <v>1</v>
      </c>
    </row>
    <row r="3052" spans="1:8" x14ac:dyDescent="0.25">
      <c r="A3052" t="s">
        <v>2575</v>
      </c>
      <c r="C3052" t="s">
        <v>3217</v>
      </c>
      <c r="D3052" t="s">
        <v>3222</v>
      </c>
      <c r="E3052" t="s">
        <v>3226</v>
      </c>
      <c r="F3052">
        <v>32296.12</v>
      </c>
      <c r="G3052">
        <v>18585.38</v>
      </c>
      <c r="H3052">
        <v>2</v>
      </c>
    </row>
    <row r="3053" spans="1:8" x14ac:dyDescent="0.25">
      <c r="A3053" t="s">
        <v>2576</v>
      </c>
      <c r="B3053" t="s">
        <v>3215</v>
      </c>
      <c r="C3053" t="s">
        <v>3221</v>
      </c>
      <c r="D3053" t="s">
        <v>3223</v>
      </c>
      <c r="E3053" t="s">
        <v>3226</v>
      </c>
      <c r="F3053">
        <v>17972.310000000001</v>
      </c>
      <c r="G3053">
        <v>12651.13</v>
      </c>
      <c r="H3053">
        <v>2</v>
      </c>
    </row>
    <row r="3054" spans="1:8" x14ac:dyDescent="0.25">
      <c r="A3054" t="s">
        <v>2577</v>
      </c>
      <c r="B3054" t="s">
        <v>3212</v>
      </c>
      <c r="C3054" t="s">
        <v>3219</v>
      </c>
      <c r="D3054" t="s">
        <v>3225</v>
      </c>
      <c r="E3054" t="s">
        <v>3226</v>
      </c>
      <c r="F3054">
        <v>90672.25</v>
      </c>
      <c r="G3054">
        <v>67819.960000000006</v>
      </c>
      <c r="H3054">
        <v>5</v>
      </c>
    </row>
    <row r="3055" spans="1:8" x14ac:dyDescent="0.25">
      <c r="A3055" t="s">
        <v>2578</v>
      </c>
      <c r="B3055" t="s">
        <v>3215</v>
      </c>
      <c r="C3055" t="s">
        <v>3220</v>
      </c>
      <c r="D3055" t="s">
        <v>3225</v>
      </c>
      <c r="E3055" t="s">
        <v>3226</v>
      </c>
      <c r="F3055">
        <v>37857.47</v>
      </c>
      <c r="G3055">
        <v>28758.93</v>
      </c>
      <c r="H3055">
        <v>2</v>
      </c>
    </row>
    <row r="3056" spans="1:8" x14ac:dyDescent="0.25">
      <c r="A3056" t="s">
        <v>2579</v>
      </c>
      <c r="C3056" t="s">
        <v>3218</v>
      </c>
      <c r="D3056" t="s">
        <v>3222</v>
      </c>
      <c r="E3056" t="s">
        <v>3226</v>
      </c>
      <c r="F3056">
        <v>68602.789999999994</v>
      </c>
      <c r="G3056">
        <v>35764.71</v>
      </c>
      <c r="H3056">
        <v>4</v>
      </c>
    </row>
    <row r="3057" spans="1:8" x14ac:dyDescent="0.25">
      <c r="A3057" t="s">
        <v>2580</v>
      </c>
      <c r="B3057" t="s">
        <v>3212</v>
      </c>
      <c r="C3057" t="s">
        <v>3218</v>
      </c>
      <c r="D3057" t="s">
        <v>3223</v>
      </c>
      <c r="E3057" t="s">
        <v>3226</v>
      </c>
      <c r="F3057">
        <v>8313.42</v>
      </c>
      <c r="G3057">
        <v>6492.96</v>
      </c>
      <c r="H3057">
        <v>1</v>
      </c>
    </row>
    <row r="3058" spans="1:8" x14ac:dyDescent="0.25">
      <c r="A3058" t="s">
        <v>1344</v>
      </c>
      <c r="B3058" t="s">
        <v>3214</v>
      </c>
      <c r="C3058" t="s">
        <v>3218</v>
      </c>
      <c r="D3058" t="s">
        <v>3222</v>
      </c>
      <c r="E3058" t="s">
        <v>3226</v>
      </c>
      <c r="F3058">
        <v>15860.53</v>
      </c>
      <c r="G3058">
        <v>9581.4</v>
      </c>
      <c r="H3058">
        <v>1</v>
      </c>
    </row>
    <row r="3059" spans="1:8" x14ac:dyDescent="0.25">
      <c r="A3059" t="s">
        <v>2581</v>
      </c>
      <c r="B3059" t="s">
        <v>3212</v>
      </c>
      <c r="C3059" t="s">
        <v>3219</v>
      </c>
      <c r="D3059" t="s">
        <v>3225</v>
      </c>
      <c r="E3059" t="s">
        <v>3226</v>
      </c>
      <c r="F3059">
        <v>19022.3</v>
      </c>
      <c r="G3059">
        <v>14743.72</v>
      </c>
      <c r="H3059">
        <v>1</v>
      </c>
    </row>
    <row r="3060" spans="1:8" x14ac:dyDescent="0.25">
      <c r="A3060" t="s">
        <v>2582</v>
      </c>
      <c r="B3060" t="s">
        <v>3215</v>
      </c>
      <c r="C3060" t="s">
        <v>3219</v>
      </c>
      <c r="D3060" t="s">
        <v>3222</v>
      </c>
      <c r="E3060" t="s">
        <v>3226</v>
      </c>
      <c r="F3060">
        <v>71482.880000000005</v>
      </c>
      <c r="G3060">
        <v>38545.75</v>
      </c>
      <c r="H3060">
        <v>4</v>
      </c>
    </row>
    <row r="3061" spans="1:8" x14ac:dyDescent="0.25">
      <c r="A3061" t="s">
        <v>125</v>
      </c>
      <c r="B3061" t="s">
        <v>3215</v>
      </c>
      <c r="C3061" t="s">
        <v>3217</v>
      </c>
      <c r="D3061" t="s">
        <v>3222</v>
      </c>
      <c r="E3061" t="s">
        <v>3226</v>
      </c>
      <c r="F3061">
        <v>25379.43</v>
      </c>
      <c r="G3061">
        <v>18847.759999999998</v>
      </c>
      <c r="H3061">
        <v>2</v>
      </c>
    </row>
    <row r="3062" spans="1:8" x14ac:dyDescent="0.25">
      <c r="A3062" t="s">
        <v>2583</v>
      </c>
      <c r="B3062" t="s">
        <v>3213</v>
      </c>
      <c r="C3062" t="s">
        <v>3221</v>
      </c>
      <c r="D3062" t="s">
        <v>3224</v>
      </c>
      <c r="E3062" t="s">
        <v>3226</v>
      </c>
      <c r="F3062">
        <v>255583.73</v>
      </c>
      <c r="G3062">
        <v>196049.79</v>
      </c>
      <c r="H3062">
        <v>4</v>
      </c>
    </row>
    <row r="3063" spans="1:8" x14ac:dyDescent="0.25">
      <c r="A3063" t="s">
        <v>417</v>
      </c>
      <c r="B3063" t="s">
        <v>3215</v>
      </c>
      <c r="C3063" t="s">
        <v>3216</v>
      </c>
      <c r="D3063" t="s">
        <v>3224</v>
      </c>
      <c r="E3063" t="s">
        <v>3226</v>
      </c>
      <c r="F3063">
        <v>102776.66</v>
      </c>
      <c r="G3063">
        <v>96180.33</v>
      </c>
      <c r="H3063">
        <v>2</v>
      </c>
    </row>
    <row r="3064" spans="1:8" x14ac:dyDescent="0.25">
      <c r="A3064" t="s">
        <v>2584</v>
      </c>
      <c r="B3064" t="s">
        <v>3212</v>
      </c>
      <c r="C3064" t="s">
        <v>3221</v>
      </c>
      <c r="D3064" t="s">
        <v>3225</v>
      </c>
      <c r="E3064" t="s">
        <v>3226</v>
      </c>
      <c r="F3064">
        <v>71802.14</v>
      </c>
      <c r="G3064">
        <v>39361.01</v>
      </c>
      <c r="H3064">
        <v>3</v>
      </c>
    </row>
    <row r="3065" spans="1:8" x14ac:dyDescent="0.25">
      <c r="A3065" t="s">
        <v>2585</v>
      </c>
      <c r="B3065" t="s">
        <v>3212</v>
      </c>
      <c r="C3065" t="s">
        <v>3217</v>
      </c>
      <c r="D3065" t="s">
        <v>3225</v>
      </c>
      <c r="E3065" t="s">
        <v>3226</v>
      </c>
      <c r="F3065">
        <v>49784.800000000003</v>
      </c>
      <c r="G3065">
        <v>44695.8</v>
      </c>
      <c r="H3065">
        <v>3</v>
      </c>
    </row>
    <row r="3066" spans="1:8" x14ac:dyDescent="0.25">
      <c r="A3066" t="s">
        <v>2586</v>
      </c>
      <c r="B3066" t="s">
        <v>3211</v>
      </c>
      <c r="C3066" t="s">
        <v>3218</v>
      </c>
      <c r="D3066" t="s">
        <v>3225</v>
      </c>
      <c r="E3066" t="s">
        <v>3226</v>
      </c>
      <c r="F3066">
        <v>21050.43</v>
      </c>
      <c r="G3066">
        <v>14360.67</v>
      </c>
      <c r="H3066">
        <v>1</v>
      </c>
    </row>
    <row r="3067" spans="1:8" x14ac:dyDescent="0.25">
      <c r="A3067" t="s">
        <v>2587</v>
      </c>
      <c r="B3067" t="s">
        <v>3214</v>
      </c>
      <c r="C3067" t="s">
        <v>3219</v>
      </c>
      <c r="D3067" t="s">
        <v>3224</v>
      </c>
      <c r="E3067" t="s">
        <v>3226</v>
      </c>
      <c r="F3067">
        <v>248775.63</v>
      </c>
      <c r="G3067">
        <v>223436.85</v>
      </c>
      <c r="H3067">
        <v>5</v>
      </c>
    </row>
    <row r="3068" spans="1:8" x14ac:dyDescent="0.25">
      <c r="A3068" t="s">
        <v>112</v>
      </c>
      <c r="B3068" t="s">
        <v>3212</v>
      </c>
      <c r="C3068" t="s">
        <v>3217</v>
      </c>
      <c r="D3068" t="s">
        <v>3224</v>
      </c>
      <c r="E3068" t="s">
        <v>3226</v>
      </c>
      <c r="F3068">
        <v>66548.59</v>
      </c>
      <c r="G3068">
        <v>45145.66</v>
      </c>
      <c r="H3068">
        <v>1</v>
      </c>
    </row>
    <row r="3069" spans="1:8" x14ac:dyDescent="0.25">
      <c r="A3069" t="s">
        <v>2588</v>
      </c>
      <c r="B3069" t="s">
        <v>3213</v>
      </c>
      <c r="C3069" t="s">
        <v>3218</v>
      </c>
      <c r="D3069" t="s">
        <v>3225</v>
      </c>
      <c r="E3069" t="s">
        <v>3226</v>
      </c>
      <c r="F3069">
        <v>45599.41</v>
      </c>
      <c r="G3069">
        <v>25544.66</v>
      </c>
      <c r="H3069">
        <v>2</v>
      </c>
    </row>
    <row r="3070" spans="1:8" x14ac:dyDescent="0.25">
      <c r="A3070" t="s">
        <v>2424</v>
      </c>
      <c r="C3070" t="s">
        <v>3216</v>
      </c>
      <c r="D3070" t="s">
        <v>3222</v>
      </c>
      <c r="E3070" t="s">
        <v>3226</v>
      </c>
      <c r="F3070">
        <v>49123</v>
      </c>
      <c r="H3070">
        <v>4</v>
      </c>
    </row>
    <row r="3071" spans="1:8" x14ac:dyDescent="0.25">
      <c r="A3071" t="s">
        <v>253</v>
      </c>
      <c r="B3071" t="s">
        <v>3215</v>
      </c>
      <c r="C3071" t="s">
        <v>3221</v>
      </c>
      <c r="D3071" t="s">
        <v>3222</v>
      </c>
      <c r="E3071" t="s">
        <v>3226</v>
      </c>
      <c r="F3071">
        <v>27411.33</v>
      </c>
      <c r="G3071">
        <v>18318.73</v>
      </c>
      <c r="H3071">
        <v>2</v>
      </c>
    </row>
    <row r="3072" spans="1:8" x14ac:dyDescent="0.25">
      <c r="A3072" t="s">
        <v>2589</v>
      </c>
      <c r="C3072" t="s">
        <v>3221</v>
      </c>
      <c r="D3072" t="s">
        <v>3222</v>
      </c>
      <c r="E3072" t="s">
        <v>3226</v>
      </c>
      <c r="F3072">
        <v>31895.89</v>
      </c>
      <c r="G3072">
        <v>18924.43</v>
      </c>
      <c r="H3072">
        <v>2</v>
      </c>
    </row>
    <row r="3073" spans="1:8" x14ac:dyDescent="0.25">
      <c r="A3073" t="s">
        <v>2590</v>
      </c>
      <c r="B3073" t="s">
        <v>3215</v>
      </c>
      <c r="C3073" t="s">
        <v>3221</v>
      </c>
      <c r="D3073" t="s">
        <v>3222</v>
      </c>
      <c r="E3073" t="s">
        <v>3226</v>
      </c>
      <c r="F3073">
        <v>24924.04</v>
      </c>
      <c r="G3073">
        <v>20768.48</v>
      </c>
      <c r="H3073">
        <v>2</v>
      </c>
    </row>
    <row r="3074" spans="1:8" x14ac:dyDescent="0.25">
      <c r="A3074" t="s">
        <v>2591</v>
      </c>
      <c r="B3074" t="s">
        <v>3215</v>
      </c>
      <c r="C3074" t="s">
        <v>3218</v>
      </c>
      <c r="D3074" t="s">
        <v>3222</v>
      </c>
      <c r="E3074" t="s">
        <v>3226</v>
      </c>
      <c r="F3074">
        <v>14713.78</v>
      </c>
      <c r="H3074">
        <v>1</v>
      </c>
    </row>
    <row r="3075" spans="1:8" x14ac:dyDescent="0.25">
      <c r="A3075" t="s">
        <v>2592</v>
      </c>
      <c r="B3075" t="s">
        <v>3215</v>
      </c>
      <c r="C3075" t="s">
        <v>3220</v>
      </c>
      <c r="D3075" t="s">
        <v>3225</v>
      </c>
      <c r="E3075" t="s">
        <v>3226</v>
      </c>
      <c r="F3075">
        <v>60235.39</v>
      </c>
      <c r="G3075">
        <v>42633.87</v>
      </c>
      <c r="H3075">
        <v>3</v>
      </c>
    </row>
    <row r="3076" spans="1:8" x14ac:dyDescent="0.25">
      <c r="A3076" t="s">
        <v>1461</v>
      </c>
      <c r="B3076" t="s">
        <v>3212</v>
      </c>
      <c r="C3076" t="s">
        <v>3218</v>
      </c>
      <c r="D3076" t="s">
        <v>3224</v>
      </c>
      <c r="E3076" t="s">
        <v>3226</v>
      </c>
      <c r="F3076">
        <v>319156.87</v>
      </c>
      <c r="G3076">
        <v>233988.55</v>
      </c>
      <c r="H3076">
        <v>5</v>
      </c>
    </row>
    <row r="3077" spans="1:8" x14ac:dyDescent="0.25">
      <c r="A3077" t="s">
        <v>2593</v>
      </c>
      <c r="B3077" t="s">
        <v>3215</v>
      </c>
      <c r="C3077" t="s">
        <v>3219</v>
      </c>
      <c r="D3077" t="s">
        <v>3224</v>
      </c>
      <c r="E3077" t="s">
        <v>3226</v>
      </c>
      <c r="H3077">
        <v>1</v>
      </c>
    </row>
    <row r="3078" spans="1:8" x14ac:dyDescent="0.25">
      <c r="A3078" t="s">
        <v>2594</v>
      </c>
      <c r="B3078" t="s">
        <v>3213</v>
      </c>
      <c r="C3078" t="s">
        <v>3217</v>
      </c>
      <c r="D3078" t="s">
        <v>3223</v>
      </c>
      <c r="E3078" t="s">
        <v>3226</v>
      </c>
      <c r="F3078">
        <v>19895.759999999998</v>
      </c>
      <c r="G3078">
        <v>15215.68</v>
      </c>
      <c r="H3078">
        <v>2</v>
      </c>
    </row>
    <row r="3079" spans="1:8" x14ac:dyDescent="0.25">
      <c r="A3079" t="s">
        <v>2595</v>
      </c>
      <c r="B3079" t="s">
        <v>3211</v>
      </c>
      <c r="C3079" t="s">
        <v>3221</v>
      </c>
      <c r="D3079" t="s">
        <v>3225</v>
      </c>
      <c r="E3079" t="s">
        <v>3226</v>
      </c>
      <c r="G3079">
        <v>45465.27</v>
      </c>
      <c r="H3079">
        <v>3</v>
      </c>
    </row>
    <row r="3080" spans="1:8" x14ac:dyDescent="0.25">
      <c r="A3080" t="s">
        <v>1657</v>
      </c>
      <c r="B3080" t="s">
        <v>3211</v>
      </c>
      <c r="C3080" t="s">
        <v>3219</v>
      </c>
      <c r="D3080" t="s">
        <v>3223</v>
      </c>
      <c r="E3080" t="s">
        <v>3226</v>
      </c>
      <c r="F3080">
        <v>24036.43</v>
      </c>
      <c r="G3080">
        <v>21234.32</v>
      </c>
      <c r="H3080">
        <v>3</v>
      </c>
    </row>
    <row r="3081" spans="1:8" x14ac:dyDescent="0.25">
      <c r="A3081" t="s">
        <v>2596</v>
      </c>
      <c r="B3081" t="s">
        <v>3213</v>
      </c>
      <c r="C3081" t="s">
        <v>3218</v>
      </c>
      <c r="D3081" t="s">
        <v>3222</v>
      </c>
      <c r="E3081" t="s">
        <v>3226</v>
      </c>
      <c r="F3081">
        <v>85168.34</v>
      </c>
      <c r="G3081">
        <v>49684.12</v>
      </c>
      <c r="H3081">
        <v>5</v>
      </c>
    </row>
    <row r="3082" spans="1:8" x14ac:dyDescent="0.25">
      <c r="A3082" t="s">
        <v>2597</v>
      </c>
      <c r="B3082" t="s">
        <v>3212</v>
      </c>
      <c r="C3082" t="s">
        <v>3220</v>
      </c>
      <c r="D3082" t="s">
        <v>3225</v>
      </c>
      <c r="E3082" t="s">
        <v>3226</v>
      </c>
      <c r="F3082">
        <v>39968</v>
      </c>
      <c r="G3082">
        <v>28109.55</v>
      </c>
      <c r="H3082">
        <v>2</v>
      </c>
    </row>
    <row r="3083" spans="1:8" x14ac:dyDescent="0.25">
      <c r="A3083" t="s">
        <v>1419</v>
      </c>
      <c r="B3083" t="s">
        <v>3215</v>
      </c>
      <c r="C3083" t="s">
        <v>3220</v>
      </c>
      <c r="D3083" t="s">
        <v>3224</v>
      </c>
      <c r="E3083" t="s">
        <v>3226</v>
      </c>
      <c r="F3083">
        <v>101966.8</v>
      </c>
      <c r="H3083">
        <v>2</v>
      </c>
    </row>
    <row r="3084" spans="1:8" x14ac:dyDescent="0.25">
      <c r="A3084" t="s">
        <v>2598</v>
      </c>
      <c r="B3084" t="s">
        <v>3215</v>
      </c>
      <c r="C3084" t="s">
        <v>3220</v>
      </c>
      <c r="D3084" t="s">
        <v>3223</v>
      </c>
      <c r="E3084" t="s">
        <v>3226</v>
      </c>
      <c r="F3084">
        <v>36843.43</v>
      </c>
      <c r="G3084">
        <v>29077.88</v>
      </c>
      <c r="H3084">
        <v>4</v>
      </c>
    </row>
    <row r="3085" spans="1:8" x14ac:dyDescent="0.25">
      <c r="A3085" t="s">
        <v>2599</v>
      </c>
      <c r="B3085" t="s">
        <v>3211</v>
      </c>
      <c r="C3085" t="s">
        <v>3217</v>
      </c>
      <c r="D3085" t="s">
        <v>3223</v>
      </c>
      <c r="E3085" t="s">
        <v>3226</v>
      </c>
      <c r="F3085">
        <v>23368.15</v>
      </c>
      <c r="G3085">
        <v>13204.46</v>
      </c>
      <c r="H3085">
        <v>2</v>
      </c>
    </row>
    <row r="3086" spans="1:8" x14ac:dyDescent="0.25">
      <c r="A3086" t="s">
        <v>2239</v>
      </c>
      <c r="B3086" t="s">
        <v>3215</v>
      </c>
      <c r="C3086" t="s">
        <v>3219</v>
      </c>
      <c r="D3086" t="s">
        <v>3225</v>
      </c>
      <c r="E3086" t="s">
        <v>3226</v>
      </c>
      <c r="F3086">
        <v>57944.63</v>
      </c>
      <c r="G3086">
        <v>37959.15</v>
      </c>
      <c r="H3086">
        <v>3</v>
      </c>
    </row>
    <row r="3087" spans="1:8" x14ac:dyDescent="0.25">
      <c r="A3087" t="s">
        <v>1962</v>
      </c>
      <c r="B3087" t="s">
        <v>3213</v>
      </c>
      <c r="C3087" t="s">
        <v>3216</v>
      </c>
      <c r="D3087" t="s">
        <v>3225</v>
      </c>
      <c r="E3087" t="s">
        <v>3226</v>
      </c>
      <c r="F3087">
        <v>86985.61</v>
      </c>
      <c r="G3087">
        <v>59199.07</v>
      </c>
      <c r="H3087">
        <v>4</v>
      </c>
    </row>
    <row r="3088" spans="1:8" x14ac:dyDescent="0.25">
      <c r="A3088" t="s">
        <v>2600</v>
      </c>
      <c r="B3088" t="s">
        <v>3211</v>
      </c>
      <c r="C3088" t="s">
        <v>3220</v>
      </c>
      <c r="D3088" t="s">
        <v>3225</v>
      </c>
      <c r="E3088" t="s">
        <v>3226</v>
      </c>
      <c r="F3088">
        <v>91558.49</v>
      </c>
      <c r="G3088">
        <v>66665.31</v>
      </c>
      <c r="H3088">
        <v>5</v>
      </c>
    </row>
    <row r="3089" spans="1:8" x14ac:dyDescent="0.25">
      <c r="A3089" t="s">
        <v>2601</v>
      </c>
      <c r="C3089" t="s">
        <v>3220</v>
      </c>
      <c r="D3089" t="s">
        <v>3225</v>
      </c>
      <c r="E3089" t="s">
        <v>3226</v>
      </c>
      <c r="F3089">
        <v>64343.99</v>
      </c>
      <c r="G3089">
        <v>40499.58</v>
      </c>
      <c r="H3089">
        <v>3</v>
      </c>
    </row>
    <row r="3090" spans="1:8" x14ac:dyDescent="0.25">
      <c r="A3090" t="s">
        <v>923</v>
      </c>
      <c r="B3090" t="s">
        <v>3212</v>
      </c>
      <c r="C3090" t="s">
        <v>3221</v>
      </c>
      <c r="D3090" t="s">
        <v>3222</v>
      </c>
      <c r="E3090" t="s">
        <v>3226</v>
      </c>
      <c r="F3090">
        <v>54312.61</v>
      </c>
      <c r="G3090">
        <v>37670.800000000003</v>
      </c>
      <c r="H3090">
        <v>4</v>
      </c>
    </row>
    <row r="3091" spans="1:8" x14ac:dyDescent="0.25">
      <c r="A3091" t="s">
        <v>2602</v>
      </c>
      <c r="C3091" t="s">
        <v>3216</v>
      </c>
      <c r="D3091" t="s">
        <v>3225</v>
      </c>
      <c r="E3091" t="s">
        <v>3226</v>
      </c>
      <c r="F3091">
        <v>21627.66</v>
      </c>
      <c r="G3091">
        <v>13251.17</v>
      </c>
      <c r="H3091">
        <v>1</v>
      </c>
    </row>
    <row r="3092" spans="1:8" x14ac:dyDescent="0.25">
      <c r="A3092" t="s">
        <v>1563</v>
      </c>
      <c r="B3092" t="s">
        <v>3214</v>
      </c>
      <c r="C3092" t="s">
        <v>3220</v>
      </c>
      <c r="D3092" t="s">
        <v>3224</v>
      </c>
      <c r="E3092" t="s">
        <v>3226</v>
      </c>
      <c r="F3092">
        <v>188412.23</v>
      </c>
      <c r="G3092">
        <v>123386.97</v>
      </c>
      <c r="H3092">
        <v>3</v>
      </c>
    </row>
    <row r="3093" spans="1:8" x14ac:dyDescent="0.25">
      <c r="A3093" t="s">
        <v>2030</v>
      </c>
      <c r="C3093" t="s">
        <v>3219</v>
      </c>
      <c r="D3093" t="s">
        <v>3222</v>
      </c>
      <c r="E3093" t="s">
        <v>3226</v>
      </c>
      <c r="F3093">
        <v>34569.85</v>
      </c>
      <c r="G3093">
        <v>21364.880000000001</v>
      </c>
      <c r="H3093">
        <v>2</v>
      </c>
    </row>
    <row r="3094" spans="1:8" x14ac:dyDescent="0.25">
      <c r="A3094" t="s">
        <v>2603</v>
      </c>
      <c r="B3094" t="s">
        <v>3214</v>
      </c>
      <c r="C3094" t="s">
        <v>3221</v>
      </c>
      <c r="D3094" t="s">
        <v>3224</v>
      </c>
      <c r="E3094" t="s">
        <v>3226</v>
      </c>
      <c r="F3094">
        <v>67127.55</v>
      </c>
      <c r="G3094">
        <v>42082.44</v>
      </c>
      <c r="H3094">
        <v>1</v>
      </c>
    </row>
    <row r="3095" spans="1:8" x14ac:dyDescent="0.25">
      <c r="A3095" t="s">
        <v>2604</v>
      </c>
      <c r="B3095" t="s">
        <v>3211</v>
      </c>
      <c r="C3095" t="s">
        <v>3221</v>
      </c>
      <c r="D3095" t="s">
        <v>3223</v>
      </c>
      <c r="E3095" t="s">
        <v>3226</v>
      </c>
      <c r="F3095">
        <v>9984.19</v>
      </c>
      <c r="G3095">
        <v>6535.7</v>
      </c>
      <c r="H3095">
        <v>1</v>
      </c>
    </row>
    <row r="3096" spans="1:8" x14ac:dyDescent="0.25">
      <c r="A3096" t="s">
        <v>2207</v>
      </c>
      <c r="B3096" t="s">
        <v>3214</v>
      </c>
      <c r="C3096" t="s">
        <v>3218</v>
      </c>
      <c r="D3096" t="s">
        <v>3225</v>
      </c>
      <c r="E3096" t="s">
        <v>3226</v>
      </c>
      <c r="F3096">
        <v>53907.15</v>
      </c>
      <c r="G3096">
        <v>38101.49</v>
      </c>
      <c r="H3096">
        <v>3</v>
      </c>
    </row>
    <row r="3097" spans="1:8" x14ac:dyDescent="0.25">
      <c r="A3097" t="s">
        <v>2605</v>
      </c>
      <c r="B3097" t="s">
        <v>3212</v>
      </c>
      <c r="C3097" t="s">
        <v>3219</v>
      </c>
      <c r="D3097" t="s">
        <v>3224</v>
      </c>
      <c r="E3097" t="s">
        <v>3226</v>
      </c>
      <c r="F3097">
        <v>177062.23</v>
      </c>
      <c r="G3097">
        <v>139718.54</v>
      </c>
      <c r="H3097">
        <v>3</v>
      </c>
    </row>
    <row r="3098" spans="1:8" x14ac:dyDescent="0.25">
      <c r="A3098" t="s">
        <v>2606</v>
      </c>
      <c r="C3098" t="s">
        <v>3217</v>
      </c>
      <c r="D3098" t="s">
        <v>3224</v>
      </c>
      <c r="E3098" t="s">
        <v>3226</v>
      </c>
      <c r="F3098">
        <v>54596.81</v>
      </c>
      <c r="G3098">
        <v>48592.78</v>
      </c>
      <c r="H3098">
        <v>1</v>
      </c>
    </row>
    <row r="3099" spans="1:8" x14ac:dyDescent="0.25">
      <c r="A3099" t="s">
        <v>2607</v>
      </c>
      <c r="C3099" t="s">
        <v>3220</v>
      </c>
      <c r="D3099" t="s">
        <v>3225</v>
      </c>
      <c r="E3099" t="s">
        <v>3226</v>
      </c>
      <c r="F3099">
        <v>69869.64</v>
      </c>
      <c r="G3099">
        <v>44993.66</v>
      </c>
      <c r="H3099">
        <v>3</v>
      </c>
    </row>
    <row r="3100" spans="1:8" x14ac:dyDescent="0.25">
      <c r="A3100" t="s">
        <v>2608</v>
      </c>
      <c r="B3100" t="s">
        <v>3214</v>
      </c>
      <c r="C3100" t="s">
        <v>3221</v>
      </c>
      <c r="D3100" t="s">
        <v>3223</v>
      </c>
      <c r="E3100" t="s">
        <v>3226</v>
      </c>
      <c r="F3100">
        <v>40446.01</v>
      </c>
      <c r="G3100">
        <v>32874.53</v>
      </c>
      <c r="H3100">
        <v>5</v>
      </c>
    </row>
    <row r="3101" spans="1:8" x14ac:dyDescent="0.25">
      <c r="A3101" t="s">
        <v>476</v>
      </c>
      <c r="B3101" t="s">
        <v>3211</v>
      </c>
      <c r="C3101" t="s">
        <v>3221</v>
      </c>
      <c r="D3101" t="s">
        <v>3225</v>
      </c>
      <c r="E3101" t="s">
        <v>3226</v>
      </c>
      <c r="F3101">
        <v>65651.45</v>
      </c>
      <c r="H3101">
        <v>3</v>
      </c>
    </row>
    <row r="3102" spans="1:8" x14ac:dyDescent="0.25">
      <c r="A3102" t="s">
        <v>2609</v>
      </c>
      <c r="B3102" t="s">
        <v>3215</v>
      </c>
      <c r="C3102" t="s">
        <v>3218</v>
      </c>
      <c r="D3102" t="s">
        <v>3223</v>
      </c>
      <c r="E3102" t="s">
        <v>3226</v>
      </c>
      <c r="F3102">
        <v>46107.43</v>
      </c>
      <c r="G3102">
        <v>35784.1</v>
      </c>
      <c r="H3102">
        <v>5</v>
      </c>
    </row>
    <row r="3103" spans="1:8" x14ac:dyDescent="0.25">
      <c r="A3103" t="s">
        <v>2610</v>
      </c>
      <c r="B3103" t="s">
        <v>3214</v>
      </c>
      <c r="C3103" t="s">
        <v>3217</v>
      </c>
      <c r="D3103" t="s">
        <v>3225</v>
      </c>
      <c r="E3103" t="s">
        <v>3226</v>
      </c>
      <c r="F3103">
        <v>84884.25</v>
      </c>
      <c r="G3103">
        <v>71403.460000000006</v>
      </c>
      <c r="H3103">
        <v>5</v>
      </c>
    </row>
    <row r="3104" spans="1:8" x14ac:dyDescent="0.25">
      <c r="A3104" t="s">
        <v>2611</v>
      </c>
      <c r="C3104" t="s">
        <v>3218</v>
      </c>
      <c r="D3104" t="s">
        <v>3225</v>
      </c>
      <c r="E3104" t="s">
        <v>3226</v>
      </c>
      <c r="F3104">
        <v>100479.83</v>
      </c>
      <c r="G3104">
        <v>76931.72</v>
      </c>
      <c r="H3104">
        <v>5</v>
      </c>
    </row>
    <row r="3105" spans="1:8" x14ac:dyDescent="0.25">
      <c r="A3105" t="s">
        <v>2612</v>
      </c>
      <c r="B3105" t="s">
        <v>3211</v>
      </c>
      <c r="C3105" t="s">
        <v>3216</v>
      </c>
      <c r="D3105" t="s">
        <v>3224</v>
      </c>
      <c r="E3105" t="s">
        <v>3226</v>
      </c>
      <c r="F3105">
        <v>283418.44</v>
      </c>
      <c r="H3105">
        <v>4</v>
      </c>
    </row>
    <row r="3106" spans="1:8" x14ac:dyDescent="0.25">
      <c r="A3106" t="s">
        <v>2551</v>
      </c>
      <c r="C3106" t="s">
        <v>3219</v>
      </c>
      <c r="D3106" t="s">
        <v>3223</v>
      </c>
      <c r="E3106" t="s">
        <v>3226</v>
      </c>
      <c r="F3106">
        <v>46696.67</v>
      </c>
      <c r="H3106">
        <v>5</v>
      </c>
    </row>
    <row r="3107" spans="1:8" x14ac:dyDescent="0.25">
      <c r="A3107" t="s">
        <v>2613</v>
      </c>
      <c r="B3107" t="s">
        <v>3214</v>
      </c>
      <c r="C3107" t="s">
        <v>3219</v>
      </c>
      <c r="D3107" t="s">
        <v>3224</v>
      </c>
      <c r="E3107" t="s">
        <v>3226</v>
      </c>
      <c r="F3107">
        <v>97241.62</v>
      </c>
      <c r="G3107">
        <v>78811.78</v>
      </c>
      <c r="H3107">
        <v>2</v>
      </c>
    </row>
    <row r="3108" spans="1:8" x14ac:dyDescent="0.25">
      <c r="A3108" t="s">
        <v>115</v>
      </c>
      <c r="C3108" t="s">
        <v>3219</v>
      </c>
      <c r="D3108" t="s">
        <v>3222</v>
      </c>
      <c r="E3108" t="s">
        <v>3226</v>
      </c>
      <c r="F3108">
        <v>12416.38</v>
      </c>
      <c r="G3108">
        <v>9188.6</v>
      </c>
      <c r="H3108">
        <v>1</v>
      </c>
    </row>
    <row r="3109" spans="1:8" x14ac:dyDescent="0.25">
      <c r="A3109" t="s">
        <v>2614</v>
      </c>
      <c r="B3109" t="s">
        <v>3211</v>
      </c>
      <c r="C3109" t="s">
        <v>3221</v>
      </c>
      <c r="D3109" t="s">
        <v>3224</v>
      </c>
      <c r="E3109" t="s">
        <v>3226</v>
      </c>
      <c r="F3109">
        <v>104290.03</v>
      </c>
      <c r="G3109">
        <v>96432.65</v>
      </c>
      <c r="H3109">
        <v>2</v>
      </c>
    </row>
    <row r="3110" spans="1:8" x14ac:dyDescent="0.25">
      <c r="A3110" t="s">
        <v>2615</v>
      </c>
      <c r="B3110" t="s">
        <v>3214</v>
      </c>
      <c r="C3110" t="s">
        <v>3220</v>
      </c>
      <c r="D3110" t="s">
        <v>3223</v>
      </c>
      <c r="E3110" t="s">
        <v>3226</v>
      </c>
      <c r="F3110">
        <v>33924.01</v>
      </c>
      <c r="G3110">
        <v>21828.14</v>
      </c>
      <c r="H3110">
        <v>3</v>
      </c>
    </row>
    <row r="3111" spans="1:8" x14ac:dyDescent="0.25">
      <c r="A3111" t="s">
        <v>2616</v>
      </c>
      <c r="C3111" t="s">
        <v>3221</v>
      </c>
      <c r="D3111" t="s">
        <v>3222</v>
      </c>
      <c r="E3111" t="s">
        <v>3226</v>
      </c>
      <c r="F3111">
        <v>81839.289999999994</v>
      </c>
      <c r="H3111">
        <v>5</v>
      </c>
    </row>
    <row r="3112" spans="1:8" x14ac:dyDescent="0.25">
      <c r="A3112" t="s">
        <v>2617</v>
      </c>
      <c r="C3112" t="s">
        <v>3217</v>
      </c>
      <c r="D3112" t="s">
        <v>3223</v>
      </c>
      <c r="E3112" t="s">
        <v>3226</v>
      </c>
      <c r="F3112">
        <v>36956.160000000003</v>
      </c>
      <c r="G3112">
        <v>25986.54</v>
      </c>
      <c r="H3112">
        <v>4</v>
      </c>
    </row>
    <row r="3113" spans="1:8" x14ac:dyDescent="0.25">
      <c r="A3113" t="s">
        <v>2618</v>
      </c>
      <c r="B3113" t="s">
        <v>3211</v>
      </c>
      <c r="C3113" t="s">
        <v>3217</v>
      </c>
      <c r="D3113" t="s">
        <v>3224</v>
      </c>
      <c r="E3113" t="s">
        <v>3226</v>
      </c>
      <c r="F3113">
        <v>351538.76</v>
      </c>
      <c r="G3113">
        <v>195021.71</v>
      </c>
      <c r="H3113">
        <v>5</v>
      </c>
    </row>
    <row r="3114" spans="1:8" x14ac:dyDescent="0.25">
      <c r="A3114" t="s">
        <v>2619</v>
      </c>
      <c r="B3114" t="s">
        <v>3212</v>
      </c>
      <c r="C3114" t="s">
        <v>3218</v>
      </c>
      <c r="D3114" t="s">
        <v>3222</v>
      </c>
      <c r="E3114" t="s">
        <v>3226</v>
      </c>
      <c r="F3114">
        <v>48762.63</v>
      </c>
      <c r="G3114">
        <v>40518.54</v>
      </c>
      <c r="H3114">
        <v>4</v>
      </c>
    </row>
    <row r="3115" spans="1:8" x14ac:dyDescent="0.25">
      <c r="A3115" t="s">
        <v>2620</v>
      </c>
      <c r="B3115" t="s">
        <v>3211</v>
      </c>
      <c r="C3115" t="s">
        <v>3219</v>
      </c>
      <c r="D3115" t="s">
        <v>3222</v>
      </c>
      <c r="E3115" t="s">
        <v>3226</v>
      </c>
      <c r="G3115">
        <v>43184.36</v>
      </c>
      <c r="H3115">
        <v>4</v>
      </c>
    </row>
    <row r="3116" spans="1:8" x14ac:dyDescent="0.25">
      <c r="A3116" t="s">
        <v>2311</v>
      </c>
      <c r="B3116" t="s">
        <v>3211</v>
      </c>
      <c r="C3116" t="s">
        <v>3217</v>
      </c>
      <c r="D3116" t="s">
        <v>3224</v>
      </c>
      <c r="E3116" t="s">
        <v>3226</v>
      </c>
      <c r="G3116">
        <v>140200.98000000001</v>
      </c>
      <c r="H3116">
        <v>3</v>
      </c>
    </row>
    <row r="3117" spans="1:8" x14ac:dyDescent="0.25">
      <c r="A3117" t="s">
        <v>2621</v>
      </c>
      <c r="B3117" t="s">
        <v>3211</v>
      </c>
      <c r="C3117" t="s">
        <v>3218</v>
      </c>
      <c r="D3117" t="s">
        <v>3224</v>
      </c>
      <c r="E3117" t="s">
        <v>3226</v>
      </c>
      <c r="F3117">
        <v>60072.53</v>
      </c>
      <c r="G3117">
        <v>40468.800000000003</v>
      </c>
      <c r="H3117">
        <v>1</v>
      </c>
    </row>
    <row r="3118" spans="1:8" x14ac:dyDescent="0.25">
      <c r="A3118" t="s">
        <v>2622</v>
      </c>
      <c r="B3118" t="s">
        <v>3211</v>
      </c>
      <c r="C3118" t="s">
        <v>3218</v>
      </c>
      <c r="D3118" t="s">
        <v>3223</v>
      </c>
      <c r="E3118" t="s">
        <v>3226</v>
      </c>
      <c r="F3118">
        <v>33564.78</v>
      </c>
      <c r="G3118">
        <v>20355.080000000002</v>
      </c>
      <c r="H3118">
        <v>3</v>
      </c>
    </row>
    <row r="3119" spans="1:8" x14ac:dyDescent="0.25">
      <c r="A3119" t="s">
        <v>2623</v>
      </c>
      <c r="B3119" t="s">
        <v>3215</v>
      </c>
      <c r="C3119" t="s">
        <v>3220</v>
      </c>
      <c r="D3119" t="s">
        <v>3224</v>
      </c>
      <c r="E3119" t="s">
        <v>3226</v>
      </c>
      <c r="F3119">
        <v>140045.66</v>
      </c>
      <c r="G3119">
        <v>82633.81</v>
      </c>
      <c r="H3119">
        <v>2</v>
      </c>
    </row>
    <row r="3120" spans="1:8" x14ac:dyDescent="0.25">
      <c r="A3120" t="s">
        <v>2624</v>
      </c>
      <c r="B3120" t="s">
        <v>3212</v>
      </c>
      <c r="C3120" t="s">
        <v>3218</v>
      </c>
      <c r="D3120" t="s">
        <v>3225</v>
      </c>
      <c r="E3120" t="s">
        <v>3226</v>
      </c>
      <c r="F3120">
        <v>44060.95</v>
      </c>
      <c r="G3120">
        <v>24317.25</v>
      </c>
      <c r="H3120">
        <v>2</v>
      </c>
    </row>
    <row r="3121" spans="1:8" x14ac:dyDescent="0.25">
      <c r="A3121" t="s">
        <v>673</v>
      </c>
      <c r="B3121" t="s">
        <v>3213</v>
      </c>
      <c r="C3121" t="s">
        <v>3216</v>
      </c>
      <c r="D3121" t="s">
        <v>3224</v>
      </c>
      <c r="E3121" t="s">
        <v>3226</v>
      </c>
      <c r="F3121">
        <v>119946.39</v>
      </c>
      <c r="G3121">
        <v>81761.47</v>
      </c>
    </row>
    <row r="3122" spans="1:8" x14ac:dyDescent="0.25">
      <c r="A3122" t="s">
        <v>2625</v>
      </c>
      <c r="B3122" t="s">
        <v>3213</v>
      </c>
      <c r="C3122" t="s">
        <v>3216</v>
      </c>
      <c r="D3122" t="s">
        <v>3223</v>
      </c>
      <c r="E3122" t="s">
        <v>3226</v>
      </c>
      <c r="F3122">
        <v>22884.18</v>
      </c>
      <c r="G3122">
        <v>14876.33</v>
      </c>
      <c r="H3122">
        <v>2</v>
      </c>
    </row>
    <row r="3123" spans="1:8" x14ac:dyDescent="0.25">
      <c r="A3123" t="s">
        <v>487</v>
      </c>
      <c r="B3123" t="s">
        <v>3213</v>
      </c>
      <c r="C3123" t="s">
        <v>3218</v>
      </c>
      <c r="D3123" t="s">
        <v>3225</v>
      </c>
      <c r="E3123" t="s">
        <v>3226</v>
      </c>
      <c r="F3123">
        <v>64172</v>
      </c>
      <c r="G3123">
        <v>41605.39</v>
      </c>
    </row>
    <row r="3124" spans="1:8" x14ac:dyDescent="0.25">
      <c r="A3124" t="s">
        <v>2626</v>
      </c>
      <c r="B3124" t="s">
        <v>3215</v>
      </c>
      <c r="C3124" t="s">
        <v>3218</v>
      </c>
      <c r="D3124" t="s">
        <v>3222</v>
      </c>
      <c r="E3124" t="s">
        <v>3226</v>
      </c>
      <c r="F3124">
        <v>16061.6</v>
      </c>
      <c r="G3124">
        <v>10378.93</v>
      </c>
      <c r="H3124">
        <v>1</v>
      </c>
    </row>
    <row r="3125" spans="1:8" x14ac:dyDescent="0.25">
      <c r="A3125" t="s">
        <v>2420</v>
      </c>
      <c r="B3125" t="s">
        <v>3212</v>
      </c>
      <c r="C3125" t="s">
        <v>3220</v>
      </c>
      <c r="D3125" t="s">
        <v>3225</v>
      </c>
      <c r="E3125" t="s">
        <v>3226</v>
      </c>
      <c r="F3125">
        <v>67509.69</v>
      </c>
      <c r="G3125">
        <v>41176.04</v>
      </c>
      <c r="H3125">
        <v>3</v>
      </c>
    </row>
    <row r="3126" spans="1:8" x14ac:dyDescent="0.25">
      <c r="A3126" t="s">
        <v>2627</v>
      </c>
      <c r="B3126" t="s">
        <v>3212</v>
      </c>
      <c r="C3126" t="s">
        <v>3217</v>
      </c>
      <c r="D3126" t="s">
        <v>3223</v>
      </c>
      <c r="E3126" t="s">
        <v>3226</v>
      </c>
      <c r="F3126">
        <v>52653.77</v>
      </c>
      <c r="H3126">
        <v>5</v>
      </c>
    </row>
    <row r="3127" spans="1:8" x14ac:dyDescent="0.25">
      <c r="A3127" t="s">
        <v>2628</v>
      </c>
      <c r="B3127" t="s">
        <v>3214</v>
      </c>
      <c r="C3127" t="s">
        <v>3220</v>
      </c>
      <c r="D3127" t="s">
        <v>3223</v>
      </c>
      <c r="E3127" t="s">
        <v>3226</v>
      </c>
      <c r="F3127">
        <v>8156.76</v>
      </c>
      <c r="G3127">
        <v>6122.68</v>
      </c>
      <c r="H3127">
        <v>1</v>
      </c>
    </row>
    <row r="3128" spans="1:8" x14ac:dyDescent="0.25">
      <c r="A3128" t="s">
        <v>113</v>
      </c>
      <c r="B3128" t="s">
        <v>3211</v>
      </c>
      <c r="C3128" t="s">
        <v>3216</v>
      </c>
      <c r="D3128" t="s">
        <v>3222</v>
      </c>
      <c r="E3128" t="s">
        <v>3226</v>
      </c>
      <c r="F3128">
        <v>44733.86</v>
      </c>
      <c r="G3128">
        <v>27928.32</v>
      </c>
      <c r="H3128">
        <v>3</v>
      </c>
    </row>
    <row r="3129" spans="1:8" x14ac:dyDescent="0.25">
      <c r="A3129" t="s">
        <v>2629</v>
      </c>
      <c r="B3129" t="s">
        <v>3211</v>
      </c>
      <c r="C3129" t="s">
        <v>3221</v>
      </c>
      <c r="D3129" t="s">
        <v>3223</v>
      </c>
      <c r="E3129" t="s">
        <v>3226</v>
      </c>
      <c r="F3129">
        <v>45462.8</v>
      </c>
      <c r="H3129">
        <v>5</v>
      </c>
    </row>
    <row r="3130" spans="1:8" x14ac:dyDescent="0.25">
      <c r="A3130" t="s">
        <v>2368</v>
      </c>
      <c r="B3130" t="s">
        <v>3211</v>
      </c>
      <c r="C3130" t="s">
        <v>3217</v>
      </c>
      <c r="D3130" t="s">
        <v>3225</v>
      </c>
      <c r="E3130" t="s">
        <v>3226</v>
      </c>
      <c r="F3130">
        <v>64293.599999999999</v>
      </c>
      <c r="G3130">
        <v>41629.65</v>
      </c>
      <c r="H3130">
        <v>3</v>
      </c>
    </row>
    <row r="3131" spans="1:8" x14ac:dyDescent="0.25">
      <c r="A3131" t="s">
        <v>2630</v>
      </c>
      <c r="B3131" t="s">
        <v>3213</v>
      </c>
      <c r="C3131" t="s">
        <v>3221</v>
      </c>
      <c r="D3131" t="s">
        <v>3222</v>
      </c>
      <c r="E3131" t="s">
        <v>3226</v>
      </c>
      <c r="F3131">
        <v>17585.939999999999</v>
      </c>
      <c r="H3131">
        <v>1</v>
      </c>
    </row>
    <row r="3132" spans="1:8" x14ac:dyDescent="0.25">
      <c r="A3132" t="s">
        <v>2631</v>
      </c>
      <c r="C3132" t="s">
        <v>3216</v>
      </c>
      <c r="D3132" t="s">
        <v>3225</v>
      </c>
      <c r="E3132" t="s">
        <v>3226</v>
      </c>
      <c r="F3132">
        <v>54580.18</v>
      </c>
      <c r="G3132">
        <v>38432.25</v>
      </c>
    </row>
    <row r="3133" spans="1:8" x14ac:dyDescent="0.25">
      <c r="A3133" t="s">
        <v>1802</v>
      </c>
      <c r="B3133" t="s">
        <v>3213</v>
      </c>
      <c r="C3133" t="s">
        <v>3216</v>
      </c>
      <c r="D3133" t="s">
        <v>3223</v>
      </c>
      <c r="E3133" t="s">
        <v>3226</v>
      </c>
      <c r="F3133">
        <v>54113.2</v>
      </c>
      <c r="G3133">
        <v>29833.98</v>
      </c>
      <c r="H3133">
        <v>5</v>
      </c>
    </row>
    <row r="3134" spans="1:8" x14ac:dyDescent="0.25">
      <c r="A3134" t="s">
        <v>2632</v>
      </c>
      <c r="C3134" t="s">
        <v>3217</v>
      </c>
      <c r="D3134" t="s">
        <v>3224</v>
      </c>
      <c r="E3134" t="s">
        <v>3226</v>
      </c>
      <c r="F3134">
        <v>52011.32</v>
      </c>
      <c r="G3134">
        <v>48558.89</v>
      </c>
      <c r="H3134">
        <v>1</v>
      </c>
    </row>
    <row r="3135" spans="1:8" x14ac:dyDescent="0.25">
      <c r="A3135" t="s">
        <v>120</v>
      </c>
      <c r="B3135" t="s">
        <v>3215</v>
      </c>
      <c r="C3135" t="s">
        <v>3219</v>
      </c>
      <c r="D3135" t="s">
        <v>3223</v>
      </c>
      <c r="E3135" t="s">
        <v>3226</v>
      </c>
      <c r="F3135">
        <v>44406.22</v>
      </c>
      <c r="G3135">
        <v>32503.87</v>
      </c>
      <c r="H3135">
        <v>5</v>
      </c>
    </row>
    <row r="3136" spans="1:8" x14ac:dyDescent="0.25">
      <c r="A3136" t="s">
        <v>2633</v>
      </c>
      <c r="C3136" t="s">
        <v>3217</v>
      </c>
      <c r="D3136" t="s">
        <v>3223</v>
      </c>
      <c r="E3136" t="s">
        <v>3226</v>
      </c>
      <c r="F3136">
        <v>16556.86</v>
      </c>
      <c r="H3136">
        <v>2</v>
      </c>
    </row>
    <row r="3137" spans="1:8" x14ac:dyDescent="0.25">
      <c r="A3137" t="s">
        <v>2634</v>
      </c>
      <c r="B3137" t="s">
        <v>3212</v>
      </c>
      <c r="C3137" t="s">
        <v>3219</v>
      </c>
      <c r="D3137" t="s">
        <v>3223</v>
      </c>
      <c r="E3137" t="s">
        <v>3226</v>
      </c>
      <c r="F3137">
        <v>9016.42</v>
      </c>
      <c r="G3137">
        <v>6685.19</v>
      </c>
      <c r="H3137">
        <v>1</v>
      </c>
    </row>
    <row r="3138" spans="1:8" x14ac:dyDescent="0.25">
      <c r="A3138" t="s">
        <v>2635</v>
      </c>
      <c r="B3138" t="s">
        <v>3212</v>
      </c>
      <c r="C3138" t="s">
        <v>3221</v>
      </c>
      <c r="D3138" t="s">
        <v>3223</v>
      </c>
      <c r="E3138" t="s">
        <v>3226</v>
      </c>
      <c r="F3138">
        <v>58969.599999999999</v>
      </c>
      <c r="G3138">
        <v>38159.22</v>
      </c>
      <c r="H3138">
        <v>5</v>
      </c>
    </row>
    <row r="3139" spans="1:8" x14ac:dyDescent="0.25">
      <c r="A3139" t="s">
        <v>2636</v>
      </c>
      <c r="B3139" t="s">
        <v>3215</v>
      </c>
      <c r="C3139" t="s">
        <v>3217</v>
      </c>
      <c r="D3139" t="s">
        <v>3225</v>
      </c>
      <c r="E3139" t="s">
        <v>3226</v>
      </c>
      <c r="F3139">
        <v>67094.61</v>
      </c>
      <c r="G3139">
        <v>41309.599999999999</v>
      </c>
      <c r="H3139">
        <v>3</v>
      </c>
    </row>
    <row r="3140" spans="1:8" x14ac:dyDescent="0.25">
      <c r="A3140" t="s">
        <v>2637</v>
      </c>
      <c r="B3140" t="s">
        <v>3213</v>
      </c>
      <c r="C3140" t="s">
        <v>3217</v>
      </c>
      <c r="D3140" t="s">
        <v>3224</v>
      </c>
      <c r="E3140" t="s">
        <v>3226</v>
      </c>
      <c r="F3140">
        <v>128190.82</v>
      </c>
      <c r="G3140">
        <v>92082.15</v>
      </c>
      <c r="H3140">
        <v>2</v>
      </c>
    </row>
    <row r="3141" spans="1:8" x14ac:dyDescent="0.25">
      <c r="A3141" t="s">
        <v>2638</v>
      </c>
      <c r="C3141" t="s">
        <v>3216</v>
      </c>
      <c r="D3141" t="s">
        <v>3223</v>
      </c>
      <c r="E3141" t="s">
        <v>3226</v>
      </c>
      <c r="F3141">
        <v>43579.53</v>
      </c>
      <c r="G3141">
        <v>29897.68</v>
      </c>
      <c r="H3141">
        <v>5</v>
      </c>
    </row>
    <row r="3142" spans="1:8" x14ac:dyDescent="0.25">
      <c r="A3142" t="s">
        <v>2639</v>
      </c>
      <c r="B3142" t="s">
        <v>3213</v>
      </c>
      <c r="C3142" t="s">
        <v>3220</v>
      </c>
      <c r="D3142" t="s">
        <v>3224</v>
      </c>
      <c r="E3142" t="s">
        <v>3226</v>
      </c>
      <c r="F3142">
        <v>241950.79</v>
      </c>
      <c r="G3142">
        <v>186512.42</v>
      </c>
      <c r="H3142">
        <v>4</v>
      </c>
    </row>
    <row r="3143" spans="1:8" x14ac:dyDescent="0.25">
      <c r="A3143" t="s">
        <v>2640</v>
      </c>
      <c r="B3143" t="s">
        <v>3212</v>
      </c>
      <c r="C3143" t="s">
        <v>3219</v>
      </c>
      <c r="D3143" t="s">
        <v>3225</v>
      </c>
      <c r="E3143" t="s">
        <v>3226</v>
      </c>
      <c r="F3143">
        <v>19962.86</v>
      </c>
      <c r="G3143">
        <v>12783.41</v>
      </c>
    </row>
    <row r="3144" spans="1:8" x14ac:dyDescent="0.25">
      <c r="A3144" t="s">
        <v>2641</v>
      </c>
      <c r="C3144" t="s">
        <v>3220</v>
      </c>
      <c r="D3144" t="s">
        <v>3225</v>
      </c>
      <c r="E3144" t="s">
        <v>3226</v>
      </c>
      <c r="F3144">
        <v>22590.53</v>
      </c>
      <c r="G3144">
        <v>12632.23</v>
      </c>
      <c r="H3144">
        <v>1</v>
      </c>
    </row>
    <row r="3145" spans="1:8" x14ac:dyDescent="0.25">
      <c r="A3145" t="s">
        <v>2642</v>
      </c>
      <c r="B3145" t="s">
        <v>3212</v>
      </c>
      <c r="C3145" t="s">
        <v>3218</v>
      </c>
      <c r="D3145" t="s">
        <v>3222</v>
      </c>
      <c r="E3145" t="s">
        <v>3226</v>
      </c>
      <c r="F3145">
        <v>34030.33</v>
      </c>
      <c r="G3145">
        <v>19948.96</v>
      </c>
      <c r="H3145">
        <v>2</v>
      </c>
    </row>
    <row r="3146" spans="1:8" x14ac:dyDescent="0.25">
      <c r="A3146" t="s">
        <v>2643</v>
      </c>
      <c r="B3146" t="s">
        <v>3215</v>
      </c>
      <c r="C3146" t="s">
        <v>3216</v>
      </c>
      <c r="D3146" t="s">
        <v>3222</v>
      </c>
      <c r="E3146" t="s">
        <v>3226</v>
      </c>
      <c r="F3146">
        <v>40118.699999999997</v>
      </c>
      <c r="G3146">
        <v>28040.91</v>
      </c>
    </row>
    <row r="3147" spans="1:8" x14ac:dyDescent="0.25">
      <c r="A3147" t="s">
        <v>536</v>
      </c>
      <c r="B3147" t="s">
        <v>3214</v>
      </c>
      <c r="C3147" t="s">
        <v>3221</v>
      </c>
      <c r="D3147" t="s">
        <v>3222</v>
      </c>
      <c r="E3147" t="s">
        <v>3226</v>
      </c>
      <c r="F3147">
        <v>50837.65</v>
      </c>
      <c r="G3147">
        <v>39674.980000000003</v>
      </c>
      <c r="H3147">
        <v>4</v>
      </c>
    </row>
    <row r="3148" spans="1:8" x14ac:dyDescent="0.25">
      <c r="A3148" t="s">
        <v>2412</v>
      </c>
      <c r="B3148" t="s">
        <v>3214</v>
      </c>
      <c r="C3148" t="s">
        <v>3217</v>
      </c>
      <c r="D3148" t="s">
        <v>3225</v>
      </c>
      <c r="E3148" t="s">
        <v>3226</v>
      </c>
      <c r="F3148">
        <v>118519.9</v>
      </c>
      <c r="G3148">
        <v>73422.38</v>
      </c>
      <c r="H3148">
        <v>5</v>
      </c>
    </row>
    <row r="3149" spans="1:8" x14ac:dyDescent="0.25">
      <c r="A3149" t="s">
        <v>2644</v>
      </c>
      <c r="C3149" t="s">
        <v>3216</v>
      </c>
      <c r="D3149" t="s">
        <v>3222</v>
      </c>
      <c r="E3149" t="s">
        <v>3226</v>
      </c>
      <c r="F3149">
        <v>17956.080000000002</v>
      </c>
      <c r="G3149">
        <v>9370.93</v>
      </c>
      <c r="H3149">
        <v>1</v>
      </c>
    </row>
    <row r="3150" spans="1:8" x14ac:dyDescent="0.25">
      <c r="A3150" t="s">
        <v>2245</v>
      </c>
      <c r="C3150" t="s">
        <v>3219</v>
      </c>
      <c r="D3150" t="s">
        <v>3222</v>
      </c>
      <c r="E3150" t="s">
        <v>3226</v>
      </c>
      <c r="F3150">
        <v>17565.8</v>
      </c>
      <c r="G3150">
        <v>8696.58</v>
      </c>
      <c r="H3150">
        <v>1</v>
      </c>
    </row>
    <row r="3151" spans="1:8" x14ac:dyDescent="0.25">
      <c r="A3151" t="s">
        <v>1378</v>
      </c>
      <c r="C3151" t="s">
        <v>3219</v>
      </c>
      <c r="D3151" t="s">
        <v>3225</v>
      </c>
      <c r="E3151" t="s">
        <v>3226</v>
      </c>
      <c r="F3151">
        <v>34519.040000000001</v>
      </c>
      <c r="G3151">
        <v>24251.91</v>
      </c>
      <c r="H3151">
        <v>2</v>
      </c>
    </row>
    <row r="3152" spans="1:8" x14ac:dyDescent="0.25">
      <c r="A3152" t="s">
        <v>2645</v>
      </c>
      <c r="B3152" t="s">
        <v>3214</v>
      </c>
      <c r="C3152" t="s">
        <v>3221</v>
      </c>
      <c r="D3152" t="s">
        <v>3222</v>
      </c>
      <c r="E3152" t="s">
        <v>3226</v>
      </c>
      <c r="F3152">
        <v>49369.21</v>
      </c>
      <c r="G3152">
        <v>41806.68</v>
      </c>
      <c r="H3152">
        <v>4</v>
      </c>
    </row>
    <row r="3153" spans="1:8" x14ac:dyDescent="0.25">
      <c r="A3153" t="s">
        <v>2646</v>
      </c>
      <c r="B3153" t="s">
        <v>3213</v>
      </c>
      <c r="C3153" t="s">
        <v>3220</v>
      </c>
      <c r="D3153" t="s">
        <v>3225</v>
      </c>
      <c r="E3153" t="s">
        <v>3226</v>
      </c>
      <c r="F3153">
        <v>92945.51</v>
      </c>
      <c r="G3153">
        <v>61811.519999999997</v>
      </c>
      <c r="H3153">
        <v>5</v>
      </c>
    </row>
    <row r="3154" spans="1:8" x14ac:dyDescent="0.25">
      <c r="A3154" t="s">
        <v>1056</v>
      </c>
      <c r="C3154" t="s">
        <v>3217</v>
      </c>
      <c r="D3154" t="s">
        <v>3222</v>
      </c>
      <c r="E3154" t="s">
        <v>3226</v>
      </c>
      <c r="F3154">
        <v>37290.6</v>
      </c>
      <c r="G3154">
        <v>31876.04</v>
      </c>
      <c r="H3154">
        <v>3</v>
      </c>
    </row>
    <row r="3155" spans="1:8" x14ac:dyDescent="0.25">
      <c r="A3155" t="s">
        <v>2647</v>
      </c>
      <c r="C3155" t="s">
        <v>3218</v>
      </c>
      <c r="D3155" t="s">
        <v>3223</v>
      </c>
      <c r="E3155" t="s">
        <v>3226</v>
      </c>
      <c r="F3155">
        <v>22045.41</v>
      </c>
      <c r="G3155">
        <v>13440.29</v>
      </c>
      <c r="H3155">
        <v>2</v>
      </c>
    </row>
    <row r="3156" spans="1:8" x14ac:dyDescent="0.25">
      <c r="A3156" t="s">
        <v>2648</v>
      </c>
      <c r="B3156" t="s">
        <v>3213</v>
      </c>
      <c r="C3156" t="s">
        <v>3218</v>
      </c>
      <c r="D3156" t="s">
        <v>3223</v>
      </c>
      <c r="E3156" t="s">
        <v>3226</v>
      </c>
      <c r="F3156">
        <v>59298.9</v>
      </c>
      <c r="H3156">
        <v>5</v>
      </c>
    </row>
    <row r="3157" spans="1:8" x14ac:dyDescent="0.25">
      <c r="A3157" t="s">
        <v>2649</v>
      </c>
      <c r="B3157" t="s">
        <v>3215</v>
      </c>
      <c r="C3157" t="s">
        <v>3218</v>
      </c>
      <c r="D3157" t="s">
        <v>3222</v>
      </c>
      <c r="E3157" t="s">
        <v>3226</v>
      </c>
      <c r="F3157">
        <v>31398.560000000001</v>
      </c>
      <c r="G3157">
        <v>18379.25</v>
      </c>
      <c r="H3157">
        <v>2</v>
      </c>
    </row>
    <row r="3158" spans="1:8" x14ac:dyDescent="0.25">
      <c r="A3158" t="s">
        <v>2650</v>
      </c>
      <c r="B3158" t="s">
        <v>3212</v>
      </c>
      <c r="C3158" t="s">
        <v>3219</v>
      </c>
      <c r="D3158" t="s">
        <v>3223</v>
      </c>
      <c r="E3158" t="s">
        <v>3226</v>
      </c>
      <c r="F3158">
        <v>16615.03</v>
      </c>
      <c r="G3158">
        <v>13519.48</v>
      </c>
      <c r="H3158">
        <v>2</v>
      </c>
    </row>
    <row r="3159" spans="1:8" x14ac:dyDescent="0.25">
      <c r="A3159" t="s">
        <v>1582</v>
      </c>
      <c r="C3159" t="s">
        <v>3216</v>
      </c>
      <c r="D3159" t="s">
        <v>3223</v>
      </c>
      <c r="E3159" t="s">
        <v>3226</v>
      </c>
      <c r="F3159">
        <v>22554.28</v>
      </c>
      <c r="G3159">
        <v>12785.29</v>
      </c>
    </row>
    <row r="3160" spans="1:8" x14ac:dyDescent="0.25">
      <c r="A3160" t="s">
        <v>2651</v>
      </c>
      <c r="C3160" t="s">
        <v>3220</v>
      </c>
      <c r="D3160" t="s">
        <v>3225</v>
      </c>
      <c r="E3160" t="s">
        <v>3226</v>
      </c>
      <c r="F3160">
        <v>93511.7</v>
      </c>
      <c r="G3160">
        <v>57655.040000000001</v>
      </c>
      <c r="H3160">
        <v>4</v>
      </c>
    </row>
    <row r="3161" spans="1:8" x14ac:dyDescent="0.25">
      <c r="A3161" t="s">
        <v>2652</v>
      </c>
      <c r="C3161" t="s">
        <v>3219</v>
      </c>
      <c r="D3161" t="s">
        <v>3223</v>
      </c>
      <c r="E3161" t="s">
        <v>3226</v>
      </c>
      <c r="F3161">
        <v>46586.49</v>
      </c>
      <c r="G3161">
        <v>24445.53</v>
      </c>
      <c r="H3161">
        <v>4</v>
      </c>
    </row>
    <row r="3162" spans="1:8" x14ac:dyDescent="0.25">
      <c r="A3162" t="s">
        <v>2653</v>
      </c>
      <c r="C3162" t="s">
        <v>3219</v>
      </c>
      <c r="D3162" t="s">
        <v>3225</v>
      </c>
      <c r="E3162" t="s">
        <v>3226</v>
      </c>
      <c r="F3162">
        <v>65698.880000000005</v>
      </c>
      <c r="G3162">
        <v>43919.68</v>
      </c>
      <c r="H3162">
        <v>3</v>
      </c>
    </row>
    <row r="3163" spans="1:8" x14ac:dyDescent="0.25">
      <c r="A3163" t="s">
        <v>2654</v>
      </c>
      <c r="B3163" t="s">
        <v>3212</v>
      </c>
      <c r="C3163" t="s">
        <v>3221</v>
      </c>
      <c r="D3163" t="s">
        <v>3224</v>
      </c>
      <c r="E3163" t="s">
        <v>3226</v>
      </c>
      <c r="F3163">
        <v>116763.58</v>
      </c>
      <c r="H3163">
        <v>2</v>
      </c>
    </row>
    <row r="3164" spans="1:8" x14ac:dyDescent="0.25">
      <c r="A3164" t="s">
        <v>2655</v>
      </c>
      <c r="B3164" t="s">
        <v>3212</v>
      </c>
      <c r="C3164" t="s">
        <v>3220</v>
      </c>
      <c r="D3164" t="s">
        <v>3225</v>
      </c>
      <c r="E3164" t="s">
        <v>3226</v>
      </c>
      <c r="F3164">
        <v>44527.51</v>
      </c>
      <c r="H3164">
        <v>2</v>
      </c>
    </row>
    <row r="3165" spans="1:8" x14ac:dyDescent="0.25">
      <c r="A3165" t="s">
        <v>2656</v>
      </c>
      <c r="B3165" t="s">
        <v>3215</v>
      </c>
      <c r="C3165" t="s">
        <v>3218</v>
      </c>
      <c r="D3165" t="s">
        <v>3224</v>
      </c>
      <c r="E3165" t="s">
        <v>3226</v>
      </c>
      <c r="F3165">
        <v>196717.78</v>
      </c>
      <c r="G3165">
        <v>144882.56</v>
      </c>
      <c r="H3165">
        <v>3</v>
      </c>
    </row>
    <row r="3166" spans="1:8" x14ac:dyDescent="0.25">
      <c r="A3166" t="s">
        <v>2657</v>
      </c>
      <c r="C3166" t="s">
        <v>3221</v>
      </c>
      <c r="D3166" t="s">
        <v>3225</v>
      </c>
      <c r="E3166" t="s">
        <v>3226</v>
      </c>
      <c r="F3166">
        <v>79850.73</v>
      </c>
      <c r="G3166">
        <v>55731.65</v>
      </c>
      <c r="H3166">
        <v>4</v>
      </c>
    </row>
    <row r="3167" spans="1:8" x14ac:dyDescent="0.25">
      <c r="A3167" t="s">
        <v>677</v>
      </c>
      <c r="B3167" t="s">
        <v>3211</v>
      </c>
      <c r="C3167" t="s">
        <v>3221</v>
      </c>
      <c r="D3167" t="s">
        <v>3222</v>
      </c>
      <c r="E3167" t="s">
        <v>3226</v>
      </c>
      <c r="F3167">
        <v>79107.59</v>
      </c>
      <c r="G3167">
        <v>52931.13</v>
      </c>
      <c r="H3167">
        <v>5</v>
      </c>
    </row>
    <row r="3168" spans="1:8" x14ac:dyDescent="0.25">
      <c r="A3168" t="s">
        <v>1236</v>
      </c>
      <c r="B3168" t="s">
        <v>3212</v>
      </c>
      <c r="C3168" t="s">
        <v>3220</v>
      </c>
      <c r="D3168" t="s">
        <v>3225</v>
      </c>
      <c r="E3168" t="s">
        <v>3226</v>
      </c>
      <c r="F3168">
        <v>71549.279999999999</v>
      </c>
      <c r="G3168">
        <v>42631.68</v>
      </c>
    </row>
    <row r="3169" spans="1:8" x14ac:dyDescent="0.25">
      <c r="A3169" t="s">
        <v>2658</v>
      </c>
      <c r="B3169" t="s">
        <v>3213</v>
      </c>
      <c r="C3169" t="s">
        <v>3216</v>
      </c>
      <c r="D3169" t="s">
        <v>3224</v>
      </c>
      <c r="E3169" t="s">
        <v>3226</v>
      </c>
      <c r="F3169">
        <v>105030.95</v>
      </c>
      <c r="G3169">
        <v>88247.35</v>
      </c>
      <c r="H3169">
        <v>2</v>
      </c>
    </row>
    <row r="3170" spans="1:8" x14ac:dyDescent="0.25">
      <c r="A3170" t="s">
        <v>2659</v>
      </c>
      <c r="C3170" t="s">
        <v>3216</v>
      </c>
      <c r="D3170" t="s">
        <v>3223</v>
      </c>
      <c r="E3170" t="s">
        <v>3226</v>
      </c>
      <c r="F3170">
        <v>57972.08</v>
      </c>
      <c r="G3170">
        <v>37457.67</v>
      </c>
      <c r="H3170">
        <v>5</v>
      </c>
    </row>
    <row r="3171" spans="1:8" x14ac:dyDescent="0.25">
      <c r="A3171" t="s">
        <v>2660</v>
      </c>
      <c r="B3171" t="s">
        <v>3214</v>
      </c>
      <c r="C3171" t="s">
        <v>3219</v>
      </c>
      <c r="D3171" t="s">
        <v>3225</v>
      </c>
      <c r="E3171" t="s">
        <v>3226</v>
      </c>
      <c r="F3171">
        <v>35627.480000000003</v>
      </c>
      <c r="H3171">
        <v>2</v>
      </c>
    </row>
    <row r="3172" spans="1:8" x14ac:dyDescent="0.25">
      <c r="A3172" t="s">
        <v>2661</v>
      </c>
      <c r="B3172" t="s">
        <v>3214</v>
      </c>
      <c r="C3172" t="s">
        <v>3220</v>
      </c>
      <c r="D3172" t="s">
        <v>3222</v>
      </c>
      <c r="E3172" t="s">
        <v>3226</v>
      </c>
      <c r="F3172">
        <v>39731.1</v>
      </c>
      <c r="G3172">
        <v>28586.29</v>
      </c>
      <c r="H3172">
        <v>3</v>
      </c>
    </row>
    <row r="3173" spans="1:8" x14ac:dyDescent="0.25">
      <c r="A3173" t="s">
        <v>2662</v>
      </c>
      <c r="C3173" t="s">
        <v>3216</v>
      </c>
      <c r="D3173" t="s">
        <v>3224</v>
      </c>
      <c r="E3173" t="s">
        <v>3226</v>
      </c>
      <c r="F3173">
        <v>54018.96</v>
      </c>
      <c r="G3173">
        <v>43432.17</v>
      </c>
    </row>
    <row r="3174" spans="1:8" x14ac:dyDescent="0.25">
      <c r="A3174" t="s">
        <v>2663</v>
      </c>
      <c r="B3174" t="s">
        <v>3215</v>
      </c>
      <c r="C3174" t="s">
        <v>3221</v>
      </c>
      <c r="D3174" t="s">
        <v>3222</v>
      </c>
      <c r="E3174" t="s">
        <v>3226</v>
      </c>
      <c r="F3174">
        <v>28587.27</v>
      </c>
      <c r="G3174">
        <v>18231.93</v>
      </c>
      <c r="H3174">
        <v>2</v>
      </c>
    </row>
    <row r="3175" spans="1:8" x14ac:dyDescent="0.25">
      <c r="A3175" t="s">
        <v>2664</v>
      </c>
      <c r="C3175" t="s">
        <v>3221</v>
      </c>
      <c r="D3175" t="s">
        <v>3222</v>
      </c>
      <c r="E3175" t="s">
        <v>3226</v>
      </c>
      <c r="F3175">
        <v>72537.539999999994</v>
      </c>
      <c r="G3175">
        <v>46421.26</v>
      </c>
      <c r="H3175">
        <v>5</v>
      </c>
    </row>
    <row r="3176" spans="1:8" x14ac:dyDescent="0.25">
      <c r="A3176" t="s">
        <v>2665</v>
      </c>
      <c r="B3176" t="s">
        <v>3212</v>
      </c>
      <c r="C3176" t="s">
        <v>3219</v>
      </c>
      <c r="D3176" t="s">
        <v>3225</v>
      </c>
      <c r="E3176" t="s">
        <v>3226</v>
      </c>
      <c r="F3176">
        <v>60562.99</v>
      </c>
      <c r="G3176">
        <v>43517.8</v>
      </c>
      <c r="H3176">
        <v>3</v>
      </c>
    </row>
    <row r="3177" spans="1:8" x14ac:dyDescent="0.25">
      <c r="A3177" t="s">
        <v>1339</v>
      </c>
      <c r="B3177" t="s">
        <v>3211</v>
      </c>
      <c r="C3177" t="s">
        <v>3218</v>
      </c>
      <c r="D3177" t="s">
        <v>3222</v>
      </c>
      <c r="E3177" t="s">
        <v>3226</v>
      </c>
      <c r="F3177">
        <v>83015.13</v>
      </c>
      <c r="G3177">
        <v>44995.63</v>
      </c>
      <c r="H3177">
        <v>5</v>
      </c>
    </row>
    <row r="3178" spans="1:8" x14ac:dyDescent="0.25">
      <c r="A3178" t="s">
        <v>2666</v>
      </c>
      <c r="B3178" t="s">
        <v>3212</v>
      </c>
      <c r="C3178" t="s">
        <v>3219</v>
      </c>
      <c r="D3178" t="s">
        <v>3224</v>
      </c>
      <c r="E3178" t="s">
        <v>3226</v>
      </c>
      <c r="F3178">
        <v>212410.22</v>
      </c>
      <c r="G3178">
        <v>183269.61</v>
      </c>
      <c r="H3178">
        <v>4</v>
      </c>
    </row>
    <row r="3179" spans="1:8" x14ac:dyDescent="0.25">
      <c r="A3179" t="s">
        <v>818</v>
      </c>
      <c r="C3179" t="s">
        <v>3216</v>
      </c>
      <c r="D3179" t="s">
        <v>3222</v>
      </c>
      <c r="E3179" t="s">
        <v>3226</v>
      </c>
      <c r="F3179">
        <v>46309.02</v>
      </c>
      <c r="G3179">
        <v>27164.98</v>
      </c>
      <c r="H3179">
        <v>3</v>
      </c>
    </row>
    <row r="3180" spans="1:8" x14ac:dyDescent="0.25">
      <c r="A3180" t="s">
        <v>2667</v>
      </c>
      <c r="B3180" t="s">
        <v>3214</v>
      </c>
      <c r="C3180" t="s">
        <v>3218</v>
      </c>
      <c r="D3180" t="s">
        <v>3225</v>
      </c>
      <c r="E3180" t="s">
        <v>3226</v>
      </c>
      <c r="F3180">
        <v>35590.080000000002</v>
      </c>
      <c r="G3180">
        <v>24352.38</v>
      </c>
      <c r="H3180">
        <v>2</v>
      </c>
    </row>
    <row r="3181" spans="1:8" x14ac:dyDescent="0.25">
      <c r="A3181" t="s">
        <v>2668</v>
      </c>
      <c r="B3181" t="s">
        <v>3211</v>
      </c>
      <c r="C3181" t="s">
        <v>3218</v>
      </c>
      <c r="D3181" t="s">
        <v>3225</v>
      </c>
      <c r="E3181" t="s">
        <v>3226</v>
      </c>
      <c r="F3181">
        <v>55142.59</v>
      </c>
      <c r="H3181">
        <v>3</v>
      </c>
    </row>
    <row r="3182" spans="1:8" x14ac:dyDescent="0.25">
      <c r="A3182" t="s">
        <v>2669</v>
      </c>
      <c r="B3182" t="s">
        <v>3214</v>
      </c>
      <c r="C3182" t="s">
        <v>3221</v>
      </c>
      <c r="D3182" t="s">
        <v>3225</v>
      </c>
      <c r="E3182" t="s">
        <v>3226</v>
      </c>
      <c r="F3182">
        <v>104548.75</v>
      </c>
      <c r="G3182">
        <v>61071.11</v>
      </c>
      <c r="H3182">
        <v>5</v>
      </c>
    </row>
    <row r="3183" spans="1:8" x14ac:dyDescent="0.25">
      <c r="A3183" t="s">
        <v>2670</v>
      </c>
      <c r="B3183" t="s">
        <v>3212</v>
      </c>
      <c r="C3183" t="s">
        <v>3220</v>
      </c>
      <c r="D3183" t="s">
        <v>3225</v>
      </c>
      <c r="E3183" t="s">
        <v>3226</v>
      </c>
      <c r="G3183">
        <v>35743.19</v>
      </c>
      <c r="H3183">
        <v>3</v>
      </c>
    </row>
    <row r="3184" spans="1:8" x14ac:dyDescent="0.25">
      <c r="A3184" t="s">
        <v>2671</v>
      </c>
      <c r="B3184" t="s">
        <v>3215</v>
      </c>
      <c r="C3184" t="s">
        <v>3221</v>
      </c>
      <c r="D3184" t="s">
        <v>3223</v>
      </c>
      <c r="E3184" t="s">
        <v>3226</v>
      </c>
      <c r="F3184">
        <v>24184.23</v>
      </c>
      <c r="G3184">
        <v>21440.639999999999</v>
      </c>
      <c r="H3184">
        <v>3</v>
      </c>
    </row>
    <row r="3185" spans="1:8" x14ac:dyDescent="0.25">
      <c r="A3185" t="s">
        <v>2672</v>
      </c>
      <c r="B3185" t="s">
        <v>3215</v>
      </c>
      <c r="C3185" t="s">
        <v>3218</v>
      </c>
      <c r="D3185" t="s">
        <v>3225</v>
      </c>
      <c r="E3185" t="s">
        <v>3226</v>
      </c>
      <c r="F3185">
        <v>23063.58</v>
      </c>
      <c r="G3185">
        <v>12872.95</v>
      </c>
      <c r="H3185">
        <v>1</v>
      </c>
    </row>
    <row r="3186" spans="1:8" x14ac:dyDescent="0.25">
      <c r="A3186" t="s">
        <v>2673</v>
      </c>
      <c r="C3186" t="s">
        <v>3220</v>
      </c>
      <c r="D3186" t="s">
        <v>3225</v>
      </c>
      <c r="E3186" t="s">
        <v>3226</v>
      </c>
      <c r="F3186">
        <v>18334.919999999998</v>
      </c>
      <c r="G3186">
        <v>15062.05</v>
      </c>
      <c r="H3186">
        <v>1</v>
      </c>
    </row>
    <row r="3187" spans="1:8" x14ac:dyDescent="0.25">
      <c r="A3187" t="s">
        <v>1427</v>
      </c>
      <c r="B3187" t="s">
        <v>3211</v>
      </c>
      <c r="C3187" t="s">
        <v>3216</v>
      </c>
      <c r="D3187" t="s">
        <v>3225</v>
      </c>
      <c r="E3187" t="s">
        <v>3226</v>
      </c>
      <c r="F3187">
        <v>49637.56</v>
      </c>
      <c r="G3187">
        <v>43945.97</v>
      </c>
      <c r="H3187">
        <v>3</v>
      </c>
    </row>
    <row r="3188" spans="1:8" x14ac:dyDescent="0.25">
      <c r="A3188" t="s">
        <v>1405</v>
      </c>
      <c r="B3188" t="s">
        <v>3212</v>
      </c>
      <c r="C3188" t="s">
        <v>3221</v>
      </c>
      <c r="D3188" t="s">
        <v>3223</v>
      </c>
      <c r="E3188" t="s">
        <v>3226</v>
      </c>
      <c r="F3188">
        <v>8698.94</v>
      </c>
      <c r="G3188">
        <v>6615.84</v>
      </c>
      <c r="H3188">
        <v>1</v>
      </c>
    </row>
    <row r="3189" spans="1:8" x14ac:dyDescent="0.25">
      <c r="A3189" t="s">
        <v>2674</v>
      </c>
      <c r="B3189" t="s">
        <v>3215</v>
      </c>
      <c r="C3189" t="s">
        <v>3219</v>
      </c>
      <c r="D3189" t="s">
        <v>3223</v>
      </c>
      <c r="E3189" t="s">
        <v>3226</v>
      </c>
      <c r="F3189">
        <v>10882.51</v>
      </c>
      <c r="G3189">
        <v>7218.88</v>
      </c>
      <c r="H3189">
        <v>1</v>
      </c>
    </row>
    <row r="3190" spans="1:8" x14ac:dyDescent="0.25">
      <c r="A3190" t="s">
        <v>1192</v>
      </c>
      <c r="B3190" t="s">
        <v>3213</v>
      </c>
      <c r="C3190" t="s">
        <v>3221</v>
      </c>
      <c r="D3190" t="s">
        <v>3225</v>
      </c>
      <c r="E3190" t="s">
        <v>3226</v>
      </c>
      <c r="F3190">
        <v>119567.26</v>
      </c>
      <c r="G3190">
        <v>62914.48</v>
      </c>
      <c r="H3190">
        <v>5</v>
      </c>
    </row>
    <row r="3191" spans="1:8" x14ac:dyDescent="0.25">
      <c r="A3191" t="s">
        <v>2675</v>
      </c>
      <c r="B3191" t="s">
        <v>3213</v>
      </c>
      <c r="C3191" t="s">
        <v>3219</v>
      </c>
      <c r="D3191" t="s">
        <v>3223</v>
      </c>
      <c r="E3191" t="s">
        <v>3226</v>
      </c>
      <c r="F3191">
        <v>37366.629999999997</v>
      </c>
      <c r="G3191">
        <v>29473.41</v>
      </c>
      <c r="H3191">
        <v>4</v>
      </c>
    </row>
    <row r="3192" spans="1:8" x14ac:dyDescent="0.25">
      <c r="A3192" t="s">
        <v>717</v>
      </c>
      <c r="B3192" t="s">
        <v>3213</v>
      </c>
      <c r="C3192" t="s">
        <v>3219</v>
      </c>
      <c r="D3192" t="s">
        <v>3225</v>
      </c>
      <c r="E3192" t="s">
        <v>3226</v>
      </c>
      <c r="F3192">
        <v>54632.14</v>
      </c>
      <c r="G3192">
        <v>41743.79</v>
      </c>
      <c r="H3192">
        <v>3</v>
      </c>
    </row>
    <row r="3193" spans="1:8" x14ac:dyDescent="0.25">
      <c r="A3193" t="s">
        <v>2676</v>
      </c>
      <c r="C3193" t="s">
        <v>3216</v>
      </c>
      <c r="D3193" t="s">
        <v>3225</v>
      </c>
      <c r="E3193" t="s">
        <v>3226</v>
      </c>
      <c r="F3193">
        <v>40382.080000000002</v>
      </c>
      <c r="G3193">
        <v>25257.86</v>
      </c>
      <c r="H3193">
        <v>2</v>
      </c>
    </row>
    <row r="3194" spans="1:8" x14ac:dyDescent="0.25">
      <c r="A3194" t="s">
        <v>2677</v>
      </c>
      <c r="C3194" t="s">
        <v>3218</v>
      </c>
      <c r="D3194" t="s">
        <v>3224</v>
      </c>
      <c r="E3194" t="s">
        <v>3226</v>
      </c>
      <c r="F3194">
        <v>198066.54</v>
      </c>
      <c r="H3194">
        <v>3</v>
      </c>
    </row>
    <row r="3195" spans="1:8" x14ac:dyDescent="0.25">
      <c r="A3195" t="s">
        <v>2678</v>
      </c>
      <c r="B3195" t="s">
        <v>3214</v>
      </c>
      <c r="C3195" t="s">
        <v>3217</v>
      </c>
      <c r="D3195" t="s">
        <v>3225</v>
      </c>
      <c r="E3195" t="s">
        <v>3226</v>
      </c>
      <c r="F3195">
        <v>64029.56</v>
      </c>
      <c r="G3195">
        <v>51381.77</v>
      </c>
      <c r="H3195">
        <v>4</v>
      </c>
    </row>
    <row r="3196" spans="1:8" x14ac:dyDescent="0.25">
      <c r="A3196" t="s">
        <v>2679</v>
      </c>
      <c r="B3196" t="s">
        <v>3214</v>
      </c>
      <c r="C3196" t="s">
        <v>3218</v>
      </c>
      <c r="D3196" t="s">
        <v>3225</v>
      </c>
      <c r="E3196" t="s">
        <v>3226</v>
      </c>
      <c r="F3196">
        <v>87677.01</v>
      </c>
      <c r="G3196">
        <v>54714.91</v>
      </c>
      <c r="H3196">
        <v>4</v>
      </c>
    </row>
    <row r="3197" spans="1:8" x14ac:dyDescent="0.25">
      <c r="A3197" t="s">
        <v>681</v>
      </c>
      <c r="B3197" t="s">
        <v>3214</v>
      </c>
      <c r="C3197" t="s">
        <v>3217</v>
      </c>
      <c r="D3197" t="s">
        <v>3224</v>
      </c>
      <c r="E3197" t="s">
        <v>3226</v>
      </c>
      <c r="F3197">
        <v>133968.5</v>
      </c>
      <c r="G3197">
        <v>77003.81</v>
      </c>
      <c r="H3197">
        <v>2</v>
      </c>
    </row>
    <row r="3198" spans="1:8" x14ac:dyDescent="0.25">
      <c r="A3198" t="s">
        <v>19</v>
      </c>
      <c r="B3198" t="s">
        <v>3214</v>
      </c>
      <c r="C3198" t="s">
        <v>3219</v>
      </c>
      <c r="D3198" t="s">
        <v>3225</v>
      </c>
      <c r="E3198" t="s">
        <v>3226</v>
      </c>
      <c r="F3198">
        <v>17676.71</v>
      </c>
      <c r="G3198">
        <v>14455.99</v>
      </c>
      <c r="H3198">
        <v>1</v>
      </c>
    </row>
    <row r="3199" spans="1:8" x14ac:dyDescent="0.25">
      <c r="A3199" t="s">
        <v>2680</v>
      </c>
      <c r="B3199" t="s">
        <v>3215</v>
      </c>
      <c r="C3199" t="s">
        <v>3220</v>
      </c>
      <c r="D3199" t="s">
        <v>3222</v>
      </c>
      <c r="E3199" t="s">
        <v>3226</v>
      </c>
      <c r="F3199">
        <v>48705.23</v>
      </c>
      <c r="G3199">
        <v>28373.66</v>
      </c>
      <c r="H3199">
        <v>3</v>
      </c>
    </row>
    <row r="3200" spans="1:8" x14ac:dyDescent="0.25">
      <c r="A3200" t="s">
        <v>2681</v>
      </c>
      <c r="B3200" t="s">
        <v>3211</v>
      </c>
      <c r="C3200" t="s">
        <v>3217</v>
      </c>
      <c r="D3200" t="s">
        <v>3222</v>
      </c>
      <c r="E3200" t="s">
        <v>3226</v>
      </c>
      <c r="F3200">
        <v>62654.79</v>
      </c>
      <c r="G3200">
        <v>42347.48</v>
      </c>
      <c r="H3200">
        <v>4</v>
      </c>
    </row>
    <row r="3201" spans="1:8" x14ac:dyDescent="0.25">
      <c r="A3201" t="s">
        <v>2682</v>
      </c>
      <c r="B3201" t="s">
        <v>3212</v>
      </c>
      <c r="C3201" t="s">
        <v>3218</v>
      </c>
      <c r="D3201" t="s">
        <v>3222</v>
      </c>
      <c r="E3201" t="s">
        <v>3226</v>
      </c>
      <c r="F3201">
        <v>14011.77</v>
      </c>
      <c r="H3201">
        <v>1</v>
      </c>
    </row>
    <row r="3202" spans="1:8" x14ac:dyDescent="0.25">
      <c r="A3202" t="s">
        <v>2683</v>
      </c>
      <c r="B3202" t="s">
        <v>3211</v>
      </c>
      <c r="C3202" t="s">
        <v>3218</v>
      </c>
      <c r="D3202" t="s">
        <v>3223</v>
      </c>
      <c r="E3202" t="s">
        <v>3226</v>
      </c>
      <c r="F3202">
        <v>30903.03</v>
      </c>
      <c r="G3202">
        <v>18979.54</v>
      </c>
      <c r="H3202">
        <v>3</v>
      </c>
    </row>
    <row r="3203" spans="1:8" x14ac:dyDescent="0.25">
      <c r="A3203" t="s">
        <v>2684</v>
      </c>
      <c r="B3203" t="s">
        <v>3215</v>
      </c>
      <c r="C3203" t="s">
        <v>3216</v>
      </c>
      <c r="D3203" t="s">
        <v>3222</v>
      </c>
      <c r="E3203" t="s">
        <v>3226</v>
      </c>
      <c r="F3203">
        <v>15752.56</v>
      </c>
      <c r="G3203">
        <v>9953.0400000000009</v>
      </c>
      <c r="H3203">
        <v>1</v>
      </c>
    </row>
    <row r="3204" spans="1:8" x14ac:dyDescent="0.25">
      <c r="A3204" t="s">
        <v>1405</v>
      </c>
      <c r="B3204" t="s">
        <v>3214</v>
      </c>
      <c r="C3204" t="s">
        <v>3219</v>
      </c>
      <c r="D3204" t="s">
        <v>3225</v>
      </c>
      <c r="E3204" t="s">
        <v>3226</v>
      </c>
      <c r="F3204">
        <v>37689.040000000001</v>
      </c>
      <c r="G3204">
        <v>24817.08</v>
      </c>
      <c r="H3204">
        <v>2</v>
      </c>
    </row>
    <row r="3205" spans="1:8" x14ac:dyDescent="0.25">
      <c r="A3205" t="s">
        <v>1816</v>
      </c>
      <c r="B3205" t="s">
        <v>3211</v>
      </c>
      <c r="C3205" t="s">
        <v>3220</v>
      </c>
      <c r="D3205" t="s">
        <v>3223</v>
      </c>
      <c r="E3205" t="s">
        <v>3226</v>
      </c>
      <c r="F3205">
        <v>33416.959999999999</v>
      </c>
      <c r="G3205">
        <v>19109.509999999998</v>
      </c>
      <c r="H3205">
        <v>3</v>
      </c>
    </row>
    <row r="3206" spans="1:8" x14ac:dyDescent="0.25">
      <c r="A3206" t="s">
        <v>710</v>
      </c>
      <c r="B3206" t="s">
        <v>3214</v>
      </c>
      <c r="C3206" t="s">
        <v>3221</v>
      </c>
      <c r="D3206" t="s">
        <v>3224</v>
      </c>
      <c r="E3206" t="s">
        <v>3226</v>
      </c>
      <c r="F3206">
        <v>280093.74</v>
      </c>
      <c r="G3206">
        <v>214536.98</v>
      </c>
      <c r="H3206">
        <v>5</v>
      </c>
    </row>
    <row r="3207" spans="1:8" x14ac:dyDescent="0.25">
      <c r="A3207" t="s">
        <v>1048</v>
      </c>
      <c r="B3207" t="s">
        <v>3211</v>
      </c>
      <c r="C3207" t="s">
        <v>3217</v>
      </c>
      <c r="D3207" t="s">
        <v>3225</v>
      </c>
      <c r="E3207" t="s">
        <v>3226</v>
      </c>
      <c r="F3207">
        <v>111551.19</v>
      </c>
      <c r="G3207">
        <v>67161.820000000007</v>
      </c>
      <c r="H3207">
        <v>5</v>
      </c>
    </row>
    <row r="3208" spans="1:8" x14ac:dyDescent="0.25">
      <c r="A3208" t="s">
        <v>2685</v>
      </c>
      <c r="B3208" t="s">
        <v>3215</v>
      </c>
      <c r="C3208" t="s">
        <v>3221</v>
      </c>
      <c r="D3208" t="s">
        <v>3225</v>
      </c>
      <c r="E3208" t="s">
        <v>3226</v>
      </c>
      <c r="F3208">
        <v>49813.23</v>
      </c>
      <c r="G3208">
        <v>42222.94</v>
      </c>
      <c r="H3208">
        <v>3</v>
      </c>
    </row>
    <row r="3209" spans="1:8" x14ac:dyDescent="0.25">
      <c r="A3209" t="s">
        <v>2686</v>
      </c>
      <c r="C3209" t="s">
        <v>3221</v>
      </c>
      <c r="D3209" t="s">
        <v>3225</v>
      </c>
      <c r="E3209" t="s">
        <v>3226</v>
      </c>
      <c r="F3209">
        <v>17436.12</v>
      </c>
      <c r="G3209">
        <v>12155.45</v>
      </c>
      <c r="H3209">
        <v>1</v>
      </c>
    </row>
    <row r="3210" spans="1:8" x14ac:dyDescent="0.25">
      <c r="A3210" t="s">
        <v>2687</v>
      </c>
      <c r="C3210" t="s">
        <v>3218</v>
      </c>
      <c r="D3210" t="s">
        <v>3222</v>
      </c>
      <c r="E3210" t="s">
        <v>3226</v>
      </c>
      <c r="F3210">
        <v>68182.16</v>
      </c>
      <c r="G3210">
        <v>41799.129999999997</v>
      </c>
      <c r="H3210">
        <v>4</v>
      </c>
    </row>
    <row r="3211" spans="1:8" x14ac:dyDescent="0.25">
      <c r="A3211" t="s">
        <v>2688</v>
      </c>
      <c r="B3211" t="s">
        <v>3212</v>
      </c>
      <c r="C3211" t="s">
        <v>3221</v>
      </c>
      <c r="D3211" t="s">
        <v>3223</v>
      </c>
      <c r="E3211" t="s">
        <v>3226</v>
      </c>
      <c r="F3211">
        <v>18847.41</v>
      </c>
      <c r="G3211">
        <v>14674.58</v>
      </c>
      <c r="H3211">
        <v>2</v>
      </c>
    </row>
    <row r="3212" spans="1:8" x14ac:dyDescent="0.25">
      <c r="A3212" t="s">
        <v>2689</v>
      </c>
      <c r="B3212" t="s">
        <v>3214</v>
      </c>
      <c r="C3212" t="s">
        <v>3219</v>
      </c>
      <c r="D3212" t="s">
        <v>3222</v>
      </c>
      <c r="E3212" t="s">
        <v>3226</v>
      </c>
      <c r="F3212">
        <v>61901.55</v>
      </c>
      <c r="G3212">
        <v>49094.42</v>
      </c>
      <c r="H3212">
        <v>5</v>
      </c>
    </row>
    <row r="3213" spans="1:8" x14ac:dyDescent="0.25">
      <c r="A3213" t="s">
        <v>2690</v>
      </c>
      <c r="B3213" t="s">
        <v>3213</v>
      </c>
      <c r="C3213" t="s">
        <v>3221</v>
      </c>
      <c r="D3213" t="s">
        <v>3222</v>
      </c>
      <c r="E3213" t="s">
        <v>3226</v>
      </c>
      <c r="F3213">
        <v>74199.64</v>
      </c>
      <c r="G3213">
        <v>48100.58</v>
      </c>
      <c r="H3213">
        <v>5</v>
      </c>
    </row>
    <row r="3214" spans="1:8" x14ac:dyDescent="0.25">
      <c r="A3214" t="s">
        <v>1366</v>
      </c>
      <c r="B3214" t="s">
        <v>3213</v>
      </c>
      <c r="C3214" t="s">
        <v>3217</v>
      </c>
      <c r="D3214" t="s">
        <v>3224</v>
      </c>
      <c r="E3214" t="s">
        <v>3226</v>
      </c>
      <c r="F3214">
        <v>311379.44</v>
      </c>
      <c r="G3214">
        <v>212346.45</v>
      </c>
      <c r="H3214">
        <v>5</v>
      </c>
    </row>
    <row r="3215" spans="1:8" x14ac:dyDescent="0.25">
      <c r="A3215" t="s">
        <v>2691</v>
      </c>
      <c r="B3215" t="s">
        <v>3214</v>
      </c>
      <c r="C3215" t="s">
        <v>3218</v>
      </c>
      <c r="D3215" t="s">
        <v>3224</v>
      </c>
      <c r="E3215" t="s">
        <v>3226</v>
      </c>
      <c r="F3215">
        <v>187139.94</v>
      </c>
      <c r="G3215">
        <v>126727.95</v>
      </c>
      <c r="H3215">
        <v>3</v>
      </c>
    </row>
    <row r="3216" spans="1:8" x14ac:dyDescent="0.25">
      <c r="A3216" t="s">
        <v>2692</v>
      </c>
      <c r="B3216" t="s">
        <v>3212</v>
      </c>
      <c r="C3216" t="s">
        <v>3216</v>
      </c>
      <c r="D3216" t="s">
        <v>3224</v>
      </c>
      <c r="E3216" t="s">
        <v>3226</v>
      </c>
      <c r="F3216">
        <v>175314.09</v>
      </c>
      <c r="G3216">
        <v>128975.51</v>
      </c>
      <c r="H3216">
        <v>3</v>
      </c>
    </row>
    <row r="3217" spans="1:8" x14ac:dyDescent="0.25">
      <c r="A3217" t="s">
        <v>2693</v>
      </c>
      <c r="C3217" t="s">
        <v>3221</v>
      </c>
      <c r="D3217" t="s">
        <v>3225</v>
      </c>
      <c r="E3217" t="s">
        <v>3226</v>
      </c>
      <c r="F3217">
        <v>38026.61</v>
      </c>
      <c r="H3217">
        <v>2</v>
      </c>
    </row>
    <row r="3218" spans="1:8" x14ac:dyDescent="0.25">
      <c r="A3218" t="s">
        <v>2694</v>
      </c>
      <c r="B3218" t="s">
        <v>3213</v>
      </c>
      <c r="C3218" t="s">
        <v>3220</v>
      </c>
      <c r="D3218" t="s">
        <v>3225</v>
      </c>
      <c r="E3218" t="s">
        <v>3226</v>
      </c>
      <c r="F3218">
        <v>37599.83</v>
      </c>
      <c r="G3218">
        <v>25406.62</v>
      </c>
      <c r="H3218">
        <v>2</v>
      </c>
    </row>
    <row r="3219" spans="1:8" x14ac:dyDescent="0.25">
      <c r="A3219" t="s">
        <v>2695</v>
      </c>
      <c r="B3219" t="s">
        <v>3211</v>
      </c>
      <c r="C3219" t="s">
        <v>3218</v>
      </c>
      <c r="D3219" t="s">
        <v>3224</v>
      </c>
      <c r="E3219" t="s">
        <v>3226</v>
      </c>
      <c r="F3219">
        <v>119690.31</v>
      </c>
      <c r="G3219">
        <v>78630.73</v>
      </c>
      <c r="H3219">
        <v>2</v>
      </c>
    </row>
    <row r="3220" spans="1:8" x14ac:dyDescent="0.25">
      <c r="A3220" t="s">
        <v>1715</v>
      </c>
      <c r="B3220" t="s">
        <v>3211</v>
      </c>
      <c r="C3220" t="s">
        <v>3217</v>
      </c>
      <c r="D3220" t="s">
        <v>3225</v>
      </c>
      <c r="E3220" t="s">
        <v>3226</v>
      </c>
      <c r="F3220">
        <v>52486.83</v>
      </c>
      <c r="G3220">
        <v>44240.63</v>
      </c>
      <c r="H3220">
        <v>3</v>
      </c>
    </row>
    <row r="3221" spans="1:8" x14ac:dyDescent="0.25">
      <c r="A3221" t="s">
        <v>1277</v>
      </c>
      <c r="B3221" t="s">
        <v>3213</v>
      </c>
      <c r="C3221" t="s">
        <v>3221</v>
      </c>
      <c r="D3221" t="s">
        <v>3225</v>
      </c>
      <c r="E3221" t="s">
        <v>3226</v>
      </c>
      <c r="F3221">
        <v>41173.83</v>
      </c>
      <c r="G3221">
        <v>28677.06</v>
      </c>
      <c r="H3221">
        <v>2</v>
      </c>
    </row>
    <row r="3222" spans="1:8" x14ac:dyDescent="0.25">
      <c r="A3222" t="s">
        <v>430</v>
      </c>
      <c r="B3222" t="s">
        <v>3214</v>
      </c>
      <c r="C3222" t="s">
        <v>3221</v>
      </c>
      <c r="D3222" t="s">
        <v>3224</v>
      </c>
      <c r="E3222" t="s">
        <v>3226</v>
      </c>
      <c r="F3222">
        <v>243048.09</v>
      </c>
      <c r="G3222">
        <v>243348.92</v>
      </c>
      <c r="H3222">
        <v>5</v>
      </c>
    </row>
    <row r="3223" spans="1:8" x14ac:dyDescent="0.25">
      <c r="A3223" t="s">
        <v>1989</v>
      </c>
      <c r="B3223" t="s">
        <v>3212</v>
      </c>
      <c r="C3223" t="s">
        <v>3220</v>
      </c>
      <c r="D3223" t="s">
        <v>3225</v>
      </c>
      <c r="E3223" t="s">
        <v>3226</v>
      </c>
      <c r="F3223">
        <v>64584.82</v>
      </c>
      <c r="H3223">
        <v>4</v>
      </c>
    </row>
    <row r="3224" spans="1:8" x14ac:dyDescent="0.25">
      <c r="A3224" t="s">
        <v>2665</v>
      </c>
      <c r="C3224" t="s">
        <v>3219</v>
      </c>
      <c r="D3224" t="s">
        <v>3225</v>
      </c>
      <c r="E3224" t="s">
        <v>3226</v>
      </c>
      <c r="F3224">
        <v>21300.07</v>
      </c>
      <c r="G3224">
        <v>12018.37</v>
      </c>
      <c r="H3224">
        <v>1</v>
      </c>
    </row>
    <row r="3225" spans="1:8" x14ac:dyDescent="0.25">
      <c r="A3225" t="s">
        <v>2696</v>
      </c>
      <c r="B3225" t="s">
        <v>3212</v>
      </c>
      <c r="C3225" t="s">
        <v>3220</v>
      </c>
      <c r="D3225" t="s">
        <v>3223</v>
      </c>
      <c r="E3225" t="s">
        <v>3226</v>
      </c>
      <c r="F3225">
        <v>41940.5</v>
      </c>
      <c r="G3225">
        <v>31336.97</v>
      </c>
      <c r="H3225">
        <v>5</v>
      </c>
    </row>
    <row r="3226" spans="1:8" x14ac:dyDescent="0.25">
      <c r="A3226" t="s">
        <v>2697</v>
      </c>
      <c r="B3226" t="s">
        <v>3214</v>
      </c>
      <c r="C3226" t="s">
        <v>3216</v>
      </c>
      <c r="D3226" t="s">
        <v>3225</v>
      </c>
      <c r="E3226" t="s">
        <v>3226</v>
      </c>
      <c r="F3226">
        <v>19565.39</v>
      </c>
      <c r="G3226">
        <v>13098.45</v>
      </c>
      <c r="H3226">
        <v>1</v>
      </c>
    </row>
    <row r="3227" spans="1:8" x14ac:dyDescent="0.25">
      <c r="A3227" t="s">
        <v>2698</v>
      </c>
      <c r="B3227" t="s">
        <v>3213</v>
      </c>
      <c r="C3227" t="s">
        <v>3218</v>
      </c>
      <c r="D3227" t="s">
        <v>3224</v>
      </c>
      <c r="E3227" t="s">
        <v>3226</v>
      </c>
      <c r="F3227">
        <v>252474.25</v>
      </c>
      <c r="G3227">
        <v>188373.88</v>
      </c>
      <c r="H3227">
        <v>4</v>
      </c>
    </row>
    <row r="3228" spans="1:8" x14ac:dyDescent="0.25">
      <c r="A3228" t="s">
        <v>2699</v>
      </c>
      <c r="B3228" t="s">
        <v>3214</v>
      </c>
      <c r="C3228" t="s">
        <v>3216</v>
      </c>
      <c r="D3228" t="s">
        <v>3222</v>
      </c>
      <c r="E3228" t="s">
        <v>3226</v>
      </c>
      <c r="F3228">
        <v>15446.65</v>
      </c>
      <c r="G3228">
        <v>10608.02</v>
      </c>
      <c r="H3228">
        <v>1</v>
      </c>
    </row>
    <row r="3229" spans="1:8" x14ac:dyDescent="0.25">
      <c r="A3229" t="s">
        <v>2700</v>
      </c>
      <c r="B3229" t="s">
        <v>3212</v>
      </c>
      <c r="C3229" t="s">
        <v>3221</v>
      </c>
      <c r="D3229" t="s">
        <v>3224</v>
      </c>
      <c r="E3229" t="s">
        <v>3226</v>
      </c>
      <c r="F3229">
        <v>203307.87</v>
      </c>
      <c r="G3229">
        <v>155776.12</v>
      </c>
      <c r="H3229">
        <v>4</v>
      </c>
    </row>
    <row r="3230" spans="1:8" x14ac:dyDescent="0.25">
      <c r="A3230" t="s">
        <v>2701</v>
      </c>
      <c r="B3230" t="s">
        <v>3213</v>
      </c>
      <c r="C3230" t="s">
        <v>3219</v>
      </c>
      <c r="D3230" t="s">
        <v>3224</v>
      </c>
      <c r="E3230" t="s">
        <v>3226</v>
      </c>
      <c r="F3230">
        <v>69710.48</v>
      </c>
      <c r="G3230">
        <v>40774.800000000003</v>
      </c>
      <c r="H3230">
        <v>1</v>
      </c>
    </row>
    <row r="3231" spans="1:8" x14ac:dyDescent="0.25">
      <c r="A3231" t="s">
        <v>2702</v>
      </c>
      <c r="B3231" t="s">
        <v>3213</v>
      </c>
      <c r="C3231" t="s">
        <v>3219</v>
      </c>
      <c r="D3231" t="s">
        <v>3224</v>
      </c>
      <c r="E3231" t="s">
        <v>3226</v>
      </c>
      <c r="F3231">
        <v>214628.46</v>
      </c>
      <c r="G3231">
        <v>172108.34</v>
      </c>
      <c r="H3231">
        <v>4</v>
      </c>
    </row>
    <row r="3232" spans="1:8" x14ac:dyDescent="0.25">
      <c r="A3232" t="s">
        <v>2703</v>
      </c>
      <c r="B3232" t="s">
        <v>3213</v>
      </c>
      <c r="C3232" t="s">
        <v>3216</v>
      </c>
      <c r="D3232" t="s">
        <v>3223</v>
      </c>
      <c r="E3232" t="s">
        <v>3226</v>
      </c>
      <c r="G3232">
        <v>26227.35</v>
      </c>
      <c r="H3232">
        <v>4</v>
      </c>
    </row>
    <row r="3233" spans="1:8" x14ac:dyDescent="0.25">
      <c r="A3233" t="s">
        <v>2704</v>
      </c>
      <c r="B3233" t="s">
        <v>3211</v>
      </c>
      <c r="C3233" t="s">
        <v>3219</v>
      </c>
      <c r="D3233" t="s">
        <v>3222</v>
      </c>
      <c r="E3233" t="s">
        <v>3226</v>
      </c>
      <c r="F3233">
        <v>61020.91</v>
      </c>
      <c r="G3233">
        <v>49105.39</v>
      </c>
      <c r="H3233">
        <v>5</v>
      </c>
    </row>
    <row r="3234" spans="1:8" x14ac:dyDescent="0.25">
      <c r="A3234" t="s">
        <v>2705</v>
      </c>
      <c r="B3234" t="s">
        <v>3213</v>
      </c>
      <c r="C3234" t="s">
        <v>3216</v>
      </c>
      <c r="D3234" t="s">
        <v>3225</v>
      </c>
      <c r="E3234" t="s">
        <v>3226</v>
      </c>
      <c r="F3234">
        <v>51283.040000000001</v>
      </c>
      <c r="G3234">
        <v>42690.89</v>
      </c>
      <c r="H3234">
        <v>3</v>
      </c>
    </row>
    <row r="3235" spans="1:8" x14ac:dyDescent="0.25">
      <c r="A3235" t="s">
        <v>1055</v>
      </c>
      <c r="B3235" t="s">
        <v>3214</v>
      </c>
      <c r="C3235" t="s">
        <v>3218</v>
      </c>
      <c r="D3235" t="s">
        <v>3224</v>
      </c>
      <c r="E3235" t="s">
        <v>3226</v>
      </c>
      <c r="F3235">
        <v>222229.46</v>
      </c>
      <c r="G3235">
        <v>176581.14</v>
      </c>
      <c r="H3235">
        <v>4</v>
      </c>
    </row>
    <row r="3236" spans="1:8" x14ac:dyDescent="0.25">
      <c r="A3236" t="s">
        <v>2706</v>
      </c>
      <c r="B3236" t="s">
        <v>3214</v>
      </c>
      <c r="C3236" t="s">
        <v>3219</v>
      </c>
      <c r="D3236" t="s">
        <v>3224</v>
      </c>
      <c r="E3236" t="s">
        <v>3226</v>
      </c>
      <c r="F3236">
        <v>224901.13</v>
      </c>
      <c r="G3236">
        <v>187021.86</v>
      </c>
      <c r="H3236">
        <v>4</v>
      </c>
    </row>
    <row r="3237" spans="1:8" x14ac:dyDescent="0.25">
      <c r="A3237" t="s">
        <v>2707</v>
      </c>
      <c r="B3237" t="s">
        <v>3212</v>
      </c>
      <c r="C3237" t="s">
        <v>3221</v>
      </c>
      <c r="D3237" t="s">
        <v>3222</v>
      </c>
      <c r="E3237" t="s">
        <v>3226</v>
      </c>
      <c r="F3237">
        <v>15255.19</v>
      </c>
      <c r="G3237">
        <v>10658.39</v>
      </c>
    </row>
    <row r="3238" spans="1:8" x14ac:dyDescent="0.25">
      <c r="A3238" t="s">
        <v>2708</v>
      </c>
      <c r="C3238" t="s">
        <v>3218</v>
      </c>
      <c r="D3238" t="s">
        <v>3222</v>
      </c>
      <c r="E3238" t="s">
        <v>3226</v>
      </c>
      <c r="F3238">
        <v>73648.37</v>
      </c>
      <c r="G3238">
        <v>43048.45</v>
      </c>
    </row>
    <row r="3239" spans="1:8" x14ac:dyDescent="0.25">
      <c r="A3239" t="s">
        <v>1051</v>
      </c>
      <c r="B3239" t="s">
        <v>3213</v>
      </c>
      <c r="C3239" t="s">
        <v>3218</v>
      </c>
      <c r="D3239" t="s">
        <v>3222</v>
      </c>
      <c r="E3239" t="s">
        <v>3226</v>
      </c>
      <c r="F3239">
        <v>33878.11</v>
      </c>
      <c r="G3239">
        <v>17473.099999999999</v>
      </c>
      <c r="H3239">
        <v>2</v>
      </c>
    </row>
    <row r="3240" spans="1:8" x14ac:dyDescent="0.25">
      <c r="A3240" t="s">
        <v>2709</v>
      </c>
      <c r="B3240" t="s">
        <v>3213</v>
      </c>
      <c r="C3240" t="s">
        <v>3218</v>
      </c>
      <c r="D3240" t="s">
        <v>3222</v>
      </c>
      <c r="E3240" t="s">
        <v>3226</v>
      </c>
      <c r="F3240">
        <v>25769.41</v>
      </c>
      <c r="G3240">
        <v>19103.349999999999</v>
      </c>
      <c r="H3240">
        <v>2</v>
      </c>
    </row>
    <row r="3241" spans="1:8" x14ac:dyDescent="0.25">
      <c r="A3241" t="s">
        <v>2710</v>
      </c>
      <c r="B3241" t="s">
        <v>3214</v>
      </c>
      <c r="C3241" t="s">
        <v>3216</v>
      </c>
      <c r="D3241" t="s">
        <v>3225</v>
      </c>
      <c r="E3241" t="s">
        <v>3226</v>
      </c>
      <c r="F3241">
        <v>44844.13</v>
      </c>
      <c r="G3241">
        <v>27607.83</v>
      </c>
      <c r="H3241">
        <v>2</v>
      </c>
    </row>
    <row r="3242" spans="1:8" x14ac:dyDescent="0.25">
      <c r="A3242" t="s">
        <v>2711</v>
      </c>
      <c r="B3242" t="s">
        <v>3214</v>
      </c>
      <c r="C3242" t="s">
        <v>3217</v>
      </c>
      <c r="D3242" t="s">
        <v>3223</v>
      </c>
      <c r="E3242" t="s">
        <v>3226</v>
      </c>
      <c r="F3242">
        <v>46489.26</v>
      </c>
      <c r="H3242">
        <v>4</v>
      </c>
    </row>
    <row r="3243" spans="1:8" x14ac:dyDescent="0.25">
      <c r="A3243" t="s">
        <v>470</v>
      </c>
      <c r="B3243" t="s">
        <v>3212</v>
      </c>
      <c r="C3243" t="s">
        <v>3221</v>
      </c>
      <c r="D3243" t="s">
        <v>3223</v>
      </c>
      <c r="E3243" t="s">
        <v>3226</v>
      </c>
      <c r="F3243">
        <v>43781.4</v>
      </c>
      <c r="G3243">
        <v>28714.16</v>
      </c>
      <c r="H3243">
        <v>4</v>
      </c>
    </row>
    <row r="3244" spans="1:8" x14ac:dyDescent="0.25">
      <c r="A3244" t="s">
        <v>2712</v>
      </c>
      <c r="C3244" t="s">
        <v>3216</v>
      </c>
      <c r="D3244" t="s">
        <v>3222</v>
      </c>
      <c r="E3244" t="s">
        <v>3226</v>
      </c>
      <c r="F3244">
        <v>16447.28</v>
      </c>
      <c r="G3244">
        <v>9071.76</v>
      </c>
      <c r="H3244">
        <v>1</v>
      </c>
    </row>
    <row r="3245" spans="1:8" x14ac:dyDescent="0.25">
      <c r="A3245" t="s">
        <v>2713</v>
      </c>
      <c r="B3245" t="s">
        <v>3215</v>
      </c>
      <c r="C3245" t="s">
        <v>3221</v>
      </c>
      <c r="D3245" t="s">
        <v>3225</v>
      </c>
      <c r="E3245" t="s">
        <v>3226</v>
      </c>
      <c r="F3245">
        <v>17479.09</v>
      </c>
      <c r="H3245">
        <v>1</v>
      </c>
    </row>
    <row r="3246" spans="1:8" x14ac:dyDescent="0.25">
      <c r="A3246" t="s">
        <v>231</v>
      </c>
      <c r="B3246" t="s">
        <v>3213</v>
      </c>
      <c r="C3246" t="s">
        <v>3219</v>
      </c>
      <c r="D3246" t="s">
        <v>3223</v>
      </c>
      <c r="E3246" t="s">
        <v>3226</v>
      </c>
      <c r="F3246">
        <v>33688.79</v>
      </c>
      <c r="G3246">
        <v>21971.61</v>
      </c>
      <c r="H3246">
        <v>3</v>
      </c>
    </row>
    <row r="3247" spans="1:8" x14ac:dyDescent="0.25">
      <c r="A3247" t="s">
        <v>2714</v>
      </c>
      <c r="B3247" t="s">
        <v>3215</v>
      </c>
      <c r="C3247" t="s">
        <v>3217</v>
      </c>
      <c r="D3247" t="s">
        <v>3222</v>
      </c>
      <c r="E3247" t="s">
        <v>3226</v>
      </c>
      <c r="F3247">
        <v>26639.07</v>
      </c>
      <c r="G3247">
        <v>17056.560000000001</v>
      </c>
      <c r="H3247">
        <v>2</v>
      </c>
    </row>
    <row r="3248" spans="1:8" x14ac:dyDescent="0.25">
      <c r="A3248" t="s">
        <v>2715</v>
      </c>
      <c r="B3248" t="s">
        <v>3214</v>
      </c>
      <c r="C3248" t="s">
        <v>3220</v>
      </c>
      <c r="D3248" t="s">
        <v>3223</v>
      </c>
      <c r="E3248" t="s">
        <v>3226</v>
      </c>
      <c r="F3248">
        <v>22602.21</v>
      </c>
      <c r="G3248">
        <v>14800.78</v>
      </c>
      <c r="H3248">
        <v>2</v>
      </c>
    </row>
    <row r="3249" spans="1:8" x14ac:dyDescent="0.25">
      <c r="A3249" t="s">
        <v>1293</v>
      </c>
      <c r="B3249" t="s">
        <v>3214</v>
      </c>
      <c r="C3249" t="s">
        <v>3217</v>
      </c>
      <c r="D3249" t="s">
        <v>3224</v>
      </c>
      <c r="E3249" t="s">
        <v>3226</v>
      </c>
      <c r="F3249">
        <v>244643.67</v>
      </c>
      <c r="G3249">
        <v>192336.63</v>
      </c>
      <c r="H3249">
        <v>4</v>
      </c>
    </row>
    <row r="3250" spans="1:8" x14ac:dyDescent="0.25">
      <c r="A3250" t="s">
        <v>2716</v>
      </c>
      <c r="C3250" t="s">
        <v>3217</v>
      </c>
      <c r="D3250" t="s">
        <v>3224</v>
      </c>
      <c r="E3250" t="s">
        <v>3226</v>
      </c>
      <c r="F3250">
        <v>218758.61</v>
      </c>
      <c r="G3250">
        <v>185350.69</v>
      </c>
      <c r="H3250">
        <v>4</v>
      </c>
    </row>
    <row r="3251" spans="1:8" x14ac:dyDescent="0.25">
      <c r="A3251" t="s">
        <v>2717</v>
      </c>
      <c r="B3251" t="s">
        <v>3212</v>
      </c>
      <c r="C3251" t="s">
        <v>3219</v>
      </c>
      <c r="D3251" t="s">
        <v>3224</v>
      </c>
      <c r="E3251" t="s">
        <v>3226</v>
      </c>
      <c r="H3251">
        <v>4</v>
      </c>
    </row>
    <row r="3252" spans="1:8" x14ac:dyDescent="0.25">
      <c r="A3252" t="s">
        <v>2718</v>
      </c>
      <c r="B3252" t="s">
        <v>3212</v>
      </c>
      <c r="C3252" t="s">
        <v>3217</v>
      </c>
      <c r="D3252" t="s">
        <v>3222</v>
      </c>
      <c r="E3252" t="s">
        <v>3226</v>
      </c>
      <c r="F3252">
        <v>64064.08</v>
      </c>
      <c r="G3252">
        <v>49745.94</v>
      </c>
      <c r="H3252">
        <v>5</v>
      </c>
    </row>
    <row r="3253" spans="1:8" x14ac:dyDescent="0.25">
      <c r="A3253" t="s">
        <v>2719</v>
      </c>
      <c r="B3253" t="s">
        <v>3212</v>
      </c>
      <c r="C3253" t="s">
        <v>3216</v>
      </c>
      <c r="D3253" t="s">
        <v>3223</v>
      </c>
      <c r="E3253" t="s">
        <v>3226</v>
      </c>
      <c r="F3253">
        <v>11386.32</v>
      </c>
      <c r="G3253">
        <v>7540.7</v>
      </c>
      <c r="H3253">
        <v>1</v>
      </c>
    </row>
    <row r="3254" spans="1:8" x14ac:dyDescent="0.25">
      <c r="A3254" t="s">
        <v>2720</v>
      </c>
      <c r="B3254" t="s">
        <v>3211</v>
      </c>
      <c r="C3254" t="s">
        <v>3216</v>
      </c>
      <c r="D3254" t="s">
        <v>3225</v>
      </c>
      <c r="E3254" t="s">
        <v>3226</v>
      </c>
      <c r="F3254">
        <v>21708.03</v>
      </c>
      <c r="H3254">
        <v>1</v>
      </c>
    </row>
    <row r="3255" spans="1:8" x14ac:dyDescent="0.25">
      <c r="A3255" t="s">
        <v>2721</v>
      </c>
      <c r="C3255" t="s">
        <v>3220</v>
      </c>
      <c r="D3255" t="s">
        <v>3225</v>
      </c>
      <c r="E3255" t="s">
        <v>3226</v>
      </c>
      <c r="F3255">
        <v>55638.58</v>
      </c>
      <c r="G3255">
        <v>42017.52</v>
      </c>
      <c r="H3255">
        <v>3</v>
      </c>
    </row>
    <row r="3256" spans="1:8" x14ac:dyDescent="0.25">
      <c r="A3256" t="s">
        <v>2722</v>
      </c>
      <c r="B3256" t="s">
        <v>3212</v>
      </c>
      <c r="C3256" t="s">
        <v>3216</v>
      </c>
      <c r="D3256" t="s">
        <v>3225</v>
      </c>
      <c r="E3256" t="s">
        <v>3226</v>
      </c>
      <c r="F3256">
        <v>55300.26</v>
      </c>
      <c r="H3256">
        <v>3</v>
      </c>
    </row>
    <row r="3257" spans="1:8" x14ac:dyDescent="0.25">
      <c r="A3257" t="s">
        <v>1379</v>
      </c>
      <c r="B3257" t="s">
        <v>3215</v>
      </c>
      <c r="C3257" t="s">
        <v>3216</v>
      </c>
      <c r="D3257" t="s">
        <v>3224</v>
      </c>
      <c r="E3257" t="s">
        <v>3226</v>
      </c>
      <c r="F3257">
        <v>54407.09</v>
      </c>
      <c r="G3257">
        <v>40845.22</v>
      </c>
    </row>
    <row r="3258" spans="1:8" x14ac:dyDescent="0.25">
      <c r="A3258" t="s">
        <v>1199</v>
      </c>
      <c r="B3258" t="s">
        <v>3215</v>
      </c>
      <c r="C3258" t="s">
        <v>3220</v>
      </c>
      <c r="D3258" t="s">
        <v>3222</v>
      </c>
      <c r="E3258" t="s">
        <v>3226</v>
      </c>
      <c r="F3258">
        <v>28643.72</v>
      </c>
      <c r="G3258">
        <v>20763.55</v>
      </c>
      <c r="H3258">
        <v>2</v>
      </c>
    </row>
    <row r="3259" spans="1:8" x14ac:dyDescent="0.25">
      <c r="A3259" t="s">
        <v>2723</v>
      </c>
      <c r="B3259" t="s">
        <v>3215</v>
      </c>
      <c r="C3259" t="s">
        <v>3218</v>
      </c>
      <c r="D3259" t="s">
        <v>3222</v>
      </c>
      <c r="E3259" t="s">
        <v>3226</v>
      </c>
      <c r="F3259">
        <v>28906.7</v>
      </c>
      <c r="G3259">
        <v>21311.45</v>
      </c>
      <c r="H3259">
        <v>2</v>
      </c>
    </row>
    <row r="3260" spans="1:8" x14ac:dyDescent="0.25">
      <c r="A3260" t="s">
        <v>2159</v>
      </c>
      <c r="B3260" t="s">
        <v>3211</v>
      </c>
      <c r="C3260" t="s">
        <v>3220</v>
      </c>
      <c r="D3260" t="s">
        <v>3225</v>
      </c>
      <c r="E3260" t="s">
        <v>3226</v>
      </c>
      <c r="F3260">
        <v>59138.16</v>
      </c>
      <c r="G3260">
        <v>41788.959999999999</v>
      </c>
      <c r="H3260">
        <v>3</v>
      </c>
    </row>
    <row r="3261" spans="1:8" x14ac:dyDescent="0.25">
      <c r="A3261" t="s">
        <v>2724</v>
      </c>
      <c r="B3261" t="s">
        <v>3215</v>
      </c>
      <c r="C3261" t="s">
        <v>3219</v>
      </c>
      <c r="D3261" t="s">
        <v>3222</v>
      </c>
      <c r="E3261" t="s">
        <v>3226</v>
      </c>
      <c r="F3261">
        <v>56293.41</v>
      </c>
      <c r="G3261">
        <v>39399.74</v>
      </c>
      <c r="H3261">
        <v>4</v>
      </c>
    </row>
    <row r="3262" spans="1:8" x14ac:dyDescent="0.25">
      <c r="A3262" t="s">
        <v>2725</v>
      </c>
      <c r="B3262" t="s">
        <v>3214</v>
      </c>
      <c r="C3262" t="s">
        <v>3218</v>
      </c>
      <c r="D3262" t="s">
        <v>3223</v>
      </c>
      <c r="E3262" t="s">
        <v>3226</v>
      </c>
      <c r="H3262">
        <v>1</v>
      </c>
    </row>
    <row r="3263" spans="1:8" x14ac:dyDescent="0.25">
      <c r="A3263" t="s">
        <v>1935</v>
      </c>
      <c r="B3263" t="s">
        <v>3213</v>
      </c>
      <c r="C3263" t="s">
        <v>3221</v>
      </c>
      <c r="D3263" t="s">
        <v>3225</v>
      </c>
      <c r="E3263" t="s">
        <v>3226</v>
      </c>
      <c r="F3263">
        <v>67054.080000000002</v>
      </c>
      <c r="G3263">
        <v>56741.08</v>
      </c>
      <c r="H3263">
        <v>4</v>
      </c>
    </row>
    <row r="3264" spans="1:8" x14ac:dyDescent="0.25">
      <c r="A3264" t="s">
        <v>2726</v>
      </c>
      <c r="B3264" t="s">
        <v>3213</v>
      </c>
      <c r="C3264" t="s">
        <v>3221</v>
      </c>
      <c r="D3264" t="s">
        <v>3225</v>
      </c>
      <c r="E3264" t="s">
        <v>3226</v>
      </c>
      <c r="F3264">
        <v>65567.08</v>
      </c>
      <c r="G3264">
        <v>48813.47</v>
      </c>
      <c r="H3264">
        <v>4</v>
      </c>
    </row>
    <row r="3265" spans="1:8" x14ac:dyDescent="0.25">
      <c r="A3265" t="s">
        <v>82</v>
      </c>
      <c r="B3265" t="s">
        <v>3211</v>
      </c>
      <c r="C3265" t="s">
        <v>3218</v>
      </c>
      <c r="D3265" t="s">
        <v>3225</v>
      </c>
      <c r="E3265" t="s">
        <v>3226</v>
      </c>
      <c r="F3265">
        <v>45683.42</v>
      </c>
      <c r="G3265">
        <v>27342.17</v>
      </c>
      <c r="H3265">
        <v>2</v>
      </c>
    </row>
    <row r="3266" spans="1:8" x14ac:dyDescent="0.25">
      <c r="A3266" t="s">
        <v>2661</v>
      </c>
      <c r="B3266" t="s">
        <v>3215</v>
      </c>
      <c r="C3266" t="s">
        <v>3221</v>
      </c>
      <c r="D3266" t="s">
        <v>3224</v>
      </c>
      <c r="E3266" t="s">
        <v>3226</v>
      </c>
      <c r="F3266">
        <v>283618.78000000003</v>
      </c>
      <c r="G3266">
        <v>222597.44</v>
      </c>
      <c r="H3266">
        <v>5</v>
      </c>
    </row>
    <row r="3267" spans="1:8" x14ac:dyDescent="0.25">
      <c r="A3267" t="s">
        <v>2727</v>
      </c>
      <c r="B3267" t="s">
        <v>3213</v>
      </c>
      <c r="C3267" t="s">
        <v>3217</v>
      </c>
      <c r="D3267" t="s">
        <v>3223</v>
      </c>
      <c r="E3267" t="s">
        <v>3226</v>
      </c>
      <c r="F3267">
        <v>22238.26</v>
      </c>
      <c r="G3267">
        <v>12554.81</v>
      </c>
      <c r="H3267">
        <v>2</v>
      </c>
    </row>
    <row r="3268" spans="1:8" x14ac:dyDescent="0.25">
      <c r="A3268" t="s">
        <v>2728</v>
      </c>
      <c r="B3268" t="s">
        <v>3215</v>
      </c>
      <c r="C3268" t="s">
        <v>3216</v>
      </c>
      <c r="D3268" t="s">
        <v>3223</v>
      </c>
      <c r="E3268" t="s">
        <v>3226</v>
      </c>
      <c r="F3268">
        <v>33252.35</v>
      </c>
      <c r="G3268">
        <v>22456.36</v>
      </c>
      <c r="H3268">
        <v>3</v>
      </c>
    </row>
    <row r="3269" spans="1:8" x14ac:dyDescent="0.25">
      <c r="A3269" t="s">
        <v>2729</v>
      </c>
      <c r="B3269" t="s">
        <v>3211</v>
      </c>
      <c r="C3269" t="s">
        <v>3220</v>
      </c>
      <c r="D3269" t="s">
        <v>3225</v>
      </c>
      <c r="E3269" t="s">
        <v>3226</v>
      </c>
      <c r="F3269">
        <v>78048.789999999994</v>
      </c>
      <c r="H3269">
        <v>4</v>
      </c>
    </row>
    <row r="3270" spans="1:8" x14ac:dyDescent="0.25">
      <c r="A3270" t="s">
        <v>2730</v>
      </c>
      <c r="B3270" t="s">
        <v>3213</v>
      </c>
      <c r="C3270" t="s">
        <v>3219</v>
      </c>
      <c r="D3270" t="s">
        <v>3224</v>
      </c>
      <c r="E3270" t="s">
        <v>3226</v>
      </c>
      <c r="F3270">
        <v>100175.8</v>
      </c>
      <c r="G3270">
        <v>81401.05</v>
      </c>
      <c r="H3270">
        <v>2</v>
      </c>
    </row>
    <row r="3271" spans="1:8" x14ac:dyDescent="0.25">
      <c r="A3271" t="s">
        <v>2731</v>
      </c>
      <c r="C3271" t="s">
        <v>3217</v>
      </c>
      <c r="D3271" t="s">
        <v>3222</v>
      </c>
      <c r="E3271" t="s">
        <v>3226</v>
      </c>
      <c r="F3271">
        <v>34240.6</v>
      </c>
      <c r="G3271">
        <v>17380.47</v>
      </c>
      <c r="H3271">
        <v>2</v>
      </c>
    </row>
    <row r="3272" spans="1:8" x14ac:dyDescent="0.25">
      <c r="A3272" t="s">
        <v>2732</v>
      </c>
      <c r="B3272" t="s">
        <v>3213</v>
      </c>
      <c r="C3272" t="s">
        <v>3219</v>
      </c>
      <c r="D3272" t="s">
        <v>3224</v>
      </c>
      <c r="E3272" t="s">
        <v>3226</v>
      </c>
      <c r="F3272">
        <v>208593.2</v>
      </c>
      <c r="G3272">
        <v>125435.45</v>
      </c>
    </row>
    <row r="3273" spans="1:8" x14ac:dyDescent="0.25">
      <c r="A3273" t="s">
        <v>2733</v>
      </c>
      <c r="B3273" t="s">
        <v>3212</v>
      </c>
      <c r="C3273" t="s">
        <v>3217</v>
      </c>
      <c r="D3273" t="s">
        <v>3225</v>
      </c>
      <c r="E3273" t="s">
        <v>3226</v>
      </c>
      <c r="F3273">
        <v>106776.48</v>
      </c>
      <c r="G3273">
        <v>74900.39</v>
      </c>
      <c r="H3273">
        <v>5</v>
      </c>
    </row>
    <row r="3274" spans="1:8" x14ac:dyDescent="0.25">
      <c r="A3274" t="s">
        <v>1252</v>
      </c>
      <c r="C3274" t="s">
        <v>3217</v>
      </c>
      <c r="D3274" t="s">
        <v>3225</v>
      </c>
      <c r="E3274" t="s">
        <v>3226</v>
      </c>
      <c r="F3274">
        <v>74983.289999999994</v>
      </c>
      <c r="G3274">
        <v>49247.15</v>
      </c>
      <c r="H3274">
        <v>4</v>
      </c>
    </row>
    <row r="3275" spans="1:8" x14ac:dyDescent="0.25">
      <c r="A3275" t="s">
        <v>2734</v>
      </c>
      <c r="B3275" t="s">
        <v>3213</v>
      </c>
      <c r="C3275" t="s">
        <v>3217</v>
      </c>
      <c r="D3275" t="s">
        <v>3224</v>
      </c>
      <c r="E3275" t="s">
        <v>3226</v>
      </c>
      <c r="F3275">
        <v>158317.10999999999</v>
      </c>
      <c r="G3275">
        <v>123162.92</v>
      </c>
      <c r="H3275">
        <v>3</v>
      </c>
    </row>
    <row r="3276" spans="1:8" x14ac:dyDescent="0.25">
      <c r="A3276" t="s">
        <v>2735</v>
      </c>
      <c r="B3276" t="s">
        <v>3211</v>
      </c>
      <c r="C3276" t="s">
        <v>3220</v>
      </c>
      <c r="D3276" t="s">
        <v>3225</v>
      </c>
      <c r="E3276" t="s">
        <v>3226</v>
      </c>
      <c r="F3276">
        <v>76095.94</v>
      </c>
      <c r="G3276">
        <v>61185.11</v>
      </c>
      <c r="H3276">
        <v>4</v>
      </c>
    </row>
    <row r="3277" spans="1:8" x14ac:dyDescent="0.25">
      <c r="A3277" t="s">
        <v>2736</v>
      </c>
      <c r="B3277" t="s">
        <v>3212</v>
      </c>
      <c r="C3277" t="s">
        <v>3216</v>
      </c>
      <c r="D3277" t="s">
        <v>3224</v>
      </c>
      <c r="E3277" t="s">
        <v>3226</v>
      </c>
      <c r="F3277">
        <v>53473.66</v>
      </c>
      <c r="G3277">
        <v>45937.46</v>
      </c>
      <c r="H3277">
        <v>1</v>
      </c>
    </row>
    <row r="3278" spans="1:8" x14ac:dyDescent="0.25">
      <c r="A3278" t="s">
        <v>2737</v>
      </c>
      <c r="B3278" t="s">
        <v>3214</v>
      </c>
      <c r="C3278" t="s">
        <v>3221</v>
      </c>
      <c r="D3278" t="s">
        <v>3222</v>
      </c>
      <c r="E3278" t="s">
        <v>3226</v>
      </c>
      <c r="F3278">
        <v>70033.64</v>
      </c>
      <c r="H3278">
        <v>5</v>
      </c>
    </row>
    <row r="3279" spans="1:8" x14ac:dyDescent="0.25">
      <c r="A3279" t="s">
        <v>2738</v>
      </c>
      <c r="B3279" t="s">
        <v>3215</v>
      </c>
      <c r="C3279" t="s">
        <v>3220</v>
      </c>
      <c r="D3279" t="s">
        <v>3222</v>
      </c>
      <c r="E3279" t="s">
        <v>3226</v>
      </c>
      <c r="F3279">
        <v>16535.900000000001</v>
      </c>
      <c r="G3279">
        <v>8958.83</v>
      </c>
      <c r="H3279">
        <v>1</v>
      </c>
    </row>
    <row r="3280" spans="1:8" x14ac:dyDescent="0.25">
      <c r="A3280" t="s">
        <v>1365</v>
      </c>
      <c r="C3280" t="s">
        <v>3217</v>
      </c>
      <c r="D3280" t="s">
        <v>3223</v>
      </c>
      <c r="E3280" t="s">
        <v>3226</v>
      </c>
      <c r="F3280">
        <v>10380.61</v>
      </c>
      <c r="G3280">
        <v>7025.44</v>
      </c>
      <c r="H3280">
        <v>1</v>
      </c>
    </row>
    <row r="3281" spans="1:8" x14ac:dyDescent="0.25">
      <c r="A3281" t="s">
        <v>2325</v>
      </c>
      <c r="C3281" t="s">
        <v>3217</v>
      </c>
      <c r="D3281" t="s">
        <v>3225</v>
      </c>
      <c r="E3281" t="s">
        <v>3226</v>
      </c>
      <c r="F3281">
        <v>88703.16</v>
      </c>
      <c r="G3281">
        <v>52617.78</v>
      </c>
      <c r="H3281">
        <v>4</v>
      </c>
    </row>
    <row r="3282" spans="1:8" x14ac:dyDescent="0.25">
      <c r="A3282" t="s">
        <v>1268</v>
      </c>
      <c r="C3282" t="s">
        <v>3220</v>
      </c>
      <c r="D3282" t="s">
        <v>3222</v>
      </c>
      <c r="E3282" t="s">
        <v>3226</v>
      </c>
      <c r="F3282">
        <v>63295.86</v>
      </c>
      <c r="G3282">
        <v>48548.71</v>
      </c>
      <c r="H3282">
        <v>5</v>
      </c>
    </row>
    <row r="3283" spans="1:8" x14ac:dyDescent="0.25">
      <c r="A3283" t="s">
        <v>2739</v>
      </c>
      <c r="B3283" t="s">
        <v>3211</v>
      </c>
      <c r="C3283" t="s">
        <v>3217</v>
      </c>
      <c r="D3283" t="s">
        <v>3225</v>
      </c>
      <c r="E3283" t="s">
        <v>3226</v>
      </c>
      <c r="F3283">
        <v>109457.11</v>
      </c>
      <c r="H3283">
        <v>5</v>
      </c>
    </row>
    <row r="3284" spans="1:8" x14ac:dyDescent="0.25">
      <c r="A3284" t="s">
        <v>2740</v>
      </c>
      <c r="B3284" t="s">
        <v>3215</v>
      </c>
      <c r="C3284" t="s">
        <v>3218</v>
      </c>
      <c r="D3284" t="s">
        <v>3223</v>
      </c>
      <c r="E3284" t="s">
        <v>3226</v>
      </c>
      <c r="F3284">
        <v>16083.34</v>
      </c>
      <c r="G3284">
        <v>12683.85</v>
      </c>
      <c r="H3284">
        <v>2</v>
      </c>
    </row>
    <row r="3285" spans="1:8" x14ac:dyDescent="0.25">
      <c r="A3285" t="s">
        <v>2741</v>
      </c>
      <c r="B3285" t="s">
        <v>3213</v>
      </c>
      <c r="C3285" t="s">
        <v>3221</v>
      </c>
      <c r="D3285" t="s">
        <v>3223</v>
      </c>
      <c r="E3285" t="s">
        <v>3226</v>
      </c>
      <c r="G3285">
        <v>6219.88</v>
      </c>
      <c r="H3285">
        <v>1</v>
      </c>
    </row>
    <row r="3286" spans="1:8" x14ac:dyDescent="0.25">
      <c r="A3286" t="s">
        <v>2371</v>
      </c>
      <c r="B3286" t="s">
        <v>3213</v>
      </c>
      <c r="C3286" t="s">
        <v>3218</v>
      </c>
      <c r="D3286" t="s">
        <v>3222</v>
      </c>
      <c r="E3286" t="s">
        <v>3226</v>
      </c>
      <c r="F3286">
        <v>65365.7</v>
      </c>
      <c r="G3286">
        <v>54333.13</v>
      </c>
      <c r="H3286">
        <v>5</v>
      </c>
    </row>
    <row r="3287" spans="1:8" x14ac:dyDescent="0.25">
      <c r="A3287" t="s">
        <v>2742</v>
      </c>
      <c r="B3287" t="s">
        <v>3211</v>
      </c>
      <c r="C3287" t="s">
        <v>3216</v>
      </c>
      <c r="D3287" t="s">
        <v>3224</v>
      </c>
      <c r="E3287" t="s">
        <v>3226</v>
      </c>
      <c r="F3287">
        <v>63351.62</v>
      </c>
      <c r="G3287">
        <v>38328.42</v>
      </c>
      <c r="H3287">
        <v>1</v>
      </c>
    </row>
    <row r="3288" spans="1:8" x14ac:dyDescent="0.25">
      <c r="A3288" t="s">
        <v>2743</v>
      </c>
      <c r="B3288" t="s">
        <v>3215</v>
      </c>
      <c r="C3288" t="s">
        <v>3217</v>
      </c>
      <c r="D3288" t="s">
        <v>3224</v>
      </c>
      <c r="E3288" t="s">
        <v>3226</v>
      </c>
      <c r="F3288">
        <v>243122.88</v>
      </c>
      <c r="G3288">
        <v>166246.23000000001</v>
      </c>
      <c r="H3288">
        <v>4</v>
      </c>
    </row>
    <row r="3289" spans="1:8" x14ac:dyDescent="0.25">
      <c r="A3289" t="s">
        <v>1314</v>
      </c>
      <c r="B3289" t="s">
        <v>3215</v>
      </c>
      <c r="C3289" t="s">
        <v>3219</v>
      </c>
      <c r="D3289" t="s">
        <v>3222</v>
      </c>
      <c r="E3289" t="s">
        <v>3226</v>
      </c>
      <c r="F3289">
        <v>57776.57</v>
      </c>
      <c r="G3289">
        <v>37650.14</v>
      </c>
      <c r="H3289">
        <v>4</v>
      </c>
    </row>
    <row r="3290" spans="1:8" x14ac:dyDescent="0.25">
      <c r="A3290" t="s">
        <v>1830</v>
      </c>
      <c r="B3290" t="s">
        <v>3214</v>
      </c>
      <c r="C3290" t="s">
        <v>3218</v>
      </c>
      <c r="D3290" t="s">
        <v>3224</v>
      </c>
      <c r="E3290" t="s">
        <v>3226</v>
      </c>
      <c r="F3290">
        <v>198241.2</v>
      </c>
      <c r="G3290">
        <v>118196.59</v>
      </c>
      <c r="H3290">
        <v>3</v>
      </c>
    </row>
    <row r="3291" spans="1:8" x14ac:dyDescent="0.25">
      <c r="A3291" t="s">
        <v>2744</v>
      </c>
      <c r="B3291" t="s">
        <v>3211</v>
      </c>
      <c r="C3291" t="s">
        <v>3220</v>
      </c>
      <c r="D3291" t="s">
        <v>3223</v>
      </c>
      <c r="E3291" t="s">
        <v>3226</v>
      </c>
      <c r="F3291">
        <v>18813.29</v>
      </c>
      <c r="G3291">
        <v>14432.29</v>
      </c>
      <c r="H3291">
        <v>2</v>
      </c>
    </row>
    <row r="3292" spans="1:8" x14ac:dyDescent="0.25">
      <c r="A3292" t="s">
        <v>2745</v>
      </c>
      <c r="C3292" t="s">
        <v>3220</v>
      </c>
      <c r="D3292" t="s">
        <v>3222</v>
      </c>
      <c r="E3292" t="s">
        <v>3226</v>
      </c>
      <c r="F3292">
        <v>15912.22</v>
      </c>
      <c r="G3292">
        <v>10138.4</v>
      </c>
      <c r="H3292">
        <v>1</v>
      </c>
    </row>
    <row r="3293" spans="1:8" x14ac:dyDescent="0.25">
      <c r="A3293" t="s">
        <v>1743</v>
      </c>
      <c r="B3293" t="s">
        <v>3211</v>
      </c>
      <c r="C3293" t="s">
        <v>3218</v>
      </c>
      <c r="D3293" t="s">
        <v>3225</v>
      </c>
      <c r="E3293" t="s">
        <v>3226</v>
      </c>
      <c r="F3293">
        <v>71517.09</v>
      </c>
      <c r="H3293">
        <v>3</v>
      </c>
    </row>
    <row r="3294" spans="1:8" x14ac:dyDescent="0.25">
      <c r="A3294" t="s">
        <v>1243</v>
      </c>
      <c r="C3294" t="s">
        <v>3219</v>
      </c>
      <c r="D3294" t="s">
        <v>3224</v>
      </c>
      <c r="E3294" t="s">
        <v>3226</v>
      </c>
      <c r="F3294">
        <v>196914.95</v>
      </c>
      <c r="G3294">
        <v>190497.78</v>
      </c>
      <c r="H3294">
        <v>4</v>
      </c>
    </row>
    <row r="3295" spans="1:8" x14ac:dyDescent="0.25">
      <c r="A3295" t="s">
        <v>1042</v>
      </c>
      <c r="B3295" t="s">
        <v>3215</v>
      </c>
      <c r="C3295" t="s">
        <v>3220</v>
      </c>
      <c r="D3295" t="s">
        <v>3223</v>
      </c>
      <c r="E3295" t="s">
        <v>3226</v>
      </c>
      <c r="F3295">
        <v>16008.13</v>
      </c>
      <c r="G3295">
        <v>13933.88</v>
      </c>
      <c r="H3295">
        <v>2</v>
      </c>
    </row>
    <row r="3296" spans="1:8" x14ac:dyDescent="0.25">
      <c r="A3296" t="s">
        <v>2335</v>
      </c>
      <c r="B3296" t="s">
        <v>3211</v>
      </c>
      <c r="C3296" t="s">
        <v>3219</v>
      </c>
      <c r="D3296" t="s">
        <v>3223</v>
      </c>
      <c r="E3296" t="s">
        <v>3226</v>
      </c>
      <c r="F3296">
        <v>47811.1</v>
      </c>
      <c r="G3296">
        <v>30423.14</v>
      </c>
      <c r="H3296">
        <v>5</v>
      </c>
    </row>
    <row r="3297" spans="1:8" x14ac:dyDescent="0.25">
      <c r="A3297" t="s">
        <v>2746</v>
      </c>
      <c r="B3297" t="s">
        <v>3213</v>
      </c>
      <c r="C3297" t="s">
        <v>3216</v>
      </c>
      <c r="D3297" t="s">
        <v>3223</v>
      </c>
      <c r="E3297" t="s">
        <v>3226</v>
      </c>
      <c r="F3297">
        <v>8720.2999999999993</v>
      </c>
      <c r="G3297">
        <v>7048.77</v>
      </c>
      <c r="H3297">
        <v>1</v>
      </c>
    </row>
    <row r="3298" spans="1:8" x14ac:dyDescent="0.25">
      <c r="A3298" t="s">
        <v>2747</v>
      </c>
      <c r="B3298" t="s">
        <v>3212</v>
      </c>
      <c r="C3298" t="s">
        <v>3220</v>
      </c>
      <c r="D3298" t="s">
        <v>3224</v>
      </c>
      <c r="E3298" t="s">
        <v>3226</v>
      </c>
      <c r="F3298">
        <v>56921.35</v>
      </c>
      <c r="G3298">
        <v>43659.9</v>
      </c>
      <c r="H3298">
        <v>1</v>
      </c>
    </row>
    <row r="3299" spans="1:8" x14ac:dyDescent="0.25">
      <c r="A3299" t="s">
        <v>2585</v>
      </c>
      <c r="C3299" t="s">
        <v>3219</v>
      </c>
      <c r="D3299" t="s">
        <v>3223</v>
      </c>
      <c r="E3299" t="s">
        <v>3226</v>
      </c>
      <c r="F3299">
        <v>53321.77</v>
      </c>
      <c r="G3299">
        <v>35821.86</v>
      </c>
      <c r="H3299">
        <v>5</v>
      </c>
    </row>
    <row r="3300" spans="1:8" x14ac:dyDescent="0.25">
      <c r="A3300" t="s">
        <v>1670</v>
      </c>
      <c r="B3300" t="s">
        <v>3215</v>
      </c>
      <c r="C3300" t="s">
        <v>3217</v>
      </c>
      <c r="D3300" t="s">
        <v>3222</v>
      </c>
      <c r="E3300" t="s">
        <v>3226</v>
      </c>
      <c r="F3300">
        <v>53054.99</v>
      </c>
      <c r="G3300">
        <v>42182.14</v>
      </c>
      <c r="H3300">
        <v>4</v>
      </c>
    </row>
    <row r="3301" spans="1:8" x14ac:dyDescent="0.25">
      <c r="A3301" t="s">
        <v>879</v>
      </c>
      <c r="C3301" t="s">
        <v>3217</v>
      </c>
      <c r="D3301" t="s">
        <v>3222</v>
      </c>
      <c r="E3301" t="s">
        <v>3226</v>
      </c>
      <c r="F3301">
        <v>14408.22</v>
      </c>
      <c r="G3301">
        <v>8906.76</v>
      </c>
      <c r="H3301">
        <v>1</v>
      </c>
    </row>
    <row r="3302" spans="1:8" x14ac:dyDescent="0.25">
      <c r="A3302" t="s">
        <v>2748</v>
      </c>
      <c r="B3302" t="s">
        <v>3212</v>
      </c>
      <c r="C3302" t="s">
        <v>3216</v>
      </c>
      <c r="D3302" t="s">
        <v>3222</v>
      </c>
      <c r="E3302" t="s">
        <v>3226</v>
      </c>
      <c r="F3302">
        <v>12531.12</v>
      </c>
      <c r="G3302">
        <v>10329</v>
      </c>
      <c r="H3302">
        <v>1</v>
      </c>
    </row>
    <row r="3303" spans="1:8" x14ac:dyDescent="0.25">
      <c r="A3303" t="s">
        <v>2749</v>
      </c>
      <c r="B3303" t="s">
        <v>3214</v>
      </c>
      <c r="C3303" t="s">
        <v>3218</v>
      </c>
      <c r="D3303" t="s">
        <v>3223</v>
      </c>
      <c r="E3303" t="s">
        <v>3226</v>
      </c>
      <c r="F3303">
        <v>9435.84</v>
      </c>
      <c r="G3303">
        <v>7697.28</v>
      </c>
      <c r="H3303">
        <v>1</v>
      </c>
    </row>
    <row r="3304" spans="1:8" x14ac:dyDescent="0.25">
      <c r="A3304" t="s">
        <v>2750</v>
      </c>
      <c r="B3304" t="s">
        <v>3211</v>
      </c>
      <c r="C3304" t="s">
        <v>3221</v>
      </c>
      <c r="D3304" t="s">
        <v>3223</v>
      </c>
      <c r="E3304" t="s">
        <v>3226</v>
      </c>
      <c r="F3304">
        <v>10169.030000000001</v>
      </c>
      <c r="G3304">
        <v>6165.78</v>
      </c>
      <c r="H3304">
        <v>1</v>
      </c>
    </row>
    <row r="3305" spans="1:8" x14ac:dyDescent="0.25">
      <c r="A3305" t="s">
        <v>2751</v>
      </c>
      <c r="B3305" t="s">
        <v>3213</v>
      </c>
      <c r="C3305" t="s">
        <v>3218</v>
      </c>
      <c r="D3305" t="s">
        <v>3223</v>
      </c>
      <c r="E3305" t="s">
        <v>3226</v>
      </c>
      <c r="F3305">
        <v>11460.68</v>
      </c>
      <c r="G3305">
        <v>7406.12</v>
      </c>
      <c r="H3305">
        <v>1</v>
      </c>
    </row>
    <row r="3306" spans="1:8" x14ac:dyDescent="0.25">
      <c r="A3306" t="s">
        <v>2752</v>
      </c>
      <c r="B3306" t="s">
        <v>3213</v>
      </c>
      <c r="C3306" t="s">
        <v>3217</v>
      </c>
      <c r="D3306" t="s">
        <v>3222</v>
      </c>
      <c r="E3306" t="s">
        <v>3226</v>
      </c>
      <c r="F3306">
        <v>63017.3</v>
      </c>
      <c r="G3306">
        <v>53516.99</v>
      </c>
    </row>
    <row r="3307" spans="1:8" x14ac:dyDescent="0.25">
      <c r="A3307" t="s">
        <v>502</v>
      </c>
      <c r="B3307" t="s">
        <v>3215</v>
      </c>
      <c r="C3307" t="s">
        <v>3219</v>
      </c>
      <c r="D3307" t="s">
        <v>3225</v>
      </c>
      <c r="E3307" t="s">
        <v>3226</v>
      </c>
      <c r="F3307">
        <v>19564.7</v>
      </c>
      <c r="G3307">
        <v>14310.27</v>
      </c>
      <c r="H3307">
        <v>1</v>
      </c>
    </row>
    <row r="3308" spans="1:8" x14ac:dyDescent="0.25">
      <c r="A3308" t="s">
        <v>771</v>
      </c>
      <c r="C3308" t="s">
        <v>3219</v>
      </c>
      <c r="D3308" t="s">
        <v>3222</v>
      </c>
      <c r="E3308" t="s">
        <v>3226</v>
      </c>
      <c r="F3308">
        <v>39494.29</v>
      </c>
      <c r="G3308">
        <v>28823.81</v>
      </c>
      <c r="H3308">
        <v>3</v>
      </c>
    </row>
    <row r="3309" spans="1:8" x14ac:dyDescent="0.25">
      <c r="A3309" t="s">
        <v>2753</v>
      </c>
      <c r="C3309" t="s">
        <v>3217</v>
      </c>
      <c r="D3309" t="s">
        <v>3224</v>
      </c>
      <c r="E3309" t="s">
        <v>3226</v>
      </c>
      <c r="F3309">
        <v>268734.81</v>
      </c>
      <c r="G3309">
        <v>193713.64</v>
      </c>
      <c r="H3309">
        <v>4</v>
      </c>
    </row>
    <row r="3310" spans="1:8" x14ac:dyDescent="0.25">
      <c r="A3310" t="s">
        <v>143</v>
      </c>
      <c r="B3310" t="s">
        <v>3214</v>
      </c>
      <c r="C3310" t="s">
        <v>3221</v>
      </c>
      <c r="D3310" t="s">
        <v>3223</v>
      </c>
      <c r="E3310" t="s">
        <v>3226</v>
      </c>
      <c r="F3310">
        <v>20932.34</v>
      </c>
      <c r="G3310">
        <v>14386.73</v>
      </c>
      <c r="H3310">
        <v>2</v>
      </c>
    </row>
    <row r="3311" spans="1:8" x14ac:dyDescent="0.25">
      <c r="A3311" t="s">
        <v>2754</v>
      </c>
      <c r="C3311" t="s">
        <v>3221</v>
      </c>
      <c r="D3311" t="s">
        <v>3225</v>
      </c>
      <c r="E3311" t="s">
        <v>3226</v>
      </c>
      <c r="F3311">
        <v>66776.149999999994</v>
      </c>
      <c r="G3311">
        <v>36254.1</v>
      </c>
      <c r="H3311">
        <v>3</v>
      </c>
    </row>
    <row r="3312" spans="1:8" x14ac:dyDescent="0.25">
      <c r="A3312" t="s">
        <v>2639</v>
      </c>
      <c r="B3312" t="s">
        <v>3213</v>
      </c>
      <c r="C3312" t="s">
        <v>3218</v>
      </c>
      <c r="D3312" t="s">
        <v>3223</v>
      </c>
      <c r="E3312" t="s">
        <v>3226</v>
      </c>
      <c r="F3312">
        <v>9422.2000000000007</v>
      </c>
      <c r="G3312">
        <v>6689.76</v>
      </c>
      <c r="H3312">
        <v>1</v>
      </c>
    </row>
    <row r="3313" spans="1:8" x14ac:dyDescent="0.25">
      <c r="A3313" t="s">
        <v>829</v>
      </c>
      <c r="B3313" t="s">
        <v>3213</v>
      </c>
      <c r="C3313" t="s">
        <v>3221</v>
      </c>
      <c r="D3313" t="s">
        <v>3223</v>
      </c>
      <c r="E3313" t="s">
        <v>3226</v>
      </c>
      <c r="F3313">
        <v>8404.5300000000007</v>
      </c>
      <c r="G3313">
        <v>7636.08</v>
      </c>
      <c r="H3313">
        <v>1</v>
      </c>
    </row>
    <row r="3314" spans="1:8" x14ac:dyDescent="0.25">
      <c r="A3314" t="s">
        <v>2755</v>
      </c>
      <c r="B3314" t="s">
        <v>3214</v>
      </c>
      <c r="C3314" t="s">
        <v>3216</v>
      </c>
      <c r="D3314" t="s">
        <v>3222</v>
      </c>
      <c r="E3314" t="s">
        <v>3226</v>
      </c>
      <c r="F3314">
        <v>36600.129999999997</v>
      </c>
      <c r="G3314">
        <v>26366.84</v>
      </c>
      <c r="H3314">
        <v>3</v>
      </c>
    </row>
    <row r="3315" spans="1:8" x14ac:dyDescent="0.25">
      <c r="A3315" t="s">
        <v>2756</v>
      </c>
      <c r="B3315" t="s">
        <v>3214</v>
      </c>
      <c r="C3315" t="s">
        <v>3216</v>
      </c>
      <c r="D3315" t="s">
        <v>3222</v>
      </c>
      <c r="E3315" t="s">
        <v>3226</v>
      </c>
      <c r="F3315">
        <v>29522.22</v>
      </c>
      <c r="G3315">
        <v>20329.48</v>
      </c>
      <c r="H3315">
        <v>2</v>
      </c>
    </row>
    <row r="3316" spans="1:8" x14ac:dyDescent="0.25">
      <c r="A3316" t="s">
        <v>2757</v>
      </c>
      <c r="B3316" t="s">
        <v>3213</v>
      </c>
      <c r="C3316" t="s">
        <v>3218</v>
      </c>
      <c r="D3316" t="s">
        <v>3225</v>
      </c>
      <c r="E3316" t="s">
        <v>3226</v>
      </c>
      <c r="F3316">
        <v>53662.720000000001</v>
      </c>
      <c r="G3316">
        <v>41322.67</v>
      </c>
      <c r="H3316">
        <v>3</v>
      </c>
    </row>
    <row r="3317" spans="1:8" x14ac:dyDescent="0.25">
      <c r="A3317" t="s">
        <v>2758</v>
      </c>
      <c r="B3317" t="s">
        <v>3212</v>
      </c>
      <c r="C3317" t="s">
        <v>3220</v>
      </c>
      <c r="D3317" t="s">
        <v>3223</v>
      </c>
      <c r="E3317" t="s">
        <v>3226</v>
      </c>
      <c r="F3317">
        <v>29069.16</v>
      </c>
      <c r="G3317">
        <v>21216.92</v>
      </c>
      <c r="H3317">
        <v>3</v>
      </c>
    </row>
    <row r="3318" spans="1:8" x14ac:dyDescent="0.25">
      <c r="A3318" t="s">
        <v>2759</v>
      </c>
      <c r="C3318" t="s">
        <v>3216</v>
      </c>
      <c r="D3318" t="s">
        <v>3224</v>
      </c>
      <c r="E3318" t="s">
        <v>3226</v>
      </c>
      <c r="F3318">
        <v>183931.33</v>
      </c>
      <c r="G3318">
        <v>137771.89000000001</v>
      </c>
      <c r="H3318">
        <v>3</v>
      </c>
    </row>
    <row r="3319" spans="1:8" x14ac:dyDescent="0.25">
      <c r="A3319" t="s">
        <v>2760</v>
      </c>
      <c r="B3319" t="s">
        <v>3214</v>
      </c>
      <c r="C3319" t="s">
        <v>3220</v>
      </c>
      <c r="D3319" t="s">
        <v>3224</v>
      </c>
      <c r="E3319" t="s">
        <v>3226</v>
      </c>
      <c r="F3319">
        <v>50067.09</v>
      </c>
      <c r="G3319">
        <v>47203.46</v>
      </c>
      <c r="H3319">
        <v>1</v>
      </c>
    </row>
    <row r="3320" spans="1:8" x14ac:dyDescent="0.25">
      <c r="A3320" t="s">
        <v>2761</v>
      </c>
      <c r="B3320" t="s">
        <v>3213</v>
      </c>
      <c r="C3320" t="s">
        <v>3221</v>
      </c>
      <c r="D3320" t="s">
        <v>3223</v>
      </c>
      <c r="E3320" t="s">
        <v>3226</v>
      </c>
      <c r="F3320">
        <v>34347.19</v>
      </c>
      <c r="G3320">
        <v>19985.810000000001</v>
      </c>
      <c r="H3320">
        <v>3</v>
      </c>
    </row>
    <row r="3321" spans="1:8" x14ac:dyDescent="0.25">
      <c r="A3321" t="s">
        <v>1144</v>
      </c>
      <c r="B3321" t="s">
        <v>3213</v>
      </c>
      <c r="C3321" t="s">
        <v>3219</v>
      </c>
      <c r="D3321" t="s">
        <v>3225</v>
      </c>
      <c r="E3321" t="s">
        <v>3226</v>
      </c>
      <c r="F3321">
        <v>84106.4</v>
      </c>
      <c r="H3321">
        <v>5</v>
      </c>
    </row>
    <row r="3322" spans="1:8" x14ac:dyDescent="0.25">
      <c r="A3322" t="s">
        <v>2762</v>
      </c>
      <c r="B3322" t="s">
        <v>3213</v>
      </c>
      <c r="C3322" t="s">
        <v>3218</v>
      </c>
      <c r="D3322" t="s">
        <v>3223</v>
      </c>
      <c r="E3322" t="s">
        <v>3226</v>
      </c>
      <c r="F3322">
        <v>35490.67</v>
      </c>
      <c r="G3322">
        <v>24520.46</v>
      </c>
      <c r="H3322">
        <v>4</v>
      </c>
    </row>
    <row r="3323" spans="1:8" x14ac:dyDescent="0.25">
      <c r="A3323" t="s">
        <v>2763</v>
      </c>
      <c r="B3323" t="s">
        <v>3214</v>
      </c>
      <c r="C3323" t="s">
        <v>3220</v>
      </c>
      <c r="D3323" t="s">
        <v>3222</v>
      </c>
      <c r="E3323" t="s">
        <v>3226</v>
      </c>
      <c r="F3323">
        <v>61448.33</v>
      </c>
      <c r="G3323">
        <v>34270.18</v>
      </c>
      <c r="H3323">
        <v>4</v>
      </c>
    </row>
    <row r="3324" spans="1:8" x14ac:dyDescent="0.25">
      <c r="A3324" t="s">
        <v>2331</v>
      </c>
      <c r="B3324" t="s">
        <v>3215</v>
      </c>
      <c r="C3324" t="s">
        <v>3218</v>
      </c>
      <c r="D3324" t="s">
        <v>3223</v>
      </c>
      <c r="E3324" t="s">
        <v>3226</v>
      </c>
      <c r="F3324">
        <v>11969.98</v>
      </c>
      <c r="G3324">
        <v>5986.21</v>
      </c>
      <c r="H3324">
        <v>1</v>
      </c>
    </row>
    <row r="3325" spans="1:8" x14ac:dyDescent="0.25">
      <c r="A3325" t="s">
        <v>2764</v>
      </c>
      <c r="B3325" t="s">
        <v>3215</v>
      </c>
      <c r="C3325" t="s">
        <v>3221</v>
      </c>
      <c r="D3325" t="s">
        <v>3222</v>
      </c>
      <c r="E3325" t="s">
        <v>3226</v>
      </c>
      <c r="F3325">
        <v>89133.27</v>
      </c>
      <c r="G3325">
        <v>47645.279999999999</v>
      </c>
      <c r="H3325">
        <v>5</v>
      </c>
    </row>
    <row r="3326" spans="1:8" x14ac:dyDescent="0.25">
      <c r="A3326" t="s">
        <v>2765</v>
      </c>
      <c r="B3326" t="s">
        <v>3214</v>
      </c>
      <c r="C3326" t="s">
        <v>3216</v>
      </c>
      <c r="D3326" t="s">
        <v>3224</v>
      </c>
      <c r="E3326" t="s">
        <v>3226</v>
      </c>
      <c r="F3326">
        <v>283449.18</v>
      </c>
      <c r="G3326">
        <v>175492.4</v>
      </c>
      <c r="H3326">
        <v>4</v>
      </c>
    </row>
    <row r="3327" spans="1:8" x14ac:dyDescent="0.25">
      <c r="A3327" t="s">
        <v>2766</v>
      </c>
      <c r="C3327" t="s">
        <v>3219</v>
      </c>
      <c r="D3327" t="s">
        <v>3224</v>
      </c>
      <c r="E3327" t="s">
        <v>3226</v>
      </c>
      <c r="F3327">
        <v>199515.32</v>
      </c>
      <c r="G3327">
        <v>133549.17000000001</v>
      </c>
      <c r="H3327">
        <v>3</v>
      </c>
    </row>
    <row r="3328" spans="1:8" x14ac:dyDescent="0.25">
      <c r="A3328" t="s">
        <v>2767</v>
      </c>
      <c r="B3328" t="s">
        <v>3213</v>
      </c>
      <c r="C3328" t="s">
        <v>3218</v>
      </c>
      <c r="D3328" t="s">
        <v>3222</v>
      </c>
      <c r="E3328" t="s">
        <v>3226</v>
      </c>
      <c r="F3328">
        <v>52008.32</v>
      </c>
      <c r="G3328">
        <v>40703.1</v>
      </c>
      <c r="H3328">
        <v>4</v>
      </c>
    </row>
    <row r="3329" spans="1:8" x14ac:dyDescent="0.25">
      <c r="A3329" t="s">
        <v>2768</v>
      </c>
      <c r="B3329" t="s">
        <v>3211</v>
      </c>
      <c r="C3329" t="s">
        <v>3219</v>
      </c>
      <c r="D3329" t="s">
        <v>3223</v>
      </c>
      <c r="E3329" t="s">
        <v>3226</v>
      </c>
      <c r="F3329">
        <v>32002.33</v>
      </c>
      <c r="H3329">
        <v>4</v>
      </c>
    </row>
    <row r="3330" spans="1:8" x14ac:dyDescent="0.25">
      <c r="A3330" t="s">
        <v>2769</v>
      </c>
      <c r="C3330" t="s">
        <v>3219</v>
      </c>
      <c r="D3330" t="s">
        <v>3222</v>
      </c>
      <c r="E3330" t="s">
        <v>3226</v>
      </c>
      <c r="G3330">
        <v>42779.81</v>
      </c>
      <c r="H3330">
        <v>5</v>
      </c>
    </row>
    <row r="3331" spans="1:8" x14ac:dyDescent="0.25">
      <c r="A3331" t="s">
        <v>2770</v>
      </c>
      <c r="B3331" t="s">
        <v>3212</v>
      </c>
      <c r="C3331" t="s">
        <v>3216</v>
      </c>
      <c r="D3331" t="s">
        <v>3224</v>
      </c>
      <c r="E3331" t="s">
        <v>3226</v>
      </c>
      <c r="F3331">
        <v>176802.4</v>
      </c>
      <c r="G3331">
        <v>134464.72</v>
      </c>
      <c r="H3331">
        <v>3</v>
      </c>
    </row>
    <row r="3332" spans="1:8" x14ac:dyDescent="0.25">
      <c r="A3332" t="s">
        <v>2771</v>
      </c>
      <c r="B3332" t="s">
        <v>3212</v>
      </c>
      <c r="C3332" t="s">
        <v>3219</v>
      </c>
      <c r="D3332" t="s">
        <v>3225</v>
      </c>
      <c r="E3332" t="s">
        <v>3226</v>
      </c>
      <c r="F3332">
        <v>65255.15</v>
      </c>
      <c r="G3332">
        <v>54830.54</v>
      </c>
      <c r="H3332">
        <v>4</v>
      </c>
    </row>
    <row r="3333" spans="1:8" x14ac:dyDescent="0.25">
      <c r="A3333" t="s">
        <v>2772</v>
      </c>
      <c r="B3333" t="s">
        <v>3215</v>
      </c>
      <c r="C3333" t="s">
        <v>3217</v>
      </c>
      <c r="D3333" t="s">
        <v>3225</v>
      </c>
      <c r="E3333" t="s">
        <v>3226</v>
      </c>
      <c r="F3333">
        <v>18951.330000000002</v>
      </c>
      <c r="H3333">
        <v>1</v>
      </c>
    </row>
    <row r="3334" spans="1:8" x14ac:dyDescent="0.25">
      <c r="A3334" t="s">
        <v>2773</v>
      </c>
      <c r="B3334" t="s">
        <v>3214</v>
      </c>
      <c r="C3334" t="s">
        <v>3216</v>
      </c>
      <c r="D3334" t="s">
        <v>3224</v>
      </c>
      <c r="E3334" t="s">
        <v>3226</v>
      </c>
      <c r="F3334">
        <v>297022.58</v>
      </c>
      <c r="G3334">
        <v>194199.44</v>
      </c>
      <c r="H3334">
        <v>5</v>
      </c>
    </row>
    <row r="3335" spans="1:8" x14ac:dyDescent="0.25">
      <c r="A3335" t="s">
        <v>2774</v>
      </c>
      <c r="B3335" t="s">
        <v>3214</v>
      </c>
      <c r="C3335" t="s">
        <v>3220</v>
      </c>
      <c r="D3335" t="s">
        <v>3224</v>
      </c>
      <c r="E3335" t="s">
        <v>3226</v>
      </c>
      <c r="F3335">
        <v>204659.95</v>
      </c>
      <c r="G3335">
        <v>145094.79999999999</v>
      </c>
      <c r="H3335">
        <v>3</v>
      </c>
    </row>
    <row r="3336" spans="1:8" x14ac:dyDescent="0.25">
      <c r="A3336" t="s">
        <v>2775</v>
      </c>
      <c r="B3336" t="s">
        <v>3215</v>
      </c>
      <c r="C3336" t="s">
        <v>3221</v>
      </c>
      <c r="D3336" t="s">
        <v>3222</v>
      </c>
      <c r="E3336" t="s">
        <v>3226</v>
      </c>
      <c r="F3336">
        <v>62559.839999999997</v>
      </c>
      <c r="G3336">
        <v>42021.41</v>
      </c>
      <c r="H3336">
        <v>4</v>
      </c>
    </row>
    <row r="3337" spans="1:8" x14ac:dyDescent="0.25">
      <c r="A3337" t="s">
        <v>2776</v>
      </c>
      <c r="B3337" t="s">
        <v>3212</v>
      </c>
      <c r="C3337" t="s">
        <v>3219</v>
      </c>
      <c r="D3337" t="s">
        <v>3222</v>
      </c>
      <c r="E3337" t="s">
        <v>3226</v>
      </c>
      <c r="F3337">
        <v>37375.25</v>
      </c>
      <c r="G3337">
        <v>30157.26</v>
      </c>
      <c r="H3337">
        <v>3</v>
      </c>
    </row>
    <row r="3338" spans="1:8" x14ac:dyDescent="0.25">
      <c r="A3338" t="s">
        <v>2777</v>
      </c>
      <c r="B3338" t="s">
        <v>3214</v>
      </c>
      <c r="C3338" t="s">
        <v>3217</v>
      </c>
      <c r="D3338" t="s">
        <v>3222</v>
      </c>
      <c r="E3338" t="s">
        <v>3226</v>
      </c>
      <c r="F3338">
        <v>14187.23</v>
      </c>
      <c r="G3338">
        <v>8946.66</v>
      </c>
      <c r="H3338">
        <v>1</v>
      </c>
    </row>
    <row r="3339" spans="1:8" x14ac:dyDescent="0.25">
      <c r="A3339" t="s">
        <v>2778</v>
      </c>
      <c r="B3339" t="s">
        <v>3215</v>
      </c>
      <c r="C3339" t="s">
        <v>3220</v>
      </c>
      <c r="D3339" t="s">
        <v>3224</v>
      </c>
      <c r="E3339" t="s">
        <v>3226</v>
      </c>
      <c r="F3339">
        <v>196092.23</v>
      </c>
      <c r="G3339">
        <v>139912.38</v>
      </c>
      <c r="H3339">
        <v>3</v>
      </c>
    </row>
    <row r="3340" spans="1:8" x14ac:dyDescent="0.25">
      <c r="A3340" t="s">
        <v>2779</v>
      </c>
      <c r="B3340" t="s">
        <v>3211</v>
      </c>
      <c r="C3340" t="s">
        <v>3216</v>
      </c>
      <c r="D3340" t="s">
        <v>3225</v>
      </c>
      <c r="E3340" t="s">
        <v>3226</v>
      </c>
      <c r="F3340">
        <v>98049.27</v>
      </c>
      <c r="G3340">
        <v>62635.87</v>
      </c>
    </row>
    <row r="3341" spans="1:8" x14ac:dyDescent="0.25">
      <c r="A3341" t="s">
        <v>142</v>
      </c>
      <c r="B3341" t="s">
        <v>3213</v>
      </c>
      <c r="C3341" t="s">
        <v>3217</v>
      </c>
      <c r="D3341" t="s">
        <v>3222</v>
      </c>
      <c r="E3341" t="s">
        <v>3226</v>
      </c>
      <c r="F3341">
        <v>80679.320000000007</v>
      </c>
      <c r="G3341">
        <v>54773.279999999999</v>
      </c>
      <c r="H3341">
        <v>5</v>
      </c>
    </row>
    <row r="3342" spans="1:8" x14ac:dyDescent="0.25">
      <c r="A3342" t="s">
        <v>2780</v>
      </c>
      <c r="B3342" t="s">
        <v>3212</v>
      </c>
      <c r="C3342" t="s">
        <v>3220</v>
      </c>
      <c r="D3342" t="s">
        <v>3224</v>
      </c>
      <c r="E3342" t="s">
        <v>3226</v>
      </c>
      <c r="F3342">
        <v>235582.67</v>
      </c>
      <c r="G3342">
        <v>175295.23</v>
      </c>
      <c r="H3342">
        <v>4</v>
      </c>
    </row>
    <row r="3343" spans="1:8" x14ac:dyDescent="0.25">
      <c r="A3343" t="s">
        <v>2781</v>
      </c>
      <c r="B3343" t="s">
        <v>3213</v>
      </c>
      <c r="C3343" t="s">
        <v>3219</v>
      </c>
      <c r="D3343" t="s">
        <v>3223</v>
      </c>
      <c r="E3343" t="s">
        <v>3226</v>
      </c>
      <c r="F3343">
        <v>45380.76</v>
      </c>
      <c r="G3343">
        <v>24718.32</v>
      </c>
      <c r="H3343">
        <v>4</v>
      </c>
    </row>
    <row r="3344" spans="1:8" x14ac:dyDescent="0.25">
      <c r="A3344" t="s">
        <v>2782</v>
      </c>
      <c r="B3344" t="s">
        <v>3214</v>
      </c>
      <c r="C3344" t="s">
        <v>3219</v>
      </c>
      <c r="D3344" t="s">
        <v>3223</v>
      </c>
      <c r="E3344" t="s">
        <v>3226</v>
      </c>
      <c r="F3344">
        <v>59162.46</v>
      </c>
      <c r="G3344">
        <v>37191.86</v>
      </c>
      <c r="H3344">
        <v>5</v>
      </c>
    </row>
    <row r="3345" spans="1:8" x14ac:dyDescent="0.25">
      <c r="A3345" t="s">
        <v>815</v>
      </c>
      <c r="B3345" t="s">
        <v>3215</v>
      </c>
      <c r="C3345" t="s">
        <v>3216</v>
      </c>
      <c r="D3345" t="s">
        <v>3222</v>
      </c>
      <c r="E3345" t="s">
        <v>3226</v>
      </c>
      <c r="F3345">
        <v>49955.58</v>
      </c>
      <c r="G3345">
        <v>35414.480000000003</v>
      </c>
      <c r="H3345">
        <v>4</v>
      </c>
    </row>
    <row r="3346" spans="1:8" x14ac:dyDescent="0.25">
      <c r="A3346" t="s">
        <v>2783</v>
      </c>
      <c r="B3346" t="s">
        <v>3211</v>
      </c>
      <c r="C3346" t="s">
        <v>3221</v>
      </c>
      <c r="D3346" t="s">
        <v>3223</v>
      </c>
      <c r="E3346" t="s">
        <v>3226</v>
      </c>
      <c r="F3346">
        <v>20729.22</v>
      </c>
      <c r="G3346">
        <v>14495.72</v>
      </c>
      <c r="H3346">
        <v>2</v>
      </c>
    </row>
    <row r="3347" spans="1:8" x14ac:dyDescent="0.25">
      <c r="A3347" t="s">
        <v>2784</v>
      </c>
      <c r="B3347" t="s">
        <v>3212</v>
      </c>
      <c r="C3347" t="s">
        <v>3216</v>
      </c>
      <c r="D3347" t="s">
        <v>3222</v>
      </c>
      <c r="E3347" t="s">
        <v>3226</v>
      </c>
      <c r="F3347">
        <v>68763.23</v>
      </c>
      <c r="G3347">
        <v>37970.92</v>
      </c>
      <c r="H3347">
        <v>4</v>
      </c>
    </row>
    <row r="3348" spans="1:8" x14ac:dyDescent="0.25">
      <c r="A3348" t="s">
        <v>2785</v>
      </c>
      <c r="B3348" t="s">
        <v>3211</v>
      </c>
      <c r="C3348" t="s">
        <v>3218</v>
      </c>
      <c r="D3348" t="s">
        <v>3223</v>
      </c>
      <c r="E3348" t="s">
        <v>3226</v>
      </c>
      <c r="F3348">
        <v>42050.3</v>
      </c>
      <c r="G3348">
        <v>30302.71</v>
      </c>
      <c r="H3348">
        <v>4</v>
      </c>
    </row>
    <row r="3349" spans="1:8" x14ac:dyDescent="0.25">
      <c r="A3349" t="s">
        <v>1605</v>
      </c>
      <c r="C3349" t="s">
        <v>3218</v>
      </c>
      <c r="D3349" t="s">
        <v>3222</v>
      </c>
      <c r="E3349" t="s">
        <v>3226</v>
      </c>
      <c r="F3349">
        <v>44229.2</v>
      </c>
      <c r="G3349">
        <v>30667.56</v>
      </c>
      <c r="H3349">
        <v>3</v>
      </c>
    </row>
    <row r="3350" spans="1:8" x14ac:dyDescent="0.25">
      <c r="A3350" t="s">
        <v>2786</v>
      </c>
      <c r="B3350" t="s">
        <v>3215</v>
      </c>
      <c r="C3350" t="s">
        <v>3219</v>
      </c>
      <c r="D3350" t="s">
        <v>3223</v>
      </c>
      <c r="E3350" t="s">
        <v>3226</v>
      </c>
      <c r="F3350">
        <v>22316.93</v>
      </c>
      <c r="H3350">
        <v>2</v>
      </c>
    </row>
    <row r="3351" spans="1:8" x14ac:dyDescent="0.25">
      <c r="A3351" t="s">
        <v>2787</v>
      </c>
      <c r="B3351" t="s">
        <v>3211</v>
      </c>
      <c r="C3351" t="s">
        <v>3219</v>
      </c>
      <c r="D3351" t="s">
        <v>3223</v>
      </c>
      <c r="E3351" t="s">
        <v>3226</v>
      </c>
      <c r="F3351">
        <v>42260.15</v>
      </c>
      <c r="G3351">
        <v>35402.21</v>
      </c>
      <c r="H3351">
        <v>5</v>
      </c>
    </row>
    <row r="3352" spans="1:8" x14ac:dyDescent="0.25">
      <c r="A3352" t="s">
        <v>2788</v>
      </c>
      <c r="B3352" t="s">
        <v>3215</v>
      </c>
      <c r="C3352" t="s">
        <v>3217</v>
      </c>
      <c r="D3352" t="s">
        <v>3222</v>
      </c>
      <c r="E3352" t="s">
        <v>3226</v>
      </c>
      <c r="F3352">
        <v>89084.32</v>
      </c>
      <c r="G3352">
        <v>43458.36</v>
      </c>
      <c r="H3352">
        <v>5</v>
      </c>
    </row>
    <row r="3353" spans="1:8" x14ac:dyDescent="0.25">
      <c r="A3353" t="s">
        <v>2707</v>
      </c>
      <c r="B3353" t="s">
        <v>3214</v>
      </c>
      <c r="C3353" t="s">
        <v>3216</v>
      </c>
      <c r="D3353" t="s">
        <v>3225</v>
      </c>
      <c r="E3353" t="s">
        <v>3226</v>
      </c>
      <c r="F3353">
        <v>65887.78</v>
      </c>
      <c r="G3353">
        <v>43076.09</v>
      </c>
      <c r="H3353">
        <v>3</v>
      </c>
    </row>
    <row r="3354" spans="1:8" x14ac:dyDescent="0.25">
      <c r="A3354" t="s">
        <v>2789</v>
      </c>
      <c r="B3354" t="s">
        <v>3212</v>
      </c>
      <c r="C3354" t="s">
        <v>3220</v>
      </c>
      <c r="D3354" t="s">
        <v>3223</v>
      </c>
      <c r="E3354" t="s">
        <v>3226</v>
      </c>
      <c r="F3354">
        <v>40204.49</v>
      </c>
      <c r="G3354">
        <v>28568.05</v>
      </c>
      <c r="H3354">
        <v>4</v>
      </c>
    </row>
    <row r="3355" spans="1:8" x14ac:dyDescent="0.25">
      <c r="A3355" t="s">
        <v>1748</v>
      </c>
      <c r="C3355" t="s">
        <v>3221</v>
      </c>
      <c r="D3355" t="s">
        <v>3225</v>
      </c>
      <c r="E3355" t="s">
        <v>3226</v>
      </c>
      <c r="F3355">
        <v>76762.100000000006</v>
      </c>
      <c r="G3355">
        <v>59285.440000000002</v>
      </c>
      <c r="H3355">
        <v>4</v>
      </c>
    </row>
    <row r="3356" spans="1:8" x14ac:dyDescent="0.25">
      <c r="A3356" t="s">
        <v>2790</v>
      </c>
      <c r="C3356" t="s">
        <v>3221</v>
      </c>
      <c r="D3356" t="s">
        <v>3223</v>
      </c>
      <c r="E3356" t="s">
        <v>3226</v>
      </c>
      <c r="F3356">
        <v>35372.65</v>
      </c>
      <c r="G3356">
        <v>19623.98</v>
      </c>
      <c r="H3356">
        <v>3</v>
      </c>
    </row>
    <row r="3357" spans="1:8" x14ac:dyDescent="0.25">
      <c r="A3357" t="s">
        <v>2026</v>
      </c>
      <c r="B3357" t="s">
        <v>3213</v>
      </c>
      <c r="C3357" t="s">
        <v>3217</v>
      </c>
      <c r="D3357" t="s">
        <v>3223</v>
      </c>
      <c r="E3357" t="s">
        <v>3226</v>
      </c>
      <c r="F3357">
        <v>40915.35</v>
      </c>
      <c r="G3357">
        <v>30673.94</v>
      </c>
      <c r="H3357">
        <v>5</v>
      </c>
    </row>
    <row r="3358" spans="1:8" x14ac:dyDescent="0.25">
      <c r="A3358" t="s">
        <v>2791</v>
      </c>
      <c r="C3358" t="s">
        <v>3217</v>
      </c>
      <c r="D3358" t="s">
        <v>3222</v>
      </c>
      <c r="E3358" t="s">
        <v>3226</v>
      </c>
      <c r="F3358">
        <v>16371.59</v>
      </c>
      <c r="G3358">
        <v>9103.5</v>
      </c>
      <c r="H3358">
        <v>1</v>
      </c>
    </row>
    <row r="3359" spans="1:8" x14ac:dyDescent="0.25">
      <c r="A3359" t="s">
        <v>2792</v>
      </c>
      <c r="C3359" t="s">
        <v>3218</v>
      </c>
      <c r="D3359" t="s">
        <v>3225</v>
      </c>
      <c r="E3359" t="s">
        <v>3226</v>
      </c>
      <c r="F3359">
        <v>20639.919999999998</v>
      </c>
      <c r="H3359">
        <v>1</v>
      </c>
    </row>
    <row r="3360" spans="1:8" x14ac:dyDescent="0.25">
      <c r="A3360" t="s">
        <v>1318</v>
      </c>
      <c r="B3360" t="s">
        <v>3214</v>
      </c>
      <c r="C3360" t="s">
        <v>3219</v>
      </c>
      <c r="D3360" t="s">
        <v>3223</v>
      </c>
      <c r="E3360" t="s">
        <v>3226</v>
      </c>
      <c r="F3360">
        <v>20232.95</v>
      </c>
      <c r="H3360">
        <v>2</v>
      </c>
    </row>
    <row r="3361" spans="1:8" x14ac:dyDescent="0.25">
      <c r="A3361" t="s">
        <v>2793</v>
      </c>
      <c r="B3361" t="s">
        <v>3215</v>
      </c>
      <c r="C3361" t="s">
        <v>3220</v>
      </c>
      <c r="D3361" t="s">
        <v>3224</v>
      </c>
      <c r="E3361" t="s">
        <v>3226</v>
      </c>
      <c r="F3361">
        <v>240905.96</v>
      </c>
      <c r="G3361">
        <v>169047.33</v>
      </c>
      <c r="H3361">
        <v>4</v>
      </c>
    </row>
    <row r="3362" spans="1:8" x14ac:dyDescent="0.25">
      <c r="A3362" t="s">
        <v>2794</v>
      </c>
      <c r="C3362" t="s">
        <v>3217</v>
      </c>
      <c r="D3362" t="s">
        <v>3222</v>
      </c>
      <c r="E3362" t="s">
        <v>3226</v>
      </c>
      <c r="G3362">
        <v>9737.1299999999992</v>
      </c>
      <c r="H3362">
        <v>1</v>
      </c>
    </row>
    <row r="3363" spans="1:8" x14ac:dyDescent="0.25">
      <c r="A3363" t="s">
        <v>2795</v>
      </c>
      <c r="B3363" t="s">
        <v>3212</v>
      </c>
      <c r="C3363" t="s">
        <v>3216</v>
      </c>
      <c r="D3363" t="s">
        <v>3223</v>
      </c>
      <c r="E3363" t="s">
        <v>3226</v>
      </c>
      <c r="G3363">
        <v>12741.15</v>
      </c>
      <c r="H3363">
        <v>2</v>
      </c>
    </row>
    <row r="3364" spans="1:8" x14ac:dyDescent="0.25">
      <c r="A3364" t="s">
        <v>2796</v>
      </c>
      <c r="B3364" t="s">
        <v>3214</v>
      </c>
      <c r="C3364" t="s">
        <v>3217</v>
      </c>
      <c r="D3364" t="s">
        <v>3222</v>
      </c>
      <c r="E3364" t="s">
        <v>3226</v>
      </c>
      <c r="G3364">
        <v>9263.18</v>
      </c>
      <c r="H3364">
        <v>1</v>
      </c>
    </row>
    <row r="3365" spans="1:8" x14ac:dyDescent="0.25">
      <c r="A3365" t="s">
        <v>2797</v>
      </c>
      <c r="B3365" t="s">
        <v>3215</v>
      </c>
      <c r="C3365" t="s">
        <v>3217</v>
      </c>
      <c r="D3365" t="s">
        <v>3224</v>
      </c>
      <c r="E3365" t="s">
        <v>3226</v>
      </c>
      <c r="F3365">
        <v>191936.85</v>
      </c>
      <c r="H3365">
        <v>3</v>
      </c>
    </row>
    <row r="3366" spans="1:8" x14ac:dyDescent="0.25">
      <c r="A3366" t="s">
        <v>2798</v>
      </c>
      <c r="C3366" t="s">
        <v>3220</v>
      </c>
      <c r="D3366" t="s">
        <v>3222</v>
      </c>
      <c r="E3366" t="s">
        <v>3226</v>
      </c>
      <c r="G3366">
        <v>46938.07</v>
      </c>
      <c r="H3366">
        <v>5</v>
      </c>
    </row>
    <row r="3367" spans="1:8" x14ac:dyDescent="0.25">
      <c r="A3367" t="s">
        <v>2799</v>
      </c>
      <c r="C3367" t="s">
        <v>3216</v>
      </c>
      <c r="D3367" t="s">
        <v>3224</v>
      </c>
      <c r="E3367" t="s">
        <v>3226</v>
      </c>
      <c r="F3367">
        <v>109571.06</v>
      </c>
      <c r="G3367">
        <v>98736.320000000007</v>
      </c>
      <c r="H3367">
        <v>2</v>
      </c>
    </row>
    <row r="3368" spans="1:8" x14ac:dyDescent="0.25">
      <c r="A3368" t="s">
        <v>2800</v>
      </c>
      <c r="B3368" t="s">
        <v>3212</v>
      </c>
      <c r="C3368" t="s">
        <v>3220</v>
      </c>
      <c r="D3368" t="s">
        <v>3225</v>
      </c>
      <c r="E3368" t="s">
        <v>3226</v>
      </c>
      <c r="F3368">
        <v>16647.189999999999</v>
      </c>
      <c r="G3368">
        <v>14170.17</v>
      </c>
      <c r="H3368">
        <v>1</v>
      </c>
    </row>
    <row r="3369" spans="1:8" x14ac:dyDescent="0.25">
      <c r="A3369" t="s">
        <v>2801</v>
      </c>
      <c r="B3369" t="s">
        <v>3214</v>
      </c>
      <c r="C3369" t="s">
        <v>3220</v>
      </c>
      <c r="D3369" t="s">
        <v>3224</v>
      </c>
      <c r="E3369" t="s">
        <v>3226</v>
      </c>
      <c r="F3369">
        <v>248188.09</v>
      </c>
      <c r="G3369">
        <v>187738.17</v>
      </c>
      <c r="H3369">
        <v>4</v>
      </c>
    </row>
    <row r="3370" spans="1:8" x14ac:dyDescent="0.25">
      <c r="A3370" t="s">
        <v>791</v>
      </c>
      <c r="B3370" t="s">
        <v>3211</v>
      </c>
      <c r="C3370" t="s">
        <v>3217</v>
      </c>
      <c r="D3370" t="s">
        <v>3225</v>
      </c>
      <c r="E3370" t="s">
        <v>3226</v>
      </c>
      <c r="F3370">
        <v>79342.429999999993</v>
      </c>
      <c r="G3370">
        <v>49411.03</v>
      </c>
      <c r="H3370">
        <v>4</v>
      </c>
    </row>
    <row r="3371" spans="1:8" x14ac:dyDescent="0.25">
      <c r="A3371" t="s">
        <v>2802</v>
      </c>
      <c r="C3371" t="s">
        <v>3220</v>
      </c>
      <c r="D3371" t="s">
        <v>3224</v>
      </c>
      <c r="E3371" t="s">
        <v>3226</v>
      </c>
      <c r="F3371">
        <v>338653.95</v>
      </c>
      <c r="G3371">
        <v>230606.63</v>
      </c>
      <c r="H3371">
        <v>5</v>
      </c>
    </row>
    <row r="3372" spans="1:8" x14ac:dyDescent="0.25">
      <c r="A3372" t="s">
        <v>1110</v>
      </c>
      <c r="B3372" t="s">
        <v>3212</v>
      </c>
      <c r="C3372" t="s">
        <v>3216</v>
      </c>
      <c r="D3372" t="s">
        <v>3222</v>
      </c>
      <c r="E3372" t="s">
        <v>3226</v>
      </c>
      <c r="G3372">
        <v>29433.759999999998</v>
      </c>
      <c r="H3372">
        <v>3</v>
      </c>
    </row>
    <row r="3373" spans="1:8" x14ac:dyDescent="0.25">
      <c r="A3373" t="s">
        <v>2408</v>
      </c>
      <c r="B3373" t="s">
        <v>3213</v>
      </c>
      <c r="C3373" t="s">
        <v>3218</v>
      </c>
      <c r="D3373" t="s">
        <v>3222</v>
      </c>
      <c r="E3373" t="s">
        <v>3226</v>
      </c>
      <c r="F3373">
        <v>51796.7</v>
      </c>
      <c r="G3373">
        <v>36405.879999999997</v>
      </c>
      <c r="H3373">
        <v>4</v>
      </c>
    </row>
    <row r="3374" spans="1:8" x14ac:dyDescent="0.25">
      <c r="A3374" t="s">
        <v>2803</v>
      </c>
      <c r="B3374" t="s">
        <v>3215</v>
      </c>
      <c r="C3374" t="s">
        <v>3221</v>
      </c>
      <c r="D3374" t="s">
        <v>3223</v>
      </c>
      <c r="E3374" t="s">
        <v>3226</v>
      </c>
      <c r="F3374">
        <v>11081.66</v>
      </c>
      <c r="G3374">
        <v>6246.56</v>
      </c>
      <c r="H3374">
        <v>1</v>
      </c>
    </row>
    <row r="3375" spans="1:8" x14ac:dyDescent="0.25">
      <c r="A3375" t="s">
        <v>2804</v>
      </c>
      <c r="C3375" t="s">
        <v>3216</v>
      </c>
      <c r="D3375" t="s">
        <v>3222</v>
      </c>
      <c r="E3375" t="s">
        <v>3226</v>
      </c>
      <c r="F3375">
        <v>30208.98</v>
      </c>
      <c r="G3375">
        <v>20448.27</v>
      </c>
      <c r="H3375">
        <v>2</v>
      </c>
    </row>
    <row r="3376" spans="1:8" x14ac:dyDescent="0.25">
      <c r="A3376" t="s">
        <v>2805</v>
      </c>
      <c r="B3376" t="s">
        <v>3213</v>
      </c>
      <c r="C3376" t="s">
        <v>3216</v>
      </c>
      <c r="D3376" t="s">
        <v>3222</v>
      </c>
      <c r="E3376" t="s">
        <v>3226</v>
      </c>
      <c r="F3376">
        <v>79203.33</v>
      </c>
      <c r="G3376">
        <v>49788.88</v>
      </c>
      <c r="H3376">
        <v>5</v>
      </c>
    </row>
    <row r="3377" spans="1:8" x14ac:dyDescent="0.25">
      <c r="A3377" t="s">
        <v>2806</v>
      </c>
      <c r="C3377" t="s">
        <v>3216</v>
      </c>
      <c r="D3377" t="s">
        <v>3223</v>
      </c>
      <c r="E3377" t="s">
        <v>3226</v>
      </c>
      <c r="F3377">
        <v>31181.39</v>
      </c>
      <c r="G3377">
        <v>18004.63</v>
      </c>
      <c r="H3377">
        <v>3</v>
      </c>
    </row>
    <row r="3378" spans="1:8" x14ac:dyDescent="0.25">
      <c r="A3378" t="s">
        <v>2305</v>
      </c>
      <c r="B3378" t="s">
        <v>3213</v>
      </c>
      <c r="C3378" t="s">
        <v>3220</v>
      </c>
      <c r="D3378" t="s">
        <v>3223</v>
      </c>
      <c r="E3378" t="s">
        <v>3226</v>
      </c>
      <c r="F3378">
        <v>10327.4</v>
      </c>
      <c r="H3378">
        <v>1</v>
      </c>
    </row>
    <row r="3379" spans="1:8" x14ac:dyDescent="0.25">
      <c r="A3379" t="s">
        <v>2807</v>
      </c>
      <c r="B3379" t="s">
        <v>3213</v>
      </c>
      <c r="C3379" t="s">
        <v>3221</v>
      </c>
      <c r="D3379" t="s">
        <v>3222</v>
      </c>
      <c r="E3379" t="s">
        <v>3226</v>
      </c>
      <c r="F3379">
        <v>84815.79</v>
      </c>
      <c r="G3379">
        <v>44355.11</v>
      </c>
      <c r="H3379">
        <v>5</v>
      </c>
    </row>
    <row r="3380" spans="1:8" x14ac:dyDescent="0.25">
      <c r="A3380" t="s">
        <v>2808</v>
      </c>
      <c r="B3380" t="s">
        <v>3212</v>
      </c>
      <c r="C3380" t="s">
        <v>3218</v>
      </c>
      <c r="D3380" t="s">
        <v>3225</v>
      </c>
      <c r="E3380" t="s">
        <v>3226</v>
      </c>
      <c r="F3380">
        <v>43483.79</v>
      </c>
      <c r="G3380">
        <v>29995.89</v>
      </c>
      <c r="H3380">
        <v>2</v>
      </c>
    </row>
    <row r="3381" spans="1:8" x14ac:dyDescent="0.25">
      <c r="A3381" t="s">
        <v>2536</v>
      </c>
      <c r="B3381" t="s">
        <v>3212</v>
      </c>
      <c r="C3381" t="s">
        <v>3218</v>
      </c>
      <c r="D3381" t="s">
        <v>3223</v>
      </c>
      <c r="E3381" t="s">
        <v>3226</v>
      </c>
      <c r="F3381">
        <v>22245.81</v>
      </c>
      <c r="G3381">
        <v>14232.35</v>
      </c>
      <c r="H3381">
        <v>2</v>
      </c>
    </row>
    <row r="3382" spans="1:8" x14ac:dyDescent="0.25">
      <c r="A3382" t="s">
        <v>2809</v>
      </c>
      <c r="C3382" t="s">
        <v>3218</v>
      </c>
      <c r="D3382" t="s">
        <v>3224</v>
      </c>
      <c r="E3382" t="s">
        <v>3226</v>
      </c>
      <c r="F3382">
        <v>165547.41</v>
      </c>
      <c r="G3382">
        <v>143045.82</v>
      </c>
      <c r="H3382">
        <v>3</v>
      </c>
    </row>
    <row r="3383" spans="1:8" x14ac:dyDescent="0.25">
      <c r="A3383" t="s">
        <v>2810</v>
      </c>
      <c r="C3383" t="s">
        <v>3220</v>
      </c>
      <c r="D3383" t="s">
        <v>3224</v>
      </c>
      <c r="E3383" t="s">
        <v>3226</v>
      </c>
      <c r="F3383">
        <v>108586.69</v>
      </c>
      <c r="G3383">
        <v>89345.99</v>
      </c>
      <c r="H3383">
        <v>2</v>
      </c>
    </row>
    <row r="3384" spans="1:8" x14ac:dyDescent="0.25">
      <c r="A3384" t="s">
        <v>2811</v>
      </c>
      <c r="B3384" t="s">
        <v>3213</v>
      </c>
      <c r="C3384" t="s">
        <v>3216</v>
      </c>
      <c r="D3384" t="s">
        <v>3222</v>
      </c>
      <c r="E3384" t="s">
        <v>3226</v>
      </c>
      <c r="F3384">
        <v>63341.29</v>
      </c>
      <c r="G3384">
        <v>38313.199999999997</v>
      </c>
      <c r="H3384">
        <v>4</v>
      </c>
    </row>
    <row r="3385" spans="1:8" x14ac:dyDescent="0.25">
      <c r="A3385" t="s">
        <v>2812</v>
      </c>
      <c r="B3385" t="s">
        <v>3213</v>
      </c>
      <c r="C3385" t="s">
        <v>3220</v>
      </c>
      <c r="D3385" t="s">
        <v>3223</v>
      </c>
      <c r="E3385" t="s">
        <v>3226</v>
      </c>
      <c r="F3385">
        <v>21712.59</v>
      </c>
      <c r="G3385">
        <v>14753.53</v>
      </c>
      <c r="H3385">
        <v>2</v>
      </c>
    </row>
    <row r="3386" spans="1:8" x14ac:dyDescent="0.25">
      <c r="A3386" t="s">
        <v>2813</v>
      </c>
      <c r="B3386" t="s">
        <v>3213</v>
      </c>
      <c r="C3386" t="s">
        <v>3221</v>
      </c>
      <c r="D3386" t="s">
        <v>3225</v>
      </c>
      <c r="E3386" t="s">
        <v>3226</v>
      </c>
      <c r="F3386">
        <v>80209.440000000002</v>
      </c>
      <c r="G3386">
        <v>49892.63</v>
      </c>
    </row>
    <row r="3387" spans="1:8" x14ac:dyDescent="0.25">
      <c r="A3387" t="s">
        <v>2814</v>
      </c>
      <c r="B3387" t="s">
        <v>3213</v>
      </c>
      <c r="C3387" t="s">
        <v>3216</v>
      </c>
      <c r="D3387" t="s">
        <v>3222</v>
      </c>
      <c r="E3387" t="s">
        <v>3226</v>
      </c>
      <c r="F3387">
        <v>67903.929999999993</v>
      </c>
      <c r="G3387">
        <v>43592.74</v>
      </c>
      <c r="H3387">
        <v>5</v>
      </c>
    </row>
    <row r="3388" spans="1:8" x14ac:dyDescent="0.25">
      <c r="A3388" t="s">
        <v>2815</v>
      </c>
      <c r="B3388" t="s">
        <v>3213</v>
      </c>
      <c r="C3388" t="s">
        <v>3220</v>
      </c>
      <c r="D3388" t="s">
        <v>3223</v>
      </c>
      <c r="E3388" t="s">
        <v>3226</v>
      </c>
      <c r="F3388">
        <v>9794.5499999999993</v>
      </c>
      <c r="G3388">
        <v>6779.56</v>
      </c>
      <c r="H3388">
        <v>1</v>
      </c>
    </row>
    <row r="3389" spans="1:8" x14ac:dyDescent="0.25">
      <c r="A3389" t="s">
        <v>2816</v>
      </c>
      <c r="C3389" t="s">
        <v>3218</v>
      </c>
      <c r="D3389" t="s">
        <v>3224</v>
      </c>
      <c r="E3389" t="s">
        <v>3226</v>
      </c>
      <c r="F3389">
        <v>318609.53999999998</v>
      </c>
      <c r="G3389">
        <v>197217.78</v>
      </c>
      <c r="H3389">
        <v>5</v>
      </c>
    </row>
    <row r="3390" spans="1:8" x14ac:dyDescent="0.25">
      <c r="A3390" t="s">
        <v>2338</v>
      </c>
      <c r="B3390" t="s">
        <v>3211</v>
      </c>
      <c r="C3390" t="s">
        <v>3216</v>
      </c>
      <c r="D3390" t="s">
        <v>3225</v>
      </c>
      <c r="E3390" t="s">
        <v>3226</v>
      </c>
      <c r="F3390">
        <v>78852.2</v>
      </c>
      <c r="G3390">
        <v>56578.54</v>
      </c>
      <c r="H3390">
        <v>4</v>
      </c>
    </row>
    <row r="3391" spans="1:8" x14ac:dyDescent="0.25">
      <c r="A3391" t="s">
        <v>1213</v>
      </c>
      <c r="B3391" t="s">
        <v>3211</v>
      </c>
      <c r="C3391" t="s">
        <v>3216</v>
      </c>
      <c r="D3391" t="s">
        <v>3225</v>
      </c>
      <c r="E3391" t="s">
        <v>3226</v>
      </c>
      <c r="F3391">
        <v>56916.72</v>
      </c>
      <c r="G3391">
        <v>38654.550000000003</v>
      </c>
      <c r="H3391">
        <v>3</v>
      </c>
    </row>
    <row r="3392" spans="1:8" x14ac:dyDescent="0.25">
      <c r="A3392" t="s">
        <v>2817</v>
      </c>
      <c r="B3392" t="s">
        <v>3212</v>
      </c>
      <c r="C3392" t="s">
        <v>3220</v>
      </c>
      <c r="D3392" t="s">
        <v>3222</v>
      </c>
      <c r="E3392" t="s">
        <v>3226</v>
      </c>
      <c r="F3392">
        <v>25931.31</v>
      </c>
      <c r="G3392">
        <v>18906.689999999999</v>
      </c>
      <c r="H3392">
        <v>2</v>
      </c>
    </row>
    <row r="3393" spans="1:8" x14ac:dyDescent="0.25">
      <c r="A3393" t="s">
        <v>2818</v>
      </c>
      <c r="B3393" t="s">
        <v>3211</v>
      </c>
      <c r="C3393" t="s">
        <v>3221</v>
      </c>
      <c r="D3393" t="s">
        <v>3224</v>
      </c>
      <c r="E3393" t="s">
        <v>3226</v>
      </c>
      <c r="F3393">
        <v>291507.95</v>
      </c>
      <c r="G3393">
        <v>224038.01</v>
      </c>
      <c r="H3393">
        <v>5</v>
      </c>
    </row>
    <row r="3394" spans="1:8" x14ac:dyDescent="0.25">
      <c r="A3394" t="s">
        <v>1584</v>
      </c>
      <c r="C3394" t="s">
        <v>3219</v>
      </c>
      <c r="D3394" t="s">
        <v>3222</v>
      </c>
      <c r="E3394" t="s">
        <v>3226</v>
      </c>
      <c r="F3394">
        <v>17813.78</v>
      </c>
      <c r="H3394">
        <v>1</v>
      </c>
    </row>
    <row r="3395" spans="1:8" x14ac:dyDescent="0.25">
      <c r="A3395" t="s">
        <v>795</v>
      </c>
      <c r="C3395" t="s">
        <v>3217</v>
      </c>
      <c r="D3395" t="s">
        <v>3224</v>
      </c>
      <c r="E3395" t="s">
        <v>3226</v>
      </c>
      <c r="F3395">
        <v>243492.43</v>
      </c>
      <c r="G3395">
        <v>220473</v>
      </c>
      <c r="H3395">
        <v>5</v>
      </c>
    </row>
    <row r="3396" spans="1:8" x14ac:dyDescent="0.25">
      <c r="A3396" t="s">
        <v>2819</v>
      </c>
      <c r="B3396" t="s">
        <v>3211</v>
      </c>
      <c r="C3396" t="s">
        <v>3221</v>
      </c>
      <c r="D3396" t="s">
        <v>3225</v>
      </c>
      <c r="E3396" t="s">
        <v>3226</v>
      </c>
      <c r="F3396">
        <v>43244.72</v>
      </c>
      <c r="G3396">
        <v>23931.67</v>
      </c>
      <c r="H3396">
        <v>2</v>
      </c>
    </row>
    <row r="3397" spans="1:8" x14ac:dyDescent="0.25">
      <c r="A3397" t="s">
        <v>2023</v>
      </c>
      <c r="B3397" t="s">
        <v>3214</v>
      </c>
      <c r="C3397" t="s">
        <v>3220</v>
      </c>
      <c r="D3397" t="s">
        <v>3222</v>
      </c>
      <c r="E3397" t="s">
        <v>3226</v>
      </c>
      <c r="F3397">
        <v>15279.37</v>
      </c>
      <c r="G3397">
        <v>10847.1</v>
      </c>
      <c r="H3397">
        <v>1</v>
      </c>
    </row>
    <row r="3398" spans="1:8" x14ac:dyDescent="0.25">
      <c r="A3398" t="s">
        <v>2820</v>
      </c>
      <c r="B3398" t="s">
        <v>3214</v>
      </c>
      <c r="C3398" t="s">
        <v>3219</v>
      </c>
      <c r="D3398" t="s">
        <v>3222</v>
      </c>
      <c r="E3398" t="s">
        <v>3226</v>
      </c>
      <c r="F3398">
        <v>70319.350000000006</v>
      </c>
      <c r="G3398">
        <v>47283.32</v>
      </c>
      <c r="H3398">
        <v>5</v>
      </c>
    </row>
    <row r="3399" spans="1:8" x14ac:dyDescent="0.25">
      <c r="A3399" t="s">
        <v>2699</v>
      </c>
      <c r="B3399" t="s">
        <v>3212</v>
      </c>
      <c r="C3399" t="s">
        <v>3221</v>
      </c>
      <c r="D3399" t="s">
        <v>3224</v>
      </c>
      <c r="E3399" t="s">
        <v>3226</v>
      </c>
      <c r="F3399">
        <v>203548.75</v>
      </c>
      <c r="G3399">
        <v>189824.5</v>
      </c>
      <c r="H3399">
        <v>4</v>
      </c>
    </row>
    <row r="3400" spans="1:8" x14ac:dyDescent="0.25">
      <c r="A3400" t="s">
        <v>1055</v>
      </c>
      <c r="B3400" t="s">
        <v>3211</v>
      </c>
      <c r="C3400" t="s">
        <v>3219</v>
      </c>
      <c r="D3400" t="s">
        <v>3223</v>
      </c>
      <c r="E3400" t="s">
        <v>3226</v>
      </c>
      <c r="F3400">
        <v>9592.77</v>
      </c>
      <c r="G3400">
        <v>6758.45</v>
      </c>
      <c r="H3400">
        <v>1</v>
      </c>
    </row>
    <row r="3401" spans="1:8" x14ac:dyDescent="0.25">
      <c r="A3401" t="s">
        <v>2821</v>
      </c>
      <c r="B3401" t="s">
        <v>3215</v>
      </c>
      <c r="C3401" t="s">
        <v>3220</v>
      </c>
      <c r="D3401" t="s">
        <v>3223</v>
      </c>
      <c r="E3401" t="s">
        <v>3226</v>
      </c>
      <c r="F3401">
        <v>34343.15</v>
      </c>
      <c r="G3401">
        <v>21273.13</v>
      </c>
      <c r="H3401">
        <v>3</v>
      </c>
    </row>
    <row r="3402" spans="1:8" x14ac:dyDescent="0.25">
      <c r="A3402" t="s">
        <v>2822</v>
      </c>
      <c r="B3402" t="s">
        <v>3214</v>
      </c>
      <c r="C3402" t="s">
        <v>3216</v>
      </c>
      <c r="D3402" t="s">
        <v>3222</v>
      </c>
      <c r="E3402" t="s">
        <v>3226</v>
      </c>
      <c r="F3402">
        <v>38409.279999999999</v>
      </c>
      <c r="G3402">
        <v>29070.04</v>
      </c>
      <c r="H3402">
        <v>3</v>
      </c>
    </row>
    <row r="3403" spans="1:8" x14ac:dyDescent="0.25">
      <c r="A3403" t="s">
        <v>2823</v>
      </c>
      <c r="B3403" t="s">
        <v>3211</v>
      </c>
      <c r="C3403" t="s">
        <v>3217</v>
      </c>
      <c r="D3403" t="s">
        <v>3223</v>
      </c>
      <c r="E3403" t="s">
        <v>3226</v>
      </c>
      <c r="F3403">
        <v>8852.4</v>
      </c>
      <c r="G3403">
        <v>7105.72</v>
      </c>
      <c r="H3403">
        <v>1</v>
      </c>
    </row>
    <row r="3404" spans="1:8" x14ac:dyDescent="0.25">
      <c r="A3404" t="s">
        <v>2824</v>
      </c>
      <c r="B3404" t="s">
        <v>3211</v>
      </c>
      <c r="C3404" t="s">
        <v>3218</v>
      </c>
      <c r="D3404" t="s">
        <v>3225</v>
      </c>
      <c r="E3404" t="s">
        <v>3226</v>
      </c>
      <c r="F3404">
        <v>34913.699999999997</v>
      </c>
      <c r="H3404">
        <v>2</v>
      </c>
    </row>
    <row r="3405" spans="1:8" x14ac:dyDescent="0.25">
      <c r="A3405" t="s">
        <v>2825</v>
      </c>
      <c r="B3405" t="s">
        <v>3214</v>
      </c>
      <c r="C3405" t="s">
        <v>3216</v>
      </c>
      <c r="D3405" t="s">
        <v>3224</v>
      </c>
      <c r="E3405" t="s">
        <v>3226</v>
      </c>
      <c r="F3405">
        <v>279094.26</v>
      </c>
      <c r="G3405">
        <v>196774.04</v>
      </c>
      <c r="H3405">
        <v>5</v>
      </c>
    </row>
    <row r="3406" spans="1:8" x14ac:dyDescent="0.25">
      <c r="A3406" t="s">
        <v>2826</v>
      </c>
      <c r="B3406" t="s">
        <v>3213</v>
      </c>
      <c r="C3406" t="s">
        <v>3217</v>
      </c>
      <c r="D3406" t="s">
        <v>3222</v>
      </c>
      <c r="E3406" t="s">
        <v>3226</v>
      </c>
      <c r="F3406">
        <v>33894.94</v>
      </c>
      <c r="G3406">
        <v>19952.580000000002</v>
      </c>
      <c r="H3406">
        <v>2</v>
      </c>
    </row>
    <row r="3407" spans="1:8" x14ac:dyDescent="0.25">
      <c r="A3407" t="s">
        <v>2827</v>
      </c>
      <c r="B3407" t="s">
        <v>3211</v>
      </c>
      <c r="C3407" t="s">
        <v>3219</v>
      </c>
      <c r="D3407" t="s">
        <v>3223</v>
      </c>
      <c r="E3407" t="s">
        <v>3226</v>
      </c>
      <c r="F3407">
        <v>55628.7</v>
      </c>
      <c r="H3407">
        <v>5</v>
      </c>
    </row>
    <row r="3408" spans="1:8" x14ac:dyDescent="0.25">
      <c r="A3408" t="s">
        <v>2828</v>
      </c>
      <c r="B3408" t="s">
        <v>3215</v>
      </c>
      <c r="C3408" t="s">
        <v>3220</v>
      </c>
      <c r="D3408" t="s">
        <v>3224</v>
      </c>
      <c r="E3408" t="s">
        <v>3226</v>
      </c>
      <c r="F3408">
        <v>138957.23000000001</v>
      </c>
      <c r="G3408">
        <v>91833.48</v>
      </c>
      <c r="H3408">
        <v>2</v>
      </c>
    </row>
    <row r="3409" spans="1:8" x14ac:dyDescent="0.25">
      <c r="A3409" t="s">
        <v>1777</v>
      </c>
      <c r="B3409" t="s">
        <v>3213</v>
      </c>
      <c r="C3409" t="s">
        <v>3221</v>
      </c>
      <c r="D3409" t="s">
        <v>3223</v>
      </c>
      <c r="E3409" t="s">
        <v>3226</v>
      </c>
      <c r="F3409">
        <v>23864.92</v>
      </c>
      <c r="G3409">
        <v>13528.25</v>
      </c>
      <c r="H3409">
        <v>2</v>
      </c>
    </row>
    <row r="3410" spans="1:8" x14ac:dyDescent="0.25">
      <c r="A3410" t="s">
        <v>2829</v>
      </c>
      <c r="B3410" t="s">
        <v>3213</v>
      </c>
      <c r="C3410" t="s">
        <v>3218</v>
      </c>
      <c r="D3410" t="s">
        <v>3223</v>
      </c>
      <c r="E3410" t="s">
        <v>3226</v>
      </c>
      <c r="F3410">
        <v>10254.780000000001</v>
      </c>
      <c r="G3410">
        <v>6872.43</v>
      </c>
      <c r="H3410">
        <v>1</v>
      </c>
    </row>
    <row r="3411" spans="1:8" x14ac:dyDescent="0.25">
      <c r="A3411" t="s">
        <v>547</v>
      </c>
      <c r="B3411" t="s">
        <v>3213</v>
      </c>
      <c r="C3411" t="s">
        <v>3220</v>
      </c>
      <c r="D3411" t="s">
        <v>3224</v>
      </c>
      <c r="E3411" t="s">
        <v>3226</v>
      </c>
      <c r="F3411">
        <v>181908.38</v>
      </c>
      <c r="H3411">
        <v>3</v>
      </c>
    </row>
    <row r="3412" spans="1:8" x14ac:dyDescent="0.25">
      <c r="A3412" t="s">
        <v>2830</v>
      </c>
      <c r="B3412" t="s">
        <v>3212</v>
      </c>
      <c r="C3412" t="s">
        <v>3216</v>
      </c>
      <c r="D3412" t="s">
        <v>3223</v>
      </c>
      <c r="E3412" t="s">
        <v>3226</v>
      </c>
      <c r="F3412">
        <v>18244.849999999999</v>
      </c>
      <c r="G3412">
        <v>13734.66</v>
      </c>
      <c r="H3412">
        <v>2</v>
      </c>
    </row>
    <row r="3413" spans="1:8" x14ac:dyDescent="0.25">
      <c r="A3413" t="s">
        <v>38</v>
      </c>
      <c r="B3413" t="s">
        <v>3215</v>
      </c>
      <c r="C3413" t="s">
        <v>3221</v>
      </c>
      <c r="D3413" t="s">
        <v>3224</v>
      </c>
      <c r="E3413" t="s">
        <v>3226</v>
      </c>
      <c r="F3413">
        <v>170290.29</v>
      </c>
      <c r="G3413">
        <v>122954.68</v>
      </c>
      <c r="H3413">
        <v>3</v>
      </c>
    </row>
    <row r="3414" spans="1:8" x14ac:dyDescent="0.25">
      <c r="A3414" t="s">
        <v>2831</v>
      </c>
      <c r="B3414" t="s">
        <v>3212</v>
      </c>
      <c r="C3414" t="s">
        <v>3217</v>
      </c>
      <c r="D3414" t="s">
        <v>3222</v>
      </c>
      <c r="E3414" t="s">
        <v>3226</v>
      </c>
      <c r="F3414">
        <v>50656.2</v>
      </c>
      <c r="G3414">
        <v>40275.47</v>
      </c>
      <c r="H3414">
        <v>4</v>
      </c>
    </row>
    <row r="3415" spans="1:8" x14ac:dyDescent="0.25">
      <c r="A3415" t="s">
        <v>2832</v>
      </c>
      <c r="B3415" t="s">
        <v>3215</v>
      </c>
      <c r="C3415" t="s">
        <v>3218</v>
      </c>
      <c r="D3415" t="s">
        <v>3223</v>
      </c>
      <c r="E3415" t="s">
        <v>3226</v>
      </c>
      <c r="F3415">
        <v>16960.21</v>
      </c>
      <c r="G3415">
        <v>14187.96</v>
      </c>
      <c r="H3415">
        <v>2</v>
      </c>
    </row>
    <row r="3416" spans="1:8" x14ac:dyDescent="0.25">
      <c r="A3416" t="s">
        <v>83</v>
      </c>
      <c r="B3416" t="s">
        <v>3215</v>
      </c>
      <c r="C3416" t="s">
        <v>3217</v>
      </c>
      <c r="D3416" t="s">
        <v>3223</v>
      </c>
      <c r="E3416" t="s">
        <v>3226</v>
      </c>
      <c r="F3416">
        <v>39727.85</v>
      </c>
      <c r="G3416">
        <v>27321.93</v>
      </c>
      <c r="H3416">
        <v>4</v>
      </c>
    </row>
    <row r="3417" spans="1:8" x14ac:dyDescent="0.25">
      <c r="A3417" t="s">
        <v>2833</v>
      </c>
      <c r="B3417" t="s">
        <v>3215</v>
      </c>
      <c r="C3417" t="s">
        <v>3220</v>
      </c>
      <c r="D3417" t="s">
        <v>3225</v>
      </c>
      <c r="E3417" t="s">
        <v>3226</v>
      </c>
      <c r="F3417">
        <v>87976.9</v>
      </c>
      <c r="G3417">
        <v>55530.22</v>
      </c>
      <c r="H3417">
        <v>4</v>
      </c>
    </row>
    <row r="3418" spans="1:8" x14ac:dyDescent="0.25">
      <c r="A3418" t="s">
        <v>2834</v>
      </c>
      <c r="B3418" t="s">
        <v>3212</v>
      </c>
      <c r="C3418" t="s">
        <v>3216</v>
      </c>
      <c r="D3418" t="s">
        <v>3223</v>
      </c>
      <c r="E3418" t="s">
        <v>3226</v>
      </c>
      <c r="F3418">
        <v>25624.03</v>
      </c>
    </row>
    <row r="3419" spans="1:8" x14ac:dyDescent="0.25">
      <c r="A3419" t="s">
        <v>2344</v>
      </c>
      <c r="B3419" t="s">
        <v>3214</v>
      </c>
      <c r="C3419" t="s">
        <v>3220</v>
      </c>
      <c r="D3419" t="s">
        <v>3222</v>
      </c>
      <c r="E3419" t="s">
        <v>3226</v>
      </c>
      <c r="F3419">
        <v>29948.79</v>
      </c>
      <c r="G3419">
        <v>20347.060000000001</v>
      </c>
      <c r="H3419">
        <v>2</v>
      </c>
    </row>
    <row r="3420" spans="1:8" x14ac:dyDescent="0.25">
      <c r="A3420" t="s">
        <v>2835</v>
      </c>
      <c r="B3420" t="s">
        <v>3215</v>
      </c>
      <c r="C3420" t="s">
        <v>3219</v>
      </c>
      <c r="D3420" t="s">
        <v>3223</v>
      </c>
      <c r="E3420" t="s">
        <v>3226</v>
      </c>
      <c r="F3420">
        <v>42037.95</v>
      </c>
      <c r="G3420">
        <v>28079.65</v>
      </c>
      <c r="H3420">
        <v>4</v>
      </c>
    </row>
    <row r="3421" spans="1:8" x14ac:dyDescent="0.25">
      <c r="A3421" t="s">
        <v>2836</v>
      </c>
      <c r="B3421" t="s">
        <v>3214</v>
      </c>
      <c r="C3421" t="s">
        <v>3219</v>
      </c>
      <c r="D3421" t="s">
        <v>3222</v>
      </c>
      <c r="E3421" t="s">
        <v>3226</v>
      </c>
      <c r="F3421">
        <v>58124.26</v>
      </c>
      <c r="G3421">
        <v>35313.660000000003</v>
      </c>
      <c r="H3421">
        <v>4</v>
      </c>
    </row>
    <row r="3422" spans="1:8" x14ac:dyDescent="0.25">
      <c r="A3422" t="s">
        <v>2743</v>
      </c>
      <c r="B3422" t="s">
        <v>3213</v>
      </c>
      <c r="C3422" t="s">
        <v>3218</v>
      </c>
      <c r="D3422" t="s">
        <v>3224</v>
      </c>
      <c r="E3422" t="s">
        <v>3226</v>
      </c>
      <c r="F3422">
        <v>322847.71000000002</v>
      </c>
      <c r="G3422">
        <v>242609.14</v>
      </c>
      <c r="H3422">
        <v>5</v>
      </c>
    </row>
    <row r="3423" spans="1:8" x14ac:dyDescent="0.25">
      <c r="A3423" t="s">
        <v>2837</v>
      </c>
      <c r="C3423" t="s">
        <v>3217</v>
      </c>
      <c r="D3423" t="s">
        <v>3222</v>
      </c>
      <c r="E3423" t="s">
        <v>3226</v>
      </c>
      <c r="F3423">
        <v>27816.84</v>
      </c>
      <c r="G3423">
        <v>18229.04</v>
      </c>
      <c r="H3423">
        <v>2</v>
      </c>
    </row>
    <row r="3424" spans="1:8" x14ac:dyDescent="0.25">
      <c r="A3424" t="s">
        <v>2838</v>
      </c>
      <c r="B3424" t="s">
        <v>3215</v>
      </c>
      <c r="C3424" t="s">
        <v>3221</v>
      </c>
      <c r="D3424" t="s">
        <v>3223</v>
      </c>
      <c r="E3424" t="s">
        <v>3226</v>
      </c>
      <c r="F3424">
        <v>32717.46</v>
      </c>
      <c r="G3424">
        <v>30143.63</v>
      </c>
      <c r="H3424">
        <v>4</v>
      </c>
    </row>
    <row r="3425" spans="1:8" x14ac:dyDescent="0.25">
      <c r="A3425" t="s">
        <v>2177</v>
      </c>
      <c r="B3425" t="s">
        <v>3212</v>
      </c>
      <c r="C3425" t="s">
        <v>3217</v>
      </c>
      <c r="D3425" t="s">
        <v>3225</v>
      </c>
      <c r="E3425" t="s">
        <v>3226</v>
      </c>
      <c r="F3425">
        <v>16985.689999999999</v>
      </c>
      <c r="H3425">
        <v>1</v>
      </c>
    </row>
    <row r="3426" spans="1:8" x14ac:dyDescent="0.25">
      <c r="A3426" t="s">
        <v>851</v>
      </c>
      <c r="B3426" t="s">
        <v>3212</v>
      </c>
      <c r="C3426" t="s">
        <v>3221</v>
      </c>
      <c r="D3426" t="s">
        <v>3225</v>
      </c>
      <c r="E3426" t="s">
        <v>3226</v>
      </c>
      <c r="F3426">
        <v>92459.17</v>
      </c>
      <c r="G3426">
        <v>54753.17</v>
      </c>
      <c r="H3426">
        <v>4</v>
      </c>
    </row>
    <row r="3427" spans="1:8" x14ac:dyDescent="0.25">
      <c r="A3427" t="s">
        <v>2839</v>
      </c>
      <c r="B3427" t="s">
        <v>3215</v>
      </c>
      <c r="C3427" t="s">
        <v>3217</v>
      </c>
      <c r="D3427" t="s">
        <v>3222</v>
      </c>
      <c r="E3427" t="s">
        <v>3226</v>
      </c>
      <c r="F3427">
        <v>70490.789999999994</v>
      </c>
      <c r="G3427">
        <v>38053.89</v>
      </c>
      <c r="H3427">
        <v>4</v>
      </c>
    </row>
    <row r="3428" spans="1:8" x14ac:dyDescent="0.25">
      <c r="A3428" t="s">
        <v>2840</v>
      </c>
      <c r="B3428" t="s">
        <v>3215</v>
      </c>
      <c r="C3428" t="s">
        <v>3217</v>
      </c>
      <c r="D3428" t="s">
        <v>3223</v>
      </c>
      <c r="E3428" t="s">
        <v>3226</v>
      </c>
      <c r="F3428">
        <v>51947.45</v>
      </c>
      <c r="G3428">
        <v>29757.13</v>
      </c>
      <c r="H3428">
        <v>5</v>
      </c>
    </row>
    <row r="3429" spans="1:8" x14ac:dyDescent="0.25">
      <c r="A3429" t="s">
        <v>2841</v>
      </c>
      <c r="C3429" t="s">
        <v>3218</v>
      </c>
      <c r="D3429" t="s">
        <v>3225</v>
      </c>
      <c r="E3429" t="s">
        <v>3226</v>
      </c>
      <c r="F3429">
        <v>68994.97</v>
      </c>
      <c r="G3429">
        <v>41934.839999999997</v>
      </c>
      <c r="H3429">
        <v>3</v>
      </c>
    </row>
    <row r="3430" spans="1:8" x14ac:dyDescent="0.25">
      <c r="A3430" t="s">
        <v>2842</v>
      </c>
      <c r="B3430" t="s">
        <v>3211</v>
      </c>
      <c r="C3430" t="s">
        <v>3219</v>
      </c>
      <c r="D3430" t="s">
        <v>3222</v>
      </c>
      <c r="E3430" t="s">
        <v>3226</v>
      </c>
      <c r="F3430">
        <v>30766.87</v>
      </c>
      <c r="G3430">
        <v>18195.78</v>
      </c>
      <c r="H3430">
        <v>2</v>
      </c>
    </row>
    <row r="3431" spans="1:8" x14ac:dyDescent="0.25">
      <c r="A3431" t="s">
        <v>2843</v>
      </c>
      <c r="B3431" t="s">
        <v>3214</v>
      </c>
      <c r="C3431" t="s">
        <v>3220</v>
      </c>
      <c r="D3431" t="s">
        <v>3222</v>
      </c>
      <c r="E3431" t="s">
        <v>3226</v>
      </c>
      <c r="F3431">
        <v>55168.51</v>
      </c>
      <c r="G3431">
        <v>40238.47</v>
      </c>
      <c r="H3431">
        <v>4</v>
      </c>
    </row>
    <row r="3432" spans="1:8" x14ac:dyDescent="0.25">
      <c r="A3432" t="s">
        <v>2276</v>
      </c>
      <c r="B3432" t="s">
        <v>3212</v>
      </c>
      <c r="C3432" t="s">
        <v>3220</v>
      </c>
      <c r="D3432" t="s">
        <v>3225</v>
      </c>
      <c r="E3432" t="s">
        <v>3226</v>
      </c>
      <c r="F3432">
        <v>61130.06</v>
      </c>
      <c r="G3432">
        <v>37055.769999999997</v>
      </c>
      <c r="H3432">
        <v>3</v>
      </c>
    </row>
    <row r="3433" spans="1:8" x14ac:dyDescent="0.25">
      <c r="A3433" t="s">
        <v>2844</v>
      </c>
      <c r="B3433" t="s">
        <v>3212</v>
      </c>
      <c r="C3433" t="s">
        <v>3219</v>
      </c>
      <c r="D3433" t="s">
        <v>3224</v>
      </c>
      <c r="E3433" t="s">
        <v>3226</v>
      </c>
      <c r="F3433">
        <v>223791.29</v>
      </c>
      <c r="G3433">
        <v>186838.46</v>
      </c>
      <c r="H3433">
        <v>4</v>
      </c>
    </row>
    <row r="3434" spans="1:8" x14ac:dyDescent="0.25">
      <c r="A3434" t="s">
        <v>1291</v>
      </c>
      <c r="B3434" t="s">
        <v>3212</v>
      </c>
      <c r="C3434" t="s">
        <v>3221</v>
      </c>
      <c r="D3434" t="s">
        <v>3222</v>
      </c>
      <c r="E3434" t="s">
        <v>3226</v>
      </c>
      <c r="F3434">
        <v>25712.01</v>
      </c>
      <c r="G3434">
        <v>19297.09</v>
      </c>
      <c r="H3434">
        <v>2</v>
      </c>
    </row>
    <row r="3435" spans="1:8" x14ac:dyDescent="0.25">
      <c r="A3435" t="s">
        <v>2845</v>
      </c>
      <c r="B3435" t="s">
        <v>3213</v>
      </c>
      <c r="C3435" t="s">
        <v>3220</v>
      </c>
      <c r="D3435" t="s">
        <v>3224</v>
      </c>
      <c r="E3435" t="s">
        <v>3226</v>
      </c>
      <c r="F3435">
        <v>280685.40000000002</v>
      </c>
      <c r="G3435">
        <v>196791.6</v>
      </c>
      <c r="H3435">
        <v>5</v>
      </c>
    </row>
    <row r="3436" spans="1:8" x14ac:dyDescent="0.25">
      <c r="A3436" t="s">
        <v>434</v>
      </c>
      <c r="B3436" t="s">
        <v>3215</v>
      </c>
      <c r="C3436" t="s">
        <v>3217</v>
      </c>
      <c r="D3436" t="s">
        <v>3222</v>
      </c>
      <c r="E3436" t="s">
        <v>3226</v>
      </c>
      <c r="F3436">
        <v>42523.95</v>
      </c>
      <c r="G3436">
        <v>30537.11</v>
      </c>
      <c r="H3436">
        <v>3</v>
      </c>
    </row>
    <row r="3437" spans="1:8" x14ac:dyDescent="0.25">
      <c r="A3437" t="s">
        <v>2846</v>
      </c>
      <c r="B3437" t="s">
        <v>3213</v>
      </c>
      <c r="C3437" t="s">
        <v>3220</v>
      </c>
      <c r="D3437" t="s">
        <v>3225</v>
      </c>
      <c r="E3437" t="s">
        <v>3226</v>
      </c>
      <c r="F3437">
        <v>65341.7</v>
      </c>
      <c r="G3437">
        <v>42746.28</v>
      </c>
      <c r="H3437">
        <v>3</v>
      </c>
    </row>
    <row r="3438" spans="1:8" x14ac:dyDescent="0.25">
      <c r="A3438" t="s">
        <v>2847</v>
      </c>
      <c r="B3438" t="s">
        <v>3212</v>
      </c>
      <c r="C3438" t="s">
        <v>3220</v>
      </c>
      <c r="D3438" t="s">
        <v>3223</v>
      </c>
      <c r="E3438" t="s">
        <v>3226</v>
      </c>
      <c r="F3438">
        <v>9395.9599999999991</v>
      </c>
      <c r="G3438">
        <v>6180.02</v>
      </c>
      <c r="H3438">
        <v>1</v>
      </c>
    </row>
    <row r="3439" spans="1:8" x14ac:dyDescent="0.25">
      <c r="A3439" t="s">
        <v>632</v>
      </c>
      <c r="B3439" t="s">
        <v>3214</v>
      </c>
      <c r="C3439" t="s">
        <v>3218</v>
      </c>
      <c r="D3439" t="s">
        <v>3222</v>
      </c>
      <c r="E3439" t="s">
        <v>3226</v>
      </c>
      <c r="F3439">
        <v>69856.460000000006</v>
      </c>
      <c r="G3439">
        <v>47182.57</v>
      </c>
      <c r="H3439">
        <v>5</v>
      </c>
    </row>
    <row r="3440" spans="1:8" x14ac:dyDescent="0.25">
      <c r="A3440" t="s">
        <v>2848</v>
      </c>
      <c r="C3440" t="s">
        <v>3216</v>
      </c>
      <c r="D3440" t="s">
        <v>3224</v>
      </c>
      <c r="E3440" t="s">
        <v>3226</v>
      </c>
      <c r="F3440">
        <v>143450.14000000001</v>
      </c>
      <c r="G3440">
        <v>84224.21</v>
      </c>
      <c r="H3440">
        <v>2</v>
      </c>
    </row>
    <row r="3441" spans="1:8" x14ac:dyDescent="0.25">
      <c r="A3441" t="s">
        <v>2849</v>
      </c>
      <c r="B3441" t="s">
        <v>3215</v>
      </c>
      <c r="C3441" t="s">
        <v>3220</v>
      </c>
      <c r="D3441" t="s">
        <v>3224</v>
      </c>
      <c r="E3441" t="s">
        <v>3226</v>
      </c>
      <c r="F3441">
        <v>290034.12</v>
      </c>
      <c r="H3441">
        <v>5</v>
      </c>
    </row>
    <row r="3442" spans="1:8" x14ac:dyDescent="0.25">
      <c r="A3442" t="s">
        <v>2850</v>
      </c>
      <c r="B3442" t="s">
        <v>3211</v>
      </c>
      <c r="C3442" t="s">
        <v>3217</v>
      </c>
      <c r="D3442" t="s">
        <v>3224</v>
      </c>
      <c r="E3442" t="s">
        <v>3226</v>
      </c>
      <c r="F3442">
        <v>137026.19</v>
      </c>
      <c r="G3442">
        <v>93236.45</v>
      </c>
      <c r="H3442">
        <v>2</v>
      </c>
    </row>
    <row r="3443" spans="1:8" x14ac:dyDescent="0.25">
      <c r="A3443" t="s">
        <v>2851</v>
      </c>
      <c r="B3443" t="s">
        <v>3214</v>
      </c>
      <c r="C3443" t="s">
        <v>3219</v>
      </c>
      <c r="D3443" t="s">
        <v>3225</v>
      </c>
      <c r="E3443" t="s">
        <v>3226</v>
      </c>
      <c r="F3443">
        <v>46058.26</v>
      </c>
      <c r="G3443">
        <v>24012.76</v>
      </c>
      <c r="H3443">
        <v>2</v>
      </c>
    </row>
    <row r="3444" spans="1:8" x14ac:dyDescent="0.25">
      <c r="A3444" t="s">
        <v>2852</v>
      </c>
      <c r="B3444" t="s">
        <v>3212</v>
      </c>
      <c r="C3444" t="s">
        <v>3221</v>
      </c>
      <c r="D3444" t="s">
        <v>3223</v>
      </c>
      <c r="E3444" t="s">
        <v>3226</v>
      </c>
      <c r="F3444">
        <v>25717.23</v>
      </c>
      <c r="G3444">
        <v>19801.96</v>
      </c>
    </row>
    <row r="3445" spans="1:8" x14ac:dyDescent="0.25">
      <c r="A3445" t="s">
        <v>151</v>
      </c>
      <c r="B3445" t="s">
        <v>3213</v>
      </c>
      <c r="C3445" t="s">
        <v>3216</v>
      </c>
      <c r="D3445" t="s">
        <v>3223</v>
      </c>
      <c r="E3445" t="s">
        <v>3226</v>
      </c>
      <c r="F3445">
        <v>48111.02</v>
      </c>
      <c r="G3445">
        <v>36071.480000000003</v>
      </c>
      <c r="H3445">
        <v>5</v>
      </c>
    </row>
    <row r="3446" spans="1:8" x14ac:dyDescent="0.25">
      <c r="A3446" t="s">
        <v>186</v>
      </c>
      <c r="B3446" t="s">
        <v>3213</v>
      </c>
      <c r="C3446" t="s">
        <v>3216</v>
      </c>
      <c r="D3446" t="s">
        <v>3223</v>
      </c>
      <c r="E3446" t="s">
        <v>3226</v>
      </c>
      <c r="G3446">
        <v>6127.99</v>
      </c>
      <c r="H3446">
        <v>1</v>
      </c>
    </row>
    <row r="3447" spans="1:8" x14ac:dyDescent="0.25">
      <c r="A3447" t="s">
        <v>1732</v>
      </c>
      <c r="B3447" t="s">
        <v>3212</v>
      </c>
      <c r="C3447" t="s">
        <v>3217</v>
      </c>
      <c r="D3447" t="s">
        <v>3222</v>
      </c>
      <c r="E3447" t="s">
        <v>3226</v>
      </c>
      <c r="F3447">
        <v>86125.19</v>
      </c>
      <c r="H3447">
        <v>5</v>
      </c>
    </row>
    <row r="3448" spans="1:8" x14ac:dyDescent="0.25">
      <c r="A3448" t="s">
        <v>2853</v>
      </c>
      <c r="B3448" t="s">
        <v>3213</v>
      </c>
      <c r="C3448" t="s">
        <v>3217</v>
      </c>
      <c r="D3448" t="s">
        <v>3222</v>
      </c>
      <c r="E3448" t="s">
        <v>3226</v>
      </c>
      <c r="G3448">
        <v>20438.91</v>
      </c>
      <c r="H3448">
        <v>2</v>
      </c>
    </row>
    <row r="3449" spans="1:8" x14ac:dyDescent="0.25">
      <c r="A3449" t="s">
        <v>350</v>
      </c>
      <c r="B3449" t="s">
        <v>3215</v>
      </c>
      <c r="C3449" t="s">
        <v>3221</v>
      </c>
      <c r="D3449" t="s">
        <v>3222</v>
      </c>
      <c r="E3449" t="s">
        <v>3226</v>
      </c>
      <c r="F3449">
        <v>27309.79</v>
      </c>
      <c r="G3449">
        <v>18539.41</v>
      </c>
      <c r="H3449">
        <v>2</v>
      </c>
    </row>
    <row r="3450" spans="1:8" x14ac:dyDescent="0.25">
      <c r="A3450" t="s">
        <v>2854</v>
      </c>
      <c r="C3450" t="s">
        <v>3217</v>
      </c>
      <c r="D3450" t="s">
        <v>3225</v>
      </c>
      <c r="E3450" t="s">
        <v>3226</v>
      </c>
      <c r="F3450">
        <v>21462.39</v>
      </c>
      <c r="G3450">
        <v>13323.06</v>
      </c>
      <c r="H3450">
        <v>1</v>
      </c>
    </row>
    <row r="3451" spans="1:8" x14ac:dyDescent="0.25">
      <c r="A3451" t="s">
        <v>2855</v>
      </c>
      <c r="B3451" t="s">
        <v>3213</v>
      </c>
      <c r="C3451" t="s">
        <v>3218</v>
      </c>
      <c r="D3451" t="s">
        <v>3222</v>
      </c>
      <c r="E3451" t="s">
        <v>3226</v>
      </c>
      <c r="F3451">
        <v>35507.160000000003</v>
      </c>
      <c r="G3451">
        <v>18052.22</v>
      </c>
      <c r="H3451">
        <v>2</v>
      </c>
    </row>
    <row r="3452" spans="1:8" x14ac:dyDescent="0.25">
      <c r="A3452" t="s">
        <v>2663</v>
      </c>
      <c r="B3452" t="s">
        <v>3211</v>
      </c>
      <c r="C3452" t="s">
        <v>3219</v>
      </c>
      <c r="D3452" t="s">
        <v>3224</v>
      </c>
      <c r="E3452" t="s">
        <v>3226</v>
      </c>
      <c r="F3452">
        <v>146044.12</v>
      </c>
      <c r="G3452">
        <v>117372.82</v>
      </c>
      <c r="H3452">
        <v>3</v>
      </c>
    </row>
    <row r="3453" spans="1:8" x14ac:dyDescent="0.25">
      <c r="A3453" t="s">
        <v>2856</v>
      </c>
      <c r="C3453" t="s">
        <v>3216</v>
      </c>
      <c r="D3453" t="s">
        <v>3222</v>
      </c>
      <c r="E3453" t="s">
        <v>3226</v>
      </c>
      <c r="F3453">
        <v>50500.98</v>
      </c>
      <c r="G3453">
        <v>27549.84</v>
      </c>
      <c r="H3453">
        <v>3</v>
      </c>
    </row>
    <row r="3454" spans="1:8" x14ac:dyDescent="0.25">
      <c r="A3454" t="s">
        <v>960</v>
      </c>
      <c r="B3454" t="s">
        <v>3212</v>
      </c>
      <c r="C3454" t="s">
        <v>3219</v>
      </c>
      <c r="D3454" t="s">
        <v>3225</v>
      </c>
      <c r="E3454" t="s">
        <v>3226</v>
      </c>
      <c r="F3454">
        <v>113109.82</v>
      </c>
      <c r="G3454">
        <v>66260.149999999994</v>
      </c>
      <c r="H3454">
        <v>5</v>
      </c>
    </row>
    <row r="3455" spans="1:8" x14ac:dyDescent="0.25">
      <c r="A3455" t="s">
        <v>2857</v>
      </c>
      <c r="C3455" t="s">
        <v>3219</v>
      </c>
      <c r="D3455" t="s">
        <v>3224</v>
      </c>
      <c r="E3455" t="s">
        <v>3226</v>
      </c>
      <c r="F3455">
        <v>156200.95999999999</v>
      </c>
      <c r="G3455">
        <v>125384.17</v>
      </c>
      <c r="H3455">
        <v>3</v>
      </c>
    </row>
    <row r="3456" spans="1:8" x14ac:dyDescent="0.25">
      <c r="A3456" t="s">
        <v>2858</v>
      </c>
      <c r="B3456" t="s">
        <v>3213</v>
      </c>
      <c r="C3456" t="s">
        <v>3219</v>
      </c>
      <c r="D3456" t="s">
        <v>3224</v>
      </c>
      <c r="E3456" t="s">
        <v>3226</v>
      </c>
      <c r="F3456">
        <v>115953.43</v>
      </c>
      <c r="G3456">
        <v>85011</v>
      </c>
      <c r="H3456">
        <v>2</v>
      </c>
    </row>
    <row r="3457" spans="1:8" x14ac:dyDescent="0.25">
      <c r="A3457" t="s">
        <v>2859</v>
      </c>
      <c r="B3457" t="s">
        <v>3215</v>
      </c>
      <c r="C3457" t="s">
        <v>3217</v>
      </c>
      <c r="D3457" t="s">
        <v>3224</v>
      </c>
      <c r="E3457" t="s">
        <v>3226</v>
      </c>
      <c r="F3457">
        <v>147562.81</v>
      </c>
      <c r="G3457">
        <v>118102.09</v>
      </c>
      <c r="H3457">
        <v>3</v>
      </c>
    </row>
    <row r="3458" spans="1:8" x14ac:dyDescent="0.25">
      <c r="A3458" t="s">
        <v>2860</v>
      </c>
      <c r="B3458" t="s">
        <v>3211</v>
      </c>
      <c r="C3458" t="s">
        <v>3218</v>
      </c>
      <c r="D3458" t="s">
        <v>3222</v>
      </c>
      <c r="E3458" t="s">
        <v>3226</v>
      </c>
      <c r="F3458">
        <v>83002.149999999994</v>
      </c>
      <c r="H3458">
        <v>5</v>
      </c>
    </row>
    <row r="3459" spans="1:8" x14ac:dyDescent="0.25">
      <c r="A3459" t="s">
        <v>2861</v>
      </c>
      <c r="C3459" t="s">
        <v>3221</v>
      </c>
      <c r="D3459" t="s">
        <v>3224</v>
      </c>
      <c r="E3459" t="s">
        <v>3226</v>
      </c>
      <c r="F3459">
        <v>99780.15</v>
      </c>
      <c r="G3459">
        <v>77280.44</v>
      </c>
      <c r="H3459">
        <v>2</v>
      </c>
    </row>
    <row r="3460" spans="1:8" x14ac:dyDescent="0.25">
      <c r="A3460" t="s">
        <v>94</v>
      </c>
      <c r="C3460" t="s">
        <v>3219</v>
      </c>
      <c r="D3460" t="s">
        <v>3225</v>
      </c>
      <c r="E3460" t="s">
        <v>3226</v>
      </c>
      <c r="F3460">
        <v>43310.71</v>
      </c>
      <c r="H3460">
        <v>2</v>
      </c>
    </row>
    <row r="3461" spans="1:8" x14ac:dyDescent="0.25">
      <c r="A3461" t="s">
        <v>1898</v>
      </c>
      <c r="B3461" t="s">
        <v>3211</v>
      </c>
      <c r="C3461" t="s">
        <v>3216</v>
      </c>
      <c r="D3461" t="s">
        <v>3223</v>
      </c>
      <c r="E3461" t="s">
        <v>3226</v>
      </c>
      <c r="F3461">
        <v>34372.199999999997</v>
      </c>
      <c r="G3461">
        <v>19149.169999999998</v>
      </c>
      <c r="H3461">
        <v>3</v>
      </c>
    </row>
    <row r="3462" spans="1:8" x14ac:dyDescent="0.25">
      <c r="A3462" t="s">
        <v>2423</v>
      </c>
      <c r="B3462" t="s">
        <v>3212</v>
      </c>
      <c r="C3462" t="s">
        <v>3220</v>
      </c>
      <c r="D3462" t="s">
        <v>3222</v>
      </c>
      <c r="E3462" t="s">
        <v>3226</v>
      </c>
      <c r="F3462">
        <v>61743.9</v>
      </c>
      <c r="G3462">
        <v>42801.8</v>
      </c>
      <c r="H3462">
        <v>4</v>
      </c>
    </row>
    <row r="3463" spans="1:8" x14ac:dyDescent="0.25">
      <c r="A3463" t="s">
        <v>1480</v>
      </c>
      <c r="B3463" t="s">
        <v>3213</v>
      </c>
      <c r="C3463" t="s">
        <v>3221</v>
      </c>
      <c r="D3463" t="s">
        <v>3222</v>
      </c>
      <c r="E3463" t="s">
        <v>3226</v>
      </c>
      <c r="F3463">
        <v>13704.12</v>
      </c>
      <c r="G3463">
        <v>10614.99</v>
      </c>
    </row>
    <row r="3464" spans="1:8" x14ac:dyDescent="0.25">
      <c r="A3464" t="s">
        <v>2862</v>
      </c>
      <c r="B3464" t="s">
        <v>3213</v>
      </c>
      <c r="C3464" t="s">
        <v>3219</v>
      </c>
      <c r="D3464" t="s">
        <v>3225</v>
      </c>
      <c r="E3464" t="s">
        <v>3226</v>
      </c>
      <c r="F3464">
        <v>39035.33</v>
      </c>
      <c r="G3464">
        <v>27465.84</v>
      </c>
    </row>
    <row r="3465" spans="1:8" x14ac:dyDescent="0.25">
      <c r="A3465" t="s">
        <v>2863</v>
      </c>
      <c r="B3465" t="s">
        <v>3214</v>
      </c>
      <c r="C3465" t="s">
        <v>3218</v>
      </c>
      <c r="D3465" t="s">
        <v>3224</v>
      </c>
      <c r="E3465" t="s">
        <v>3226</v>
      </c>
      <c r="F3465">
        <v>48215.17</v>
      </c>
      <c r="G3465">
        <v>48996.02</v>
      </c>
      <c r="H3465">
        <v>1</v>
      </c>
    </row>
    <row r="3466" spans="1:8" x14ac:dyDescent="0.25">
      <c r="A3466" t="s">
        <v>2864</v>
      </c>
      <c r="B3466" t="s">
        <v>3211</v>
      </c>
      <c r="C3466" t="s">
        <v>3219</v>
      </c>
      <c r="D3466" t="s">
        <v>3222</v>
      </c>
      <c r="E3466" t="s">
        <v>3226</v>
      </c>
      <c r="F3466">
        <v>53348.61</v>
      </c>
      <c r="G3466">
        <v>31452.67</v>
      </c>
      <c r="H3466">
        <v>3</v>
      </c>
    </row>
    <row r="3467" spans="1:8" x14ac:dyDescent="0.25">
      <c r="A3467" t="s">
        <v>2865</v>
      </c>
      <c r="B3467" t="s">
        <v>3215</v>
      </c>
      <c r="C3467" t="s">
        <v>3217</v>
      </c>
      <c r="D3467" t="s">
        <v>3224</v>
      </c>
      <c r="E3467" t="s">
        <v>3226</v>
      </c>
      <c r="F3467">
        <v>200860.27</v>
      </c>
      <c r="G3467">
        <v>172467.61</v>
      </c>
      <c r="H3467">
        <v>4</v>
      </c>
    </row>
    <row r="3468" spans="1:8" x14ac:dyDescent="0.25">
      <c r="A3468" t="s">
        <v>2137</v>
      </c>
      <c r="B3468" t="s">
        <v>3211</v>
      </c>
      <c r="C3468" t="s">
        <v>3221</v>
      </c>
      <c r="D3468" t="s">
        <v>3224</v>
      </c>
      <c r="E3468" t="s">
        <v>3226</v>
      </c>
      <c r="F3468">
        <v>142995.99</v>
      </c>
      <c r="G3468">
        <v>86908.34</v>
      </c>
      <c r="H3468">
        <v>2</v>
      </c>
    </row>
    <row r="3469" spans="1:8" x14ac:dyDescent="0.25">
      <c r="A3469" t="s">
        <v>2483</v>
      </c>
      <c r="B3469" t="s">
        <v>3212</v>
      </c>
      <c r="C3469" t="s">
        <v>3221</v>
      </c>
      <c r="D3469" t="s">
        <v>3223</v>
      </c>
      <c r="E3469" t="s">
        <v>3226</v>
      </c>
      <c r="F3469">
        <v>54169.25</v>
      </c>
      <c r="G3469">
        <v>38421.949999999997</v>
      </c>
      <c r="H3469">
        <v>5</v>
      </c>
    </row>
    <row r="3470" spans="1:8" x14ac:dyDescent="0.25">
      <c r="A3470" t="s">
        <v>2082</v>
      </c>
      <c r="B3470" t="s">
        <v>3214</v>
      </c>
      <c r="C3470" t="s">
        <v>3220</v>
      </c>
      <c r="D3470" t="s">
        <v>3222</v>
      </c>
      <c r="E3470" t="s">
        <v>3226</v>
      </c>
      <c r="F3470">
        <v>53575.03</v>
      </c>
      <c r="G3470">
        <v>42645.02</v>
      </c>
      <c r="H3470">
        <v>4</v>
      </c>
    </row>
    <row r="3471" spans="1:8" x14ac:dyDescent="0.25">
      <c r="A3471" t="s">
        <v>2866</v>
      </c>
      <c r="B3471" t="s">
        <v>3212</v>
      </c>
      <c r="C3471" t="s">
        <v>3217</v>
      </c>
      <c r="D3471" t="s">
        <v>3224</v>
      </c>
      <c r="E3471" t="s">
        <v>3226</v>
      </c>
      <c r="F3471">
        <v>122335.78</v>
      </c>
      <c r="G3471">
        <v>82029.42</v>
      </c>
      <c r="H3471">
        <v>2</v>
      </c>
    </row>
    <row r="3472" spans="1:8" x14ac:dyDescent="0.25">
      <c r="A3472" t="s">
        <v>2867</v>
      </c>
      <c r="B3472" t="s">
        <v>3211</v>
      </c>
      <c r="C3472" t="s">
        <v>3219</v>
      </c>
      <c r="D3472" t="s">
        <v>3223</v>
      </c>
      <c r="E3472" t="s">
        <v>3226</v>
      </c>
      <c r="F3472">
        <v>40111.699999999997</v>
      </c>
      <c r="G3472">
        <v>26226.59</v>
      </c>
      <c r="H3472">
        <v>4</v>
      </c>
    </row>
    <row r="3473" spans="1:8" x14ac:dyDescent="0.25">
      <c r="A3473" t="s">
        <v>1332</v>
      </c>
      <c r="B3473" t="s">
        <v>3215</v>
      </c>
      <c r="C3473" t="s">
        <v>3221</v>
      </c>
      <c r="D3473" t="s">
        <v>3225</v>
      </c>
      <c r="E3473" t="s">
        <v>3226</v>
      </c>
      <c r="F3473">
        <v>17873.27</v>
      </c>
      <c r="G3473">
        <v>12694.93</v>
      </c>
      <c r="H3473">
        <v>1</v>
      </c>
    </row>
    <row r="3474" spans="1:8" x14ac:dyDescent="0.25">
      <c r="A3474" t="s">
        <v>2868</v>
      </c>
      <c r="B3474" t="s">
        <v>3215</v>
      </c>
      <c r="C3474" t="s">
        <v>3218</v>
      </c>
      <c r="D3474" t="s">
        <v>3223</v>
      </c>
      <c r="E3474" t="s">
        <v>3226</v>
      </c>
      <c r="F3474">
        <v>46879.44</v>
      </c>
      <c r="G3474">
        <v>32466.09</v>
      </c>
      <c r="H3474">
        <v>5</v>
      </c>
    </row>
    <row r="3475" spans="1:8" x14ac:dyDescent="0.25">
      <c r="A3475" t="s">
        <v>58</v>
      </c>
      <c r="B3475" t="s">
        <v>3211</v>
      </c>
      <c r="C3475" t="s">
        <v>3220</v>
      </c>
      <c r="D3475" t="s">
        <v>3222</v>
      </c>
      <c r="E3475" t="s">
        <v>3226</v>
      </c>
      <c r="F3475">
        <v>15281.78</v>
      </c>
      <c r="G3475">
        <v>9092.42</v>
      </c>
      <c r="H3475">
        <v>1</v>
      </c>
    </row>
    <row r="3476" spans="1:8" x14ac:dyDescent="0.25">
      <c r="A3476" t="s">
        <v>2869</v>
      </c>
      <c r="B3476" t="s">
        <v>3212</v>
      </c>
      <c r="C3476" t="s">
        <v>3221</v>
      </c>
      <c r="D3476" t="s">
        <v>3223</v>
      </c>
      <c r="E3476" t="s">
        <v>3226</v>
      </c>
      <c r="F3476">
        <v>9709.2099999999991</v>
      </c>
      <c r="G3476">
        <v>7294.13</v>
      </c>
      <c r="H3476">
        <v>1</v>
      </c>
    </row>
    <row r="3477" spans="1:8" x14ac:dyDescent="0.25">
      <c r="A3477" t="s">
        <v>2870</v>
      </c>
      <c r="B3477" t="s">
        <v>3211</v>
      </c>
      <c r="C3477" t="s">
        <v>3218</v>
      </c>
      <c r="D3477" t="s">
        <v>3223</v>
      </c>
      <c r="E3477" t="s">
        <v>3226</v>
      </c>
      <c r="F3477">
        <v>22190.95</v>
      </c>
      <c r="G3477">
        <v>12802.26</v>
      </c>
      <c r="H3477">
        <v>2</v>
      </c>
    </row>
    <row r="3478" spans="1:8" x14ac:dyDescent="0.25">
      <c r="A3478" t="s">
        <v>2871</v>
      </c>
      <c r="B3478" t="s">
        <v>3211</v>
      </c>
      <c r="C3478" t="s">
        <v>3217</v>
      </c>
      <c r="D3478" t="s">
        <v>3222</v>
      </c>
      <c r="E3478" t="s">
        <v>3226</v>
      </c>
      <c r="F3478">
        <v>40052.11</v>
      </c>
      <c r="G3478">
        <v>32899.96</v>
      </c>
      <c r="H3478">
        <v>3</v>
      </c>
    </row>
    <row r="3479" spans="1:8" x14ac:dyDescent="0.25">
      <c r="A3479" t="s">
        <v>2104</v>
      </c>
      <c r="C3479" t="s">
        <v>3216</v>
      </c>
      <c r="D3479" t="s">
        <v>3224</v>
      </c>
      <c r="E3479" t="s">
        <v>3226</v>
      </c>
      <c r="F3479">
        <v>198176.93</v>
      </c>
      <c r="G3479">
        <v>144096.95999999999</v>
      </c>
      <c r="H3479">
        <v>3</v>
      </c>
    </row>
    <row r="3480" spans="1:8" x14ac:dyDescent="0.25">
      <c r="A3480" t="s">
        <v>1665</v>
      </c>
      <c r="B3480" t="s">
        <v>3215</v>
      </c>
      <c r="C3480" t="s">
        <v>3216</v>
      </c>
      <c r="D3480" t="s">
        <v>3222</v>
      </c>
      <c r="E3480" t="s">
        <v>3226</v>
      </c>
      <c r="F3480">
        <v>68857.87</v>
      </c>
      <c r="G3480">
        <v>47186.63</v>
      </c>
      <c r="H3480">
        <v>5</v>
      </c>
    </row>
    <row r="3481" spans="1:8" x14ac:dyDescent="0.25">
      <c r="A3481" t="s">
        <v>1270</v>
      </c>
      <c r="B3481" t="s">
        <v>3214</v>
      </c>
      <c r="C3481" t="s">
        <v>3221</v>
      </c>
      <c r="D3481" t="s">
        <v>3223</v>
      </c>
      <c r="E3481" t="s">
        <v>3226</v>
      </c>
      <c r="F3481">
        <v>26303.49</v>
      </c>
      <c r="G3481">
        <v>21538.73</v>
      </c>
      <c r="H3481">
        <v>3</v>
      </c>
    </row>
    <row r="3482" spans="1:8" x14ac:dyDescent="0.25">
      <c r="A3482" t="s">
        <v>1344</v>
      </c>
      <c r="B3482" t="s">
        <v>3213</v>
      </c>
      <c r="C3482" t="s">
        <v>3217</v>
      </c>
      <c r="D3482" t="s">
        <v>3224</v>
      </c>
      <c r="E3482" t="s">
        <v>3226</v>
      </c>
      <c r="F3482">
        <v>103278.07</v>
      </c>
      <c r="G3482">
        <v>86165.86</v>
      </c>
      <c r="H3482">
        <v>2</v>
      </c>
    </row>
    <row r="3483" spans="1:8" x14ac:dyDescent="0.25">
      <c r="A3483" t="s">
        <v>2872</v>
      </c>
      <c r="B3483" t="s">
        <v>3214</v>
      </c>
      <c r="C3483" t="s">
        <v>3217</v>
      </c>
      <c r="D3483" t="s">
        <v>3225</v>
      </c>
      <c r="E3483" t="s">
        <v>3226</v>
      </c>
      <c r="F3483">
        <v>83296.58</v>
      </c>
      <c r="G3483">
        <v>58102.04</v>
      </c>
      <c r="H3483">
        <v>4</v>
      </c>
    </row>
    <row r="3484" spans="1:8" x14ac:dyDescent="0.25">
      <c r="A3484" t="s">
        <v>2873</v>
      </c>
      <c r="B3484" t="s">
        <v>3212</v>
      </c>
      <c r="C3484" t="s">
        <v>3219</v>
      </c>
      <c r="D3484" t="s">
        <v>3222</v>
      </c>
      <c r="E3484" t="s">
        <v>3226</v>
      </c>
      <c r="F3484">
        <v>35192.93</v>
      </c>
      <c r="G3484">
        <v>17288.38</v>
      </c>
      <c r="H3484">
        <v>2</v>
      </c>
    </row>
    <row r="3485" spans="1:8" x14ac:dyDescent="0.25">
      <c r="A3485" t="s">
        <v>2874</v>
      </c>
      <c r="B3485" t="s">
        <v>3214</v>
      </c>
      <c r="C3485" t="s">
        <v>3217</v>
      </c>
      <c r="D3485" t="s">
        <v>3225</v>
      </c>
      <c r="E3485" t="s">
        <v>3226</v>
      </c>
      <c r="F3485">
        <v>41387.47</v>
      </c>
      <c r="G3485">
        <v>24667.01</v>
      </c>
      <c r="H3485">
        <v>2</v>
      </c>
    </row>
    <row r="3486" spans="1:8" x14ac:dyDescent="0.25">
      <c r="A3486" t="s">
        <v>2102</v>
      </c>
      <c r="B3486" t="s">
        <v>3215</v>
      </c>
      <c r="C3486" t="s">
        <v>3217</v>
      </c>
      <c r="D3486" t="s">
        <v>3223</v>
      </c>
      <c r="E3486" t="s">
        <v>3226</v>
      </c>
      <c r="G3486">
        <v>36609.72</v>
      </c>
      <c r="H3486">
        <v>5</v>
      </c>
    </row>
    <row r="3487" spans="1:8" x14ac:dyDescent="0.25">
      <c r="A3487" t="s">
        <v>2875</v>
      </c>
      <c r="B3487" t="s">
        <v>3215</v>
      </c>
      <c r="C3487" t="s">
        <v>3218</v>
      </c>
      <c r="D3487" t="s">
        <v>3222</v>
      </c>
      <c r="E3487" t="s">
        <v>3226</v>
      </c>
      <c r="F3487">
        <v>37669.57</v>
      </c>
      <c r="H3487">
        <v>3</v>
      </c>
    </row>
    <row r="3488" spans="1:8" x14ac:dyDescent="0.25">
      <c r="A3488" t="s">
        <v>2876</v>
      </c>
      <c r="C3488" t="s">
        <v>3220</v>
      </c>
      <c r="D3488" t="s">
        <v>3222</v>
      </c>
      <c r="E3488" t="s">
        <v>3226</v>
      </c>
      <c r="F3488">
        <v>61185.99</v>
      </c>
      <c r="G3488">
        <v>39348.75</v>
      </c>
      <c r="H3488">
        <v>4</v>
      </c>
    </row>
    <row r="3489" spans="1:8" x14ac:dyDescent="0.25">
      <c r="A3489" t="s">
        <v>2877</v>
      </c>
      <c r="B3489" t="s">
        <v>3215</v>
      </c>
      <c r="C3489" t="s">
        <v>3218</v>
      </c>
      <c r="D3489" t="s">
        <v>3222</v>
      </c>
      <c r="E3489" t="s">
        <v>3226</v>
      </c>
      <c r="F3489">
        <v>63431.81</v>
      </c>
      <c r="G3489">
        <v>37961.660000000003</v>
      </c>
      <c r="H3489">
        <v>4</v>
      </c>
    </row>
    <row r="3490" spans="1:8" x14ac:dyDescent="0.25">
      <c r="A3490" t="s">
        <v>2878</v>
      </c>
      <c r="C3490" t="s">
        <v>3218</v>
      </c>
      <c r="D3490" t="s">
        <v>3224</v>
      </c>
      <c r="E3490" t="s">
        <v>3226</v>
      </c>
      <c r="G3490">
        <v>125733.68</v>
      </c>
      <c r="H3490">
        <v>3</v>
      </c>
    </row>
    <row r="3491" spans="1:8" x14ac:dyDescent="0.25">
      <c r="A3491" t="s">
        <v>2879</v>
      </c>
      <c r="B3491" t="s">
        <v>3211</v>
      </c>
      <c r="C3491" t="s">
        <v>3216</v>
      </c>
      <c r="D3491" t="s">
        <v>3223</v>
      </c>
      <c r="E3491" t="s">
        <v>3226</v>
      </c>
      <c r="H3491">
        <v>4</v>
      </c>
    </row>
    <row r="3492" spans="1:8" x14ac:dyDescent="0.25">
      <c r="A3492" t="s">
        <v>2880</v>
      </c>
      <c r="B3492" t="s">
        <v>3212</v>
      </c>
      <c r="C3492" t="s">
        <v>3216</v>
      </c>
      <c r="D3492" t="s">
        <v>3224</v>
      </c>
      <c r="E3492" t="s">
        <v>3226</v>
      </c>
      <c r="F3492">
        <v>71077.210000000006</v>
      </c>
      <c r="G3492">
        <v>44286.03</v>
      </c>
    </row>
    <row r="3493" spans="1:8" x14ac:dyDescent="0.25">
      <c r="A3493" t="s">
        <v>265</v>
      </c>
      <c r="C3493" t="s">
        <v>3218</v>
      </c>
      <c r="D3493" t="s">
        <v>3224</v>
      </c>
      <c r="E3493" t="s">
        <v>3226</v>
      </c>
      <c r="F3493">
        <v>112675.15</v>
      </c>
      <c r="G3493">
        <v>79572.11</v>
      </c>
      <c r="H3493">
        <v>2</v>
      </c>
    </row>
    <row r="3494" spans="1:8" x14ac:dyDescent="0.25">
      <c r="A3494" t="s">
        <v>2621</v>
      </c>
      <c r="B3494" t="s">
        <v>3211</v>
      </c>
      <c r="C3494" t="s">
        <v>3216</v>
      </c>
      <c r="D3494" t="s">
        <v>3223</v>
      </c>
      <c r="E3494" t="s">
        <v>3226</v>
      </c>
      <c r="F3494">
        <v>10544.25</v>
      </c>
      <c r="G3494">
        <v>6073.82</v>
      </c>
      <c r="H3494">
        <v>1</v>
      </c>
    </row>
    <row r="3495" spans="1:8" x14ac:dyDescent="0.25">
      <c r="A3495" t="s">
        <v>1346</v>
      </c>
      <c r="B3495" t="s">
        <v>3212</v>
      </c>
      <c r="C3495" t="s">
        <v>3221</v>
      </c>
      <c r="D3495" t="s">
        <v>3223</v>
      </c>
      <c r="E3495" t="s">
        <v>3226</v>
      </c>
      <c r="F3495">
        <v>54435.06</v>
      </c>
      <c r="G3495">
        <v>37811.11</v>
      </c>
      <c r="H3495">
        <v>5</v>
      </c>
    </row>
    <row r="3496" spans="1:8" x14ac:dyDescent="0.25">
      <c r="A3496" t="s">
        <v>2881</v>
      </c>
      <c r="B3496" t="s">
        <v>3213</v>
      </c>
      <c r="C3496" t="s">
        <v>3217</v>
      </c>
      <c r="D3496" t="s">
        <v>3225</v>
      </c>
      <c r="E3496" t="s">
        <v>3226</v>
      </c>
      <c r="F3496">
        <v>71508.27</v>
      </c>
      <c r="G3496">
        <v>36629.120000000003</v>
      </c>
      <c r="H3496">
        <v>3</v>
      </c>
    </row>
    <row r="3497" spans="1:8" x14ac:dyDescent="0.25">
      <c r="A3497" t="s">
        <v>2882</v>
      </c>
      <c r="B3497" t="s">
        <v>3212</v>
      </c>
      <c r="C3497" t="s">
        <v>3218</v>
      </c>
      <c r="D3497" t="s">
        <v>3223</v>
      </c>
      <c r="E3497" t="s">
        <v>3226</v>
      </c>
      <c r="F3497">
        <v>9951.8799999999992</v>
      </c>
      <c r="G3497">
        <v>6753.14</v>
      </c>
      <c r="H3497">
        <v>1</v>
      </c>
    </row>
    <row r="3498" spans="1:8" x14ac:dyDescent="0.25">
      <c r="A3498" t="s">
        <v>2883</v>
      </c>
      <c r="B3498" t="s">
        <v>3212</v>
      </c>
      <c r="C3498" t="s">
        <v>3216</v>
      </c>
      <c r="D3498" t="s">
        <v>3222</v>
      </c>
      <c r="E3498" t="s">
        <v>3226</v>
      </c>
      <c r="F3498">
        <v>79709.47</v>
      </c>
      <c r="G3498">
        <v>49255.69</v>
      </c>
      <c r="H3498">
        <v>5</v>
      </c>
    </row>
    <row r="3499" spans="1:8" x14ac:dyDescent="0.25">
      <c r="A3499" t="s">
        <v>2884</v>
      </c>
      <c r="B3499" t="s">
        <v>3214</v>
      </c>
      <c r="C3499" t="s">
        <v>3218</v>
      </c>
      <c r="D3499" t="s">
        <v>3222</v>
      </c>
      <c r="E3499" t="s">
        <v>3226</v>
      </c>
      <c r="F3499">
        <v>16973.169999999998</v>
      </c>
      <c r="H3499">
        <v>1</v>
      </c>
    </row>
    <row r="3500" spans="1:8" x14ac:dyDescent="0.25">
      <c r="A3500" t="s">
        <v>1133</v>
      </c>
      <c r="B3500" t="s">
        <v>3214</v>
      </c>
      <c r="C3500" t="s">
        <v>3220</v>
      </c>
      <c r="D3500" t="s">
        <v>3222</v>
      </c>
      <c r="E3500" t="s">
        <v>3226</v>
      </c>
      <c r="F3500">
        <v>32151.22</v>
      </c>
      <c r="G3500">
        <v>17546.41</v>
      </c>
      <c r="H3500">
        <v>2</v>
      </c>
    </row>
    <row r="3501" spans="1:8" x14ac:dyDescent="0.25">
      <c r="A3501" t="s">
        <v>2885</v>
      </c>
      <c r="B3501" t="s">
        <v>3212</v>
      </c>
      <c r="C3501" t="s">
        <v>3221</v>
      </c>
      <c r="D3501" t="s">
        <v>3222</v>
      </c>
      <c r="E3501" t="s">
        <v>3226</v>
      </c>
      <c r="H3501">
        <v>3</v>
      </c>
    </row>
    <row r="3502" spans="1:8" x14ac:dyDescent="0.25">
      <c r="A3502" t="s">
        <v>612</v>
      </c>
      <c r="B3502" t="s">
        <v>3212</v>
      </c>
      <c r="C3502" t="s">
        <v>3217</v>
      </c>
      <c r="D3502" t="s">
        <v>3225</v>
      </c>
      <c r="E3502" t="s">
        <v>3226</v>
      </c>
      <c r="F3502">
        <v>51815.35</v>
      </c>
      <c r="G3502">
        <v>38949.18</v>
      </c>
      <c r="H3502">
        <v>3</v>
      </c>
    </row>
    <row r="3503" spans="1:8" x14ac:dyDescent="0.25">
      <c r="A3503" t="s">
        <v>2886</v>
      </c>
      <c r="B3503" t="s">
        <v>3212</v>
      </c>
      <c r="C3503" t="s">
        <v>3218</v>
      </c>
      <c r="D3503" t="s">
        <v>3222</v>
      </c>
      <c r="E3503" t="s">
        <v>3226</v>
      </c>
      <c r="F3503">
        <v>64400.47</v>
      </c>
      <c r="G3503">
        <v>36614.67</v>
      </c>
      <c r="H3503">
        <v>4</v>
      </c>
    </row>
    <row r="3504" spans="1:8" x14ac:dyDescent="0.25">
      <c r="A3504" t="s">
        <v>2887</v>
      </c>
      <c r="C3504" t="s">
        <v>3217</v>
      </c>
      <c r="D3504" t="s">
        <v>3224</v>
      </c>
      <c r="E3504" t="s">
        <v>3226</v>
      </c>
      <c r="F3504">
        <v>48556.23</v>
      </c>
      <c r="G3504">
        <v>47156.97</v>
      </c>
      <c r="H3504">
        <v>1</v>
      </c>
    </row>
    <row r="3505" spans="1:8" x14ac:dyDescent="0.25">
      <c r="A3505" t="s">
        <v>2888</v>
      </c>
      <c r="B3505" t="s">
        <v>3212</v>
      </c>
      <c r="C3505" t="s">
        <v>3218</v>
      </c>
      <c r="D3505" t="s">
        <v>3225</v>
      </c>
      <c r="E3505" t="s">
        <v>3226</v>
      </c>
      <c r="F3505">
        <v>115561.65</v>
      </c>
      <c r="G3505">
        <v>60261.52</v>
      </c>
      <c r="H3505">
        <v>5</v>
      </c>
    </row>
    <row r="3506" spans="1:8" x14ac:dyDescent="0.25">
      <c r="A3506" t="s">
        <v>1918</v>
      </c>
      <c r="B3506" t="s">
        <v>3215</v>
      </c>
      <c r="C3506" t="s">
        <v>3219</v>
      </c>
      <c r="D3506" t="s">
        <v>3225</v>
      </c>
      <c r="E3506" t="s">
        <v>3226</v>
      </c>
      <c r="F3506">
        <v>75168.23</v>
      </c>
      <c r="G3506">
        <v>53160.4</v>
      </c>
      <c r="H3506">
        <v>4</v>
      </c>
    </row>
    <row r="3507" spans="1:8" x14ac:dyDescent="0.25">
      <c r="A3507" t="s">
        <v>2077</v>
      </c>
      <c r="B3507" t="s">
        <v>3214</v>
      </c>
      <c r="C3507" t="s">
        <v>3219</v>
      </c>
      <c r="D3507" t="s">
        <v>3222</v>
      </c>
      <c r="E3507" t="s">
        <v>3226</v>
      </c>
      <c r="F3507">
        <v>63997.59</v>
      </c>
      <c r="G3507">
        <v>36995.279999999999</v>
      </c>
      <c r="H3507">
        <v>4</v>
      </c>
    </row>
    <row r="3508" spans="1:8" x14ac:dyDescent="0.25">
      <c r="A3508" t="s">
        <v>2889</v>
      </c>
      <c r="B3508" t="s">
        <v>3212</v>
      </c>
      <c r="C3508" t="s">
        <v>3218</v>
      </c>
      <c r="D3508" t="s">
        <v>3224</v>
      </c>
      <c r="E3508" t="s">
        <v>3226</v>
      </c>
      <c r="F3508">
        <v>339777.07</v>
      </c>
      <c r="G3508">
        <v>221905.25</v>
      </c>
      <c r="H3508">
        <v>5</v>
      </c>
    </row>
    <row r="3509" spans="1:8" x14ac:dyDescent="0.25">
      <c r="A3509" t="s">
        <v>2890</v>
      </c>
      <c r="B3509" t="s">
        <v>3213</v>
      </c>
      <c r="C3509" t="s">
        <v>3220</v>
      </c>
      <c r="D3509" t="s">
        <v>3222</v>
      </c>
      <c r="E3509" t="s">
        <v>3226</v>
      </c>
      <c r="F3509">
        <v>87253.33</v>
      </c>
      <c r="G3509">
        <v>44506.239999999998</v>
      </c>
      <c r="H3509">
        <v>5</v>
      </c>
    </row>
    <row r="3510" spans="1:8" x14ac:dyDescent="0.25">
      <c r="A3510" t="s">
        <v>2891</v>
      </c>
      <c r="C3510" t="s">
        <v>3219</v>
      </c>
      <c r="D3510" t="s">
        <v>3224</v>
      </c>
      <c r="E3510" t="s">
        <v>3226</v>
      </c>
      <c r="F3510">
        <v>63725.83</v>
      </c>
      <c r="G3510">
        <v>45867.8</v>
      </c>
      <c r="H3510">
        <v>1</v>
      </c>
    </row>
    <row r="3511" spans="1:8" x14ac:dyDescent="0.25">
      <c r="A3511" t="s">
        <v>1822</v>
      </c>
      <c r="B3511" t="s">
        <v>3211</v>
      </c>
      <c r="C3511" t="s">
        <v>3217</v>
      </c>
      <c r="D3511" t="s">
        <v>3225</v>
      </c>
      <c r="E3511" t="s">
        <v>3226</v>
      </c>
      <c r="F3511">
        <v>61565.84</v>
      </c>
      <c r="G3511">
        <v>39088.18</v>
      </c>
      <c r="H3511">
        <v>3</v>
      </c>
    </row>
    <row r="3512" spans="1:8" x14ac:dyDescent="0.25">
      <c r="A3512" t="s">
        <v>2892</v>
      </c>
      <c r="B3512" t="s">
        <v>3214</v>
      </c>
      <c r="C3512" t="s">
        <v>3217</v>
      </c>
      <c r="D3512" t="s">
        <v>3225</v>
      </c>
      <c r="E3512" t="s">
        <v>3226</v>
      </c>
      <c r="F3512">
        <v>20174</v>
      </c>
      <c r="G3512">
        <v>12989.73</v>
      </c>
      <c r="H3512">
        <v>1</v>
      </c>
    </row>
    <row r="3513" spans="1:8" x14ac:dyDescent="0.25">
      <c r="A3513" t="s">
        <v>2893</v>
      </c>
      <c r="B3513" t="s">
        <v>3212</v>
      </c>
      <c r="C3513" t="s">
        <v>3216</v>
      </c>
      <c r="D3513" t="s">
        <v>3225</v>
      </c>
      <c r="E3513" t="s">
        <v>3226</v>
      </c>
      <c r="F3513">
        <v>54290.85</v>
      </c>
      <c r="G3513">
        <v>37212.5</v>
      </c>
      <c r="H3513">
        <v>3</v>
      </c>
    </row>
    <row r="3514" spans="1:8" x14ac:dyDescent="0.25">
      <c r="A3514" t="s">
        <v>2894</v>
      </c>
      <c r="B3514" t="s">
        <v>3211</v>
      </c>
      <c r="C3514" t="s">
        <v>3217</v>
      </c>
      <c r="D3514" t="s">
        <v>3222</v>
      </c>
      <c r="E3514" t="s">
        <v>3226</v>
      </c>
      <c r="G3514">
        <v>52296.33</v>
      </c>
      <c r="H3514">
        <v>5</v>
      </c>
    </row>
    <row r="3515" spans="1:8" x14ac:dyDescent="0.25">
      <c r="A3515" t="s">
        <v>2895</v>
      </c>
      <c r="B3515" t="s">
        <v>3211</v>
      </c>
      <c r="C3515" t="s">
        <v>3217</v>
      </c>
      <c r="D3515" t="s">
        <v>3225</v>
      </c>
      <c r="E3515" t="s">
        <v>3226</v>
      </c>
      <c r="F3515">
        <v>57578.27</v>
      </c>
      <c r="G3515">
        <v>41181.83</v>
      </c>
      <c r="H3515">
        <v>3</v>
      </c>
    </row>
    <row r="3516" spans="1:8" x14ac:dyDescent="0.25">
      <c r="A3516" t="s">
        <v>2896</v>
      </c>
      <c r="B3516" t="s">
        <v>3213</v>
      </c>
      <c r="C3516" t="s">
        <v>3218</v>
      </c>
      <c r="D3516" t="s">
        <v>3225</v>
      </c>
      <c r="E3516" t="s">
        <v>3226</v>
      </c>
      <c r="F3516">
        <v>33437.81</v>
      </c>
      <c r="G3516">
        <v>29942.52</v>
      </c>
      <c r="H3516">
        <v>2</v>
      </c>
    </row>
    <row r="3517" spans="1:8" x14ac:dyDescent="0.25">
      <c r="A3517" t="s">
        <v>2897</v>
      </c>
      <c r="B3517" t="s">
        <v>3215</v>
      </c>
      <c r="C3517" t="s">
        <v>3221</v>
      </c>
      <c r="D3517" t="s">
        <v>3222</v>
      </c>
      <c r="E3517" t="s">
        <v>3226</v>
      </c>
      <c r="F3517">
        <v>78509.75</v>
      </c>
      <c r="G3517">
        <v>43060.22</v>
      </c>
      <c r="H3517">
        <v>5</v>
      </c>
    </row>
    <row r="3518" spans="1:8" x14ac:dyDescent="0.25">
      <c r="A3518" t="s">
        <v>2898</v>
      </c>
      <c r="B3518" t="s">
        <v>3211</v>
      </c>
      <c r="C3518" t="s">
        <v>3219</v>
      </c>
      <c r="D3518" t="s">
        <v>3222</v>
      </c>
      <c r="E3518" t="s">
        <v>3226</v>
      </c>
      <c r="F3518">
        <v>82523.38</v>
      </c>
      <c r="G3518">
        <v>46512.23</v>
      </c>
      <c r="H3518">
        <v>5</v>
      </c>
    </row>
    <row r="3519" spans="1:8" x14ac:dyDescent="0.25">
      <c r="A3519" t="s">
        <v>2328</v>
      </c>
      <c r="B3519" t="s">
        <v>3212</v>
      </c>
      <c r="C3519" t="s">
        <v>3220</v>
      </c>
      <c r="D3519" t="s">
        <v>3225</v>
      </c>
      <c r="E3519" t="s">
        <v>3226</v>
      </c>
      <c r="F3519">
        <v>67881.990000000005</v>
      </c>
      <c r="G3519">
        <v>57310.36</v>
      </c>
      <c r="H3519">
        <v>4</v>
      </c>
    </row>
    <row r="3520" spans="1:8" x14ac:dyDescent="0.25">
      <c r="A3520" t="s">
        <v>2899</v>
      </c>
      <c r="B3520" t="s">
        <v>3211</v>
      </c>
      <c r="C3520" t="s">
        <v>3217</v>
      </c>
      <c r="D3520" t="s">
        <v>3223</v>
      </c>
      <c r="E3520" t="s">
        <v>3226</v>
      </c>
      <c r="F3520">
        <v>45224.03</v>
      </c>
      <c r="G3520">
        <v>27345.3</v>
      </c>
      <c r="H3520">
        <v>4</v>
      </c>
    </row>
    <row r="3521" spans="1:8" x14ac:dyDescent="0.25">
      <c r="A3521" t="s">
        <v>2900</v>
      </c>
      <c r="B3521" t="s">
        <v>3211</v>
      </c>
      <c r="C3521" t="s">
        <v>3219</v>
      </c>
      <c r="D3521" t="s">
        <v>3223</v>
      </c>
      <c r="E3521" t="s">
        <v>3226</v>
      </c>
      <c r="G3521">
        <v>18528.689999999999</v>
      </c>
      <c r="H3521">
        <v>3</v>
      </c>
    </row>
    <row r="3522" spans="1:8" x14ac:dyDescent="0.25">
      <c r="A3522" t="s">
        <v>977</v>
      </c>
      <c r="B3522" t="s">
        <v>3215</v>
      </c>
      <c r="C3522" t="s">
        <v>3221</v>
      </c>
      <c r="D3522" t="s">
        <v>3224</v>
      </c>
      <c r="E3522" t="s">
        <v>3226</v>
      </c>
      <c r="F3522">
        <v>164485.65</v>
      </c>
      <c r="H3522">
        <v>3</v>
      </c>
    </row>
    <row r="3523" spans="1:8" x14ac:dyDescent="0.25">
      <c r="A3523" t="s">
        <v>2901</v>
      </c>
      <c r="B3523" t="s">
        <v>3213</v>
      </c>
      <c r="C3523" t="s">
        <v>3221</v>
      </c>
      <c r="D3523" t="s">
        <v>3225</v>
      </c>
      <c r="E3523" t="s">
        <v>3226</v>
      </c>
      <c r="G3523">
        <v>40425.5</v>
      </c>
      <c r="H3523">
        <v>3</v>
      </c>
    </row>
    <row r="3524" spans="1:8" x14ac:dyDescent="0.25">
      <c r="A3524" t="s">
        <v>2902</v>
      </c>
      <c r="B3524" t="s">
        <v>3215</v>
      </c>
      <c r="C3524" t="s">
        <v>3221</v>
      </c>
      <c r="D3524" t="s">
        <v>3223</v>
      </c>
      <c r="E3524" t="s">
        <v>3226</v>
      </c>
      <c r="F3524">
        <v>18964.580000000002</v>
      </c>
      <c r="G3524">
        <v>14392.22</v>
      </c>
      <c r="H3524">
        <v>2</v>
      </c>
    </row>
    <row r="3525" spans="1:8" x14ac:dyDescent="0.25">
      <c r="A3525" t="s">
        <v>2903</v>
      </c>
      <c r="B3525" t="s">
        <v>3215</v>
      </c>
      <c r="C3525" t="s">
        <v>3219</v>
      </c>
      <c r="D3525" t="s">
        <v>3223</v>
      </c>
      <c r="E3525" t="s">
        <v>3226</v>
      </c>
      <c r="F3525">
        <v>48270.79</v>
      </c>
      <c r="H3525">
        <v>5</v>
      </c>
    </row>
    <row r="3526" spans="1:8" x14ac:dyDescent="0.25">
      <c r="A3526" t="s">
        <v>140</v>
      </c>
      <c r="B3526" t="s">
        <v>3212</v>
      </c>
      <c r="C3526" t="s">
        <v>3219</v>
      </c>
      <c r="D3526" t="s">
        <v>3224</v>
      </c>
      <c r="E3526" t="s">
        <v>3226</v>
      </c>
      <c r="F3526">
        <v>244255.8</v>
      </c>
      <c r="G3526">
        <v>192327.27</v>
      </c>
      <c r="H3526">
        <v>4</v>
      </c>
    </row>
    <row r="3527" spans="1:8" x14ac:dyDescent="0.25">
      <c r="A3527" t="s">
        <v>690</v>
      </c>
      <c r="B3527" t="s">
        <v>3212</v>
      </c>
      <c r="C3527" t="s">
        <v>3218</v>
      </c>
      <c r="D3527" t="s">
        <v>3224</v>
      </c>
      <c r="E3527" t="s">
        <v>3226</v>
      </c>
      <c r="F3527">
        <v>227806.09</v>
      </c>
      <c r="G3527">
        <v>193116.76</v>
      </c>
      <c r="H3527">
        <v>4</v>
      </c>
    </row>
    <row r="3528" spans="1:8" x14ac:dyDescent="0.25">
      <c r="A3528" t="s">
        <v>2904</v>
      </c>
      <c r="B3528" t="s">
        <v>3214</v>
      </c>
      <c r="C3528" t="s">
        <v>3221</v>
      </c>
      <c r="D3528" t="s">
        <v>3222</v>
      </c>
      <c r="E3528" t="s">
        <v>3226</v>
      </c>
      <c r="F3528">
        <v>51416.6</v>
      </c>
      <c r="G3528">
        <v>26964.880000000001</v>
      </c>
      <c r="H3528">
        <v>3</v>
      </c>
    </row>
    <row r="3529" spans="1:8" x14ac:dyDescent="0.25">
      <c r="A3529" t="s">
        <v>2905</v>
      </c>
      <c r="B3529" t="s">
        <v>3214</v>
      </c>
      <c r="C3529" t="s">
        <v>3216</v>
      </c>
      <c r="D3529" t="s">
        <v>3222</v>
      </c>
      <c r="E3529" t="s">
        <v>3226</v>
      </c>
      <c r="F3529">
        <v>34188.68</v>
      </c>
      <c r="G3529">
        <v>17390.23</v>
      </c>
      <c r="H3529">
        <v>2</v>
      </c>
    </row>
    <row r="3530" spans="1:8" x14ac:dyDescent="0.25">
      <c r="A3530" t="s">
        <v>2906</v>
      </c>
      <c r="C3530" t="s">
        <v>3220</v>
      </c>
      <c r="D3530" t="s">
        <v>3224</v>
      </c>
      <c r="E3530" t="s">
        <v>3226</v>
      </c>
      <c r="F3530">
        <v>337776.98</v>
      </c>
      <c r="G3530">
        <v>196128.52</v>
      </c>
      <c r="H3530">
        <v>5</v>
      </c>
    </row>
    <row r="3531" spans="1:8" x14ac:dyDescent="0.25">
      <c r="A3531" t="s">
        <v>2907</v>
      </c>
      <c r="C3531" t="s">
        <v>3219</v>
      </c>
      <c r="D3531" t="s">
        <v>3224</v>
      </c>
      <c r="E3531" t="s">
        <v>3226</v>
      </c>
      <c r="F3531">
        <v>123256.6</v>
      </c>
      <c r="G3531">
        <v>90364.94</v>
      </c>
      <c r="H3531">
        <v>2</v>
      </c>
    </row>
    <row r="3532" spans="1:8" x14ac:dyDescent="0.25">
      <c r="A3532" t="s">
        <v>2908</v>
      </c>
      <c r="B3532" t="s">
        <v>3212</v>
      </c>
      <c r="C3532" t="s">
        <v>3221</v>
      </c>
      <c r="D3532" t="s">
        <v>3222</v>
      </c>
      <c r="E3532" t="s">
        <v>3226</v>
      </c>
      <c r="F3532">
        <v>25164.43</v>
      </c>
      <c r="G3532">
        <v>21737.15</v>
      </c>
      <c r="H3532">
        <v>2</v>
      </c>
    </row>
    <row r="3533" spans="1:8" x14ac:dyDescent="0.25">
      <c r="A3533" t="s">
        <v>2909</v>
      </c>
      <c r="B3533" t="s">
        <v>3211</v>
      </c>
      <c r="C3533" t="s">
        <v>3218</v>
      </c>
      <c r="D3533" t="s">
        <v>3224</v>
      </c>
      <c r="E3533" t="s">
        <v>3226</v>
      </c>
      <c r="F3533">
        <v>53775.62</v>
      </c>
      <c r="G3533">
        <v>46836.97</v>
      </c>
      <c r="H3533">
        <v>1</v>
      </c>
    </row>
    <row r="3534" spans="1:8" x14ac:dyDescent="0.25">
      <c r="A3534" t="s">
        <v>2910</v>
      </c>
      <c r="B3534" t="s">
        <v>3213</v>
      </c>
      <c r="C3534" t="s">
        <v>3221</v>
      </c>
      <c r="D3534" t="s">
        <v>3223</v>
      </c>
      <c r="E3534" t="s">
        <v>3226</v>
      </c>
      <c r="F3534">
        <v>18405.689999999999</v>
      </c>
      <c r="G3534">
        <v>13626.53</v>
      </c>
      <c r="H3534">
        <v>2</v>
      </c>
    </row>
    <row r="3535" spans="1:8" x14ac:dyDescent="0.25">
      <c r="A3535" t="s">
        <v>2911</v>
      </c>
      <c r="B3535" t="s">
        <v>3212</v>
      </c>
      <c r="C3535" t="s">
        <v>3221</v>
      </c>
      <c r="D3535" t="s">
        <v>3222</v>
      </c>
      <c r="E3535" t="s">
        <v>3226</v>
      </c>
      <c r="F3535">
        <v>16377.46</v>
      </c>
      <c r="G3535">
        <v>8641.27</v>
      </c>
      <c r="H3535">
        <v>1</v>
      </c>
    </row>
    <row r="3536" spans="1:8" x14ac:dyDescent="0.25">
      <c r="A3536" t="s">
        <v>2912</v>
      </c>
      <c r="B3536" t="s">
        <v>3215</v>
      </c>
      <c r="C3536" t="s">
        <v>3216</v>
      </c>
      <c r="D3536" t="s">
        <v>3224</v>
      </c>
      <c r="E3536" t="s">
        <v>3226</v>
      </c>
      <c r="F3536">
        <v>120084.96</v>
      </c>
      <c r="G3536">
        <v>79525.490000000005</v>
      </c>
      <c r="H3536">
        <v>2</v>
      </c>
    </row>
    <row r="3537" spans="1:8" x14ac:dyDescent="0.25">
      <c r="A3537" t="s">
        <v>2913</v>
      </c>
      <c r="B3537" t="s">
        <v>3215</v>
      </c>
      <c r="C3537" t="s">
        <v>3221</v>
      </c>
      <c r="D3537" t="s">
        <v>3224</v>
      </c>
      <c r="E3537" t="s">
        <v>3226</v>
      </c>
      <c r="F3537">
        <v>323209.63</v>
      </c>
      <c r="H3537">
        <v>5</v>
      </c>
    </row>
    <row r="3538" spans="1:8" x14ac:dyDescent="0.25">
      <c r="A3538" t="s">
        <v>2914</v>
      </c>
      <c r="B3538" t="s">
        <v>3211</v>
      </c>
      <c r="C3538" t="s">
        <v>3220</v>
      </c>
      <c r="D3538" t="s">
        <v>3223</v>
      </c>
      <c r="E3538" t="s">
        <v>3226</v>
      </c>
      <c r="F3538">
        <v>58575.24</v>
      </c>
      <c r="G3538">
        <v>33872.199999999997</v>
      </c>
      <c r="H3538">
        <v>5</v>
      </c>
    </row>
    <row r="3539" spans="1:8" x14ac:dyDescent="0.25">
      <c r="A3539" t="s">
        <v>2915</v>
      </c>
      <c r="B3539" t="s">
        <v>3214</v>
      </c>
      <c r="C3539" t="s">
        <v>3217</v>
      </c>
      <c r="D3539" t="s">
        <v>3222</v>
      </c>
      <c r="E3539" t="s">
        <v>3226</v>
      </c>
      <c r="F3539">
        <v>24983.98</v>
      </c>
      <c r="G3539">
        <v>18851.759999999998</v>
      </c>
      <c r="H3539">
        <v>2</v>
      </c>
    </row>
    <row r="3540" spans="1:8" x14ac:dyDescent="0.25">
      <c r="A3540" t="s">
        <v>2011</v>
      </c>
      <c r="B3540" t="s">
        <v>3215</v>
      </c>
      <c r="C3540" t="s">
        <v>3220</v>
      </c>
      <c r="D3540" t="s">
        <v>3223</v>
      </c>
      <c r="E3540" t="s">
        <v>3226</v>
      </c>
      <c r="F3540">
        <v>35792.07</v>
      </c>
      <c r="G3540">
        <v>29398.1</v>
      </c>
      <c r="H3540">
        <v>4</v>
      </c>
    </row>
    <row r="3541" spans="1:8" x14ac:dyDescent="0.25">
      <c r="A3541" t="s">
        <v>2916</v>
      </c>
      <c r="B3541" t="s">
        <v>3211</v>
      </c>
      <c r="C3541" t="s">
        <v>3221</v>
      </c>
      <c r="D3541" t="s">
        <v>3225</v>
      </c>
      <c r="E3541" t="s">
        <v>3226</v>
      </c>
      <c r="F3541">
        <v>118141.01</v>
      </c>
      <c r="G3541">
        <v>72369.149999999994</v>
      </c>
      <c r="H3541">
        <v>5</v>
      </c>
    </row>
    <row r="3542" spans="1:8" x14ac:dyDescent="0.25">
      <c r="A3542" t="s">
        <v>182</v>
      </c>
      <c r="B3542" t="s">
        <v>3215</v>
      </c>
      <c r="C3542" t="s">
        <v>3220</v>
      </c>
      <c r="D3542" t="s">
        <v>3224</v>
      </c>
      <c r="E3542" t="s">
        <v>3226</v>
      </c>
      <c r="G3542">
        <v>79688.350000000006</v>
      </c>
      <c r="H3542">
        <v>2</v>
      </c>
    </row>
    <row r="3543" spans="1:8" x14ac:dyDescent="0.25">
      <c r="A3543" t="s">
        <v>2265</v>
      </c>
      <c r="B3543" t="s">
        <v>3215</v>
      </c>
      <c r="C3543" t="s">
        <v>3217</v>
      </c>
      <c r="D3543" t="s">
        <v>3224</v>
      </c>
      <c r="E3543" t="s">
        <v>3226</v>
      </c>
      <c r="F3543">
        <v>214983.98</v>
      </c>
      <c r="G3543">
        <v>170017.45</v>
      </c>
      <c r="H3543">
        <v>4</v>
      </c>
    </row>
    <row r="3544" spans="1:8" x14ac:dyDescent="0.25">
      <c r="A3544" t="s">
        <v>148</v>
      </c>
      <c r="B3544" t="s">
        <v>3211</v>
      </c>
      <c r="C3544" t="s">
        <v>3217</v>
      </c>
      <c r="D3544" t="s">
        <v>3225</v>
      </c>
      <c r="E3544" t="s">
        <v>3226</v>
      </c>
      <c r="F3544">
        <v>34101.360000000001</v>
      </c>
      <c r="G3544">
        <v>30628.59</v>
      </c>
      <c r="H3544">
        <v>2</v>
      </c>
    </row>
    <row r="3545" spans="1:8" x14ac:dyDescent="0.25">
      <c r="A3545" t="s">
        <v>2917</v>
      </c>
      <c r="B3545" t="s">
        <v>3215</v>
      </c>
      <c r="C3545" t="s">
        <v>3221</v>
      </c>
      <c r="D3545" t="s">
        <v>3223</v>
      </c>
      <c r="E3545" t="s">
        <v>3226</v>
      </c>
      <c r="F3545">
        <v>56361.7</v>
      </c>
      <c r="G3545">
        <v>31859.95</v>
      </c>
      <c r="H3545">
        <v>5</v>
      </c>
    </row>
    <row r="3546" spans="1:8" x14ac:dyDescent="0.25">
      <c r="A3546" t="s">
        <v>2918</v>
      </c>
      <c r="B3546" t="s">
        <v>3213</v>
      </c>
      <c r="C3546" t="s">
        <v>3217</v>
      </c>
      <c r="D3546" t="s">
        <v>3225</v>
      </c>
      <c r="E3546" t="s">
        <v>3226</v>
      </c>
      <c r="F3546">
        <v>19917.439999999999</v>
      </c>
      <c r="H3546">
        <v>1</v>
      </c>
    </row>
    <row r="3547" spans="1:8" x14ac:dyDescent="0.25">
      <c r="A3547" t="s">
        <v>419</v>
      </c>
      <c r="B3547" t="s">
        <v>3214</v>
      </c>
      <c r="C3547" t="s">
        <v>3221</v>
      </c>
      <c r="D3547" t="s">
        <v>3224</v>
      </c>
      <c r="E3547" t="s">
        <v>3226</v>
      </c>
      <c r="F3547">
        <v>117483.06</v>
      </c>
      <c r="G3547">
        <v>98688.67</v>
      </c>
    </row>
    <row r="3548" spans="1:8" x14ac:dyDescent="0.25">
      <c r="A3548" t="s">
        <v>2919</v>
      </c>
      <c r="B3548" t="s">
        <v>3211</v>
      </c>
      <c r="C3548" t="s">
        <v>3221</v>
      </c>
      <c r="D3548" t="s">
        <v>3225</v>
      </c>
      <c r="E3548" t="s">
        <v>3226</v>
      </c>
      <c r="F3548">
        <v>18121.71</v>
      </c>
      <c r="G3548">
        <v>12141.09</v>
      </c>
      <c r="H3548">
        <v>1</v>
      </c>
    </row>
    <row r="3549" spans="1:8" x14ac:dyDescent="0.25">
      <c r="A3549" t="s">
        <v>2920</v>
      </c>
      <c r="C3549" t="s">
        <v>3219</v>
      </c>
      <c r="D3549" t="s">
        <v>3224</v>
      </c>
      <c r="E3549" t="s">
        <v>3226</v>
      </c>
      <c r="F3549">
        <v>273454.84999999998</v>
      </c>
      <c r="H3549">
        <v>4</v>
      </c>
    </row>
    <row r="3550" spans="1:8" x14ac:dyDescent="0.25">
      <c r="A3550" t="s">
        <v>2921</v>
      </c>
      <c r="B3550" t="s">
        <v>3211</v>
      </c>
      <c r="C3550" t="s">
        <v>3219</v>
      </c>
      <c r="D3550" t="s">
        <v>3225</v>
      </c>
      <c r="E3550" t="s">
        <v>3226</v>
      </c>
      <c r="F3550">
        <v>63557.919999999998</v>
      </c>
      <c r="G3550">
        <v>40904.129999999997</v>
      </c>
      <c r="H3550">
        <v>3</v>
      </c>
    </row>
    <row r="3551" spans="1:8" x14ac:dyDescent="0.25">
      <c r="A3551" t="s">
        <v>2922</v>
      </c>
      <c r="B3551" t="s">
        <v>3214</v>
      </c>
      <c r="C3551" t="s">
        <v>3216</v>
      </c>
      <c r="D3551" t="s">
        <v>3225</v>
      </c>
      <c r="E3551" t="s">
        <v>3226</v>
      </c>
      <c r="F3551">
        <v>34967.22</v>
      </c>
      <c r="H3551">
        <v>2</v>
      </c>
    </row>
    <row r="3552" spans="1:8" x14ac:dyDescent="0.25">
      <c r="A3552" t="s">
        <v>2923</v>
      </c>
      <c r="B3552" t="s">
        <v>3212</v>
      </c>
      <c r="C3552" t="s">
        <v>3220</v>
      </c>
      <c r="D3552" t="s">
        <v>3224</v>
      </c>
      <c r="E3552" t="s">
        <v>3226</v>
      </c>
      <c r="F3552">
        <v>119382.93</v>
      </c>
      <c r="G3552">
        <v>80437.66</v>
      </c>
      <c r="H3552">
        <v>2</v>
      </c>
    </row>
    <row r="3553" spans="1:8" x14ac:dyDescent="0.25">
      <c r="A3553" t="s">
        <v>827</v>
      </c>
      <c r="B3553" t="s">
        <v>3214</v>
      </c>
      <c r="C3553" t="s">
        <v>3219</v>
      </c>
      <c r="D3553" t="s">
        <v>3223</v>
      </c>
      <c r="E3553" t="s">
        <v>3226</v>
      </c>
      <c r="F3553">
        <v>23430.76</v>
      </c>
      <c r="G3553">
        <v>14787.49</v>
      </c>
      <c r="H3553">
        <v>2</v>
      </c>
    </row>
    <row r="3554" spans="1:8" x14ac:dyDescent="0.25">
      <c r="A3554" t="s">
        <v>300</v>
      </c>
      <c r="B3554" t="s">
        <v>3211</v>
      </c>
      <c r="C3554" t="s">
        <v>3219</v>
      </c>
      <c r="D3554" t="s">
        <v>3225</v>
      </c>
      <c r="E3554" t="s">
        <v>3226</v>
      </c>
      <c r="F3554">
        <v>84100.52</v>
      </c>
      <c r="G3554">
        <v>53433.09</v>
      </c>
      <c r="H3554">
        <v>4</v>
      </c>
    </row>
    <row r="3555" spans="1:8" x14ac:dyDescent="0.25">
      <c r="A3555" t="s">
        <v>2924</v>
      </c>
      <c r="C3555" t="s">
        <v>3219</v>
      </c>
      <c r="D3555" t="s">
        <v>3222</v>
      </c>
      <c r="E3555" t="s">
        <v>3226</v>
      </c>
      <c r="F3555">
        <v>13362.91</v>
      </c>
      <c r="G3555">
        <v>9012.25</v>
      </c>
      <c r="H3555">
        <v>1</v>
      </c>
    </row>
    <row r="3556" spans="1:8" x14ac:dyDescent="0.25">
      <c r="A3556" t="s">
        <v>1897</v>
      </c>
      <c r="C3556" t="s">
        <v>3220</v>
      </c>
      <c r="D3556" t="s">
        <v>3223</v>
      </c>
      <c r="E3556" t="s">
        <v>3226</v>
      </c>
      <c r="F3556">
        <v>22020.2</v>
      </c>
      <c r="G3556">
        <v>12813.5</v>
      </c>
      <c r="H3556">
        <v>2</v>
      </c>
    </row>
    <row r="3557" spans="1:8" x14ac:dyDescent="0.25">
      <c r="A3557" t="s">
        <v>453</v>
      </c>
      <c r="B3557" t="s">
        <v>3214</v>
      </c>
      <c r="C3557" t="s">
        <v>3217</v>
      </c>
      <c r="D3557" t="s">
        <v>3222</v>
      </c>
      <c r="E3557" t="s">
        <v>3226</v>
      </c>
      <c r="F3557">
        <v>14388.89</v>
      </c>
      <c r="G3557">
        <v>9765.0499999999993</v>
      </c>
      <c r="H3557">
        <v>1</v>
      </c>
    </row>
    <row r="3558" spans="1:8" x14ac:dyDescent="0.25">
      <c r="A3558" t="s">
        <v>1034</v>
      </c>
      <c r="C3558" t="s">
        <v>3218</v>
      </c>
      <c r="D3558" t="s">
        <v>3224</v>
      </c>
      <c r="E3558" t="s">
        <v>3226</v>
      </c>
      <c r="F3558">
        <v>185555.48</v>
      </c>
      <c r="H3558">
        <v>3</v>
      </c>
    </row>
    <row r="3559" spans="1:8" x14ac:dyDescent="0.25">
      <c r="A3559" t="s">
        <v>2925</v>
      </c>
      <c r="B3559" t="s">
        <v>3211</v>
      </c>
      <c r="C3559" t="s">
        <v>3216</v>
      </c>
      <c r="D3559" t="s">
        <v>3224</v>
      </c>
      <c r="E3559" t="s">
        <v>3226</v>
      </c>
      <c r="F3559">
        <v>242437.53</v>
      </c>
      <c r="G3559">
        <v>239006.34</v>
      </c>
      <c r="H3559">
        <v>5</v>
      </c>
    </row>
    <row r="3560" spans="1:8" x14ac:dyDescent="0.25">
      <c r="A3560" t="s">
        <v>786</v>
      </c>
      <c r="C3560" t="s">
        <v>3217</v>
      </c>
      <c r="D3560" t="s">
        <v>3224</v>
      </c>
      <c r="E3560" t="s">
        <v>3226</v>
      </c>
      <c r="F3560">
        <v>209694.69</v>
      </c>
      <c r="G3560">
        <v>196318.1</v>
      </c>
      <c r="H3560">
        <v>4</v>
      </c>
    </row>
    <row r="3561" spans="1:8" x14ac:dyDescent="0.25">
      <c r="A3561" t="s">
        <v>2926</v>
      </c>
      <c r="B3561" t="s">
        <v>3214</v>
      </c>
      <c r="C3561" t="s">
        <v>3216</v>
      </c>
      <c r="D3561" t="s">
        <v>3222</v>
      </c>
      <c r="E3561" t="s">
        <v>3226</v>
      </c>
      <c r="F3561">
        <v>28805.439999999999</v>
      </c>
      <c r="G3561">
        <v>19024.66</v>
      </c>
      <c r="H3561">
        <v>2</v>
      </c>
    </row>
    <row r="3562" spans="1:8" x14ac:dyDescent="0.25">
      <c r="A3562" t="s">
        <v>249</v>
      </c>
      <c r="B3562" t="s">
        <v>3212</v>
      </c>
      <c r="C3562" t="s">
        <v>3219</v>
      </c>
      <c r="D3562" t="s">
        <v>3223</v>
      </c>
      <c r="E3562" t="s">
        <v>3226</v>
      </c>
      <c r="F3562">
        <v>18632.48</v>
      </c>
      <c r="G3562">
        <v>13184.39</v>
      </c>
      <c r="H3562">
        <v>2</v>
      </c>
    </row>
    <row r="3563" spans="1:8" x14ac:dyDescent="0.25">
      <c r="A3563" t="s">
        <v>2927</v>
      </c>
      <c r="B3563" t="s">
        <v>3212</v>
      </c>
      <c r="C3563" t="s">
        <v>3216</v>
      </c>
      <c r="D3563" t="s">
        <v>3222</v>
      </c>
      <c r="E3563" t="s">
        <v>3226</v>
      </c>
      <c r="F3563">
        <v>43833.96</v>
      </c>
      <c r="G3563">
        <v>27269.58</v>
      </c>
    </row>
    <row r="3564" spans="1:8" x14ac:dyDescent="0.25">
      <c r="A3564" t="s">
        <v>1342</v>
      </c>
      <c r="B3564" t="s">
        <v>3211</v>
      </c>
      <c r="C3564" t="s">
        <v>3219</v>
      </c>
      <c r="D3564" t="s">
        <v>3222</v>
      </c>
      <c r="E3564" t="s">
        <v>3226</v>
      </c>
      <c r="F3564">
        <v>33749.089999999997</v>
      </c>
      <c r="G3564">
        <v>17692.25</v>
      </c>
      <c r="H3564">
        <v>2</v>
      </c>
    </row>
    <row r="3565" spans="1:8" x14ac:dyDescent="0.25">
      <c r="A3565" t="s">
        <v>2928</v>
      </c>
      <c r="B3565" t="s">
        <v>3215</v>
      </c>
      <c r="C3565" t="s">
        <v>3219</v>
      </c>
      <c r="D3565" t="s">
        <v>3223</v>
      </c>
      <c r="E3565" t="s">
        <v>3226</v>
      </c>
      <c r="F3565">
        <v>38240.89</v>
      </c>
      <c r="G3565">
        <v>24400.37</v>
      </c>
      <c r="H3565">
        <v>4</v>
      </c>
    </row>
    <row r="3566" spans="1:8" x14ac:dyDescent="0.25">
      <c r="A3566" t="s">
        <v>2929</v>
      </c>
      <c r="B3566" t="s">
        <v>3212</v>
      </c>
      <c r="C3566" t="s">
        <v>3216</v>
      </c>
      <c r="D3566" t="s">
        <v>3223</v>
      </c>
      <c r="E3566" t="s">
        <v>3226</v>
      </c>
      <c r="F3566">
        <v>42299.99</v>
      </c>
      <c r="G3566">
        <v>29986.21</v>
      </c>
      <c r="H3566">
        <v>5</v>
      </c>
    </row>
    <row r="3567" spans="1:8" x14ac:dyDescent="0.25">
      <c r="A3567" t="s">
        <v>72</v>
      </c>
      <c r="B3567" t="s">
        <v>3211</v>
      </c>
      <c r="C3567" t="s">
        <v>3216</v>
      </c>
      <c r="D3567" t="s">
        <v>3223</v>
      </c>
      <c r="E3567" t="s">
        <v>3226</v>
      </c>
      <c r="F3567">
        <v>40052.43</v>
      </c>
      <c r="G3567">
        <v>25711.37</v>
      </c>
      <c r="H3567">
        <v>4</v>
      </c>
    </row>
    <row r="3568" spans="1:8" x14ac:dyDescent="0.25">
      <c r="A3568" t="s">
        <v>2930</v>
      </c>
      <c r="B3568" t="s">
        <v>3213</v>
      </c>
      <c r="C3568" t="s">
        <v>3217</v>
      </c>
      <c r="D3568" t="s">
        <v>3223</v>
      </c>
      <c r="E3568" t="s">
        <v>3226</v>
      </c>
      <c r="F3568">
        <v>20193.29</v>
      </c>
      <c r="G3568">
        <v>14300.51</v>
      </c>
    </row>
    <row r="3569" spans="1:8" x14ac:dyDescent="0.25">
      <c r="A3569" t="s">
        <v>2931</v>
      </c>
      <c r="B3569" t="s">
        <v>3214</v>
      </c>
      <c r="C3569" t="s">
        <v>3218</v>
      </c>
      <c r="D3569" t="s">
        <v>3222</v>
      </c>
      <c r="E3569" t="s">
        <v>3226</v>
      </c>
      <c r="F3569">
        <v>82420.23</v>
      </c>
      <c r="G3569">
        <v>54269.5</v>
      </c>
      <c r="H3569">
        <v>5</v>
      </c>
    </row>
    <row r="3570" spans="1:8" x14ac:dyDescent="0.25">
      <c r="A3570" t="s">
        <v>2932</v>
      </c>
      <c r="B3570" t="s">
        <v>3212</v>
      </c>
      <c r="C3570" t="s">
        <v>3220</v>
      </c>
      <c r="D3570" t="s">
        <v>3225</v>
      </c>
      <c r="E3570" t="s">
        <v>3226</v>
      </c>
      <c r="F3570">
        <v>94851.55</v>
      </c>
      <c r="G3570">
        <v>61311.15</v>
      </c>
      <c r="H3570">
        <v>4</v>
      </c>
    </row>
    <row r="3571" spans="1:8" x14ac:dyDescent="0.25">
      <c r="A3571" t="s">
        <v>2933</v>
      </c>
      <c r="B3571" t="s">
        <v>3212</v>
      </c>
      <c r="C3571" t="s">
        <v>3219</v>
      </c>
      <c r="D3571" t="s">
        <v>3225</v>
      </c>
      <c r="E3571" t="s">
        <v>3226</v>
      </c>
      <c r="F3571">
        <v>111404.69</v>
      </c>
      <c r="G3571">
        <v>70830.539999999994</v>
      </c>
      <c r="H3571">
        <v>5</v>
      </c>
    </row>
    <row r="3572" spans="1:8" x14ac:dyDescent="0.25">
      <c r="A3572" t="s">
        <v>2466</v>
      </c>
      <c r="C3572" t="s">
        <v>3218</v>
      </c>
      <c r="D3572" t="s">
        <v>3223</v>
      </c>
      <c r="E3572" t="s">
        <v>3226</v>
      </c>
      <c r="F3572">
        <v>42891.69</v>
      </c>
      <c r="G3572">
        <v>28665.46</v>
      </c>
      <c r="H3572">
        <v>4</v>
      </c>
    </row>
    <row r="3573" spans="1:8" x14ac:dyDescent="0.25">
      <c r="A3573" t="s">
        <v>2934</v>
      </c>
      <c r="B3573" t="s">
        <v>3213</v>
      </c>
      <c r="C3573" t="s">
        <v>3216</v>
      </c>
      <c r="D3573" t="s">
        <v>3223</v>
      </c>
      <c r="E3573" t="s">
        <v>3226</v>
      </c>
      <c r="F3573">
        <v>18811.669999999998</v>
      </c>
      <c r="G3573">
        <v>14118.46</v>
      </c>
      <c r="H3573">
        <v>2</v>
      </c>
    </row>
    <row r="3574" spans="1:8" x14ac:dyDescent="0.25">
      <c r="A3574" t="s">
        <v>2935</v>
      </c>
      <c r="B3574" t="s">
        <v>3214</v>
      </c>
      <c r="C3574" t="s">
        <v>3220</v>
      </c>
      <c r="D3574" t="s">
        <v>3225</v>
      </c>
      <c r="E3574" t="s">
        <v>3226</v>
      </c>
      <c r="F3574">
        <v>69471.03</v>
      </c>
      <c r="G3574">
        <v>36751.57</v>
      </c>
      <c r="H3574">
        <v>3</v>
      </c>
    </row>
    <row r="3575" spans="1:8" x14ac:dyDescent="0.25">
      <c r="A3575" t="s">
        <v>2259</v>
      </c>
      <c r="C3575" t="s">
        <v>3216</v>
      </c>
      <c r="D3575" t="s">
        <v>3224</v>
      </c>
      <c r="E3575" t="s">
        <v>3226</v>
      </c>
      <c r="F3575">
        <v>67080.91</v>
      </c>
      <c r="G3575">
        <v>48252.83</v>
      </c>
      <c r="H3575">
        <v>1</v>
      </c>
    </row>
    <row r="3576" spans="1:8" x14ac:dyDescent="0.25">
      <c r="A3576" t="s">
        <v>2936</v>
      </c>
      <c r="B3576" t="s">
        <v>3215</v>
      </c>
      <c r="C3576" t="s">
        <v>3221</v>
      </c>
      <c r="D3576" t="s">
        <v>3225</v>
      </c>
      <c r="E3576" t="s">
        <v>3226</v>
      </c>
      <c r="F3576">
        <v>74704.289999999994</v>
      </c>
      <c r="G3576">
        <v>51673.75</v>
      </c>
      <c r="H3576">
        <v>4</v>
      </c>
    </row>
    <row r="3577" spans="1:8" x14ac:dyDescent="0.25">
      <c r="A3577" t="s">
        <v>2143</v>
      </c>
      <c r="B3577" t="s">
        <v>3213</v>
      </c>
      <c r="C3577" t="s">
        <v>3218</v>
      </c>
      <c r="D3577" t="s">
        <v>3223</v>
      </c>
      <c r="E3577" t="s">
        <v>3226</v>
      </c>
      <c r="F3577">
        <v>10953.99</v>
      </c>
      <c r="G3577">
        <v>6782.56</v>
      </c>
      <c r="H3577">
        <v>1</v>
      </c>
    </row>
    <row r="3578" spans="1:8" x14ac:dyDescent="0.25">
      <c r="A3578" t="s">
        <v>647</v>
      </c>
      <c r="B3578" t="s">
        <v>3212</v>
      </c>
      <c r="C3578" t="s">
        <v>3216</v>
      </c>
      <c r="D3578" t="s">
        <v>3225</v>
      </c>
      <c r="E3578" t="s">
        <v>3226</v>
      </c>
      <c r="F3578">
        <v>52022.34</v>
      </c>
      <c r="G3578">
        <v>39544.71</v>
      </c>
      <c r="H3578">
        <v>3</v>
      </c>
    </row>
    <row r="3579" spans="1:8" x14ac:dyDescent="0.25">
      <c r="A3579" t="s">
        <v>2937</v>
      </c>
      <c r="B3579" t="s">
        <v>3211</v>
      </c>
      <c r="C3579" t="s">
        <v>3221</v>
      </c>
      <c r="D3579" t="s">
        <v>3223</v>
      </c>
      <c r="E3579" t="s">
        <v>3226</v>
      </c>
      <c r="F3579">
        <v>24868.42</v>
      </c>
      <c r="G3579">
        <v>21023.05</v>
      </c>
      <c r="H3579">
        <v>3</v>
      </c>
    </row>
    <row r="3580" spans="1:8" x14ac:dyDescent="0.25">
      <c r="A3580" t="s">
        <v>2938</v>
      </c>
      <c r="B3580" t="s">
        <v>3212</v>
      </c>
      <c r="C3580" t="s">
        <v>3217</v>
      </c>
      <c r="D3580" t="s">
        <v>3224</v>
      </c>
      <c r="E3580" t="s">
        <v>3226</v>
      </c>
      <c r="F3580">
        <v>244699.42</v>
      </c>
      <c r="G3580">
        <v>182340.89</v>
      </c>
      <c r="H3580">
        <v>4</v>
      </c>
    </row>
    <row r="3581" spans="1:8" x14ac:dyDescent="0.25">
      <c r="A3581" t="s">
        <v>2939</v>
      </c>
      <c r="B3581" t="s">
        <v>3211</v>
      </c>
      <c r="C3581" t="s">
        <v>3217</v>
      </c>
      <c r="D3581" t="s">
        <v>3223</v>
      </c>
      <c r="E3581" t="s">
        <v>3226</v>
      </c>
      <c r="F3581">
        <v>44206</v>
      </c>
      <c r="G3581">
        <v>26179.81</v>
      </c>
      <c r="H3581">
        <v>4</v>
      </c>
    </row>
    <row r="3582" spans="1:8" x14ac:dyDescent="0.25">
      <c r="A3582" t="s">
        <v>2940</v>
      </c>
      <c r="B3582" t="s">
        <v>3211</v>
      </c>
      <c r="C3582" t="s">
        <v>3218</v>
      </c>
      <c r="D3582" t="s">
        <v>3222</v>
      </c>
      <c r="E3582" t="s">
        <v>3226</v>
      </c>
      <c r="F3582">
        <v>62237.760000000002</v>
      </c>
      <c r="G3582">
        <v>40714.129999999997</v>
      </c>
      <c r="H3582">
        <v>4</v>
      </c>
    </row>
    <row r="3583" spans="1:8" x14ac:dyDescent="0.25">
      <c r="A3583" t="s">
        <v>2941</v>
      </c>
      <c r="B3583" t="s">
        <v>3215</v>
      </c>
      <c r="C3583" t="s">
        <v>3216</v>
      </c>
      <c r="D3583" t="s">
        <v>3222</v>
      </c>
      <c r="E3583" t="s">
        <v>3226</v>
      </c>
      <c r="F3583">
        <v>67466.95</v>
      </c>
      <c r="G3583">
        <v>43536.99</v>
      </c>
      <c r="H3583">
        <v>4</v>
      </c>
    </row>
    <row r="3584" spans="1:8" x14ac:dyDescent="0.25">
      <c r="A3584" t="s">
        <v>2942</v>
      </c>
      <c r="C3584" t="s">
        <v>3221</v>
      </c>
      <c r="D3584" t="s">
        <v>3224</v>
      </c>
      <c r="E3584" t="s">
        <v>3226</v>
      </c>
      <c r="F3584">
        <v>143849.1</v>
      </c>
      <c r="H3584">
        <v>2</v>
      </c>
    </row>
    <row r="3585" spans="1:8" x14ac:dyDescent="0.25">
      <c r="A3585" t="s">
        <v>2943</v>
      </c>
      <c r="B3585" t="s">
        <v>3215</v>
      </c>
      <c r="C3585" t="s">
        <v>3217</v>
      </c>
      <c r="D3585" t="s">
        <v>3223</v>
      </c>
      <c r="E3585" t="s">
        <v>3226</v>
      </c>
      <c r="F3585">
        <v>32486.21</v>
      </c>
      <c r="G3585">
        <v>22941.83</v>
      </c>
      <c r="H3585">
        <v>3</v>
      </c>
    </row>
    <row r="3586" spans="1:8" x14ac:dyDescent="0.25">
      <c r="A3586" t="s">
        <v>2944</v>
      </c>
      <c r="B3586" t="s">
        <v>3211</v>
      </c>
      <c r="C3586" t="s">
        <v>3217</v>
      </c>
      <c r="D3586" t="s">
        <v>3225</v>
      </c>
      <c r="E3586" t="s">
        <v>3226</v>
      </c>
      <c r="F3586">
        <v>41700.660000000003</v>
      </c>
      <c r="G3586">
        <v>27637.4</v>
      </c>
      <c r="H3586">
        <v>2</v>
      </c>
    </row>
    <row r="3587" spans="1:8" x14ac:dyDescent="0.25">
      <c r="A3587" t="s">
        <v>2945</v>
      </c>
      <c r="C3587" t="s">
        <v>3218</v>
      </c>
      <c r="D3587" t="s">
        <v>3223</v>
      </c>
      <c r="E3587" t="s">
        <v>3226</v>
      </c>
      <c r="G3587">
        <v>20890.3</v>
      </c>
      <c r="H3587">
        <v>3</v>
      </c>
    </row>
    <row r="3588" spans="1:8" x14ac:dyDescent="0.25">
      <c r="A3588" t="s">
        <v>1731</v>
      </c>
      <c r="B3588" t="s">
        <v>3213</v>
      </c>
      <c r="C3588" t="s">
        <v>3219</v>
      </c>
      <c r="D3588" t="s">
        <v>3222</v>
      </c>
      <c r="E3588" t="s">
        <v>3226</v>
      </c>
      <c r="F3588">
        <v>81866.75</v>
      </c>
      <c r="G3588">
        <v>49976.2</v>
      </c>
      <c r="H3588">
        <v>5</v>
      </c>
    </row>
    <row r="3589" spans="1:8" x14ac:dyDescent="0.25">
      <c r="A3589" t="s">
        <v>2946</v>
      </c>
      <c r="B3589" t="s">
        <v>3211</v>
      </c>
      <c r="C3589" t="s">
        <v>3221</v>
      </c>
      <c r="D3589" t="s">
        <v>3222</v>
      </c>
      <c r="E3589" t="s">
        <v>3226</v>
      </c>
      <c r="F3589">
        <v>76466.97</v>
      </c>
      <c r="G3589">
        <v>51668.77</v>
      </c>
      <c r="H3589">
        <v>5</v>
      </c>
    </row>
    <row r="3590" spans="1:8" x14ac:dyDescent="0.25">
      <c r="A3590" t="s">
        <v>1147</v>
      </c>
      <c r="B3590" t="s">
        <v>3212</v>
      </c>
      <c r="C3590" t="s">
        <v>3218</v>
      </c>
      <c r="D3590" t="s">
        <v>3225</v>
      </c>
      <c r="E3590" t="s">
        <v>3226</v>
      </c>
      <c r="F3590">
        <v>90979.41</v>
      </c>
      <c r="G3590">
        <v>61213.24</v>
      </c>
    </row>
    <row r="3591" spans="1:8" x14ac:dyDescent="0.25">
      <c r="A3591" t="s">
        <v>682</v>
      </c>
      <c r="C3591" t="s">
        <v>3219</v>
      </c>
      <c r="D3591" t="s">
        <v>3224</v>
      </c>
      <c r="E3591" t="s">
        <v>3226</v>
      </c>
      <c r="F3591">
        <v>242402.93</v>
      </c>
      <c r="G3591">
        <v>243561.94</v>
      </c>
      <c r="H3591">
        <v>5</v>
      </c>
    </row>
    <row r="3592" spans="1:8" x14ac:dyDescent="0.25">
      <c r="A3592" t="s">
        <v>2947</v>
      </c>
      <c r="B3592" t="s">
        <v>3213</v>
      </c>
      <c r="C3592" t="s">
        <v>3216</v>
      </c>
      <c r="D3592" t="s">
        <v>3223</v>
      </c>
      <c r="E3592" t="s">
        <v>3226</v>
      </c>
      <c r="F3592">
        <v>8249.14</v>
      </c>
      <c r="G3592">
        <v>7141.08</v>
      </c>
      <c r="H3592">
        <v>1</v>
      </c>
    </row>
    <row r="3593" spans="1:8" x14ac:dyDescent="0.25">
      <c r="A3593" t="s">
        <v>1297</v>
      </c>
      <c r="B3593" t="s">
        <v>3214</v>
      </c>
      <c r="C3593" t="s">
        <v>3221</v>
      </c>
      <c r="D3593" t="s">
        <v>3222</v>
      </c>
      <c r="E3593" t="s">
        <v>3226</v>
      </c>
      <c r="F3593">
        <v>12506.87</v>
      </c>
      <c r="G3593">
        <v>10361.09</v>
      </c>
      <c r="H3593">
        <v>1</v>
      </c>
    </row>
    <row r="3594" spans="1:8" x14ac:dyDescent="0.25">
      <c r="A3594" t="s">
        <v>2445</v>
      </c>
      <c r="B3594" t="s">
        <v>3214</v>
      </c>
      <c r="C3594" t="s">
        <v>3221</v>
      </c>
      <c r="D3594" t="s">
        <v>3223</v>
      </c>
      <c r="E3594" t="s">
        <v>3226</v>
      </c>
      <c r="F3594">
        <v>33783.51</v>
      </c>
      <c r="G3594">
        <v>27221.31</v>
      </c>
      <c r="H3594">
        <v>4</v>
      </c>
    </row>
    <row r="3595" spans="1:8" x14ac:dyDescent="0.25">
      <c r="A3595" t="s">
        <v>2948</v>
      </c>
      <c r="B3595" t="s">
        <v>3212</v>
      </c>
      <c r="C3595" t="s">
        <v>3218</v>
      </c>
      <c r="D3595" t="s">
        <v>3223</v>
      </c>
      <c r="E3595" t="s">
        <v>3226</v>
      </c>
      <c r="F3595">
        <v>48481.09</v>
      </c>
      <c r="G3595">
        <v>29809.46</v>
      </c>
      <c r="H3595">
        <v>5</v>
      </c>
    </row>
    <row r="3596" spans="1:8" x14ac:dyDescent="0.25">
      <c r="A3596" t="s">
        <v>2949</v>
      </c>
      <c r="B3596" t="s">
        <v>3213</v>
      </c>
      <c r="C3596" t="s">
        <v>3216</v>
      </c>
      <c r="D3596" t="s">
        <v>3224</v>
      </c>
      <c r="E3596" t="s">
        <v>3226</v>
      </c>
      <c r="F3596">
        <v>242636.97</v>
      </c>
      <c r="G3596">
        <v>174491.34</v>
      </c>
      <c r="H3596">
        <v>4</v>
      </c>
    </row>
    <row r="3597" spans="1:8" x14ac:dyDescent="0.25">
      <c r="A3597" t="s">
        <v>2950</v>
      </c>
      <c r="B3597" t="s">
        <v>3213</v>
      </c>
      <c r="C3597" t="s">
        <v>3217</v>
      </c>
      <c r="D3597" t="s">
        <v>3224</v>
      </c>
      <c r="E3597" t="s">
        <v>3226</v>
      </c>
      <c r="F3597">
        <v>180900.53</v>
      </c>
      <c r="G3597">
        <v>136929.72</v>
      </c>
      <c r="H3597">
        <v>3</v>
      </c>
    </row>
    <row r="3598" spans="1:8" x14ac:dyDescent="0.25">
      <c r="A3598" t="s">
        <v>2951</v>
      </c>
      <c r="B3598" t="s">
        <v>3213</v>
      </c>
      <c r="C3598" t="s">
        <v>3219</v>
      </c>
      <c r="D3598" t="s">
        <v>3225</v>
      </c>
      <c r="E3598" t="s">
        <v>3226</v>
      </c>
      <c r="F3598">
        <v>81479.490000000005</v>
      </c>
      <c r="G3598">
        <v>59198.12</v>
      </c>
      <c r="H3598">
        <v>4</v>
      </c>
    </row>
    <row r="3599" spans="1:8" x14ac:dyDescent="0.25">
      <c r="A3599" t="s">
        <v>2293</v>
      </c>
      <c r="B3599" t="s">
        <v>3214</v>
      </c>
      <c r="C3599" t="s">
        <v>3218</v>
      </c>
      <c r="D3599" t="s">
        <v>3225</v>
      </c>
      <c r="E3599" t="s">
        <v>3226</v>
      </c>
      <c r="F3599">
        <v>69985.100000000006</v>
      </c>
      <c r="G3599">
        <v>43721.68</v>
      </c>
      <c r="H3599">
        <v>3</v>
      </c>
    </row>
    <row r="3600" spans="1:8" x14ac:dyDescent="0.25">
      <c r="A3600" t="s">
        <v>2952</v>
      </c>
      <c r="B3600" t="s">
        <v>3213</v>
      </c>
      <c r="C3600" t="s">
        <v>3217</v>
      </c>
      <c r="D3600" t="s">
        <v>3224</v>
      </c>
      <c r="E3600" t="s">
        <v>3226</v>
      </c>
      <c r="F3600">
        <v>208864.98</v>
      </c>
      <c r="H3600">
        <v>3</v>
      </c>
    </row>
    <row r="3601" spans="1:8" x14ac:dyDescent="0.25">
      <c r="A3601" t="s">
        <v>2953</v>
      </c>
      <c r="B3601" t="s">
        <v>3213</v>
      </c>
      <c r="C3601" t="s">
        <v>3218</v>
      </c>
      <c r="D3601" t="s">
        <v>3222</v>
      </c>
      <c r="E3601" t="s">
        <v>3226</v>
      </c>
      <c r="F3601">
        <v>64378.9</v>
      </c>
      <c r="H3601">
        <v>4</v>
      </c>
    </row>
    <row r="3602" spans="1:8" x14ac:dyDescent="0.25">
      <c r="A3602" t="s">
        <v>2954</v>
      </c>
      <c r="B3602" t="s">
        <v>3214</v>
      </c>
      <c r="C3602" t="s">
        <v>3219</v>
      </c>
      <c r="D3602" t="s">
        <v>3222</v>
      </c>
      <c r="E3602" t="s">
        <v>3226</v>
      </c>
      <c r="F3602">
        <v>37898.120000000003</v>
      </c>
      <c r="G3602">
        <v>31943.06</v>
      </c>
      <c r="H3602">
        <v>3</v>
      </c>
    </row>
    <row r="3603" spans="1:8" x14ac:dyDescent="0.25">
      <c r="A3603" t="s">
        <v>267</v>
      </c>
      <c r="B3603" t="s">
        <v>3212</v>
      </c>
      <c r="C3603" t="s">
        <v>3218</v>
      </c>
      <c r="D3603" t="s">
        <v>3223</v>
      </c>
      <c r="E3603" t="s">
        <v>3226</v>
      </c>
      <c r="F3603">
        <v>19618.43</v>
      </c>
      <c r="G3603">
        <v>13221.52</v>
      </c>
      <c r="H3603">
        <v>2</v>
      </c>
    </row>
    <row r="3604" spans="1:8" x14ac:dyDescent="0.25">
      <c r="A3604" t="s">
        <v>2955</v>
      </c>
      <c r="B3604" t="s">
        <v>3211</v>
      </c>
      <c r="C3604" t="s">
        <v>3216</v>
      </c>
      <c r="D3604" t="s">
        <v>3222</v>
      </c>
      <c r="E3604" t="s">
        <v>3226</v>
      </c>
      <c r="F3604">
        <v>15993.16</v>
      </c>
      <c r="G3604">
        <v>9750.44</v>
      </c>
      <c r="H3604">
        <v>1</v>
      </c>
    </row>
    <row r="3605" spans="1:8" x14ac:dyDescent="0.25">
      <c r="A3605" t="s">
        <v>869</v>
      </c>
      <c r="B3605" t="s">
        <v>3213</v>
      </c>
      <c r="C3605" t="s">
        <v>3219</v>
      </c>
      <c r="D3605" t="s">
        <v>3225</v>
      </c>
      <c r="E3605" t="s">
        <v>3226</v>
      </c>
      <c r="F3605">
        <v>18055.68</v>
      </c>
      <c r="G3605">
        <v>14756.68</v>
      </c>
      <c r="H3605">
        <v>1</v>
      </c>
    </row>
    <row r="3606" spans="1:8" x14ac:dyDescent="0.25">
      <c r="A3606" t="s">
        <v>2289</v>
      </c>
      <c r="B3606" t="s">
        <v>3212</v>
      </c>
      <c r="C3606" t="s">
        <v>3218</v>
      </c>
      <c r="D3606" t="s">
        <v>3222</v>
      </c>
      <c r="E3606" t="s">
        <v>3226</v>
      </c>
      <c r="F3606">
        <v>72704.83</v>
      </c>
      <c r="G3606">
        <v>53098.02</v>
      </c>
      <c r="H3606">
        <v>5</v>
      </c>
    </row>
    <row r="3607" spans="1:8" x14ac:dyDescent="0.25">
      <c r="A3607" t="s">
        <v>2956</v>
      </c>
      <c r="B3607" t="s">
        <v>3215</v>
      </c>
      <c r="C3607" t="s">
        <v>3220</v>
      </c>
      <c r="D3607" t="s">
        <v>3222</v>
      </c>
      <c r="E3607" t="s">
        <v>3226</v>
      </c>
      <c r="F3607">
        <v>51275.64</v>
      </c>
      <c r="G3607">
        <v>42590.44</v>
      </c>
      <c r="H3607">
        <v>4</v>
      </c>
    </row>
    <row r="3608" spans="1:8" x14ac:dyDescent="0.25">
      <c r="A3608" t="s">
        <v>2957</v>
      </c>
      <c r="B3608" t="s">
        <v>3214</v>
      </c>
      <c r="C3608" t="s">
        <v>3218</v>
      </c>
      <c r="D3608" t="s">
        <v>3225</v>
      </c>
      <c r="E3608" t="s">
        <v>3226</v>
      </c>
      <c r="F3608">
        <v>17596.73</v>
      </c>
      <c r="H3608">
        <v>1</v>
      </c>
    </row>
    <row r="3609" spans="1:8" x14ac:dyDescent="0.25">
      <c r="A3609" t="s">
        <v>2958</v>
      </c>
      <c r="B3609" t="s">
        <v>3211</v>
      </c>
      <c r="C3609" t="s">
        <v>3217</v>
      </c>
      <c r="D3609" t="s">
        <v>3222</v>
      </c>
      <c r="E3609" t="s">
        <v>3226</v>
      </c>
      <c r="G3609">
        <v>8876.81</v>
      </c>
      <c r="H3609">
        <v>1</v>
      </c>
    </row>
    <row r="3610" spans="1:8" x14ac:dyDescent="0.25">
      <c r="A3610" t="s">
        <v>2959</v>
      </c>
      <c r="B3610" t="s">
        <v>3212</v>
      </c>
      <c r="C3610" t="s">
        <v>3217</v>
      </c>
      <c r="D3610" t="s">
        <v>3225</v>
      </c>
      <c r="E3610" t="s">
        <v>3226</v>
      </c>
      <c r="F3610">
        <v>95629.8</v>
      </c>
      <c r="G3610">
        <v>60497.19</v>
      </c>
      <c r="H3610">
        <v>5</v>
      </c>
    </row>
    <row r="3611" spans="1:8" x14ac:dyDescent="0.25">
      <c r="A3611" t="s">
        <v>534</v>
      </c>
      <c r="B3611" t="s">
        <v>3213</v>
      </c>
      <c r="C3611" t="s">
        <v>3219</v>
      </c>
      <c r="D3611" t="s">
        <v>3224</v>
      </c>
      <c r="E3611" t="s">
        <v>3226</v>
      </c>
      <c r="F3611">
        <v>240987.75</v>
      </c>
      <c r="G3611">
        <v>184814.92</v>
      </c>
      <c r="H3611">
        <v>4</v>
      </c>
    </row>
    <row r="3612" spans="1:8" x14ac:dyDescent="0.25">
      <c r="A3612" t="s">
        <v>2960</v>
      </c>
      <c r="B3612" t="s">
        <v>3213</v>
      </c>
      <c r="C3612" t="s">
        <v>3221</v>
      </c>
      <c r="D3612" t="s">
        <v>3222</v>
      </c>
      <c r="E3612" t="s">
        <v>3226</v>
      </c>
      <c r="F3612">
        <v>78349.27</v>
      </c>
      <c r="H3612">
        <v>5</v>
      </c>
    </row>
    <row r="3613" spans="1:8" x14ac:dyDescent="0.25">
      <c r="A3613" t="s">
        <v>2961</v>
      </c>
      <c r="B3613" t="s">
        <v>3212</v>
      </c>
      <c r="C3613" t="s">
        <v>3221</v>
      </c>
      <c r="D3613" t="s">
        <v>3225</v>
      </c>
      <c r="E3613" t="s">
        <v>3226</v>
      </c>
      <c r="F3613">
        <v>18614.97</v>
      </c>
      <c r="G3613">
        <v>13089.81</v>
      </c>
      <c r="H3613">
        <v>1</v>
      </c>
    </row>
    <row r="3614" spans="1:8" x14ac:dyDescent="0.25">
      <c r="A3614" t="s">
        <v>2962</v>
      </c>
      <c r="B3614" t="s">
        <v>3213</v>
      </c>
      <c r="C3614" t="s">
        <v>3221</v>
      </c>
      <c r="D3614" t="s">
        <v>3223</v>
      </c>
      <c r="E3614" t="s">
        <v>3226</v>
      </c>
      <c r="F3614">
        <v>21029.59</v>
      </c>
      <c r="G3614">
        <v>14272.86</v>
      </c>
      <c r="H3614">
        <v>2</v>
      </c>
    </row>
    <row r="3615" spans="1:8" x14ac:dyDescent="0.25">
      <c r="A3615" t="s">
        <v>1825</v>
      </c>
      <c r="B3615" t="s">
        <v>3213</v>
      </c>
      <c r="C3615" t="s">
        <v>3219</v>
      </c>
      <c r="D3615" t="s">
        <v>3222</v>
      </c>
      <c r="E3615" t="s">
        <v>3226</v>
      </c>
      <c r="F3615">
        <v>16093.95</v>
      </c>
      <c r="G3615">
        <v>8813.06</v>
      </c>
      <c r="H3615">
        <v>1</v>
      </c>
    </row>
    <row r="3616" spans="1:8" x14ac:dyDescent="0.25">
      <c r="A3616" t="s">
        <v>2963</v>
      </c>
      <c r="C3616" t="s">
        <v>3220</v>
      </c>
      <c r="D3616" t="s">
        <v>3222</v>
      </c>
      <c r="E3616" t="s">
        <v>3226</v>
      </c>
      <c r="F3616">
        <v>68815.69</v>
      </c>
      <c r="G3616">
        <v>40351.33</v>
      </c>
      <c r="H3616">
        <v>4</v>
      </c>
    </row>
    <row r="3617" spans="1:8" x14ac:dyDescent="0.25">
      <c r="A3617" t="s">
        <v>2964</v>
      </c>
      <c r="C3617" t="s">
        <v>3216</v>
      </c>
      <c r="D3617" t="s">
        <v>3225</v>
      </c>
      <c r="E3617" t="s">
        <v>3226</v>
      </c>
      <c r="G3617">
        <v>56376.49</v>
      </c>
      <c r="H3617">
        <v>4</v>
      </c>
    </row>
    <row r="3618" spans="1:8" x14ac:dyDescent="0.25">
      <c r="A3618" t="s">
        <v>2965</v>
      </c>
      <c r="B3618" t="s">
        <v>3214</v>
      </c>
      <c r="C3618" t="s">
        <v>3216</v>
      </c>
      <c r="D3618" t="s">
        <v>3225</v>
      </c>
      <c r="E3618" t="s">
        <v>3226</v>
      </c>
      <c r="F3618">
        <v>65681.59</v>
      </c>
      <c r="G3618">
        <v>43507.48</v>
      </c>
      <c r="H3618">
        <v>3</v>
      </c>
    </row>
    <row r="3619" spans="1:8" x14ac:dyDescent="0.25">
      <c r="A3619" t="s">
        <v>2966</v>
      </c>
      <c r="B3619" t="s">
        <v>3214</v>
      </c>
      <c r="C3619" t="s">
        <v>3217</v>
      </c>
      <c r="D3619" t="s">
        <v>3223</v>
      </c>
      <c r="E3619" t="s">
        <v>3226</v>
      </c>
      <c r="F3619">
        <v>35214.959999999999</v>
      </c>
      <c r="G3619">
        <v>20237.78</v>
      </c>
      <c r="H3619">
        <v>3</v>
      </c>
    </row>
    <row r="3620" spans="1:8" x14ac:dyDescent="0.25">
      <c r="A3620" t="s">
        <v>2967</v>
      </c>
      <c r="B3620" t="s">
        <v>3214</v>
      </c>
      <c r="C3620" t="s">
        <v>3221</v>
      </c>
      <c r="D3620" t="s">
        <v>3224</v>
      </c>
      <c r="E3620" t="s">
        <v>3226</v>
      </c>
      <c r="F3620">
        <v>57996.26</v>
      </c>
      <c r="G3620">
        <v>43430.23</v>
      </c>
      <c r="H3620">
        <v>1</v>
      </c>
    </row>
    <row r="3621" spans="1:8" x14ac:dyDescent="0.25">
      <c r="A3621" t="s">
        <v>2968</v>
      </c>
      <c r="B3621" t="s">
        <v>3212</v>
      </c>
      <c r="C3621" t="s">
        <v>3221</v>
      </c>
      <c r="D3621" t="s">
        <v>3225</v>
      </c>
      <c r="E3621" t="s">
        <v>3226</v>
      </c>
      <c r="F3621">
        <v>95976.36</v>
      </c>
      <c r="G3621">
        <v>64616.77</v>
      </c>
      <c r="H3621">
        <v>5</v>
      </c>
    </row>
    <row r="3622" spans="1:8" x14ac:dyDescent="0.25">
      <c r="A3622" t="s">
        <v>450</v>
      </c>
      <c r="B3622" t="s">
        <v>3214</v>
      </c>
      <c r="C3622" t="s">
        <v>3221</v>
      </c>
      <c r="D3622" t="s">
        <v>3223</v>
      </c>
      <c r="E3622" t="s">
        <v>3226</v>
      </c>
      <c r="F3622">
        <v>27025.85</v>
      </c>
      <c r="G3622">
        <v>20130.62</v>
      </c>
      <c r="H3622">
        <v>3</v>
      </c>
    </row>
    <row r="3623" spans="1:8" x14ac:dyDescent="0.25">
      <c r="A3623" t="s">
        <v>2969</v>
      </c>
      <c r="B3623" t="s">
        <v>3214</v>
      </c>
      <c r="C3623" t="s">
        <v>3221</v>
      </c>
      <c r="D3623" t="s">
        <v>3224</v>
      </c>
      <c r="E3623" t="s">
        <v>3226</v>
      </c>
      <c r="F3623">
        <v>268020.13</v>
      </c>
      <c r="G3623">
        <v>174045.58</v>
      </c>
      <c r="H3623">
        <v>4</v>
      </c>
    </row>
    <row r="3624" spans="1:8" x14ac:dyDescent="0.25">
      <c r="A3624" t="s">
        <v>459</v>
      </c>
      <c r="C3624" t="s">
        <v>3216</v>
      </c>
      <c r="D3624" t="s">
        <v>3222</v>
      </c>
      <c r="E3624" t="s">
        <v>3226</v>
      </c>
      <c r="F3624">
        <v>14155.09</v>
      </c>
      <c r="G3624">
        <v>9677.11</v>
      </c>
      <c r="H3624">
        <v>1</v>
      </c>
    </row>
    <row r="3625" spans="1:8" x14ac:dyDescent="0.25">
      <c r="A3625" t="s">
        <v>1198</v>
      </c>
      <c r="B3625" t="s">
        <v>3214</v>
      </c>
      <c r="C3625" t="s">
        <v>3218</v>
      </c>
      <c r="D3625" t="s">
        <v>3225</v>
      </c>
      <c r="E3625" t="s">
        <v>3226</v>
      </c>
      <c r="F3625">
        <v>59073.35</v>
      </c>
      <c r="G3625">
        <v>41284.14</v>
      </c>
      <c r="H3625">
        <v>3</v>
      </c>
    </row>
    <row r="3626" spans="1:8" x14ac:dyDescent="0.25">
      <c r="A3626" t="s">
        <v>2970</v>
      </c>
      <c r="B3626" t="s">
        <v>3215</v>
      </c>
      <c r="C3626" t="s">
        <v>3218</v>
      </c>
      <c r="D3626" t="s">
        <v>3224</v>
      </c>
      <c r="E3626" t="s">
        <v>3226</v>
      </c>
      <c r="F3626">
        <v>172808.86</v>
      </c>
      <c r="H3626">
        <v>3</v>
      </c>
    </row>
    <row r="3627" spans="1:8" x14ac:dyDescent="0.25">
      <c r="A3627" t="s">
        <v>2971</v>
      </c>
      <c r="B3627" t="s">
        <v>3211</v>
      </c>
      <c r="C3627" t="s">
        <v>3219</v>
      </c>
      <c r="D3627" t="s">
        <v>3222</v>
      </c>
      <c r="E3627" t="s">
        <v>3226</v>
      </c>
      <c r="F3627">
        <v>65283.87</v>
      </c>
      <c r="G3627">
        <v>42676.52</v>
      </c>
      <c r="H3627">
        <v>4</v>
      </c>
    </row>
    <row r="3628" spans="1:8" x14ac:dyDescent="0.25">
      <c r="A3628" t="s">
        <v>415</v>
      </c>
      <c r="B3628" t="s">
        <v>3215</v>
      </c>
      <c r="C3628" t="s">
        <v>3219</v>
      </c>
      <c r="D3628" t="s">
        <v>3223</v>
      </c>
      <c r="E3628" t="s">
        <v>3226</v>
      </c>
      <c r="F3628">
        <v>59914.559999999998</v>
      </c>
      <c r="G3628">
        <v>36603.440000000002</v>
      </c>
      <c r="H3628">
        <v>5</v>
      </c>
    </row>
    <row r="3629" spans="1:8" x14ac:dyDescent="0.25">
      <c r="A3629" t="s">
        <v>696</v>
      </c>
      <c r="B3629" t="s">
        <v>3214</v>
      </c>
      <c r="C3629" t="s">
        <v>3219</v>
      </c>
      <c r="D3629" t="s">
        <v>3224</v>
      </c>
      <c r="E3629" t="s">
        <v>3226</v>
      </c>
      <c r="F3629">
        <v>97420.05</v>
      </c>
      <c r="G3629">
        <v>79547.520000000004</v>
      </c>
      <c r="H3629">
        <v>2</v>
      </c>
    </row>
    <row r="3630" spans="1:8" x14ac:dyDescent="0.25">
      <c r="A3630" t="s">
        <v>2972</v>
      </c>
      <c r="B3630" t="s">
        <v>3215</v>
      </c>
      <c r="C3630" t="s">
        <v>3218</v>
      </c>
      <c r="D3630" t="s">
        <v>3223</v>
      </c>
      <c r="E3630" t="s">
        <v>3226</v>
      </c>
      <c r="G3630">
        <v>18537.64</v>
      </c>
      <c r="H3630">
        <v>3</v>
      </c>
    </row>
    <row r="3631" spans="1:8" x14ac:dyDescent="0.25">
      <c r="A3631" t="s">
        <v>2973</v>
      </c>
      <c r="B3631" t="s">
        <v>3213</v>
      </c>
      <c r="C3631" t="s">
        <v>3219</v>
      </c>
      <c r="D3631" t="s">
        <v>3225</v>
      </c>
      <c r="E3631" t="s">
        <v>3226</v>
      </c>
      <c r="F3631">
        <v>51276.63</v>
      </c>
      <c r="H3631">
        <v>3</v>
      </c>
    </row>
    <row r="3632" spans="1:8" x14ac:dyDescent="0.25">
      <c r="A3632" t="s">
        <v>2974</v>
      </c>
      <c r="B3632" t="s">
        <v>3212</v>
      </c>
      <c r="C3632" t="s">
        <v>3220</v>
      </c>
      <c r="D3632" t="s">
        <v>3224</v>
      </c>
      <c r="E3632" t="s">
        <v>3226</v>
      </c>
      <c r="F3632">
        <v>98706.14</v>
      </c>
      <c r="G3632">
        <v>94738.9</v>
      </c>
      <c r="H3632">
        <v>2</v>
      </c>
    </row>
    <row r="3633" spans="1:8" x14ac:dyDescent="0.25">
      <c r="A3633" t="s">
        <v>33</v>
      </c>
      <c r="B3633" t="s">
        <v>3215</v>
      </c>
      <c r="C3633" t="s">
        <v>3219</v>
      </c>
      <c r="D3633" t="s">
        <v>3225</v>
      </c>
      <c r="E3633" t="s">
        <v>3226</v>
      </c>
      <c r="F3633">
        <v>85681.72</v>
      </c>
      <c r="G3633">
        <v>62439.68</v>
      </c>
      <c r="H3633">
        <v>5</v>
      </c>
    </row>
    <row r="3634" spans="1:8" x14ac:dyDescent="0.25">
      <c r="A3634" t="s">
        <v>1910</v>
      </c>
      <c r="B3634" t="s">
        <v>3215</v>
      </c>
      <c r="C3634" t="s">
        <v>3219</v>
      </c>
      <c r="D3634" t="s">
        <v>3224</v>
      </c>
      <c r="E3634" t="s">
        <v>3226</v>
      </c>
      <c r="F3634">
        <v>136844.32999999999</v>
      </c>
      <c r="G3634">
        <v>78720.13</v>
      </c>
      <c r="H3634">
        <v>2</v>
      </c>
    </row>
    <row r="3635" spans="1:8" x14ac:dyDescent="0.25">
      <c r="A3635" t="s">
        <v>2975</v>
      </c>
      <c r="B3635" t="s">
        <v>3212</v>
      </c>
      <c r="C3635" t="s">
        <v>3216</v>
      </c>
      <c r="D3635" t="s">
        <v>3222</v>
      </c>
      <c r="E3635" t="s">
        <v>3226</v>
      </c>
      <c r="F3635">
        <v>29751.9</v>
      </c>
      <c r="G3635">
        <v>17255.59</v>
      </c>
      <c r="H3635">
        <v>2</v>
      </c>
    </row>
    <row r="3636" spans="1:8" x14ac:dyDescent="0.25">
      <c r="A3636" t="s">
        <v>2976</v>
      </c>
      <c r="B3636" t="s">
        <v>3214</v>
      </c>
      <c r="C3636" t="s">
        <v>3221</v>
      </c>
      <c r="D3636" t="s">
        <v>3223</v>
      </c>
      <c r="E3636" t="s">
        <v>3226</v>
      </c>
      <c r="F3636">
        <v>10512.57</v>
      </c>
      <c r="G3636">
        <v>6114.58</v>
      </c>
      <c r="H3636">
        <v>1</v>
      </c>
    </row>
    <row r="3637" spans="1:8" x14ac:dyDescent="0.25">
      <c r="A3637" t="s">
        <v>1437</v>
      </c>
      <c r="B3637" t="s">
        <v>3214</v>
      </c>
      <c r="C3637" t="s">
        <v>3217</v>
      </c>
      <c r="D3637" t="s">
        <v>3225</v>
      </c>
      <c r="E3637" t="s">
        <v>3226</v>
      </c>
      <c r="G3637">
        <v>59767.62</v>
      </c>
      <c r="H3637">
        <v>5</v>
      </c>
    </row>
    <row r="3638" spans="1:8" x14ac:dyDescent="0.25">
      <c r="A3638" t="s">
        <v>344</v>
      </c>
      <c r="B3638" t="s">
        <v>3213</v>
      </c>
      <c r="C3638" t="s">
        <v>3220</v>
      </c>
      <c r="D3638" t="s">
        <v>3222</v>
      </c>
      <c r="E3638" t="s">
        <v>3226</v>
      </c>
      <c r="F3638">
        <v>34779.1</v>
      </c>
      <c r="G3638">
        <v>20731.23</v>
      </c>
      <c r="H3638">
        <v>2</v>
      </c>
    </row>
    <row r="3639" spans="1:8" x14ac:dyDescent="0.25">
      <c r="A3639" t="s">
        <v>2977</v>
      </c>
      <c r="C3639" t="s">
        <v>3216</v>
      </c>
      <c r="D3639" t="s">
        <v>3225</v>
      </c>
      <c r="E3639" t="s">
        <v>3226</v>
      </c>
      <c r="F3639">
        <v>109986.48</v>
      </c>
      <c r="G3639">
        <v>68552.3</v>
      </c>
      <c r="H3639">
        <v>5</v>
      </c>
    </row>
    <row r="3640" spans="1:8" x14ac:dyDescent="0.25">
      <c r="A3640" t="s">
        <v>2978</v>
      </c>
      <c r="B3640" t="s">
        <v>3213</v>
      </c>
      <c r="C3640" t="s">
        <v>3217</v>
      </c>
      <c r="D3640" t="s">
        <v>3224</v>
      </c>
      <c r="E3640" t="s">
        <v>3226</v>
      </c>
      <c r="F3640">
        <v>224105.58</v>
      </c>
      <c r="G3640">
        <v>182058.39</v>
      </c>
      <c r="H3640">
        <v>4</v>
      </c>
    </row>
    <row r="3641" spans="1:8" x14ac:dyDescent="0.25">
      <c r="A3641" t="s">
        <v>1104</v>
      </c>
      <c r="B3641" t="s">
        <v>3215</v>
      </c>
      <c r="C3641" t="s">
        <v>3221</v>
      </c>
      <c r="D3641" t="s">
        <v>3225</v>
      </c>
      <c r="E3641" t="s">
        <v>3226</v>
      </c>
      <c r="F3641">
        <v>50158.35</v>
      </c>
      <c r="G3641">
        <v>44219.14</v>
      </c>
      <c r="H3641">
        <v>3</v>
      </c>
    </row>
    <row r="3642" spans="1:8" x14ac:dyDescent="0.25">
      <c r="A3642" t="s">
        <v>1227</v>
      </c>
      <c r="B3642" t="s">
        <v>3214</v>
      </c>
      <c r="C3642" t="s">
        <v>3220</v>
      </c>
      <c r="D3642" t="s">
        <v>3224</v>
      </c>
      <c r="E3642" t="s">
        <v>3226</v>
      </c>
      <c r="F3642">
        <v>51141.84</v>
      </c>
      <c r="G3642">
        <v>40971.9</v>
      </c>
      <c r="H3642">
        <v>1</v>
      </c>
    </row>
    <row r="3643" spans="1:8" x14ac:dyDescent="0.25">
      <c r="A3643" t="s">
        <v>2979</v>
      </c>
      <c r="C3643" t="s">
        <v>3220</v>
      </c>
      <c r="D3643" t="s">
        <v>3223</v>
      </c>
      <c r="E3643" t="s">
        <v>3226</v>
      </c>
      <c r="F3643">
        <v>8921.5</v>
      </c>
      <c r="H3643">
        <v>1</v>
      </c>
    </row>
    <row r="3644" spans="1:8" x14ac:dyDescent="0.25">
      <c r="A3644" t="s">
        <v>2980</v>
      </c>
      <c r="B3644" t="s">
        <v>3214</v>
      </c>
      <c r="C3644" t="s">
        <v>3218</v>
      </c>
      <c r="D3644" t="s">
        <v>3223</v>
      </c>
      <c r="E3644" t="s">
        <v>3226</v>
      </c>
      <c r="F3644">
        <v>45952.86</v>
      </c>
      <c r="G3644">
        <v>24380.22</v>
      </c>
      <c r="H3644">
        <v>4</v>
      </c>
    </row>
    <row r="3645" spans="1:8" x14ac:dyDescent="0.25">
      <c r="A3645" t="s">
        <v>2981</v>
      </c>
      <c r="B3645" t="s">
        <v>3214</v>
      </c>
      <c r="C3645" t="s">
        <v>3218</v>
      </c>
      <c r="D3645" t="s">
        <v>3222</v>
      </c>
      <c r="E3645" t="s">
        <v>3226</v>
      </c>
      <c r="F3645">
        <v>44755.8</v>
      </c>
      <c r="G3645">
        <v>32791.33</v>
      </c>
      <c r="H3645">
        <v>3</v>
      </c>
    </row>
    <row r="3646" spans="1:8" x14ac:dyDescent="0.25">
      <c r="A3646" t="s">
        <v>192</v>
      </c>
      <c r="B3646" t="s">
        <v>3214</v>
      </c>
      <c r="C3646" t="s">
        <v>3218</v>
      </c>
      <c r="D3646" t="s">
        <v>3223</v>
      </c>
      <c r="E3646" t="s">
        <v>3226</v>
      </c>
      <c r="F3646">
        <v>10243.34</v>
      </c>
      <c r="G3646">
        <v>6228.54</v>
      </c>
    </row>
    <row r="3647" spans="1:8" x14ac:dyDescent="0.25">
      <c r="A3647" t="s">
        <v>507</v>
      </c>
      <c r="B3647" t="s">
        <v>3212</v>
      </c>
      <c r="C3647" t="s">
        <v>3220</v>
      </c>
      <c r="D3647" t="s">
        <v>3225</v>
      </c>
      <c r="E3647" t="s">
        <v>3226</v>
      </c>
      <c r="F3647">
        <v>22482.11</v>
      </c>
      <c r="G3647">
        <v>12526.23</v>
      </c>
      <c r="H3647">
        <v>1</v>
      </c>
    </row>
    <row r="3648" spans="1:8" x14ac:dyDescent="0.25">
      <c r="A3648" t="s">
        <v>2982</v>
      </c>
      <c r="C3648" t="s">
        <v>3220</v>
      </c>
      <c r="D3648" t="s">
        <v>3225</v>
      </c>
      <c r="E3648" t="s">
        <v>3226</v>
      </c>
      <c r="G3648">
        <v>13849.57</v>
      </c>
      <c r="H3648">
        <v>1</v>
      </c>
    </row>
    <row r="3649" spans="1:8" x14ac:dyDescent="0.25">
      <c r="A3649" t="s">
        <v>2983</v>
      </c>
      <c r="B3649" t="s">
        <v>3211</v>
      </c>
      <c r="C3649" t="s">
        <v>3221</v>
      </c>
      <c r="D3649" t="s">
        <v>3224</v>
      </c>
      <c r="E3649" t="s">
        <v>3226</v>
      </c>
      <c r="F3649">
        <v>205985.73</v>
      </c>
      <c r="G3649">
        <v>195895.86</v>
      </c>
      <c r="H3649">
        <v>4</v>
      </c>
    </row>
    <row r="3650" spans="1:8" x14ac:dyDescent="0.25">
      <c r="A3650" t="s">
        <v>447</v>
      </c>
      <c r="B3650" t="s">
        <v>3213</v>
      </c>
      <c r="C3650" t="s">
        <v>3216</v>
      </c>
      <c r="D3650" t="s">
        <v>3225</v>
      </c>
      <c r="E3650" t="s">
        <v>3226</v>
      </c>
      <c r="F3650">
        <v>110716.5</v>
      </c>
      <c r="G3650">
        <v>68887.33</v>
      </c>
      <c r="H3650">
        <v>5</v>
      </c>
    </row>
    <row r="3651" spans="1:8" x14ac:dyDescent="0.25">
      <c r="A3651" t="s">
        <v>645</v>
      </c>
      <c r="B3651" t="s">
        <v>3211</v>
      </c>
      <c r="C3651" t="s">
        <v>3221</v>
      </c>
      <c r="D3651" t="s">
        <v>3225</v>
      </c>
      <c r="E3651" t="s">
        <v>3226</v>
      </c>
      <c r="F3651">
        <v>21064.03</v>
      </c>
      <c r="G3651">
        <v>15094.77</v>
      </c>
      <c r="H3651">
        <v>1</v>
      </c>
    </row>
    <row r="3652" spans="1:8" x14ac:dyDescent="0.25">
      <c r="A3652" t="s">
        <v>2984</v>
      </c>
      <c r="B3652" t="s">
        <v>3214</v>
      </c>
      <c r="C3652" t="s">
        <v>3218</v>
      </c>
      <c r="D3652" t="s">
        <v>3225</v>
      </c>
      <c r="E3652" t="s">
        <v>3226</v>
      </c>
      <c r="F3652">
        <v>83586.460000000006</v>
      </c>
      <c r="G3652">
        <v>48106.64</v>
      </c>
      <c r="H3652">
        <v>4</v>
      </c>
    </row>
    <row r="3653" spans="1:8" x14ac:dyDescent="0.25">
      <c r="A3653" t="s">
        <v>2259</v>
      </c>
      <c r="C3653" t="s">
        <v>3221</v>
      </c>
      <c r="D3653" t="s">
        <v>3223</v>
      </c>
      <c r="E3653" t="s">
        <v>3226</v>
      </c>
      <c r="F3653">
        <v>9574.14</v>
      </c>
      <c r="G3653">
        <v>6911.17</v>
      </c>
      <c r="H3653">
        <v>1</v>
      </c>
    </row>
    <row r="3654" spans="1:8" x14ac:dyDescent="0.25">
      <c r="A3654" t="s">
        <v>2985</v>
      </c>
      <c r="B3654" t="s">
        <v>3212</v>
      </c>
      <c r="C3654" t="s">
        <v>3221</v>
      </c>
      <c r="D3654" t="s">
        <v>3223</v>
      </c>
      <c r="E3654" t="s">
        <v>3226</v>
      </c>
      <c r="F3654">
        <v>40203.26</v>
      </c>
      <c r="G3654">
        <v>32514.7</v>
      </c>
      <c r="H3654">
        <v>5</v>
      </c>
    </row>
    <row r="3655" spans="1:8" x14ac:dyDescent="0.25">
      <c r="A3655" t="s">
        <v>2986</v>
      </c>
      <c r="B3655" t="s">
        <v>3215</v>
      </c>
      <c r="C3655" t="s">
        <v>3217</v>
      </c>
      <c r="D3655" t="s">
        <v>3223</v>
      </c>
      <c r="E3655" t="s">
        <v>3226</v>
      </c>
      <c r="F3655">
        <v>40586.269999999997</v>
      </c>
      <c r="G3655">
        <v>31669.39</v>
      </c>
      <c r="H3655">
        <v>5</v>
      </c>
    </row>
    <row r="3656" spans="1:8" x14ac:dyDescent="0.25">
      <c r="A3656" t="s">
        <v>2987</v>
      </c>
      <c r="B3656" t="s">
        <v>3215</v>
      </c>
      <c r="C3656" t="s">
        <v>3217</v>
      </c>
      <c r="D3656" t="s">
        <v>3223</v>
      </c>
      <c r="E3656" t="s">
        <v>3226</v>
      </c>
      <c r="F3656">
        <v>44643.21</v>
      </c>
      <c r="G3656">
        <v>24669.18</v>
      </c>
      <c r="H3656">
        <v>4</v>
      </c>
    </row>
    <row r="3657" spans="1:8" x14ac:dyDescent="0.25">
      <c r="A3657" t="s">
        <v>2988</v>
      </c>
      <c r="B3657" t="s">
        <v>3214</v>
      </c>
      <c r="C3657" t="s">
        <v>3221</v>
      </c>
      <c r="D3657" t="s">
        <v>3222</v>
      </c>
      <c r="E3657" t="s">
        <v>3226</v>
      </c>
      <c r="F3657">
        <v>13172.61</v>
      </c>
    </row>
    <row r="3658" spans="1:8" x14ac:dyDescent="0.25">
      <c r="A3658" t="s">
        <v>2989</v>
      </c>
      <c r="B3658" t="s">
        <v>3214</v>
      </c>
      <c r="C3658" t="s">
        <v>3221</v>
      </c>
      <c r="D3658" t="s">
        <v>3222</v>
      </c>
      <c r="E3658" t="s">
        <v>3226</v>
      </c>
      <c r="F3658">
        <v>32049.42</v>
      </c>
      <c r="G3658">
        <v>18573.599999999999</v>
      </c>
      <c r="H3658">
        <v>2</v>
      </c>
    </row>
    <row r="3659" spans="1:8" x14ac:dyDescent="0.25">
      <c r="A3659" t="s">
        <v>1705</v>
      </c>
      <c r="B3659" t="s">
        <v>3213</v>
      </c>
      <c r="C3659" t="s">
        <v>3221</v>
      </c>
      <c r="D3659" t="s">
        <v>3223</v>
      </c>
      <c r="E3659" t="s">
        <v>3226</v>
      </c>
      <c r="F3659">
        <v>20285.13</v>
      </c>
      <c r="G3659">
        <v>13429.64</v>
      </c>
      <c r="H3659">
        <v>2</v>
      </c>
    </row>
    <row r="3660" spans="1:8" x14ac:dyDescent="0.25">
      <c r="A3660" t="s">
        <v>182</v>
      </c>
      <c r="B3660" t="s">
        <v>3214</v>
      </c>
      <c r="C3660" t="s">
        <v>3220</v>
      </c>
      <c r="D3660" t="s">
        <v>3223</v>
      </c>
      <c r="E3660" t="s">
        <v>3226</v>
      </c>
      <c r="F3660">
        <v>17994.52</v>
      </c>
      <c r="G3660">
        <v>13631.11</v>
      </c>
      <c r="H3660">
        <v>2</v>
      </c>
    </row>
    <row r="3661" spans="1:8" x14ac:dyDescent="0.25">
      <c r="A3661" t="s">
        <v>651</v>
      </c>
      <c r="B3661" t="s">
        <v>3211</v>
      </c>
      <c r="C3661" t="s">
        <v>3217</v>
      </c>
      <c r="D3661" t="s">
        <v>3223</v>
      </c>
      <c r="E3661" t="s">
        <v>3226</v>
      </c>
      <c r="F3661">
        <v>40237.279999999999</v>
      </c>
      <c r="G3661">
        <v>27167.7</v>
      </c>
      <c r="H3661">
        <v>4</v>
      </c>
    </row>
    <row r="3662" spans="1:8" x14ac:dyDescent="0.25">
      <c r="A3662" t="s">
        <v>2990</v>
      </c>
      <c r="B3662" t="s">
        <v>3211</v>
      </c>
      <c r="C3662" t="s">
        <v>3217</v>
      </c>
      <c r="D3662" t="s">
        <v>3224</v>
      </c>
      <c r="E3662" t="s">
        <v>3226</v>
      </c>
      <c r="F3662">
        <v>55739.53</v>
      </c>
      <c r="G3662">
        <v>43499.26</v>
      </c>
      <c r="H3662">
        <v>1</v>
      </c>
    </row>
    <row r="3663" spans="1:8" x14ac:dyDescent="0.25">
      <c r="A3663" t="s">
        <v>950</v>
      </c>
      <c r="B3663" t="s">
        <v>3215</v>
      </c>
      <c r="C3663" t="s">
        <v>3221</v>
      </c>
      <c r="D3663" t="s">
        <v>3222</v>
      </c>
      <c r="E3663" t="s">
        <v>3226</v>
      </c>
      <c r="F3663">
        <v>12551.36</v>
      </c>
      <c r="G3663">
        <v>10046.219999999999</v>
      </c>
      <c r="H3663">
        <v>1</v>
      </c>
    </row>
    <row r="3664" spans="1:8" x14ac:dyDescent="0.25">
      <c r="A3664" t="s">
        <v>2991</v>
      </c>
      <c r="C3664" t="s">
        <v>3220</v>
      </c>
      <c r="D3664" t="s">
        <v>3224</v>
      </c>
      <c r="E3664" t="s">
        <v>3226</v>
      </c>
      <c r="G3664">
        <v>195952.58</v>
      </c>
      <c r="H3664">
        <v>5</v>
      </c>
    </row>
    <row r="3665" spans="1:8" x14ac:dyDescent="0.25">
      <c r="A3665" t="s">
        <v>2992</v>
      </c>
      <c r="B3665" t="s">
        <v>3215</v>
      </c>
      <c r="C3665" t="s">
        <v>3218</v>
      </c>
      <c r="D3665" t="s">
        <v>3223</v>
      </c>
      <c r="E3665" t="s">
        <v>3226</v>
      </c>
      <c r="F3665">
        <v>39145.040000000001</v>
      </c>
      <c r="G3665">
        <v>24587.06</v>
      </c>
      <c r="H3665">
        <v>4</v>
      </c>
    </row>
    <row r="3666" spans="1:8" x14ac:dyDescent="0.25">
      <c r="A3666" t="s">
        <v>298</v>
      </c>
      <c r="C3666" t="s">
        <v>3220</v>
      </c>
      <c r="D3666" t="s">
        <v>3222</v>
      </c>
      <c r="E3666" t="s">
        <v>3226</v>
      </c>
      <c r="F3666">
        <v>71514.11</v>
      </c>
      <c r="G3666">
        <v>54873.82</v>
      </c>
      <c r="H3666">
        <v>5</v>
      </c>
    </row>
    <row r="3667" spans="1:8" x14ac:dyDescent="0.25">
      <c r="A3667" t="s">
        <v>2993</v>
      </c>
      <c r="B3667" t="s">
        <v>3212</v>
      </c>
      <c r="C3667" t="s">
        <v>3221</v>
      </c>
      <c r="D3667" t="s">
        <v>3224</v>
      </c>
      <c r="E3667" t="s">
        <v>3226</v>
      </c>
      <c r="F3667">
        <v>100374.35</v>
      </c>
      <c r="G3667">
        <v>89864.65</v>
      </c>
      <c r="H3667">
        <v>2</v>
      </c>
    </row>
    <row r="3668" spans="1:8" x14ac:dyDescent="0.25">
      <c r="A3668" t="s">
        <v>2994</v>
      </c>
      <c r="C3668" t="s">
        <v>3220</v>
      </c>
      <c r="D3668" t="s">
        <v>3223</v>
      </c>
      <c r="E3668" t="s">
        <v>3226</v>
      </c>
      <c r="F3668">
        <v>25669.35</v>
      </c>
      <c r="G3668">
        <v>22733.27</v>
      </c>
      <c r="H3668">
        <v>3</v>
      </c>
    </row>
    <row r="3669" spans="1:8" x14ac:dyDescent="0.25">
      <c r="A3669" t="s">
        <v>2660</v>
      </c>
      <c r="B3669" t="s">
        <v>3212</v>
      </c>
      <c r="C3669" t="s">
        <v>3220</v>
      </c>
      <c r="D3669" t="s">
        <v>3224</v>
      </c>
      <c r="E3669" t="s">
        <v>3226</v>
      </c>
      <c r="F3669">
        <v>261610</v>
      </c>
      <c r="G3669">
        <v>174911.98</v>
      </c>
      <c r="H3669">
        <v>4</v>
      </c>
    </row>
    <row r="3670" spans="1:8" x14ac:dyDescent="0.25">
      <c r="A3670" t="s">
        <v>2136</v>
      </c>
      <c r="B3670" t="s">
        <v>3214</v>
      </c>
      <c r="C3670" t="s">
        <v>3217</v>
      </c>
      <c r="D3670" t="s">
        <v>3224</v>
      </c>
      <c r="E3670" t="s">
        <v>3226</v>
      </c>
      <c r="F3670">
        <v>329944.34000000003</v>
      </c>
      <c r="G3670">
        <v>227143.38</v>
      </c>
      <c r="H3670">
        <v>5</v>
      </c>
    </row>
    <row r="3671" spans="1:8" x14ac:dyDescent="0.25">
      <c r="A3671" t="s">
        <v>1344</v>
      </c>
      <c r="B3671" t="s">
        <v>3213</v>
      </c>
      <c r="C3671" t="s">
        <v>3216</v>
      </c>
      <c r="D3671" t="s">
        <v>3223</v>
      </c>
      <c r="E3671" t="s">
        <v>3226</v>
      </c>
      <c r="F3671">
        <v>46336.03</v>
      </c>
      <c r="G3671">
        <v>36720.620000000003</v>
      </c>
      <c r="H3671">
        <v>5</v>
      </c>
    </row>
    <row r="3672" spans="1:8" x14ac:dyDescent="0.25">
      <c r="A3672" t="s">
        <v>1624</v>
      </c>
      <c r="B3672" t="s">
        <v>3214</v>
      </c>
      <c r="C3672" t="s">
        <v>3219</v>
      </c>
      <c r="D3672" t="s">
        <v>3222</v>
      </c>
      <c r="E3672" t="s">
        <v>3226</v>
      </c>
      <c r="F3672">
        <v>64538.15</v>
      </c>
      <c r="G3672">
        <v>54804.61</v>
      </c>
      <c r="H3672">
        <v>5</v>
      </c>
    </row>
    <row r="3673" spans="1:8" x14ac:dyDescent="0.25">
      <c r="A3673" t="s">
        <v>2995</v>
      </c>
      <c r="B3673" t="s">
        <v>3215</v>
      </c>
      <c r="C3673" t="s">
        <v>3218</v>
      </c>
      <c r="D3673" t="s">
        <v>3225</v>
      </c>
      <c r="E3673" t="s">
        <v>3226</v>
      </c>
      <c r="F3673">
        <v>42528.09</v>
      </c>
      <c r="G3673">
        <v>27351.74</v>
      </c>
    </row>
    <row r="3674" spans="1:8" x14ac:dyDescent="0.25">
      <c r="A3674" t="s">
        <v>2996</v>
      </c>
      <c r="B3674" t="s">
        <v>3212</v>
      </c>
      <c r="C3674" t="s">
        <v>3217</v>
      </c>
      <c r="D3674" t="s">
        <v>3223</v>
      </c>
      <c r="E3674" t="s">
        <v>3226</v>
      </c>
      <c r="F3674">
        <v>36314.07</v>
      </c>
      <c r="G3674">
        <v>24787.37</v>
      </c>
      <c r="H3674">
        <v>4</v>
      </c>
    </row>
    <row r="3675" spans="1:8" x14ac:dyDescent="0.25">
      <c r="A3675" t="s">
        <v>829</v>
      </c>
      <c r="B3675" t="s">
        <v>3215</v>
      </c>
      <c r="C3675" t="s">
        <v>3220</v>
      </c>
      <c r="D3675" t="s">
        <v>3225</v>
      </c>
      <c r="E3675" t="s">
        <v>3226</v>
      </c>
      <c r="F3675">
        <v>54652.18</v>
      </c>
      <c r="G3675">
        <v>42832.13</v>
      </c>
      <c r="H3675">
        <v>3</v>
      </c>
    </row>
    <row r="3676" spans="1:8" x14ac:dyDescent="0.25">
      <c r="A3676" t="s">
        <v>2997</v>
      </c>
      <c r="C3676" t="s">
        <v>3221</v>
      </c>
      <c r="D3676" t="s">
        <v>3222</v>
      </c>
      <c r="E3676" t="s">
        <v>3226</v>
      </c>
      <c r="F3676">
        <v>51281.86</v>
      </c>
      <c r="G3676">
        <v>26307.45</v>
      </c>
      <c r="H3676">
        <v>3</v>
      </c>
    </row>
    <row r="3677" spans="1:8" x14ac:dyDescent="0.25">
      <c r="A3677" t="s">
        <v>2998</v>
      </c>
      <c r="B3677" t="s">
        <v>3211</v>
      </c>
      <c r="C3677" t="s">
        <v>3220</v>
      </c>
      <c r="D3677" t="s">
        <v>3224</v>
      </c>
      <c r="E3677" t="s">
        <v>3226</v>
      </c>
      <c r="F3677">
        <v>56874.91</v>
      </c>
      <c r="H3677">
        <v>1</v>
      </c>
    </row>
    <row r="3678" spans="1:8" x14ac:dyDescent="0.25">
      <c r="A3678" t="s">
        <v>2999</v>
      </c>
      <c r="B3678" t="s">
        <v>3214</v>
      </c>
      <c r="C3678" t="s">
        <v>3216</v>
      </c>
      <c r="D3678" t="s">
        <v>3224</v>
      </c>
      <c r="E3678" t="s">
        <v>3226</v>
      </c>
      <c r="F3678">
        <v>271099.84000000003</v>
      </c>
      <c r="G3678">
        <v>201152.67</v>
      </c>
      <c r="H3678">
        <v>5</v>
      </c>
    </row>
    <row r="3679" spans="1:8" x14ac:dyDescent="0.25">
      <c r="A3679" t="s">
        <v>3000</v>
      </c>
      <c r="B3679" t="s">
        <v>3212</v>
      </c>
      <c r="C3679" t="s">
        <v>3219</v>
      </c>
      <c r="D3679" t="s">
        <v>3225</v>
      </c>
      <c r="E3679" t="s">
        <v>3226</v>
      </c>
      <c r="F3679">
        <v>46547.54</v>
      </c>
      <c r="G3679">
        <v>27798.99</v>
      </c>
      <c r="H3679">
        <v>2</v>
      </c>
    </row>
    <row r="3680" spans="1:8" x14ac:dyDescent="0.25">
      <c r="A3680" t="s">
        <v>3001</v>
      </c>
      <c r="B3680" t="s">
        <v>3214</v>
      </c>
      <c r="C3680" t="s">
        <v>3221</v>
      </c>
      <c r="D3680" t="s">
        <v>3225</v>
      </c>
      <c r="E3680" t="s">
        <v>3226</v>
      </c>
      <c r="F3680">
        <v>32112.7</v>
      </c>
      <c r="G3680">
        <v>27939.38</v>
      </c>
    </row>
    <row r="3681" spans="1:8" x14ac:dyDescent="0.25">
      <c r="A3681" t="s">
        <v>3002</v>
      </c>
      <c r="B3681" t="s">
        <v>3211</v>
      </c>
      <c r="C3681" t="s">
        <v>3216</v>
      </c>
      <c r="D3681" t="s">
        <v>3224</v>
      </c>
      <c r="E3681" t="s">
        <v>3226</v>
      </c>
      <c r="F3681">
        <v>98862.34</v>
      </c>
      <c r="G3681">
        <v>83339.17</v>
      </c>
      <c r="H3681">
        <v>2</v>
      </c>
    </row>
    <row r="3682" spans="1:8" x14ac:dyDescent="0.25">
      <c r="A3682" t="s">
        <v>102</v>
      </c>
      <c r="B3682" t="s">
        <v>3211</v>
      </c>
      <c r="C3682" t="s">
        <v>3221</v>
      </c>
      <c r="D3682" t="s">
        <v>3222</v>
      </c>
      <c r="E3682" t="s">
        <v>3226</v>
      </c>
      <c r="F3682">
        <v>44298.62</v>
      </c>
      <c r="G3682">
        <v>32659.73</v>
      </c>
      <c r="H3682">
        <v>3</v>
      </c>
    </row>
    <row r="3683" spans="1:8" x14ac:dyDescent="0.25">
      <c r="A3683" t="s">
        <v>3003</v>
      </c>
      <c r="B3683" t="s">
        <v>3212</v>
      </c>
      <c r="C3683" t="s">
        <v>3218</v>
      </c>
      <c r="D3683" t="s">
        <v>3222</v>
      </c>
      <c r="E3683" t="s">
        <v>3226</v>
      </c>
      <c r="F3683">
        <v>16868.02</v>
      </c>
      <c r="G3683">
        <v>10472.969999999999</v>
      </c>
      <c r="H3683">
        <v>1</v>
      </c>
    </row>
    <row r="3684" spans="1:8" x14ac:dyDescent="0.25">
      <c r="A3684" t="s">
        <v>3004</v>
      </c>
      <c r="B3684" t="s">
        <v>3211</v>
      </c>
      <c r="C3684" t="s">
        <v>3218</v>
      </c>
      <c r="D3684" t="s">
        <v>3222</v>
      </c>
      <c r="E3684" t="s">
        <v>3226</v>
      </c>
      <c r="F3684">
        <v>28690.22</v>
      </c>
      <c r="G3684">
        <v>18487.13</v>
      </c>
      <c r="H3684">
        <v>2</v>
      </c>
    </row>
    <row r="3685" spans="1:8" x14ac:dyDescent="0.25">
      <c r="A3685" t="s">
        <v>2534</v>
      </c>
      <c r="B3685" t="s">
        <v>3212</v>
      </c>
      <c r="C3685" t="s">
        <v>3219</v>
      </c>
      <c r="D3685" t="s">
        <v>3224</v>
      </c>
      <c r="E3685" t="s">
        <v>3226</v>
      </c>
      <c r="F3685">
        <v>159965.63</v>
      </c>
      <c r="G3685">
        <v>127244.82</v>
      </c>
      <c r="H3685">
        <v>3</v>
      </c>
    </row>
    <row r="3686" spans="1:8" x14ac:dyDescent="0.25">
      <c r="A3686" t="s">
        <v>3005</v>
      </c>
      <c r="C3686" t="s">
        <v>3217</v>
      </c>
      <c r="D3686" t="s">
        <v>3225</v>
      </c>
      <c r="E3686" t="s">
        <v>3226</v>
      </c>
      <c r="F3686">
        <v>80245.31</v>
      </c>
      <c r="G3686">
        <v>49163.64</v>
      </c>
      <c r="H3686">
        <v>4</v>
      </c>
    </row>
    <row r="3687" spans="1:8" x14ac:dyDescent="0.25">
      <c r="A3687" t="s">
        <v>3006</v>
      </c>
      <c r="C3687" t="s">
        <v>3218</v>
      </c>
      <c r="D3687" t="s">
        <v>3225</v>
      </c>
      <c r="E3687" t="s">
        <v>3226</v>
      </c>
      <c r="F3687">
        <v>86988.67</v>
      </c>
      <c r="G3687">
        <v>55671.43</v>
      </c>
      <c r="H3687">
        <v>4</v>
      </c>
    </row>
    <row r="3688" spans="1:8" x14ac:dyDescent="0.25">
      <c r="A3688" t="s">
        <v>3007</v>
      </c>
      <c r="C3688" t="s">
        <v>3217</v>
      </c>
      <c r="D3688" t="s">
        <v>3225</v>
      </c>
      <c r="E3688" t="s">
        <v>3226</v>
      </c>
      <c r="F3688">
        <v>42859.48</v>
      </c>
      <c r="G3688">
        <v>24443.53</v>
      </c>
      <c r="H3688">
        <v>2</v>
      </c>
    </row>
    <row r="3689" spans="1:8" x14ac:dyDescent="0.25">
      <c r="A3689" t="s">
        <v>3008</v>
      </c>
      <c r="B3689" t="s">
        <v>3212</v>
      </c>
      <c r="C3689" t="s">
        <v>3217</v>
      </c>
      <c r="D3689" t="s">
        <v>3222</v>
      </c>
      <c r="E3689" t="s">
        <v>3226</v>
      </c>
      <c r="F3689">
        <v>39272.080000000002</v>
      </c>
      <c r="G3689">
        <v>25520.31</v>
      </c>
      <c r="H3689">
        <v>3</v>
      </c>
    </row>
    <row r="3690" spans="1:8" x14ac:dyDescent="0.25">
      <c r="A3690" t="s">
        <v>3009</v>
      </c>
      <c r="B3690" t="s">
        <v>3211</v>
      </c>
      <c r="C3690" t="s">
        <v>3218</v>
      </c>
      <c r="D3690" t="s">
        <v>3223</v>
      </c>
      <c r="E3690" t="s">
        <v>3226</v>
      </c>
      <c r="F3690">
        <v>30401.29</v>
      </c>
      <c r="G3690">
        <v>20404.03</v>
      </c>
      <c r="H3690">
        <v>3</v>
      </c>
    </row>
    <row r="3691" spans="1:8" x14ac:dyDescent="0.25">
      <c r="A3691" t="s">
        <v>3010</v>
      </c>
      <c r="B3691" t="s">
        <v>3213</v>
      </c>
      <c r="C3691" t="s">
        <v>3220</v>
      </c>
      <c r="D3691" t="s">
        <v>3222</v>
      </c>
      <c r="E3691" t="s">
        <v>3226</v>
      </c>
      <c r="F3691">
        <v>69798.97</v>
      </c>
      <c r="G3691">
        <v>35612.800000000003</v>
      </c>
      <c r="H3691">
        <v>4</v>
      </c>
    </row>
    <row r="3692" spans="1:8" x14ac:dyDescent="0.25">
      <c r="A3692" t="s">
        <v>3011</v>
      </c>
      <c r="B3692" t="s">
        <v>3214</v>
      </c>
      <c r="C3692" t="s">
        <v>3221</v>
      </c>
      <c r="D3692" t="s">
        <v>3222</v>
      </c>
      <c r="E3692" t="s">
        <v>3226</v>
      </c>
      <c r="F3692">
        <v>79858.92</v>
      </c>
      <c r="G3692">
        <v>48076.33</v>
      </c>
      <c r="H3692">
        <v>5</v>
      </c>
    </row>
    <row r="3693" spans="1:8" x14ac:dyDescent="0.25">
      <c r="A3693" t="s">
        <v>2642</v>
      </c>
      <c r="B3693" t="s">
        <v>3212</v>
      </c>
      <c r="C3693" t="s">
        <v>3218</v>
      </c>
      <c r="D3693" t="s">
        <v>3223</v>
      </c>
      <c r="E3693" t="s">
        <v>3226</v>
      </c>
      <c r="F3693">
        <v>10252.799999999999</v>
      </c>
      <c r="G3693">
        <v>6387.09</v>
      </c>
      <c r="H3693">
        <v>1</v>
      </c>
    </row>
    <row r="3694" spans="1:8" x14ac:dyDescent="0.25">
      <c r="A3694" t="s">
        <v>1128</v>
      </c>
      <c r="B3694" t="s">
        <v>3214</v>
      </c>
      <c r="C3694" t="s">
        <v>3220</v>
      </c>
      <c r="D3694" t="s">
        <v>3224</v>
      </c>
      <c r="E3694" t="s">
        <v>3226</v>
      </c>
      <c r="F3694">
        <v>169661.31</v>
      </c>
      <c r="G3694">
        <v>129381.42</v>
      </c>
      <c r="H3694">
        <v>3</v>
      </c>
    </row>
    <row r="3695" spans="1:8" x14ac:dyDescent="0.25">
      <c r="A3695" t="s">
        <v>3012</v>
      </c>
      <c r="B3695" t="s">
        <v>3211</v>
      </c>
      <c r="C3695" t="s">
        <v>3221</v>
      </c>
      <c r="D3695" t="s">
        <v>3224</v>
      </c>
      <c r="E3695" t="s">
        <v>3226</v>
      </c>
      <c r="F3695">
        <v>277437.33</v>
      </c>
      <c r="G3695">
        <v>194383.16</v>
      </c>
      <c r="H3695">
        <v>4</v>
      </c>
    </row>
    <row r="3696" spans="1:8" x14ac:dyDescent="0.25">
      <c r="A3696" t="s">
        <v>3013</v>
      </c>
      <c r="C3696" t="s">
        <v>3218</v>
      </c>
      <c r="D3696" t="s">
        <v>3222</v>
      </c>
      <c r="E3696" t="s">
        <v>3226</v>
      </c>
      <c r="F3696">
        <v>25503.83</v>
      </c>
      <c r="G3696">
        <v>21031.62</v>
      </c>
      <c r="H3696">
        <v>2</v>
      </c>
    </row>
    <row r="3697" spans="1:8" x14ac:dyDescent="0.25">
      <c r="A3697" t="s">
        <v>3014</v>
      </c>
      <c r="B3697" t="s">
        <v>3211</v>
      </c>
      <c r="C3697" t="s">
        <v>3217</v>
      </c>
      <c r="D3697" t="s">
        <v>3224</v>
      </c>
      <c r="E3697" t="s">
        <v>3226</v>
      </c>
      <c r="G3697">
        <v>133376.29999999999</v>
      </c>
      <c r="H3697">
        <v>3</v>
      </c>
    </row>
    <row r="3698" spans="1:8" x14ac:dyDescent="0.25">
      <c r="A3698" t="s">
        <v>3015</v>
      </c>
      <c r="B3698" t="s">
        <v>3212</v>
      </c>
      <c r="C3698" t="s">
        <v>3218</v>
      </c>
      <c r="D3698" t="s">
        <v>3222</v>
      </c>
      <c r="E3698" t="s">
        <v>3226</v>
      </c>
      <c r="F3698">
        <v>70221.56</v>
      </c>
      <c r="G3698">
        <v>45602.16</v>
      </c>
      <c r="H3698">
        <v>5</v>
      </c>
    </row>
    <row r="3699" spans="1:8" x14ac:dyDescent="0.25">
      <c r="A3699" t="s">
        <v>3016</v>
      </c>
      <c r="B3699" t="s">
        <v>3215</v>
      </c>
      <c r="C3699" t="s">
        <v>3218</v>
      </c>
      <c r="D3699" t="s">
        <v>3224</v>
      </c>
      <c r="E3699" t="s">
        <v>3226</v>
      </c>
      <c r="G3699">
        <v>146390.32999999999</v>
      </c>
      <c r="H3699">
        <v>3</v>
      </c>
    </row>
    <row r="3700" spans="1:8" x14ac:dyDescent="0.25">
      <c r="A3700" t="s">
        <v>3017</v>
      </c>
      <c r="B3700" t="s">
        <v>3213</v>
      </c>
      <c r="C3700" t="s">
        <v>3220</v>
      </c>
      <c r="D3700" t="s">
        <v>3224</v>
      </c>
      <c r="E3700" t="s">
        <v>3226</v>
      </c>
      <c r="F3700">
        <v>58309.760000000002</v>
      </c>
      <c r="G3700">
        <v>45305.22</v>
      </c>
      <c r="H3700">
        <v>1</v>
      </c>
    </row>
    <row r="3701" spans="1:8" x14ac:dyDescent="0.25">
      <c r="A3701" t="s">
        <v>888</v>
      </c>
      <c r="B3701" t="s">
        <v>3214</v>
      </c>
      <c r="C3701" t="s">
        <v>3219</v>
      </c>
      <c r="D3701" t="s">
        <v>3223</v>
      </c>
      <c r="E3701" t="s">
        <v>3226</v>
      </c>
      <c r="F3701">
        <v>24919.13</v>
      </c>
      <c r="G3701">
        <v>18222.419999999998</v>
      </c>
      <c r="H3701">
        <v>3</v>
      </c>
    </row>
    <row r="3702" spans="1:8" x14ac:dyDescent="0.25">
      <c r="A3702" t="s">
        <v>3018</v>
      </c>
      <c r="C3702" t="s">
        <v>3221</v>
      </c>
      <c r="D3702" t="s">
        <v>3223</v>
      </c>
      <c r="E3702" t="s">
        <v>3226</v>
      </c>
      <c r="F3702">
        <v>32590.7</v>
      </c>
      <c r="G3702">
        <v>20748.53</v>
      </c>
      <c r="H3702">
        <v>3</v>
      </c>
    </row>
    <row r="3703" spans="1:8" x14ac:dyDescent="0.25">
      <c r="A3703" t="s">
        <v>2853</v>
      </c>
      <c r="B3703" t="s">
        <v>3213</v>
      </c>
      <c r="C3703" t="s">
        <v>3218</v>
      </c>
      <c r="D3703" t="s">
        <v>3223</v>
      </c>
      <c r="E3703" t="s">
        <v>3226</v>
      </c>
      <c r="G3703">
        <v>13763.2</v>
      </c>
      <c r="H3703">
        <v>2</v>
      </c>
    </row>
    <row r="3704" spans="1:8" x14ac:dyDescent="0.25">
      <c r="A3704" t="s">
        <v>3019</v>
      </c>
      <c r="B3704" t="s">
        <v>3215</v>
      </c>
      <c r="C3704" t="s">
        <v>3220</v>
      </c>
      <c r="D3704" t="s">
        <v>3222</v>
      </c>
      <c r="E3704" t="s">
        <v>3226</v>
      </c>
      <c r="F3704">
        <v>78225.61</v>
      </c>
      <c r="G3704">
        <v>48690.86</v>
      </c>
      <c r="H3704">
        <v>5</v>
      </c>
    </row>
    <row r="3705" spans="1:8" x14ac:dyDescent="0.25">
      <c r="A3705" t="s">
        <v>3020</v>
      </c>
      <c r="B3705" t="s">
        <v>3214</v>
      </c>
      <c r="C3705" t="s">
        <v>3219</v>
      </c>
      <c r="D3705" t="s">
        <v>3222</v>
      </c>
      <c r="E3705" t="s">
        <v>3226</v>
      </c>
      <c r="F3705">
        <v>41084.199999999997</v>
      </c>
      <c r="G3705">
        <v>30003.81</v>
      </c>
      <c r="H3705">
        <v>3</v>
      </c>
    </row>
    <row r="3706" spans="1:8" x14ac:dyDescent="0.25">
      <c r="A3706" t="s">
        <v>3021</v>
      </c>
      <c r="B3706" t="s">
        <v>3213</v>
      </c>
      <c r="C3706" t="s">
        <v>3221</v>
      </c>
      <c r="D3706" t="s">
        <v>3222</v>
      </c>
      <c r="E3706" t="s">
        <v>3226</v>
      </c>
      <c r="F3706">
        <v>35331.760000000002</v>
      </c>
      <c r="G3706">
        <v>19799.02</v>
      </c>
      <c r="H3706">
        <v>2</v>
      </c>
    </row>
    <row r="3707" spans="1:8" x14ac:dyDescent="0.25">
      <c r="A3707" t="s">
        <v>2208</v>
      </c>
      <c r="B3707" t="s">
        <v>3215</v>
      </c>
      <c r="C3707" t="s">
        <v>3221</v>
      </c>
      <c r="D3707" t="s">
        <v>3224</v>
      </c>
      <c r="E3707" t="s">
        <v>3226</v>
      </c>
      <c r="F3707">
        <v>54428.58</v>
      </c>
      <c r="G3707">
        <v>41177.910000000003</v>
      </c>
      <c r="H3707">
        <v>1</v>
      </c>
    </row>
    <row r="3708" spans="1:8" x14ac:dyDescent="0.25">
      <c r="A3708" t="s">
        <v>3022</v>
      </c>
      <c r="C3708" t="s">
        <v>3220</v>
      </c>
      <c r="D3708" t="s">
        <v>3223</v>
      </c>
      <c r="E3708" t="s">
        <v>3226</v>
      </c>
      <c r="F3708">
        <v>9241.36</v>
      </c>
      <c r="G3708">
        <v>7071.09</v>
      </c>
      <c r="H3708">
        <v>1</v>
      </c>
    </row>
    <row r="3709" spans="1:8" x14ac:dyDescent="0.25">
      <c r="A3709" t="s">
        <v>3023</v>
      </c>
      <c r="B3709" t="s">
        <v>3215</v>
      </c>
      <c r="C3709" t="s">
        <v>3218</v>
      </c>
      <c r="D3709" t="s">
        <v>3223</v>
      </c>
      <c r="E3709" t="s">
        <v>3226</v>
      </c>
      <c r="G3709">
        <v>13897.12</v>
      </c>
      <c r="H3709">
        <v>2</v>
      </c>
    </row>
    <row r="3710" spans="1:8" x14ac:dyDescent="0.25">
      <c r="A3710" t="s">
        <v>3024</v>
      </c>
      <c r="B3710" t="s">
        <v>3211</v>
      </c>
      <c r="C3710" t="s">
        <v>3218</v>
      </c>
      <c r="D3710" t="s">
        <v>3222</v>
      </c>
      <c r="E3710" t="s">
        <v>3226</v>
      </c>
      <c r="F3710">
        <v>56521.77</v>
      </c>
      <c r="G3710">
        <v>37664.75</v>
      </c>
    </row>
    <row r="3711" spans="1:8" x14ac:dyDescent="0.25">
      <c r="A3711" t="s">
        <v>3025</v>
      </c>
      <c r="B3711" t="s">
        <v>3212</v>
      </c>
      <c r="C3711" t="s">
        <v>3219</v>
      </c>
      <c r="D3711" t="s">
        <v>3224</v>
      </c>
      <c r="E3711" t="s">
        <v>3226</v>
      </c>
      <c r="F3711">
        <v>55570.19</v>
      </c>
      <c r="G3711">
        <v>45056.75</v>
      </c>
      <c r="H3711">
        <v>1</v>
      </c>
    </row>
    <row r="3712" spans="1:8" x14ac:dyDescent="0.25">
      <c r="A3712" t="s">
        <v>1783</v>
      </c>
      <c r="B3712" t="s">
        <v>3215</v>
      </c>
      <c r="C3712" t="s">
        <v>3221</v>
      </c>
      <c r="D3712" t="s">
        <v>3225</v>
      </c>
      <c r="E3712" t="s">
        <v>3226</v>
      </c>
      <c r="F3712">
        <v>42561.07</v>
      </c>
      <c r="H3712">
        <v>2</v>
      </c>
    </row>
    <row r="3713" spans="1:8" x14ac:dyDescent="0.25">
      <c r="A3713" t="s">
        <v>3026</v>
      </c>
      <c r="B3713" t="s">
        <v>3212</v>
      </c>
      <c r="C3713" t="s">
        <v>3218</v>
      </c>
      <c r="D3713" t="s">
        <v>3225</v>
      </c>
      <c r="E3713" t="s">
        <v>3226</v>
      </c>
      <c r="F3713">
        <v>20799.669999999998</v>
      </c>
      <c r="G3713">
        <v>15143.51</v>
      </c>
      <c r="H3713">
        <v>1</v>
      </c>
    </row>
    <row r="3714" spans="1:8" x14ac:dyDescent="0.25">
      <c r="A3714" t="s">
        <v>760</v>
      </c>
      <c r="B3714" t="s">
        <v>3211</v>
      </c>
      <c r="C3714" t="s">
        <v>3216</v>
      </c>
      <c r="D3714" t="s">
        <v>3223</v>
      </c>
      <c r="E3714" t="s">
        <v>3226</v>
      </c>
      <c r="F3714">
        <v>55026.09</v>
      </c>
      <c r="H3714">
        <v>5</v>
      </c>
    </row>
    <row r="3715" spans="1:8" x14ac:dyDescent="0.25">
      <c r="A3715" t="s">
        <v>3027</v>
      </c>
      <c r="B3715" t="s">
        <v>3213</v>
      </c>
      <c r="C3715" t="s">
        <v>3220</v>
      </c>
      <c r="D3715" t="s">
        <v>3225</v>
      </c>
      <c r="E3715" t="s">
        <v>3226</v>
      </c>
      <c r="F3715">
        <v>17852.54</v>
      </c>
      <c r="G3715">
        <v>14522.11</v>
      </c>
      <c r="H3715">
        <v>1</v>
      </c>
    </row>
    <row r="3716" spans="1:8" x14ac:dyDescent="0.25">
      <c r="A3716" t="s">
        <v>516</v>
      </c>
      <c r="B3716" t="s">
        <v>3213</v>
      </c>
      <c r="C3716" t="s">
        <v>3220</v>
      </c>
      <c r="D3716" t="s">
        <v>3222</v>
      </c>
      <c r="E3716" t="s">
        <v>3226</v>
      </c>
      <c r="F3716">
        <v>69998.720000000001</v>
      </c>
      <c r="G3716">
        <v>42200.02</v>
      </c>
      <c r="H3716">
        <v>4</v>
      </c>
    </row>
    <row r="3717" spans="1:8" x14ac:dyDescent="0.25">
      <c r="A3717" t="s">
        <v>572</v>
      </c>
      <c r="B3717" t="s">
        <v>3214</v>
      </c>
      <c r="C3717" t="s">
        <v>3217</v>
      </c>
      <c r="D3717" t="s">
        <v>3222</v>
      </c>
      <c r="E3717" t="s">
        <v>3226</v>
      </c>
      <c r="F3717">
        <v>38078.81</v>
      </c>
      <c r="G3717">
        <v>26646.2</v>
      </c>
      <c r="H3717">
        <v>3</v>
      </c>
    </row>
    <row r="3718" spans="1:8" x14ac:dyDescent="0.25">
      <c r="A3718" t="s">
        <v>3028</v>
      </c>
      <c r="B3718" t="s">
        <v>3215</v>
      </c>
      <c r="C3718" t="s">
        <v>3219</v>
      </c>
      <c r="D3718" t="s">
        <v>3222</v>
      </c>
      <c r="E3718" t="s">
        <v>3226</v>
      </c>
      <c r="F3718">
        <v>48587.13</v>
      </c>
      <c r="G3718">
        <v>40309.85</v>
      </c>
      <c r="H3718">
        <v>4</v>
      </c>
    </row>
    <row r="3719" spans="1:8" x14ac:dyDescent="0.25">
      <c r="A3719" t="s">
        <v>1284</v>
      </c>
      <c r="B3719" t="s">
        <v>3215</v>
      </c>
      <c r="C3719" t="s">
        <v>3217</v>
      </c>
      <c r="D3719" t="s">
        <v>3225</v>
      </c>
      <c r="E3719" t="s">
        <v>3226</v>
      </c>
      <c r="F3719">
        <v>57210.25</v>
      </c>
      <c r="G3719">
        <v>41956.01</v>
      </c>
      <c r="H3719">
        <v>3</v>
      </c>
    </row>
    <row r="3720" spans="1:8" x14ac:dyDescent="0.25">
      <c r="A3720" t="s">
        <v>2656</v>
      </c>
      <c r="B3720" t="s">
        <v>3214</v>
      </c>
      <c r="C3720" t="s">
        <v>3220</v>
      </c>
      <c r="D3720" t="s">
        <v>3224</v>
      </c>
      <c r="E3720" t="s">
        <v>3226</v>
      </c>
      <c r="F3720">
        <v>99645.6</v>
      </c>
      <c r="G3720">
        <v>84846.47</v>
      </c>
      <c r="H3720">
        <v>2</v>
      </c>
    </row>
    <row r="3721" spans="1:8" x14ac:dyDescent="0.25">
      <c r="A3721" t="s">
        <v>3029</v>
      </c>
      <c r="B3721" t="s">
        <v>3211</v>
      </c>
      <c r="C3721" t="s">
        <v>3220</v>
      </c>
      <c r="D3721" t="s">
        <v>3222</v>
      </c>
      <c r="E3721" t="s">
        <v>3226</v>
      </c>
      <c r="F3721">
        <v>68655.17</v>
      </c>
      <c r="G3721">
        <v>34060.080000000002</v>
      </c>
      <c r="H3721">
        <v>4</v>
      </c>
    </row>
    <row r="3722" spans="1:8" x14ac:dyDescent="0.25">
      <c r="A3722" t="s">
        <v>218</v>
      </c>
      <c r="B3722" t="s">
        <v>3215</v>
      </c>
      <c r="C3722" t="s">
        <v>3216</v>
      </c>
      <c r="D3722" t="s">
        <v>3224</v>
      </c>
      <c r="E3722" t="s">
        <v>3226</v>
      </c>
      <c r="F3722">
        <v>212251.27</v>
      </c>
      <c r="G3722">
        <v>120774.15</v>
      </c>
      <c r="H3722">
        <v>3</v>
      </c>
    </row>
    <row r="3723" spans="1:8" x14ac:dyDescent="0.25">
      <c r="A3723" t="s">
        <v>3030</v>
      </c>
      <c r="B3723" t="s">
        <v>3211</v>
      </c>
      <c r="C3723" t="s">
        <v>3216</v>
      </c>
      <c r="D3723" t="s">
        <v>3222</v>
      </c>
      <c r="E3723" t="s">
        <v>3226</v>
      </c>
      <c r="F3723">
        <v>14679.15</v>
      </c>
      <c r="H3723">
        <v>1</v>
      </c>
    </row>
    <row r="3724" spans="1:8" x14ac:dyDescent="0.25">
      <c r="A3724" t="s">
        <v>3031</v>
      </c>
      <c r="B3724" t="s">
        <v>3215</v>
      </c>
      <c r="C3724" t="s">
        <v>3217</v>
      </c>
      <c r="D3724" t="s">
        <v>3223</v>
      </c>
      <c r="E3724" t="s">
        <v>3226</v>
      </c>
      <c r="F3724">
        <v>10551.67</v>
      </c>
      <c r="G3724">
        <v>7638.45</v>
      </c>
      <c r="H3724">
        <v>1</v>
      </c>
    </row>
    <row r="3725" spans="1:8" x14ac:dyDescent="0.25">
      <c r="A3725" t="s">
        <v>1312</v>
      </c>
      <c r="B3725" t="s">
        <v>3213</v>
      </c>
      <c r="C3725" t="s">
        <v>3218</v>
      </c>
      <c r="D3725" t="s">
        <v>3222</v>
      </c>
      <c r="E3725" t="s">
        <v>3226</v>
      </c>
      <c r="F3725">
        <v>50723.71</v>
      </c>
      <c r="G3725">
        <v>39631.29</v>
      </c>
      <c r="H3725">
        <v>4</v>
      </c>
    </row>
    <row r="3726" spans="1:8" x14ac:dyDescent="0.25">
      <c r="A3726" t="s">
        <v>3032</v>
      </c>
      <c r="B3726" t="s">
        <v>3211</v>
      </c>
      <c r="C3726" t="s">
        <v>3218</v>
      </c>
      <c r="D3726" t="s">
        <v>3224</v>
      </c>
      <c r="E3726" t="s">
        <v>3226</v>
      </c>
      <c r="F3726">
        <v>311032.78000000003</v>
      </c>
      <c r="G3726">
        <v>228306.18</v>
      </c>
      <c r="H3726">
        <v>5</v>
      </c>
    </row>
    <row r="3727" spans="1:8" x14ac:dyDescent="0.25">
      <c r="A3727" t="s">
        <v>3033</v>
      </c>
      <c r="B3727" t="s">
        <v>3212</v>
      </c>
      <c r="C3727" t="s">
        <v>3216</v>
      </c>
      <c r="D3727" t="s">
        <v>3222</v>
      </c>
      <c r="E3727" t="s">
        <v>3226</v>
      </c>
      <c r="F3727">
        <v>42041.17</v>
      </c>
      <c r="G3727">
        <v>32225.82</v>
      </c>
      <c r="H3727">
        <v>3</v>
      </c>
    </row>
    <row r="3728" spans="1:8" x14ac:dyDescent="0.25">
      <c r="A3728" t="s">
        <v>3034</v>
      </c>
      <c r="B3728" t="s">
        <v>3213</v>
      </c>
      <c r="C3728" t="s">
        <v>3219</v>
      </c>
      <c r="D3728" t="s">
        <v>3222</v>
      </c>
      <c r="E3728" t="s">
        <v>3226</v>
      </c>
      <c r="F3728">
        <v>25424.59</v>
      </c>
      <c r="G3728">
        <v>21850.54</v>
      </c>
      <c r="H3728">
        <v>2</v>
      </c>
    </row>
    <row r="3729" spans="1:8" x14ac:dyDescent="0.25">
      <c r="A3729" t="s">
        <v>509</v>
      </c>
      <c r="B3729" t="s">
        <v>3213</v>
      </c>
      <c r="C3729" t="s">
        <v>3218</v>
      </c>
      <c r="D3729" t="s">
        <v>3222</v>
      </c>
      <c r="E3729" t="s">
        <v>3226</v>
      </c>
      <c r="F3729">
        <v>83171.75</v>
      </c>
      <c r="G3729">
        <v>45701.72</v>
      </c>
      <c r="H3729">
        <v>5</v>
      </c>
    </row>
    <row r="3730" spans="1:8" x14ac:dyDescent="0.25">
      <c r="A3730" t="s">
        <v>3035</v>
      </c>
      <c r="B3730" t="s">
        <v>3214</v>
      </c>
      <c r="C3730" t="s">
        <v>3218</v>
      </c>
      <c r="D3730" t="s">
        <v>3225</v>
      </c>
      <c r="E3730" t="s">
        <v>3226</v>
      </c>
      <c r="G3730">
        <v>26527.63</v>
      </c>
      <c r="H3730">
        <v>2</v>
      </c>
    </row>
    <row r="3731" spans="1:8" x14ac:dyDescent="0.25">
      <c r="A3731" t="s">
        <v>3036</v>
      </c>
      <c r="C3731" t="s">
        <v>3218</v>
      </c>
      <c r="D3731" t="s">
        <v>3222</v>
      </c>
      <c r="E3731" t="s">
        <v>3226</v>
      </c>
      <c r="F3731">
        <v>65908.539999999994</v>
      </c>
      <c r="G3731">
        <v>42916.95</v>
      </c>
      <c r="H3731">
        <v>4</v>
      </c>
    </row>
    <row r="3732" spans="1:8" x14ac:dyDescent="0.25">
      <c r="A3732" t="s">
        <v>3037</v>
      </c>
      <c r="B3732" t="s">
        <v>3212</v>
      </c>
      <c r="C3732" t="s">
        <v>3221</v>
      </c>
      <c r="D3732" t="s">
        <v>3225</v>
      </c>
      <c r="E3732" t="s">
        <v>3226</v>
      </c>
      <c r="F3732">
        <v>61048.02</v>
      </c>
      <c r="G3732">
        <v>45400.480000000003</v>
      </c>
      <c r="H3732">
        <v>3</v>
      </c>
    </row>
    <row r="3733" spans="1:8" x14ac:dyDescent="0.25">
      <c r="A3733" t="s">
        <v>3038</v>
      </c>
      <c r="B3733" t="s">
        <v>3213</v>
      </c>
      <c r="C3733" t="s">
        <v>3220</v>
      </c>
      <c r="D3733" t="s">
        <v>3223</v>
      </c>
      <c r="E3733" t="s">
        <v>3226</v>
      </c>
      <c r="F3733">
        <v>35183.56</v>
      </c>
      <c r="G3733">
        <v>29272.76</v>
      </c>
    </row>
    <row r="3734" spans="1:8" x14ac:dyDescent="0.25">
      <c r="A3734" t="s">
        <v>3039</v>
      </c>
      <c r="B3734" t="s">
        <v>3215</v>
      </c>
      <c r="C3734" t="s">
        <v>3219</v>
      </c>
      <c r="D3734" t="s">
        <v>3222</v>
      </c>
      <c r="E3734" t="s">
        <v>3226</v>
      </c>
      <c r="F3734">
        <v>40457.86</v>
      </c>
      <c r="G3734">
        <v>31371.26</v>
      </c>
      <c r="H3734">
        <v>3</v>
      </c>
    </row>
    <row r="3735" spans="1:8" x14ac:dyDescent="0.25">
      <c r="A3735" t="s">
        <v>2712</v>
      </c>
      <c r="B3735" t="s">
        <v>3212</v>
      </c>
      <c r="C3735" t="s">
        <v>3220</v>
      </c>
      <c r="D3735" t="s">
        <v>3225</v>
      </c>
      <c r="E3735" t="s">
        <v>3226</v>
      </c>
      <c r="F3735">
        <v>52251.040000000001</v>
      </c>
      <c r="H3735">
        <v>3</v>
      </c>
    </row>
    <row r="3736" spans="1:8" x14ac:dyDescent="0.25">
      <c r="A3736" t="s">
        <v>3040</v>
      </c>
      <c r="B3736" t="s">
        <v>3211</v>
      </c>
      <c r="C3736" t="s">
        <v>3219</v>
      </c>
      <c r="D3736" t="s">
        <v>3225</v>
      </c>
      <c r="E3736" t="s">
        <v>3226</v>
      </c>
      <c r="F3736">
        <v>57468.57</v>
      </c>
      <c r="G3736">
        <v>43369.8</v>
      </c>
      <c r="H3736">
        <v>3</v>
      </c>
    </row>
    <row r="3737" spans="1:8" x14ac:dyDescent="0.25">
      <c r="A3737" t="s">
        <v>3041</v>
      </c>
      <c r="B3737" t="s">
        <v>3211</v>
      </c>
      <c r="C3737" t="s">
        <v>3219</v>
      </c>
      <c r="D3737" t="s">
        <v>3223</v>
      </c>
      <c r="E3737" t="s">
        <v>3226</v>
      </c>
      <c r="F3737">
        <v>26045.26</v>
      </c>
      <c r="G3737">
        <v>21808.99</v>
      </c>
      <c r="H3737">
        <v>3</v>
      </c>
    </row>
    <row r="3738" spans="1:8" x14ac:dyDescent="0.25">
      <c r="A3738" t="s">
        <v>3042</v>
      </c>
      <c r="B3738" t="s">
        <v>3211</v>
      </c>
      <c r="C3738" t="s">
        <v>3217</v>
      </c>
      <c r="D3738" t="s">
        <v>3224</v>
      </c>
      <c r="E3738" t="s">
        <v>3226</v>
      </c>
      <c r="F3738">
        <v>63361.73</v>
      </c>
      <c r="G3738">
        <v>41263.980000000003</v>
      </c>
      <c r="H3738">
        <v>1</v>
      </c>
    </row>
    <row r="3739" spans="1:8" x14ac:dyDescent="0.25">
      <c r="A3739" t="s">
        <v>3043</v>
      </c>
      <c r="C3739" t="s">
        <v>3216</v>
      </c>
      <c r="D3739" t="s">
        <v>3225</v>
      </c>
      <c r="E3739" t="s">
        <v>3226</v>
      </c>
      <c r="F3739">
        <v>118750.26</v>
      </c>
      <c r="G3739">
        <v>64793.56</v>
      </c>
      <c r="H3739">
        <v>5</v>
      </c>
    </row>
    <row r="3740" spans="1:8" x14ac:dyDescent="0.25">
      <c r="A3740" t="s">
        <v>3044</v>
      </c>
      <c r="B3740" t="s">
        <v>3212</v>
      </c>
      <c r="C3740" t="s">
        <v>3221</v>
      </c>
      <c r="D3740" t="s">
        <v>3223</v>
      </c>
      <c r="E3740" t="s">
        <v>3226</v>
      </c>
      <c r="F3740">
        <v>41784.5</v>
      </c>
      <c r="H3740">
        <v>5</v>
      </c>
    </row>
    <row r="3741" spans="1:8" x14ac:dyDescent="0.25">
      <c r="A3741" t="s">
        <v>3045</v>
      </c>
      <c r="B3741" t="s">
        <v>3213</v>
      </c>
      <c r="C3741" t="s">
        <v>3216</v>
      </c>
      <c r="D3741" t="s">
        <v>3223</v>
      </c>
      <c r="E3741" t="s">
        <v>3226</v>
      </c>
      <c r="F3741">
        <v>53827.28</v>
      </c>
      <c r="G3741">
        <v>29944.23</v>
      </c>
      <c r="H3741">
        <v>5</v>
      </c>
    </row>
    <row r="3742" spans="1:8" x14ac:dyDescent="0.25">
      <c r="A3742" t="s">
        <v>3046</v>
      </c>
      <c r="B3742" t="s">
        <v>3211</v>
      </c>
      <c r="C3742" t="s">
        <v>3219</v>
      </c>
      <c r="D3742" t="s">
        <v>3225</v>
      </c>
      <c r="E3742" t="s">
        <v>3226</v>
      </c>
      <c r="F3742">
        <v>95320.99</v>
      </c>
      <c r="G3742">
        <v>49669.88</v>
      </c>
      <c r="H3742">
        <v>4</v>
      </c>
    </row>
    <row r="3743" spans="1:8" x14ac:dyDescent="0.25">
      <c r="A3743" t="s">
        <v>114</v>
      </c>
      <c r="B3743" t="s">
        <v>3213</v>
      </c>
      <c r="C3743" t="s">
        <v>3221</v>
      </c>
      <c r="D3743" t="s">
        <v>3224</v>
      </c>
      <c r="E3743" t="s">
        <v>3226</v>
      </c>
      <c r="F3743">
        <v>128907.41</v>
      </c>
      <c r="G3743">
        <v>80097.679999999993</v>
      </c>
    </row>
    <row r="3744" spans="1:8" x14ac:dyDescent="0.25">
      <c r="A3744" t="s">
        <v>3047</v>
      </c>
      <c r="B3744" t="s">
        <v>3212</v>
      </c>
      <c r="C3744" t="s">
        <v>3218</v>
      </c>
      <c r="D3744" t="s">
        <v>3225</v>
      </c>
      <c r="E3744" t="s">
        <v>3226</v>
      </c>
      <c r="F3744">
        <v>76881.7</v>
      </c>
      <c r="G3744">
        <v>48376.160000000003</v>
      </c>
      <c r="H3744">
        <v>4</v>
      </c>
    </row>
    <row r="3745" spans="1:8" x14ac:dyDescent="0.25">
      <c r="A3745" t="s">
        <v>3048</v>
      </c>
      <c r="B3745" t="s">
        <v>3214</v>
      </c>
      <c r="C3745" t="s">
        <v>3221</v>
      </c>
      <c r="D3745" t="s">
        <v>3224</v>
      </c>
      <c r="E3745" t="s">
        <v>3226</v>
      </c>
      <c r="F3745">
        <v>287407.40000000002</v>
      </c>
      <c r="G3745">
        <v>190165.31</v>
      </c>
      <c r="H3745">
        <v>4</v>
      </c>
    </row>
    <row r="3746" spans="1:8" x14ac:dyDescent="0.25">
      <c r="A3746" t="s">
        <v>1599</v>
      </c>
      <c r="B3746" t="s">
        <v>3211</v>
      </c>
      <c r="C3746" t="s">
        <v>3216</v>
      </c>
      <c r="D3746" t="s">
        <v>3224</v>
      </c>
      <c r="E3746" t="s">
        <v>3226</v>
      </c>
      <c r="F3746">
        <v>54106.59</v>
      </c>
      <c r="G3746">
        <v>46080.09</v>
      </c>
      <c r="H3746">
        <v>1</v>
      </c>
    </row>
    <row r="3747" spans="1:8" x14ac:dyDescent="0.25">
      <c r="A3747" t="s">
        <v>1266</v>
      </c>
      <c r="C3747" t="s">
        <v>3220</v>
      </c>
      <c r="D3747" t="s">
        <v>3225</v>
      </c>
      <c r="E3747" t="s">
        <v>3226</v>
      </c>
      <c r="F3747">
        <v>45035.13</v>
      </c>
      <c r="G3747">
        <v>27775.46</v>
      </c>
      <c r="H3747">
        <v>2</v>
      </c>
    </row>
    <row r="3748" spans="1:8" x14ac:dyDescent="0.25">
      <c r="A3748" t="s">
        <v>2815</v>
      </c>
      <c r="B3748" t="s">
        <v>3211</v>
      </c>
      <c r="C3748" t="s">
        <v>3221</v>
      </c>
      <c r="D3748" t="s">
        <v>3223</v>
      </c>
      <c r="E3748" t="s">
        <v>3226</v>
      </c>
      <c r="F3748">
        <v>35116.97</v>
      </c>
      <c r="G3748">
        <v>27335.86</v>
      </c>
      <c r="H3748">
        <v>4</v>
      </c>
    </row>
    <row r="3749" spans="1:8" x14ac:dyDescent="0.25">
      <c r="A3749" t="s">
        <v>3049</v>
      </c>
      <c r="B3749" t="s">
        <v>3214</v>
      </c>
      <c r="C3749" t="s">
        <v>3219</v>
      </c>
      <c r="D3749" t="s">
        <v>3224</v>
      </c>
      <c r="E3749" t="s">
        <v>3226</v>
      </c>
      <c r="F3749">
        <v>344417.03</v>
      </c>
      <c r="H3749">
        <v>5</v>
      </c>
    </row>
    <row r="3750" spans="1:8" x14ac:dyDescent="0.25">
      <c r="A3750" t="s">
        <v>3050</v>
      </c>
      <c r="B3750" t="s">
        <v>3214</v>
      </c>
      <c r="C3750" t="s">
        <v>3218</v>
      </c>
      <c r="D3750" t="s">
        <v>3222</v>
      </c>
      <c r="E3750" t="s">
        <v>3226</v>
      </c>
      <c r="F3750">
        <v>71465.2</v>
      </c>
      <c r="G3750">
        <v>44204.78</v>
      </c>
      <c r="H3750">
        <v>5</v>
      </c>
    </row>
    <row r="3751" spans="1:8" x14ac:dyDescent="0.25">
      <c r="A3751" t="s">
        <v>3051</v>
      </c>
      <c r="B3751" t="s">
        <v>3211</v>
      </c>
      <c r="C3751" t="s">
        <v>3218</v>
      </c>
      <c r="D3751" t="s">
        <v>3225</v>
      </c>
      <c r="E3751" t="s">
        <v>3226</v>
      </c>
      <c r="F3751">
        <v>44838.66</v>
      </c>
      <c r="G3751">
        <v>29125.89</v>
      </c>
      <c r="H3751">
        <v>2</v>
      </c>
    </row>
    <row r="3752" spans="1:8" x14ac:dyDescent="0.25">
      <c r="A3752" t="s">
        <v>1162</v>
      </c>
      <c r="B3752" t="s">
        <v>3213</v>
      </c>
      <c r="C3752" t="s">
        <v>3216</v>
      </c>
      <c r="D3752" t="s">
        <v>3225</v>
      </c>
      <c r="E3752" t="s">
        <v>3226</v>
      </c>
      <c r="F3752">
        <v>93686.22</v>
      </c>
      <c r="G3752">
        <v>50704.83</v>
      </c>
      <c r="H3752">
        <v>4</v>
      </c>
    </row>
    <row r="3753" spans="1:8" x14ac:dyDescent="0.25">
      <c r="A3753" t="s">
        <v>3052</v>
      </c>
      <c r="B3753" t="s">
        <v>3214</v>
      </c>
      <c r="C3753" t="s">
        <v>3221</v>
      </c>
      <c r="D3753" t="s">
        <v>3224</v>
      </c>
      <c r="E3753" t="s">
        <v>3226</v>
      </c>
      <c r="F3753">
        <v>272992.36</v>
      </c>
      <c r="G3753">
        <v>178212.85</v>
      </c>
      <c r="H3753">
        <v>4</v>
      </c>
    </row>
    <row r="3754" spans="1:8" x14ac:dyDescent="0.25">
      <c r="A3754" t="s">
        <v>3053</v>
      </c>
      <c r="C3754" t="s">
        <v>3217</v>
      </c>
      <c r="D3754" t="s">
        <v>3224</v>
      </c>
      <c r="E3754" t="s">
        <v>3226</v>
      </c>
      <c r="F3754">
        <v>161205.4</v>
      </c>
      <c r="G3754">
        <v>133499.46</v>
      </c>
      <c r="H3754">
        <v>3</v>
      </c>
    </row>
    <row r="3755" spans="1:8" x14ac:dyDescent="0.25">
      <c r="A3755" t="s">
        <v>3054</v>
      </c>
      <c r="B3755" t="s">
        <v>3212</v>
      </c>
      <c r="C3755" t="s">
        <v>3219</v>
      </c>
      <c r="D3755" t="s">
        <v>3224</v>
      </c>
      <c r="E3755" t="s">
        <v>3226</v>
      </c>
      <c r="F3755">
        <v>53979.55</v>
      </c>
      <c r="G3755">
        <v>40148.75</v>
      </c>
      <c r="H3755">
        <v>1</v>
      </c>
    </row>
    <row r="3756" spans="1:8" x14ac:dyDescent="0.25">
      <c r="A3756" t="s">
        <v>3055</v>
      </c>
      <c r="B3756" t="s">
        <v>3214</v>
      </c>
      <c r="C3756" t="s">
        <v>3216</v>
      </c>
      <c r="D3756" t="s">
        <v>3224</v>
      </c>
      <c r="E3756" t="s">
        <v>3226</v>
      </c>
      <c r="F3756">
        <v>134993.19</v>
      </c>
      <c r="G3756">
        <v>80435.5</v>
      </c>
      <c r="H3756">
        <v>2</v>
      </c>
    </row>
    <row r="3757" spans="1:8" x14ac:dyDescent="0.25">
      <c r="A3757" t="s">
        <v>3056</v>
      </c>
      <c r="C3757" t="s">
        <v>3216</v>
      </c>
      <c r="D3757" t="s">
        <v>3224</v>
      </c>
      <c r="E3757" t="s">
        <v>3226</v>
      </c>
      <c r="F3757">
        <v>60426.239999999998</v>
      </c>
      <c r="G3757">
        <v>41945.34</v>
      </c>
      <c r="H3757">
        <v>1</v>
      </c>
    </row>
    <row r="3758" spans="1:8" x14ac:dyDescent="0.25">
      <c r="A3758" t="s">
        <v>3057</v>
      </c>
      <c r="B3758" t="s">
        <v>3215</v>
      </c>
      <c r="C3758" t="s">
        <v>3220</v>
      </c>
      <c r="D3758" t="s">
        <v>3222</v>
      </c>
      <c r="E3758" t="s">
        <v>3226</v>
      </c>
      <c r="F3758">
        <v>66717.960000000006</v>
      </c>
      <c r="G3758">
        <v>45269.52</v>
      </c>
      <c r="H3758">
        <v>5</v>
      </c>
    </row>
    <row r="3759" spans="1:8" x14ac:dyDescent="0.25">
      <c r="A3759" t="s">
        <v>3058</v>
      </c>
      <c r="B3759" t="s">
        <v>3213</v>
      </c>
      <c r="C3759" t="s">
        <v>3220</v>
      </c>
      <c r="D3759" t="s">
        <v>3224</v>
      </c>
      <c r="E3759" t="s">
        <v>3226</v>
      </c>
      <c r="F3759">
        <v>127144.32000000001</v>
      </c>
      <c r="G3759">
        <v>91975.31</v>
      </c>
    </row>
    <row r="3760" spans="1:8" x14ac:dyDescent="0.25">
      <c r="A3760" t="s">
        <v>3059</v>
      </c>
      <c r="C3760" t="s">
        <v>3219</v>
      </c>
      <c r="D3760" t="s">
        <v>3223</v>
      </c>
      <c r="E3760" t="s">
        <v>3226</v>
      </c>
      <c r="F3760">
        <v>43309.94</v>
      </c>
      <c r="H3760">
        <v>5</v>
      </c>
    </row>
    <row r="3761" spans="1:8" x14ac:dyDescent="0.25">
      <c r="A3761" t="s">
        <v>60</v>
      </c>
      <c r="B3761" t="s">
        <v>3214</v>
      </c>
      <c r="C3761" t="s">
        <v>3219</v>
      </c>
      <c r="D3761" t="s">
        <v>3225</v>
      </c>
      <c r="E3761" t="s">
        <v>3226</v>
      </c>
      <c r="F3761">
        <v>17204.84</v>
      </c>
      <c r="G3761">
        <v>12402.63</v>
      </c>
      <c r="H3761">
        <v>1</v>
      </c>
    </row>
    <row r="3762" spans="1:8" x14ac:dyDescent="0.25">
      <c r="A3762" t="s">
        <v>3060</v>
      </c>
      <c r="B3762" t="s">
        <v>3214</v>
      </c>
      <c r="C3762" t="s">
        <v>3219</v>
      </c>
      <c r="D3762" t="s">
        <v>3225</v>
      </c>
      <c r="E3762" t="s">
        <v>3226</v>
      </c>
      <c r="F3762">
        <v>88552.19</v>
      </c>
      <c r="G3762">
        <v>72049.56</v>
      </c>
      <c r="H3762">
        <v>5</v>
      </c>
    </row>
    <row r="3763" spans="1:8" x14ac:dyDescent="0.25">
      <c r="A3763" t="s">
        <v>3061</v>
      </c>
      <c r="C3763" t="s">
        <v>3218</v>
      </c>
      <c r="D3763" t="s">
        <v>3225</v>
      </c>
      <c r="E3763" t="s">
        <v>3226</v>
      </c>
      <c r="F3763">
        <v>65751.83</v>
      </c>
      <c r="G3763">
        <v>40763.56</v>
      </c>
      <c r="H3763">
        <v>3</v>
      </c>
    </row>
    <row r="3764" spans="1:8" x14ac:dyDescent="0.25">
      <c r="A3764" t="s">
        <v>3062</v>
      </c>
      <c r="B3764" t="s">
        <v>3213</v>
      </c>
      <c r="C3764" t="s">
        <v>3218</v>
      </c>
      <c r="D3764" t="s">
        <v>3222</v>
      </c>
      <c r="E3764" t="s">
        <v>3226</v>
      </c>
      <c r="F3764">
        <v>55796.93</v>
      </c>
      <c r="G3764">
        <v>42966.78</v>
      </c>
      <c r="H3764">
        <v>4</v>
      </c>
    </row>
    <row r="3765" spans="1:8" x14ac:dyDescent="0.25">
      <c r="A3765" t="s">
        <v>3063</v>
      </c>
      <c r="B3765" t="s">
        <v>3212</v>
      </c>
      <c r="C3765" t="s">
        <v>3216</v>
      </c>
      <c r="D3765" t="s">
        <v>3223</v>
      </c>
      <c r="E3765" t="s">
        <v>3226</v>
      </c>
      <c r="F3765">
        <v>34333.160000000003</v>
      </c>
      <c r="G3765">
        <v>20969.39</v>
      </c>
      <c r="H3765">
        <v>3</v>
      </c>
    </row>
    <row r="3766" spans="1:8" x14ac:dyDescent="0.25">
      <c r="A3766" t="s">
        <v>3064</v>
      </c>
      <c r="B3766" t="s">
        <v>3211</v>
      </c>
      <c r="C3766" t="s">
        <v>3221</v>
      </c>
      <c r="D3766" t="s">
        <v>3223</v>
      </c>
      <c r="E3766" t="s">
        <v>3226</v>
      </c>
      <c r="G3766">
        <v>21677.98</v>
      </c>
      <c r="H3766">
        <v>3</v>
      </c>
    </row>
    <row r="3767" spans="1:8" x14ac:dyDescent="0.25">
      <c r="A3767" t="s">
        <v>3065</v>
      </c>
      <c r="B3767" t="s">
        <v>3212</v>
      </c>
      <c r="C3767" t="s">
        <v>3216</v>
      </c>
      <c r="D3767" t="s">
        <v>3224</v>
      </c>
      <c r="E3767" t="s">
        <v>3226</v>
      </c>
      <c r="F3767">
        <v>161006.65</v>
      </c>
      <c r="G3767">
        <v>120424.24</v>
      </c>
      <c r="H3767">
        <v>3</v>
      </c>
    </row>
    <row r="3768" spans="1:8" x14ac:dyDescent="0.25">
      <c r="A3768" t="s">
        <v>1307</v>
      </c>
      <c r="B3768" t="s">
        <v>3214</v>
      </c>
      <c r="C3768" t="s">
        <v>3218</v>
      </c>
      <c r="D3768" t="s">
        <v>3222</v>
      </c>
      <c r="E3768" t="s">
        <v>3226</v>
      </c>
      <c r="F3768">
        <v>36926.720000000001</v>
      </c>
      <c r="G3768">
        <v>32579.61</v>
      </c>
      <c r="H3768">
        <v>3</v>
      </c>
    </row>
    <row r="3769" spans="1:8" x14ac:dyDescent="0.25">
      <c r="A3769" t="s">
        <v>3066</v>
      </c>
      <c r="B3769" t="s">
        <v>3213</v>
      </c>
      <c r="C3769" t="s">
        <v>3216</v>
      </c>
      <c r="D3769" t="s">
        <v>3225</v>
      </c>
      <c r="E3769" t="s">
        <v>3226</v>
      </c>
      <c r="F3769">
        <v>56750.27</v>
      </c>
      <c r="G3769">
        <v>39361.06</v>
      </c>
    </row>
    <row r="3770" spans="1:8" x14ac:dyDescent="0.25">
      <c r="A3770" t="s">
        <v>3067</v>
      </c>
      <c r="B3770" t="s">
        <v>3215</v>
      </c>
      <c r="C3770" t="s">
        <v>3221</v>
      </c>
      <c r="D3770" t="s">
        <v>3224</v>
      </c>
      <c r="E3770" t="s">
        <v>3226</v>
      </c>
      <c r="F3770">
        <v>51506.34</v>
      </c>
      <c r="H3770">
        <v>1</v>
      </c>
    </row>
    <row r="3771" spans="1:8" x14ac:dyDescent="0.25">
      <c r="A3771" t="s">
        <v>3068</v>
      </c>
      <c r="B3771" t="s">
        <v>3214</v>
      </c>
      <c r="C3771" t="s">
        <v>3219</v>
      </c>
      <c r="D3771" t="s">
        <v>3224</v>
      </c>
      <c r="E3771" t="s">
        <v>3226</v>
      </c>
      <c r="F3771">
        <v>68985.62</v>
      </c>
      <c r="G3771">
        <v>44484.52</v>
      </c>
    </row>
    <row r="3772" spans="1:8" x14ac:dyDescent="0.25">
      <c r="A3772" t="s">
        <v>3069</v>
      </c>
      <c r="C3772" t="s">
        <v>3217</v>
      </c>
      <c r="D3772" t="s">
        <v>3222</v>
      </c>
      <c r="E3772" t="s">
        <v>3226</v>
      </c>
      <c r="F3772">
        <v>17029.240000000002</v>
      </c>
      <c r="G3772">
        <v>9008.56</v>
      </c>
      <c r="H3772">
        <v>1</v>
      </c>
    </row>
    <row r="3773" spans="1:8" x14ac:dyDescent="0.25">
      <c r="A3773" t="s">
        <v>3070</v>
      </c>
      <c r="B3773" t="s">
        <v>3214</v>
      </c>
      <c r="C3773" t="s">
        <v>3219</v>
      </c>
      <c r="D3773" t="s">
        <v>3223</v>
      </c>
      <c r="E3773" t="s">
        <v>3226</v>
      </c>
      <c r="F3773">
        <v>20612.96</v>
      </c>
      <c r="G3773">
        <v>14781.53</v>
      </c>
      <c r="H3773">
        <v>2</v>
      </c>
    </row>
    <row r="3774" spans="1:8" x14ac:dyDescent="0.25">
      <c r="A3774" t="s">
        <v>3071</v>
      </c>
      <c r="B3774" t="s">
        <v>3214</v>
      </c>
      <c r="C3774" t="s">
        <v>3220</v>
      </c>
      <c r="D3774" t="s">
        <v>3223</v>
      </c>
      <c r="E3774" t="s">
        <v>3226</v>
      </c>
      <c r="F3774">
        <v>45269.54</v>
      </c>
      <c r="G3774">
        <v>31894.41</v>
      </c>
      <c r="H3774">
        <v>5</v>
      </c>
    </row>
    <row r="3775" spans="1:8" x14ac:dyDescent="0.25">
      <c r="A3775" t="s">
        <v>3072</v>
      </c>
      <c r="B3775" t="s">
        <v>3213</v>
      </c>
      <c r="C3775" t="s">
        <v>3221</v>
      </c>
      <c r="D3775" t="s">
        <v>3225</v>
      </c>
      <c r="E3775" t="s">
        <v>3226</v>
      </c>
      <c r="F3775">
        <v>56270.23</v>
      </c>
      <c r="G3775">
        <v>41858.83</v>
      </c>
      <c r="H3775">
        <v>3</v>
      </c>
    </row>
    <row r="3776" spans="1:8" x14ac:dyDescent="0.25">
      <c r="A3776" t="s">
        <v>2172</v>
      </c>
      <c r="B3776" t="s">
        <v>3214</v>
      </c>
      <c r="C3776" t="s">
        <v>3217</v>
      </c>
      <c r="D3776" t="s">
        <v>3223</v>
      </c>
      <c r="E3776" t="s">
        <v>3226</v>
      </c>
      <c r="G3776">
        <v>26053.02</v>
      </c>
      <c r="H3776">
        <v>4</v>
      </c>
    </row>
    <row r="3777" spans="1:8" x14ac:dyDescent="0.25">
      <c r="A3777" t="s">
        <v>3073</v>
      </c>
      <c r="B3777" t="s">
        <v>3213</v>
      </c>
      <c r="C3777" t="s">
        <v>3216</v>
      </c>
      <c r="D3777" t="s">
        <v>3225</v>
      </c>
      <c r="E3777" t="s">
        <v>3226</v>
      </c>
      <c r="F3777">
        <v>40966.589999999997</v>
      </c>
      <c r="G3777">
        <v>25398.7</v>
      </c>
      <c r="H3777">
        <v>2</v>
      </c>
    </row>
    <row r="3778" spans="1:8" x14ac:dyDescent="0.25">
      <c r="A3778" t="s">
        <v>3074</v>
      </c>
      <c r="C3778" t="s">
        <v>3219</v>
      </c>
      <c r="D3778" t="s">
        <v>3223</v>
      </c>
      <c r="E3778" t="s">
        <v>3226</v>
      </c>
      <c r="F3778">
        <v>32430.09</v>
      </c>
      <c r="G3778">
        <v>21313.83</v>
      </c>
      <c r="H3778">
        <v>3</v>
      </c>
    </row>
    <row r="3779" spans="1:8" x14ac:dyDescent="0.25">
      <c r="A3779" t="s">
        <v>3075</v>
      </c>
      <c r="C3779" t="s">
        <v>3220</v>
      </c>
      <c r="D3779" t="s">
        <v>3224</v>
      </c>
      <c r="E3779" t="s">
        <v>3226</v>
      </c>
      <c r="F3779">
        <v>281561.03999999998</v>
      </c>
      <c r="G3779">
        <v>176681.36</v>
      </c>
      <c r="H3779">
        <v>4</v>
      </c>
    </row>
    <row r="3780" spans="1:8" x14ac:dyDescent="0.25">
      <c r="A3780" t="s">
        <v>3076</v>
      </c>
      <c r="C3780" t="s">
        <v>3216</v>
      </c>
      <c r="D3780" t="s">
        <v>3225</v>
      </c>
      <c r="E3780" t="s">
        <v>3226</v>
      </c>
      <c r="F3780">
        <v>75776.539999999994</v>
      </c>
      <c r="G3780">
        <v>47996.67</v>
      </c>
      <c r="H3780">
        <v>4</v>
      </c>
    </row>
    <row r="3781" spans="1:8" x14ac:dyDescent="0.25">
      <c r="A3781" t="s">
        <v>2499</v>
      </c>
      <c r="C3781" t="s">
        <v>3216</v>
      </c>
      <c r="D3781" t="s">
        <v>3222</v>
      </c>
      <c r="E3781" t="s">
        <v>3226</v>
      </c>
      <c r="F3781">
        <v>70491.78</v>
      </c>
      <c r="H3781">
        <v>4</v>
      </c>
    </row>
    <row r="3782" spans="1:8" x14ac:dyDescent="0.25">
      <c r="A3782" t="s">
        <v>1528</v>
      </c>
      <c r="B3782" t="s">
        <v>3211</v>
      </c>
      <c r="C3782" t="s">
        <v>3221</v>
      </c>
      <c r="D3782" t="s">
        <v>3225</v>
      </c>
      <c r="E3782" t="s">
        <v>3226</v>
      </c>
      <c r="F3782">
        <v>92166.99</v>
      </c>
      <c r="G3782">
        <v>68562.16</v>
      </c>
      <c r="H3782">
        <v>5</v>
      </c>
    </row>
    <row r="3783" spans="1:8" x14ac:dyDescent="0.25">
      <c r="A3783" t="s">
        <v>3077</v>
      </c>
      <c r="B3783" t="s">
        <v>3213</v>
      </c>
      <c r="C3783" t="s">
        <v>3216</v>
      </c>
      <c r="D3783" t="s">
        <v>3224</v>
      </c>
      <c r="E3783" t="s">
        <v>3226</v>
      </c>
      <c r="F3783">
        <v>106827.62</v>
      </c>
      <c r="G3783">
        <v>98315.76</v>
      </c>
      <c r="H3783">
        <v>2</v>
      </c>
    </row>
    <row r="3784" spans="1:8" x14ac:dyDescent="0.25">
      <c r="A3784" t="s">
        <v>3078</v>
      </c>
      <c r="B3784" t="s">
        <v>3214</v>
      </c>
      <c r="C3784" t="s">
        <v>3220</v>
      </c>
      <c r="D3784" t="s">
        <v>3223</v>
      </c>
      <c r="E3784" t="s">
        <v>3226</v>
      </c>
      <c r="F3784">
        <v>53681.33</v>
      </c>
      <c r="G3784">
        <v>35040.129999999997</v>
      </c>
      <c r="H3784">
        <v>5</v>
      </c>
    </row>
    <row r="3785" spans="1:8" x14ac:dyDescent="0.25">
      <c r="A3785" t="s">
        <v>943</v>
      </c>
      <c r="B3785" t="s">
        <v>3214</v>
      </c>
      <c r="C3785" t="s">
        <v>3221</v>
      </c>
      <c r="D3785" t="s">
        <v>3222</v>
      </c>
      <c r="E3785" t="s">
        <v>3226</v>
      </c>
      <c r="F3785">
        <v>57666.32</v>
      </c>
      <c r="H3785">
        <v>4</v>
      </c>
    </row>
    <row r="3786" spans="1:8" x14ac:dyDescent="0.25">
      <c r="A3786" t="s">
        <v>2803</v>
      </c>
      <c r="B3786" t="s">
        <v>3215</v>
      </c>
      <c r="C3786" t="s">
        <v>3218</v>
      </c>
      <c r="D3786" t="s">
        <v>3225</v>
      </c>
      <c r="E3786" t="s">
        <v>3226</v>
      </c>
      <c r="F3786">
        <v>52892.35</v>
      </c>
      <c r="G3786">
        <v>43408.93</v>
      </c>
      <c r="H3786">
        <v>3</v>
      </c>
    </row>
    <row r="3787" spans="1:8" x14ac:dyDescent="0.25">
      <c r="A3787" t="s">
        <v>3079</v>
      </c>
      <c r="B3787" t="s">
        <v>3213</v>
      </c>
      <c r="C3787" t="s">
        <v>3216</v>
      </c>
      <c r="D3787" t="s">
        <v>3222</v>
      </c>
      <c r="E3787" t="s">
        <v>3226</v>
      </c>
      <c r="F3787">
        <v>13503.15</v>
      </c>
      <c r="G3787">
        <v>10913.29</v>
      </c>
      <c r="H3787">
        <v>1</v>
      </c>
    </row>
    <row r="3788" spans="1:8" x14ac:dyDescent="0.25">
      <c r="A3788" t="s">
        <v>3080</v>
      </c>
      <c r="B3788" t="s">
        <v>3212</v>
      </c>
      <c r="C3788" t="s">
        <v>3216</v>
      </c>
      <c r="D3788" t="s">
        <v>3222</v>
      </c>
      <c r="E3788" t="s">
        <v>3226</v>
      </c>
      <c r="F3788">
        <v>30882.560000000001</v>
      </c>
      <c r="G3788">
        <v>20608.98</v>
      </c>
      <c r="H3788">
        <v>2</v>
      </c>
    </row>
    <row r="3789" spans="1:8" x14ac:dyDescent="0.25">
      <c r="A3789" t="s">
        <v>2994</v>
      </c>
      <c r="B3789" t="s">
        <v>3214</v>
      </c>
      <c r="C3789" t="s">
        <v>3221</v>
      </c>
      <c r="D3789" t="s">
        <v>3222</v>
      </c>
      <c r="E3789" t="s">
        <v>3226</v>
      </c>
      <c r="F3789">
        <v>51092.86</v>
      </c>
      <c r="G3789">
        <v>37226.75</v>
      </c>
      <c r="H3789">
        <v>4</v>
      </c>
    </row>
    <row r="3790" spans="1:8" x14ac:dyDescent="0.25">
      <c r="A3790" t="s">
        <v>3081</v>
      </c>
      <c r="C3790" t="s">
        <v>3218</v>
      </c>
      <c r="D3790" t="s">
        <v>3225</v>
      </c>
      <c r="E3790" t="s">
        <v>3226</v>
      </c>
      <c r="F3790">
        <v>58796.74</v>
      </c>
      <c r="G3790">
        <v>36782.269999999997</v>
      </c>
      <c r="H3790">
        <v>3</v>
      </c>
    </row>
    <row r="3791" spans="1:8" x14ac:dyDescent="0.25">
      <c r="A3791" t="s">
        <v>3082</v>
      </c>
      <c r="B3791" t="s">
        <v>3211</v>
      </c>
      <c r="C3791" t="s">
        <v>3220</v>
      </c>
      <c r="D3791" t="s">
        <v>3224</v>
      </c>
      <c r="E3791" t="s">
        <v>3226</v>
      </c>
      <c r="F3791">
        <v>221938.88</v>
      </c>
      <c r="G3791">
        <v>192919.35</v>
      </c>
      <c r="H3791">
        <v>4</v>
      </c>
    </row>
    <row r="3792" spans="1:8" x14ac:dyDescent="0.25">
      <c r="A3792" t="s">
        <v>3083</v>
      </c>
      <c r="B3792" t="s">
        <v>3211</v>
      </c>
      <c r="C3792" t="s">
        <v>3218</v>
      </c>
      <c r="D3792" t="s">
        <v>3224</v>
      </c>
      <c r="E3792" t="s">
        <v>3226</v>
      </c>
      <c r="F3792">
        <v>98455.25</v>
      </c>
      <c r="G3792">
        <v>76662.34</v>
      </c>
      <c r="H3792">
        <v>2</v>
      </c>
    </row>
    <row r="3793" spans="1:8" x14ac:dyDescent="0.25">
      <c r="A3793" t="s">
        <v>2774</v>
      </c>
      <c r="C3793" t="s">
        <v>3218</v>
      </c>
      <c r="D3793" t="s">
        <v>3223</v>
      </c>
      <c r="E3793" t="s">
        <v>3226</v>
      </c>
      <c r="F3793">
        <v>10572.36</v>
      </c>
      <c r="H3793">
        <v>1</v>
      </c>
    </row>
    <row r="3794" spans="1:8" x14ac:dyDescent="0.25">
      <c r="A3794" t="s">
        <v>3084</v>
      </c>
      <c r="B3794" t="s">
        <v>3214</v>
      </c>
      <c r="C3794" t="s">
        <v>3217</v>
      </c>
      <c r="D3794" t="s">
        <v>3225</v>
      </c>
      <c r="E3794" t="s">
        <v>3226</v>
      </c>
      <c r="F3794">
        <v>69964</v>
      </c>
      <c r="G3794">
        <v>52658.58</v>
      </c>
      <c r="H3794">
        <v>4</v>
      </c>
    </row>
    <row r="3795" spans="1:8" x14ac:dyDescent="0.25">
      <c r="A3795" t="s">
        <v>3085</v>
      </c>
      <c r="B3795" t="s">
        <v>3213</v>
      </c>
      <c r="C3795" t="s">
        <v>3219</v>
      </c>
      <c r="D3795" t="s">
        <v>3223</v>
      </c>
      <c r="E3795" t="s">
        <v>3226</v>
      </c>
      <c r="F3795">
        <v>9873.98</v>
      </c>
      <c r="H3795">
        <v>1</v>
      </c>
    </row>
    <row r="3796" spans="1:8" x14ac:dyDescent="0.25">
      <c r="A3796" t="s">
        <v>3086</v>
      </c>
      <c r="B3796" t="s">
        <v>3211</v>
      </c>
      <c r="C3796" t="s">
        <v>3221</v>
      </c>
      <c r="D3796" t="s">
        <v>3224</v>
      </c>
      <c r="E3796" t="s">
        <v>3226</v>
      </c>
      <c r="F3796">
        <v>271561.01</v>
      </c>
      <c r="H3796">
        <v>5</v>
      </c>
    </row>
    <row r="3797" spans="1:8" x14ac:dyDescent="0.25">
      <c r="A3797" t="s">
        <v>2864</v>
      </c>
      <c r="B3797" t="s">
        <v>3211</v>
      </c>
      <c r="C3797" t="s">
        <v>3218</v>
      </c>
      <c r="D3797" t="s">
        <v>3222</v>
      </c>
      <c r="E3797" t="s">
        <v>3226</v>
      </c>
      <c r="F3797">
        <v>82346.47</v>
      </c>
      <c r="G3797">
        <v>50751.79</v>
      </c>
    </row>
    <row r="3798" spans="1:8" x14ac:dyDescent="0.25">
      <c r="A3798" t="s">
        <v>3087</v>
      </c>
      <c r="B3798" t="s">
        <v>3212</v>
      </c>
      <c r="C3798" t="s">
        <v>3219</v>
      </c>
      <c r="D3798" t="s">
        <v>3225</v>
      </c>
      <c r="E3798" t="s">
        <v>3226</v>
      </c>
      <c r="F3798">
        <v>51396.1</v>
      </c>
      <c r="H3798">
        <v>3</v>
      </c>
    </row>
    <row r="3799" spans="1:8" x14ac:dyDescent="0.25">
      <c r="A3799" t="s">
        <v>3088</v>
      </c>
      <c r="C3799" t="s">
        <v>3216</v>
      </c>
      <c r="D3799" t="s">
        <v>3223</v>
      </c>
      <c r="E3799" t="s">
        <v>3226</v>
      </c>
      <c r="F3799">
        <v>41705.14</v>
      </c>
      <c r="G3799">
        <v>35829.870000000003</v>
      </c>
      <c r="H3799">
        <v>5</v>
      </c>
    </row>
    <row r="3800" spans="1:8" x14ac:dyDescent="0.25">
      <c r="A3800" t="s">
        <v>1608</v>
      </c>
      <c r="B3800" t="s">
        <v>3212</v>
      </c>
      <c r="C3800" t="s">
        <v>3220</v>
      </c>
      <c r="D3800" t="s">
        <v>3222</v>
      </c>
      <c r="E3800" t="s">
        <v>3226</v>
      </c>
      <c r="F3800">
        <v>78764.2</v>
      </c>
      <c r="G3800">
        <v>45547.08</v>
      </c>
      <c r="H3800">
        <v>5</v>
      </c>
    </row>
    <row r="3801" spans="1:8" x14ac:dyDescent="0.25">
      <c r="A3801" t="s">
        <v>3089</v>
      </c>
      <c r="B3801" t="s">
        <v>3215</v>
      </c>
      <c r="C3801" t="s">
        <v>3218</v>
      </c>
      <c r="D3801" t="s">
        <v>3223</v>
      </c>
      <c r="E3801" t="s">
        <v>3226</v>
      </c>
      <c r="F3801">
        <v>9972.5499999999993</v>
      </c>
      <c r="G3801">
        <v>6862.41</v>
      </c>
      <c r="H3801">
        <v>1</v>
      </c>
    </row>
    <row r="3802" spans="1:8" x14ac:dyDescent="0.25">
      <c r="A3802" t="s">
        <v>3090</v>
      </c>
      <c r="B3802" t="s">
        <v>3213</v>
      </c>
      <c r="C3802" t="s">
        <v>3221</v>
      </c>
      <c r="D3802" t="s">
        <v>3224</v>
      </c>
      <c r="E3802" t="s">
        <v>3226</v>
      </c>
      <c r="F3802">
        <v>333789.71000000002</v>
      </c>
      <c r="G3802">
        <v>215997.19</v>
      </c>
      <c r="H3802">
        <v>5</v>
      </c>
    </row>
    <row r="3803" spans="1:8" x14ac:dyDescent="0.25">
      <c r="A3803" t="s">
        <v>3091</v>
      </c>
      <c r="B3803" t="s">
        <v>3212</v>
      </c>
      <c r="C3803" t="s">
        <v>3218</v>
      </c>
      <c r="D3803" t="s">
        <v>3222</v>
      </c>
      <c r="E3803" t="s">
        <v>3226</v>
      </c>
      <c r="G3803">
        <v>36861.879999999997</v>
      </c>
      <c r="H3803">
        <v>4</v>
      </c>
    </row>
    <row r="3804" spans="1:8" x14ac:dyDescent="0.25">
      <c r="A3804" t="s">
        <v>852</v>
      </c>
      <c r="B3804" t="s">
        <v>3212</v>
      </c>
      <c r="C3804" t="s">
        <v>3217</v>
      </c>
      <c r="D3804" t="s">
        <v>3223</v>
      </c>
      <c r="E3804" t="s">
        <v>3226</v>
      </c>
      <c r="F3804">
        <v>32084.15</v>
      </c>
      <c r="G3804">
        <v>29916.29</v>
      </c>
      <c r="H3804">
        <v>4</v>
      </c>
    </row>
    <row r="3805" spans="1:8" x14ac:dyDescent="0.25">
      <c r="A3805" t="s">
        <v>3092</v>
      </c>
      <c r="C3805" t="s">
        <v>3218</v>
      </c>
      <c r="D3805" t="s">
        <v>3225</v>
      </c>
      <c r="E3805" t="s">
        <v>3226</v>
      </c>
      <c r="F3805">
        <v>67584.36</v>
      </c>
      <c r="G3805">
        <v>45066.55</v>
      </c>
      <c r="H3805">
        <v>3</v>
      </c>
    </row>
    <row r="3806" spans="1:8" x14ac:dyDescent="0.25">
      <c r="A3806" t="s">
        <v>1503</v>
      </c>
      <c r="B3806" t="s">
        <v>3215</v>
      </c>
      <c r="C3806" t="s">
        <v>3217</v>
      </c>
      <c r="D3806" t="s">
        <v>3224</v>
      </c>
      <c r="E3806" t="s">
        <v>3226</v>
      </c>
      <c r="F3806">
        <v>291415.99</v>
      </c>
      <c r="G3806">
        <v>236682.2</v>
      </c>
      <c r="H3806">
        <v>5</v>
      </c>
    </row>
    <row r="3807" spans="1:8" x14ac:dyDescent="0.25">
      <c r="A3807" t="s">
        <v>1076</v>
      </c>
      <c r="B3807" t="s">
        <v>3215</v>
      </c>
      <c r="C3807" t="s">
        <v>3221</v>
      </c>
      <c r="D3807" t="s">
        <v>3225</v>
      </c>
      <c r="E3807" t="s">
        <v>3226</v>
      </c>
      <c r="F3807">
        <v>87951.77</v>
      </c>
      <c r="G3807">
        <v>50038.02</v>
      </c>
      <c r="H3807">
        <v>4</v>
      </c>
    </row>
    <row r="3808" spans="1:8" x14ac:dyDescent="0.25">
      <c r="A3808" t="s">
        <v>314</v>
      </c>
      <c r="B3808" t="s">
        <v>3215</v>
      </c>
      <c r="C3808" t="s">
        <v>3217</v>
      </c>
      <c r="D3808" t="s">
        <v>3223</v>
      </c>
      <c r="E3808" t="s">
        <v>3226</v>
      </c>
      <c r="F3808">
        <v>19170.09</v>
      </c>
      <c r="H3808">
        <v>2</v>
      </c>
    </row>
    <row r="3809" spans="1:8" x14ac:dyDescent="0.25">
      <c r="A3809" t="s">
        <v>3093</v>
      </c>
      <c r="B3809" t="s">
        <v>3212</v>
      </c>
      <c r="C3809" t="s">
        <v>3217</v>
      </c>
      <c r="D3809" t="s">
        <v>3222</v>
      </c>
      <c r="E3809" t="s">
        <v>3226</v>
      </c>
      <c r="F3809">
        <v>61226.42</v>
      </c>
      <c r="G3809">
        <v>34821.82</v>
      </c>
      <c r="H3809">
        <v>4</v>
      </c>
    </row>
    <row r="3810" spans="1:8" x14ac:dyDescent="0.25">
      <c r="A3810" t="s">
        <v>614</v>
      </c>
      <c r="B3810" t="s">
        <v>3213</v>
      </c>
      <c r="C3810" t="s">
        <v>3219</v>
      </c>
      <c r="D3810" t="s">
        <v>3224</v>
      </c>
      <c r="E3810" t="s">
        <v>3226</v>
      </c>
      <c r="F3810">
        <v>211152.11</v>
      </c>
      <c r="G3810">
        <v>179953.68</v>
      </c>
    </row>
    <row r="3811" spans="1:8" x14ac:dyDescent="0.25">
      <c r="A3811" t="s">
        <v>3094</v>
      </c>
      <c r="B3811" t="s">
        <v>3215</v>
      </c>
      <c r="C3811" t="s">
        <v>3220</v>
      </c>
      <c r="D3811" t="s">
        <v>3222</v>
      </c>
      <c r="E3811" t="s">
        <v>3226</v>
      </c>
      <c r="F3811">
        <v>72470.649999999994</v>
      </c>
      <c r="G3811">
        <v>51617.919999999998</v>
      </c>
      <c r="H3811">
        <v>5</v>
      </c>
    </row>
    <row r="3812" spans="1:8" x14ac:dyDescent="0.25">
      <c r="A3812" t="s">
        <v>3064</v>
      </c>
      <c r="B3812" t="s">
        <v>3211</v>
      </c>
      <c r="C3812" t="s">
        <v>3217</v>
      </c>
      <c r="D3812" t="s">
        <v>3225</v>
      </c>
      <c r="E3812" t="s">
        <v>3226</v>
      </c>
      <c r="F3812">
        <v>36030.67</v>
      </c>
      <c r="G3812">
        <v>25100.86</v>
      </c>
      <c r="H3812">
        <v>2</v>
      </c>
    </row>
    <row r="3813" spans="1:8" x14ac:dyDescent="0.25">
      <c r="A3813" t="s">
        <v>3095</v>
      </c>
      <c r="B3813" t="s">
        <v>3211</v>
      </c>
      <c r="C3813" t="s">
        <v>3221</v>
      </c>
      <c r="D3813" t="s">
        <v>3225</v>
      </c>
      <c r="E3813" t="s">
        <v>3226</v>
      </c>
      <c r="F3813">
        <v>47985.32</v>
      </c>
      <c r="G3813">
        <v>26543.77</v>
      </c>
      <c r="H3813">
        <v>2</v>
      </c>
    </row>
    <row r="3814" spans="1:8" x14ac:dyDescent="0.25">
      <c r="A3814" t="s">
        <v>2616</v>
      </c>
      <c r="B3814" t="s">
        <v>3212</v>
      </c>
      <c r="C3814" t="s">
        <v>3216</v>
      </c>
      <c r="D3814" t="s">
        <v>3222</v>
      </c>
      <c r="E3814" t="s">
        <v>3226</v>
      </c>
      <c r="F3814">
        <v>25826.639999999999</v>
      </c>
      <c r="G3814">
        <v>21013.98</v>
      </c>
      <c r="H3814">
        <v>2</v>
      </c>
    </row>
    <row r="3815" spans="1:8" x14ac:dyDescent="0.25">
      <c r="A3815" t="s">
        <v>876</v>
      </c>
      <c r="B3815" t="s">
        <v>3213</v>
      </c>
      <c r="C3815" t="s">
        <v>3221</v>
      </c>
      <c r="D3815" t="s">
        <v>3224</v>
      </c>
      <c r="E3815" t="s">
        <v>3226</v>
      </c>
      <c r="F3815">
        <v>186146.21</v>
      </c>
      <c r="G3815">
        <v>119103.36</v>
      </c>
      <c r="H3815">
        <v>3</v>
      </c>
    </row>
    <row r="3816" spans="1:8" x14ac:dyDescent="0.25">
      <c r="A3816" t="s">
        <v>3025</v>
      </c>
      <c r="C3816" t="s">
        <v>3219</v>
      </c>
      <c r="D3816" t="s">
        <v>3224</v>
      </c>
      <c r="E3816" t="s">
        <v>3226</v>
      </c>
      <c r="F3816">
        <v>60886.400000000001</v>
      </c>
      <c r="G3816">
        <v>48296.52</v>
      </c>
      <c r="H3816">
        <v>1</v>
      </c>
    </row>
    <row r="3817" spans="1:8" x14ac:dyDescent="0.25">
      <c r="A3817" t="s">
        <v>3096</v>
      </c>
      <c r="B3817" t="s">
        <v>3215</v>
      </c>
      <c r="C3817" t="s">
        <v>3216</v>
      </c>
      <c r="D3817" t="s">
        <v>3225</v>
      </c>
      <c r="E3817" t="s">
        <v>3226</v>
      </c>
      <c r="F3817">
        <v>88478.78</v>
      </c>
      <c r="G3817">
        <v>65053.59</v>
      </c>
      <c r="H3817">
        <v>5</v>
      </c>
    </row>
    <row r="3818" spans="1:8" x14ac:dyDescent="0.25">
      <c r="A3818" t="s">
        <v>3097</v>
      </c>
      <c r="B3818" t="s">
        <v>3215</v>
      </c>
      <c r="C3818" t="s">
        <v>3219</v>
      </c>
      <c r="D3818" t="s">
        <v>3224</v>
      </c>
      <c r="E3818" t="s">
        <v>3226</v>
      </c>
      <c r="F3818">
        <v>167906.89</v>
      </c>
      <c r="G3818">
        <v>144563.07999999999</v>
      </c>
      <c r="H3818">
        <v>3</v>
      </c>
    </row>
    <row r="3819" spans="1:8" x14ac:dyDescent="0.25">
      <c r="A3819" t="s">
        <v>3098</v>
      </c>
      <c r="B3819" t="s">
        <v>3213</v>
      </c>
      <c r="C3819" t="s">
        <v>3219</v>
      </c>
      <c r="D3819" t="s">
        <v>3225</v>
      </c>
      <c r="E3819" t="s">
        <v>3226</v>
      </c>
      <c r="F3819">
        <v>109656.3</v>
      </c>
      <c r="G3819">
        <v>68936.509999999995</v>
      </c>
      <c r="H3819">
        <v>5</v>
      </c>
    </row>
    <row r="3820" spans="1:8" x14ac:dyDescent="0.25">
      <c r="A3820" t="s">
        <v>3099</v>
      </c>
      <c r="B3820" t="s">
        <v>3215</v>
      </c>
      <c r="C3820" t="s">
        <v>3221</v>
      </c>
      <c r="D3820" t="s">
        <v>3224</v>
      </c>
      <c r="E3820" t="s">
        <v>3226</v>
      </c>
      <c r="F3820">
        <v>172207.92</v>
      </c>
      <c r="G3820">
        <v>115154.89</v>
      </c>
      <c r="H3820">
        <v>3</v>
      </c>
    </row>
    <row r="3821" spans="1:8" x14ac:dyDescent="0.25">
      <c r="A3821" t="s">
        <v>3100</v>
      </c>
      <c r="B3821" t="s">
        <v>3211</v>
      </c>
      <c r="C3821" t="s">
        <v>3216</v>
      </c>
      <c r="D3821" t="s">
        <v>3224</v>
      </c>
      <c r="E3821" t="s">
        <v>3226</v>
      </c>
      <c r="F3821">
        <v>169136.78</v>
      </c>
      <c r="G3821">
        <v>120811.74</v>
      </c>
      <c r="H3821">
        <v>3</v>
      </c>
    </row>
    <row r="3822" spans="1:8" x14ac:dyDescent="0.25">
      <c r="A3822" t="s">
        <v>3101</v>
      </c>
      <c r="C3822" t="s">
        <v>3220</v>
      </c>
      <c r="D3822" t="s">
        <v>3224</v>
      </c>
      <c r="E3822" t="s">
        <v>3226</v>
      </c>
      <c r="F3822">
        <v>130842.75</v>
      </c>
      <c r="H3822">
        <v>2</v>
      </c>
    </row>
    <row r="3823" spans="1:8" x14ac:dyDescent="0.25">
      <c r="A3823" t="s">
        <v>3102</v>
      </c>
      <c r="B3823" t="s">
        <v>3211</v>
      </c>
      <c r="C3823" t="s">
        <v>3221</v>
      </c>
      <c r="D3823" t="s">
        <v>3222</v>
      </c>
      <c r="E3823" t="s">
        <v>3226</v>
      </c>
      <c r="F3823">
        <v>61299.48</v>
      </c>
      <c r="G3823">
        <v>46500.56</v>
      </c>
      <c r="H3823">
        <v>5</v>
      </c>
    </row>
    <row r="3824" spans="1:8" x14ac:dyDescent="0.25">
      <c r="A3824" t="s">
        <v>3103</v>
      </c>
      <c r="B3824" t="s">
        <v>3214</v>
      </c>
      <c r="C3824" t="s">
        <v>3218</v>
      </c>
      <c r="D3824" t="s">
        <v>3224</v>
      </c>
      <c r="E3824" t="s">
        <v>3226</v>
      </c>
      <c r="F3824">
        <v>66661.119999999995</v>
      </c>
      <c r="G3824">
        <v>45566.26</v>
      </c>
      <c r="H3824">
        <v>1</v>
      </c>
    </row>
    <row r="3825" spans="1:8" x14ac:dyDescent="0.25">
      <c r="A3825" t="s">
        <v>3104</v>
      </c>
      <c r="B3825" t="s">
        <v>3213</v>
      </c>
      <c r="C3825" t="s">
        <v>3220</v>
      </c>
      <c r="D3825" t="s">
        <v>3225</v>
      </c>
      <c r="E3825" t="s">
        <v>3226</v>
      </c>
      <c r="F3825">
        <v>33253.82</v>
      </c>
      <c r="G3825">
        <v>25251.75</v>
      </c>
      <c r="H3825">
        <v>2</v>
      </c>
    </row>
    <row r="3826" spans="1:8" x14ac:dyDescent="0.25">
      <c r="A3826" t="s">
        <v>3105</v>
      </c>
      <c r="B3826" t="s">
        <v>3212</v>
      </c>
      <c r="C3826" t="s">
        <v>3216</v>
      </c>
      <c r="D3826" t="s">
        <v>3224</v>
      </c>
      <c r="E3826" t="s">
        <v>3226</v>
      </c>
      <c r="F3826">
        <v>124527.28</v>
      </c>
      <c r="G3826">
        <v>98777.45</v>
      </c>
    </row>
    <row r="3827" spans="1:8" x14ac:dyDescent="0.25">
      <c r="A3827" t="s">
        <v>3106</v>
      </c>
      <c r="B3827" t="s">
        <v>3211</v>
      </c>
      <c r="C3827" t="s">
        <v>3220</v>
      </c>
      <c r="D3827" t="s">
        <v>3222</v>
      </c>
      <c r="E3827" t="s">
        <v>3226</v>
      </c>
      <c r="F3827">
        <v>77043.429999999993</v>
      </c>
      <c r="G3827">
        <v>48943.12</v>
      </c>
      <c r="H3827">
        <v>5</v>
      </c>
    </row>
    <row r="3828" spans="1:8" x14ac:dyDescent="0.25">
      <c r="A3828" t="s">
        <v>3107</v>
      </c>
      <c r="B3828" t="s">
        <v>3212</v>
      </c>
      <c r="C3828" t="s">
        <v>3218</v>
      </c>
      <c r="D3828" t="s">
        <v>3225</v>
      </c>
      <c r="E3828" t="s">
        <v>3226</v>
      </c>
      <c r="F3828">
        <v>51976.17</v>
      </c>
      <c r="G3828">
        <v>38477.300000000003</v>
      </c>
      <c r="H3828">
        <v>3</v>
      </c>
    </row>
    <row r="3829" spans="1:8" x14ac:dyDescent="0.25">
      <c r="A3829" t="s">
        <v>993</v>
      </c>
      <c r="B3829" t="s">
        <v>3211</v>
      </c>
      <c r="C3829" t="s">
        <v>3219</v>
      </c>
      <c r="D3829" t="s">
        <v>3225</v>
      </c>
      <c r="E3829" t="s">
        <v>3226</v>
      </c>
      <c r="F3829">
        <v>23571.52</v>
      </c>
      <c r="G3829">
        <v>13459.6</v>
      </c>
      <c r="H3829">
        <v>1</v>
      </c>
    </row>
    <row r="3830" spans="1:8" x14ac:dyDescent="0.25">
      <c r="A3830" t="s">
        <v>3108</v>
      </c>
      <c r="B3830" t="s">
        <v>3212</v>
      </c>
      <c r="C3830" t="s">
        <v>3221</v>
      </c>
      <c r="D3830" t="s">
        <v>3225</v>
      </c>
      <c r="E3830" t="s">
        <v>3226</v>
      </c>
      <c r="F3830">
        <v>36961.519999999997</v>
      </c>
      <c r="G3830">
        <v>26877.54</v>
      </c>
      <c r="H3830">
        <v>2</v>
      </c>
    </row>
    <row r="3831" spans="1:8" x14ac:dyDescent="0.25">
      <c r="A3831" t="s">
        <v>3109</v>
      </c>
      <c r="B3831" t="s">
        <v>3212</v>
      </c>
      <c r="C3831" t="s">
        <v>3217</v>
      </c>
      <c r="D3831" t="s">
        <v>3224</v>
      </c>
      <c r="E3831" t="s">
        <v>3226</v>
      </c>
      <c r="F3831">
        <v>65516.23</v>
      </c>
      <c r="G3831">
        <v>41011.46</v>
      </c>
      <c r="H3831">
        <v>1</v>
      </c>
    </row>
    <row r="3832" spans="1:8" x14ac:dyDescent="0.25">
      <c r="A3832" t="s">
        <v>3110</v>
      </c>
      <c r="B3832" t="s">
        <v>3212</v>
      </c>
      <c r="C3832" t="s">
        <v>3220</v>
      </c>
      <c r="D3832" t="s">
        <v>3224</v>
      </c>
      <c r="E3832" t="s">
        <v>3226</v>
      </c>
      <c r="F3832">
        <v>226164.67</v>
      </c>
      <c r="G3832">
        <v>187586.83</v>
      </c>
      <c r="H3832">
        <v>4</v>
      </c>
    </row>
    <row r="3833" spans="1:8" x14ac:dyDescent="0.25">
      <c r="A3833" t="s">
        <v>3111</v>
      </c>
      <c r="B3833" t="s">
        <v>3214</v>
      </c>
      <c r="C3833" t="s">
        <v>3221</v>
      </c>
      <c r="D3833" t="s">
        <v>3222</v>
      </c>
      <c r="E3833" t="s">
        <v>3226</v>
      </c>
      <c r="F3833">
        <v>76465.039999999994</v>
      </c>
      <c r="H3833">
        <v>5</v>
      </c>
    </row>
    <row r="3834" spans="1:8" x14ac:dyDescent="0.25">
      <c r="A3834" t="s">
        <v>3112</v>
      </c>
      <c r="B3834" t="s">
        <v>3214</v>
      </c>
      <c r="C3834" t="s">
        <v>3216</v>
      </c>
      <c r="D3834" t="s">
        <v>3222</v>
      </c>
      <c r="E3834" t="s">
        <v>3226</v>
      </c>
      <c r="F3834">
        <v>48161.41</v>
      </c>
      <c r="G3834">
        <v>31545.599999999999</v>
      </c>
      <c r="H3834">
        <v>3</v>
      </c>
    </row>
    <row r="3835" spans="1:8" x14ac:dyDescent="0.25">
      <c r="A3835" t="s">
        <v>3113</v>
      </c>
      <c r="B3835" t="s">
        <v>3213</v>
      </c>
      <c r="C3835" t="s">
        <v>3221</v>
      </c>
      <c r="D3835" t="s">
        <v>3222</v>
      </c>
      <c r="E3835" t="s">
        <v>3226</v>
      </c>
      <c r="F3835">
        <v>17872.400000000001</v>
      </c>
      <c r="G3835">
        <v>9451.98</v>
      </c>
      <c r="H3835">
        <v>1</v>
      </c>
    </row>
    <row r="3836" spans="1:8" x14ac:dyDescent="0.25">
      <c r="A3836" t="s">
        <v>3114</v>
      </c>
      <c r="B3836" t="s">
        <v>3214</v>
      </c>
      <c r="C3836" t="s">
        <v>3218</v>
      </c>
      <c r="D3836" t="s">
        <v>3223</v>
      </c>
      <c r="E3836" t="s">
        <v>3226</v>
      </c>
      <c r="F3836">
        <v>49730.720000000001</v>
      </c>
      <c r="G3836">
        <v>34611.480000000003</v>
      </c>
      <c r="H3836">
        <v>5</v>
      </c>
    </row>
    <row r="3837" spans="1:8" x14ac:dyDescent="0.25">
      <c r="A3837" t="s">
        <v>1758</v>
      </c>
      <c r="B3837" t="s">
        <v>3211</v>
      </c>
      <c r="C3837" t="s">
        <v>3219</v>
      </c>
      <c r="D3837" t="s">
        <v>3225</v>
      </c>
      <c r="E3837" t="s">
        <v>3226</v>
      </c>
      <c r="F3837">
        <v>66236.55</v>
      </c>
      <c r="H3837">
        <v>3</v>
      </c>
    </row>
    <row r="3838" spans="1:8" x14ac:dyDescent="0.25">
      <c r="A3838" t="s">
        <v>3115</v>
      </c>
      <c r="B3838" t="s">
        <v>3212</v>
      </c>
      <c r="C3838" t="s">
        <v>3216</v>
      </c>
      <c r="D3838" t="s">
        <v>3222</v>
      </c>
      <c r="E3838" t="s">
        <v>3226</v>
      </c>
      <c r="F3838">
        <v>29339.35</v>
      </c>
      <c r="G3838">
        <v>19970.34</v>
      </c>
      <c r="H3838">
        <v>2</v>
      </c>
    </row>
    <row r="3839" spans="1:8" x14ac:dyDescent="0.25">
      <c r="A3839" t="s">
        <v>3116</v>
      </c>
      <c r="B3839" t="s">
        <v>3211</v>
      </c>
      <c r="C3839" t="s">
        <v>3216</v>
      </c>
      <c r="D3839" t="s">
        <v>3225</v>
      </c>
      <c r="E3839" t="s">
        <v>3226</v>
      </c>
      <c r="F3839">
        <v>84297.42</v>
      </c>
      <c r="G3839">
        <v>54346.95</v>
      </c>
      <c r="H3839">
        <v>4</v>
      </c>
    </row>
    <row r="3840" spans="1:8" x14ac:dyDescent="0.25">
      <c r="A3840" t="s">
        <v>1422</v>
      </c>
      <c r="B3840" t="s">
        <v>3214</v>
      </c>
      <c r="C3840" t="s">
        <v>3217</v>
      </c>
      <c r="D3840" t="s">
        <v>3224</v>
      </c>
      <c r="E3840" t="s">
        <v>3226</v>
      </c>
      <c r="F3840">
        <v>271276.42</v>
      </c>
      <c r="G3840">
        <v>245988.5</v>
      </c>
      <c r="H3840">
        <v>5</v>
      </c>
    </row>
    <row r="3841" spans="1:8" x14ac:dyDescent="0.25">
      <c r="A3841" t="s">
        <v>1296</v>
      </c>
      <c r="C3841" t="s">
        <v>3221</v>
      </c>
      <c r="D3841" t="s">
        <v>3222</v>
      </c>
      <c r="E3841" t="s">
        <v>3226</v>
      </c>
      <c r="F3841">
        <v>74184.460000000006</v>
      </c>
      <c r="H3841">
        <v>5</v>
      </c>
    </row>
    <row r="3842" spans="1:8" x14ac:dyDescent="0.25">
      <c r="A3842" t="s">
        <v>1243</v>
      </c>
      <c r="B3842" t="s">
        <v>3211</v>
      </c>
      <c r="C3842" t="s">
        <v>3218</v>
      </c>
      <c r="D3842" t="s">
        <v>3224</v>
      </c>
      <c r="E3842" t="s">
        <v>3226</v>
      </c>
      <c r="F3842">
        <v>110402.44</v>
      </c>
      <c r="G3842">
        <v>88417.67</v>
      </c>
      <c r="H3842">
        <v>2</v>
      </c>
    </row>
    <row r="3843" spans="1:8" x14ac:dyDescent="0.25">
      <c r="A3843" t="s">
        <v>3117</v>
      </c>
      <c r="B3843" t="s">
        <v>3212</v>
      </c>
      <c r="C3843" t="s">
        <v>3219</v>
      </c>
      <c r="D3843" t="s">
        <v>3223</v>
      </c>
      <c r="E3843" t="s">
        <v>3226</v>
      </c>
      <c r="F3843">
        <v>42847.16</v>
      </c>
      <c r="G3843">
        <v>27523.46</v>
      </c>
      <c r="H3843">
        <v>4</v>
      </c>
    </row>
    <row r="3844" spans="1:8" x14ac:dyDescent="0.25">
      <c r="A3844" t="s">
        <v>3118</v>
      </c>
      <c r="B3844" t="s">
        <v>3213</v>
      </c>
      <c r="C3844" t="s">
        <v>3220</v>
      </c>
      <c r="D3844" t="s">
        <v>3224</v>
      </c>
      <c r="E3844" t="s">
        <v>3226</v>
      </c>
      <c r="F3844">
        <v>233665.82</v>
      </c>
      <c r="G3844">
        <v>166593.82999999999</v>
      </c>
      <c r="H3844">
        <v>4</v>
      </c>
    </row>
    <row r="3845" spans="1:8" x14ac:dyDescent="0.25">
      <c r="A3845" t="s">
        <v>3119</v>
      </c>
      <c r="B3845" t="s">
        <v>3212</v>
      </c>
      <c r="C3845" t="s">
        <v>3217</v>
      </c>
      <c r="D3845" t="s">
        <v>3224</v>
      </c>
      <c r="E3845" t="s">
        <v>3226</v>
      </c>
      <c r="F3845">
        <v>51372.42</v>
      </c>
      <c r="G3845">
        <v>42624.44</v>
      </c>
      <c r="H3845">
        <v>1</v>
      </c>
    </row>
    <row r="3846" spans="1:8" x14ac:dyDescent="0.25">
      <c r="A3846" t="s">
        <v>871</v>
      </c>
      <c r="B3846" t="s">
        <v>3211</v>
      </c>
      <c r="C3846" t="s">
        <v>3219</v>
      </c>
      <c r="D3846" t="s">
        <v>3222</v>
      </c>
      <c r="E3846" t="s">
        <v>3226</v>
      </c>
      <c r="F3846">
        <v>35535.050000000003</v>
      </c>
      <c r="G3846">
        <v>17506.73</v>
      </c>
      <c r="H3846">
        <v>2</v>
      </c>
    </row>
    <row r="3847" spans="1:8" x14ac:dyDescent="0.25">
      <c r="A3847" t="s">
        <v>24</v>
      </c>
      <c r="B3847" t="s">
        <v>3213</v>
      </c>
      <c r="C3847" t="s">
        <v>3221</v>
      </c>
      <c r="D3847" t="s">
        <v>3224</v>
      </c>
      <c r="E3847" t="s">
        <v>3226</v>
      </c>
      <c r="F3847">
        <v>180790.06</v>
      </c>
      <c r="G3847">
        <v>121857.13</v>
      </c>
      <c r="H3847">
        <v>3</v>
      </c>
    </row>
    <row r="3848" spans="1:8" x14ac:dyDescent="0.25">
      <c r="A3848" t="s">
        <v>3120</v>
      </c>
      <c r="C3848" t="s">
        <v>3218</v>
      </c>
      <c r="D3848" t="s">
        <v>3224</v>
      </c>
      <c r="E3848" t="s">
        <v>3226</v>
      </c>
      <c r="G3848">
        <v>40939.69</v>
      </c>
      <c r="H3848">
        <v>1</v>
      </c>
    </row>
    <row r="3849" spans="1:8" x14ac:dyDescent="0.25">
      <c r="A3849" t="s">
        <v>2128</v>
      </c>
      <c r="B3849" t="s">
        <v>3214</v>
      </c>
      <c r="C3849" t="s">
        <v>3221</v>
      </c>
      <c r="D3849" t="s">
        <v>3224</v>
      </c>
      <c r="E3849" t="s">
        <v>3226</v>
      </c>
      <c r="F3849">
        <v>202831.78</v>
      </c>
      <c r="G3849">
        <v>132003.67000000001</v>
      </c>
      <c r="H3849">
        <v>3</v>
      </c>
    </row>
    <row r="3850" spans="1:8" x14ac:dyDescent="0.25">
      <c r="A3850" t="s">
        <v>3121</v>
      </c>
      <c r="B3850" t="s">
        <v>3212</v>
      </c>
      <c r="C3850" t="s">
        <v>3216</v>
      </c>
      <c r="D3850" t="s">
        <v>3224</v>
      </c>
      <c r="E3850" t="s">
        <v>3226</v>
      </c>
      <c r="F3850">
        <v>132300.60999999999</v>
      </c>
      <c r="G3850">
        <v>91845.08</v>
      </c>
      <c r="H3850">
        <v>2</v>
      </c>
    </row>
    <row r="3851" spans="1:8" x14ac:dyDescent="0.25">
      <c r="A3851" t="s">
        <v>1418</v>
      </c>
      <c r="B3851" t="s">
        <v>3213</v>
      </c>
      <c r="C3851" t="s">
        <v>3220</v>
      </c>
      <c r="D3851" t="s">
        <v>3225</v>
      </c>
      <c r="E3851" t="s">
        <v>3226</v>
      </c>
      <c r="F3851">
        <v>76317.33</v>
      </c>
      <c r="H3851">
        <v>4</v>
      </c>
    </row>
    <row r="3852" spans="1:8" x14ac:dyDescent="0.25">
      <c r="A3852" t="s">
        <v>1021</v>
      </c>
      <c r="B3852" t="s">
        <v>3211</v>
      </c>
      <c r="C3852" t="s">
        <v>3219</v>
      </c>
      <c r="D3852" t="s">
        <v>3224</v>
      </c>
      <c r="E3852" t="s">
        <v>3226</v>
      </c>
      <c r="F3852">
        <v>347192.29</v>
      </c>
      <c r="G3852">
        <v>213189.62</v>
      </c>
      <c r="H3852">
        <v>5</v>
      </c>
    </row>
    <row r="3853" spans="1:8" x14ac:dyDescent="0.25">
      <c r="A3853" t="s">
        <v>2660</v>
      </c>
      <c r="B3853" t="s">
        <v>3213</v>
      </c>
      <c r="C3853" t="s">
        <v>3218</v>
      </c>
      <c r="D3853" t="s">
        <v>3222</v>
      </c>
      <c r="E3853" t="s">
        <v>3226</v>
      </c>
      <c r="F3853">
        <v>33610.769999999997</v>
      </c>
      <c r="G3853">
        <v>18905.939999999999</v>
      </c>
      <c r="H3853">
        <v>2</v>
      </c>
    </row>
    <row r="3854" spans="1:8" x14ac:dyDescent="0.25">
      <c r="A3854" t="s">
        <v>3122</v>
      </c>
      <c r="B3854" t="s">
        <v>3213</v>
      </c>
      <c r="C3854" t="s">
        <v>3220</v>
      </c>
      <c r="D3854" t="s">
        <v>3222</v>
      </c>
      <c r="E3854" t="s">
        <v>3226</v>
      </c>
      <c r="F3854">
        <v>29101.7</v>
      </c>
      <c r="G3854">
        <v>17325.5</v>
      </c>
      <c r="H3854">
        <v>2</v>
      </c>
    </row>
    <row r="3855" spans="1:8" x14ac:dyDescent="0.25">
      <c r="A3855" t="s">
        <v>383</v>
      </c>
      <c r="B3855" t="s">
        <v>3213</v>
      </c>
      <c r="C3855" t="s">
        <v>3220</v>
      </c>
      <c r="D3855" t="s">
        <v>3223</v>
      </c>
      <c r="E3855" t="s">
        <v>3226</v>
      </c>
      <c r="F3855">
        <v>34285.9</v>
      </c>
      <c r="H3855">
        <v>4</v>
      </c>
    </row>
    <row r="3856" spans="1:8" x14ac:dyDescent="0.25">
      <c r="A3856" t="s">
        <v>3123</v>
      </c>
      <c r="B3856" t="s">
        <v>3212</v>
      </c>
      <c r="C3856" t="s">
        <v>3219</v>
      </c>
      <c r="D3856" t="s">
        <v>3224</v>
      </c>
      <c r="E3856" t="s">
        <v>3226</v>
      </c>
      <c r="F3856">
        <v>164827.19</v>
      </c>
      <c r="G3856">
        <v>118529.51</v>
      </c>
      <c r="H3856">
        <v>3</v>
      </c>
    </row>
    <row r="3857" spans="1:8" x14ac:dyDescent="0.25">
      <c r="A3857" t="s">
        <v>3124</v>
      </c>
      <c r="B3857" t="s">
        <v>3211</v>
      </c>
      <c r="C3857" t="s">
        <v>3221</v>
      </c>
      <c r="D3857" t="s">
        <v>3224</v>
      </c>
      <c r="E3857" t="s">
        <v>3226</v>
      </c>
      <c r="F3857">
        <v>70476.37</v>
      </c>
      <c r="G3857">
        <v>38540.71</v>
      </c>
      <c r="H3857">
        <v>1</v>
      </c>
    </row>
    <row r="3858" spans="1:8" x14ac:dyDescent="0.25">
      <c r="A3858" t="s">
        <v>3125</v>
      </c>
      <c r="B3858" t="s">
        <v>3213</v>
      </c>
      <c r="C3858" t="s">
        <v>3220</v>
      </c>
      <c r="D3858" t="s">
        <v>3222</v>
      </c>
      <c r="E3858" t="s">
        <v>3226</v>
      </c>
      <c r="F3858">
        <v>86723.77</v>
      </c>
      <c r="G3858">
        <v>50838.16</v>
      </c>
      <c r="H3858">
        <v>5</v>
      </c>
    </row>
    <row r="3859" spans="1:8" x14ac:dyDescent="0.25">
      <c r="A3859" t="s">
        <v>3126</v>
      </c>
      <c r="B3859" t="s">
        <v>3211</v>
      </c>
      <c r="C3859" t="s">
        <v>3217</v>
      </c>
      <c r="D3859" t="s">
        <v>3225</v>
      </c>
      <c r="E3859" t="s">
        <v>3226</v>
      </c>
      <c r="F3859">
        <v>84248.97</v>
      </c>
      <c r="G3859">
        <v>56897.93</v>
      </c>
      <c r="H3859">
        <v>4</v>
      </c>
    </row>
    <row r="3860" spans="1:8" x14ac:dyDescent="0.25">
      <c r="A3860" t="s">
        <v>3127</v>
      </c>
      <c r="B3860" t="s">
        <v>3214</v>
      </c>
      <c r="C3860" t="s">
        <v>3217</v>
      </c>
      <c r="D3860" t="s">
        <v>3222</v>
      </c>
      <c r="E3860" t="s">
        <v>3226</v>
      </c>
      <c r="F3860">
        <v>30703.64</v>
      </c>
      <c r="G3860">
        <v>17735.45</v>
      </c>
      <c r="H3860">
        <v>2</v>
      </c>
    </row>
    <row r="3861" spans="1:8" x14ac:dyDescent="0.25">
      <c r="A3861" t="s">
        <v>3128</v>
      </c>
      <c r="B3861" t="s">
        <v>3212</v>
      </c>
      <c r="C3861" t="s">
        <v>3219</v>
      </c>
      <c r="D3861" t="s">
        <v>3223</v>
      </c>
      <c r="E3861" t="s">
        <v>3226</v>
      </c>
      <c r="F3861">
        <v>22265.8</v>
      </c>
      <c r="G3861">
        <v>13639.49</v>
      </c>
      <c r="H3861">
        <v>2</v>
      </c>
    </row>
    <row r="3862" spans="1:8" x14ac:dyDescent="0.25">
      <c r="A3862" t="s">
        <v>3129</v>
      </c>
      <c r="C3862" t="s">
        <v>3220</v>
      </c>
      <c r="D3862" t="s">
        <v>3222</v>
      </c>
      <c r="E3862" t="s">
        <v>3226</v>
      </c>
      <c r="F3862">
        <v>17199.52</v>
      </c>
      <c r="G3862">
        <v>10306.67</v>
      </c>
      <c r="H3862">
        <v>1</v>
      </c>
    </row>
    <row r="3863" spans="1:8" x14ac:dyDescent="0.25">
      <c r="A3863" t="s">
        <v>3130</v>
      </c>
      <c r="B3863" t="s">
        <v>3214</v>
      </c>
      <c r="C3863" t="s">
        <v>3220</v>
      </c>
      <c r="D3863" t="s">
        <v>3223</v>
      </c>
      <c r="E3863" t="s">
        <v>3226</v>
      </c>
      <c r="F3863">
        <v>10115.23</v>
      </c>
      <c r="G3863">
        <v>6591.07</v>
      </c>
      <c r="H3863">
        <v>1</v>
      </c>
    </row>
    <row r="3864" spans="1:8" x14ac:dyDescent="0.25">
      <c r="A3864" t="s">
        <v>3131</v>
      </c>
      <c r="B3864" t="s">
        <v>3211</v>
      </c>
      <c r="C3864" t="s">
        <v>3221</v>
      </c>
      <c r="D3864" t="s">
        <v>3222</v>
      </c>
      <c r="E3864" t="s">
        <v>3226</v>
      </c>
      <c r="F3864">
        <v>62393.11</v>
      </c>
      <c r="G3864">
        <v>41990.31</v>
      </c>
      <c r="H3864">
        <v>4</v>
      </c>
    </row>
    <row r="3865" spans="1:8" x14ac:dyDescent="0.25">
      <c r="A3865" t="s">
        <v>1153</v>
      </c>
      <c r="B3865" t="s">
        <v>3211</v>
      </c>
      <c r="C3865" t="s">
        <v>3216</v>
      </c>
      <c r="D3865" t="s">
        <v>3225</v>
      </c>
      <c r="E3865" t="s">
        <v>3226</v>
      </c>
      <c r="F3865">
        <v>23172.45</v>
      </c>
      <c r="G3865">
        <v>13451.42</v>
      </c>
      <c r="H3865">
        <v>1</v>
      </c>
    </row>
    <row r="3866" spans="1:8" x14ac:dyDescent="0.25">
      <c r="A3866" t="s">
        <v>1826</v>
      </c>
      <c r="B3866" t="s">
        <v>3215</v>
      </c>
      <c r="C3866" t="s">
        <v>3220</v>
      </c>
      <c r="D3866" t="s">
        <v>3223</v>
      </c>
      <c r="E3866" t="s">
        <v>3226</v>
      </c>
      <c r="F3866">
        <v>58552.41</v>
      </c>
      <c r="G3866">
        <v>29761.919999999998</v>
      </c>
      <c r="H3866">
        <v>5</v>
      </c>
    </row>
    <row r="3867" spans="1:8" x14ac:dyDescent="0.25">
      <c r="A3867" t="s">
        <v>3132</v>
      </c>
      <c r="B3867" t="s">
        <v>3215</v>
      </c>
      <c r="C3867" t="s">
        <v>3217</v>
      </c>
      <c r="D3867" t="s">
        <v>3224</v>
      </c>
      <c r="E3867" t="s">
        <v>3226</v>
      </c>
      <c r="F3867">
        <v>135381.57</v>
      </c>
      <c r="G3867">
        <v>83142.83</v>
      </c>
      <c r="H3867">
        <v>2</v>
      </c>
    </row>
    <row r="3868" spans="1:8" x14ac:dyDescent="0.25">
      <c r="A3868" t="s">
        <v>3133</v>
      </c>
      <c r="B3868" t="s">
        <v>3211</v>
      </c>
      <c r="C3868" t="s">
        <v>3218</v>
      </c>
      <c r="D3868" t="s">
        <v>3224</v>
      </c>
      <c r="E3868" t="s">
        <v>3226</v>
      </c>
      <c r="F3868">
        <v>192704.14</v>
      </c>
      <c r="G3868">
        <v>190734.74</v>
      </c>
      <c r="H3868">
        <v>4</v>
      </c>
    </row>
    <row r="3869" spans="1:8" x14ac:dyDescent="0.25">
      <c r="A3869" t="s">
        <v>3134</v>
      </c>
      <c r="C3869" t="s">
        <v>3216</v>
      </c>
      <c r="D3869" t="s">
        <v>3222</v>
      </c>
      <c r="E3869" t="s">
        <v>3226</v>
      </c>
      <c r="F3869">
        <v>33828.550000000003</v>
      </c>
      <c r="G3869">
        <v>17131.47</v>
      </c>
      <c r="H3869">
        <v>2</v>
      </c>
    </row>
    <row r="3870" spans="1:8" x14ac:dyDescent="0.25">
      <c r="A3870" t="s">
        <v>3135</v>
      </c>
      <c r="B3870" t="s">
        <v>3213</v>
      </c>
      <c r="C3870" t="s">
        <v>3221</v>
      </c>
      <c r="D3870" t="s">
        <v>3224</v>
      </c>
      <c r="E3870" t="s">
        <v>3226</v>
      </c>
      <c r="F3870">
        <v>126140.79</v>
      </c>
      <c r="G3870">
        <v>77136.23</v>
      </c>
      <c r="H3870">
        <v>2</v>
      </c>
    </row>
    <row r="3871" spans="1:8" x14ac:dyDescent="0.25">
      <c r="A3871" t="s">
        <v>3136</v>
      </c>
      <c r="B3871" t="s">
        <v>3213</v>
      </c>
      <c r="C3871" t="s">
        <v>3220</v>
      </c>
      <c r="D3871" t="s">
        <v>3223</v>
      </c>
      <c r="E3871" t="s">
        <v>3226</v>
      </c>
      <c r="F3871">
        <v>23918.94</v>
      </c>
      <c r="G3871">
        <v>13337.05</v>
      </c>
      <c r="H3871">
        <v>2</v>
      </c>
    </row>
    <row r="3872" spans="1:8" x14ac:dyDescent="0.25">
      <c r="A3872" t="s">
        <v>3137</v>
      </c>
      <c r="B3872" t="s">
        <v>3213</v>
      </c>
      <c r="C3872" t="s">
        <v>3221</v>
      </c>
      <c r="D3872" t="s">
        <v>3224</v>
      </c>
      <c r="E3872" t="s">
        <v>3226</v>
      </c>
      <c r="F3872">
        <v>163830.35999999999</v>
      </c>
      <c r="G3872">
        <v>116400.67</v>
      </c>
      <c r="H3872">
        <v>3</v>
      </c>
    </row>
    <row r="3873" spans="1:8" x14ac:dyDescent="0.25">
      <c r="A3873" t="s">
        <v>3138</v>
      </c>
      <c r="B3873" t="s">
        <v>3215</v>
      </c>
      <c r="C3873" t="s">
        <v>3216</v>
      </c>
      <c r="D3873" t="s">
        <v>3223</v>
      </c>
      <c r="E3873" t="s">
        <v>3226</v>
      </c>
      <c r="F3873">
        <v>58936.08</v>
      </c>
      <c r="G3873">
        <v>30974.01</v>
      </c>
    </row>
    <row r="3874" spans="1:8" x14ac:dyDescent="0.25">
      <c r="A3874" t="s">
        <v>3025</v>
      </c>
      <c r="B3874" t="s">
        <v>3211</v>
      </c>
      <c r="C3874" t="s">
        <v>3218</v>
      </c>
      <c r="D3874" t="s">
        <v>3223</v>
      </c>
      <c r="E3874" t="s">
        <v>3226</v>
      </c>
      <c r="F3874">
        <v>8788.34</v>
      </c>
      <c r="G3874">
        <v>6198.13</v>
      </c>
      <c r="H3874">
        <v>1</v>
      </c>
    </row>
    <row r="3875" spans="1:8" x14ac:dyDescent="0.25">
      <c r="A3875" t="s">
        <v>30</v>
      </c>
      <c r="B3875" t="s">
        <v>3211</v>
      </c>
      <c r="C3875" t="s">
        <v>3218</v>
      </c>
      <c r="D3875" t="s">
        <v>3225</v>
      </c>
      <c r="E3875" t="s">
        <v>3226</v>
      </c>
      <c r="F3875">
        <v>113797.12</v>
      </c>
      <c r="G3875">
        <v>67653.490000000005</v>
      </c>
      <c r="H3875">
        <v>5</v>
      </c>
    </row>
    <row r="3876" spans="1:8" x14ac:dyDescent="0.25">
      <c r="A3876" t="s">
        <v>2068</v>
      </c>
      <c r="B3876" t="s">
        <v>3214</v>
      </c>
      <c r="C3876" t="s">
        <v>3218</v>
      </c>
      <c r="D3876" t="s">
        <v>3222</v>
      </c>
      <c r="E3876" t="s">
        <v>3226</v>
      </c>
      <c r="F3876">
        <v>28228.28</v>
      </c>
      <c r="G3876">
        <v>21685.919999999998</v>
      </c>
      <c r="H3876">
        <v>2</v>
      </c>
    </row>
    <row r="3877" spans="1:8" x14ac:dyDescent="0.25">
      <c r="A3877" t="s">
        <v>3139</v>
      </c>
      <c r="B3877" t="s">
        <v>3212</v>
      </c>
      <c r="C3877" t="s">
        <v>3216</v>
      </c>
      <c r="D3877" t="s">
        <v>3222</v>
      </c>
      <c r="E3877" t="s">
        <v>3226</v>
      </c>
      <c r="F3877">
        <v>27964.11</v>
      </c>
      <c r="G3877">
        <v>17273.48</v>
      </c>
      <c r="H3877">
        <v>2</v>
      </c>
    </row>
    <row r="3878" spans="1:8" x14ac:dyDescent="0.25">
      <c r="A3878" t="s">
        <v>3140</v>
      </c>
      <c r="B3878" t="s">
        <v>3213</v>
      </c>
      <c r="C3878" t="s">
        <v>3217</v>
      </c>
      <c r="D3878" t="s">
        <v>3224</v>
      </c>
      <c r="E3878" t="s">
        <v>3226</v>
      </c>
      <c r="F3878">
        <v>125508.17</v>
      </c>
      <c r="G3878">
        <v>91297.34</v>
      </c>
      <c r="H3878">
        <v>2</v>
      </c>
    </row>
    <row r="3879" spans="1:8" x14ac:dyDescent="0.25">
      <c r="A3879" t="s">
        <v>3141</v>
      </c>
      <c r="B3879" t="s">
        <v>3215</v>
      </c>
      <c r="C3879" t="s">
        <v>3220</v>
      </c>
      <c r="D3879" t="s">
        <v>3222</v>
      </c>
      <c r="E3879" t="s">
        <v>3226</v>
      </c>
      <c r="F3879">
        <v>48076.39</v>
      </c>
      <c r="G3879">
        <v>32749.55</v>
      </c>
      <c r="H3879">
        <v>3</v>
      </c>
    </row>
    <row r="3880" spans="1:8" x14ac:dyDescent="0.25">
      <c r="A3880" t="s">
        <v>929</v>
      </c>
      <c r="B3880" t="s">
        <v>3211</v>
      </c>
      <c r="C3880" t="s">
        <v>3219</v>
      </c>
      <c r="D3880" t="s">
        <v>3225</v>
      </c>
      <c r="E3880" t="s">
        <v>3226</v>
      </c>
      <c r="F3880">
        <v>60070.3</v>
      </c>
      <c r="G3880">
        <v>40684.14</v>
      </c>
      <c r="H3880">
        <v>3</v>
      </c>
    </row>
    <row r="3881" spans="1:8" x14ac:dyDescent="0.25">
      <c r="A3881" t="s">
        <v>3142</v>
      </c>
      <c r="B3881" t="s">
        <v>3215</v>
      </c>
      <c r="C3881" t="s">
        <v>3220</v>
      </c>
      <c r="D3881" t="s">
        <v>3225</v>
      </c>
      <c r="E3881" t="s">
        <v>3226</v>
      </c>
      <c r="F3881">
        <v>99121.23</v>
      </c>
      <c r="H3881">
        <v>5</v>
      </c>
    </row>
    <row r="3882" spans="1:8" x14ac:dyDescent="0.25">
      <c r="A3882" t="s">
        <v>2978</v>
      </c>
      <c r="B3882" t="s">
        <v>3212</v>
      </c>
      <c r="C3882" t="s">
        <v>3216</v>
      </c>
      <c r="D3882" t="s">
        <v>3225</v>
      </c>
      <c r="E3882" t="s">
        <v>3226</v>
      </c>
      <c r="F3882">
        <v>23718.57</v>
      </c>
      <c r="G3882">
        <v>14697.51</v>
      </c>
      <c r="H3882">
        <v>1</v>
      </c>
    </row>
    <row r="3883" spans="1:8" x14ac:dyDescent="0.25">
      <c r="A3883" t="s">
        <v>3143</v>
      </c>
      <c r="B3883" t="s">
        <v>3215</v>
      </c>
      <c r="C3883" t="s">
        <v>3219</v>
      </c>
      <c r="D3883" t="s">
        <v>3225</v>
      </c>
      <c r="E3883" t="s">
        <v>3226</v>
      </c>
      <c r="F3883">
        <v>96957.98</v>
      </c>
      <c r="G3883">
        <v>63842.5</v>
      </c>
      <c r="H3883">
        <v>5</v>
      </c>
    </row>
    <row r="3884" spans="1:8" x14ac:dyDescent="0.25">
      <c r="A3884" t="s">
        <v>36</v>
      </c>
      <c r="B3884" t="s">
        <v>3214</v>
      </c>
      <c r="C3884" t="s">
        <v>3221</v>
      </c>
      <c r="D3884" t="s">
        <v>3222</v>
      </c>
      <c r="E3884" t="s">
        <v>3226</v>
      </c>
      <c r="F3884">
        <v>14143.98</v>
      </c>
      <c r="G3884">
        <v>10606.3</v>
      </c>
      <c r="H3884">
        <v>1</v>
      </c>
    </row>
    <row r="3885" spans="1:8" x14ac:dyDescent="0.25">
      <c r="A3885" t="s">
        <v>414</v>
      </c>
      <c r="B3885" t="s">
        <v>3215</v>
      </c>
      <c r="C3885" t="s">
        <v>3219</v>
      </c>
      <c r="D3885" t="s">
        <v>3224</v>
      </c>
      <c r="E3885" t="s">
        <v>3226</v>
      </c>
      <c r="F3885">
        <v>259135.05</v>
      </c>
      <c r="G3885">
        <v>184946.7</v>
      </c>
      <c r="H3885">
        <v>4</v>
      </c>
    </row>
    <row r="3886" spans="1:8" x14ac:dyDescent="0.25">
      <c r="A3886" t="s">
        <v>3144</v>
      </c>
      <c r="B3886" t="s">
        <v>3215</v>
      </c>
      <c r="C3886" t="s">
        <v>3216</v>
      </c>
      <c r="D3886" t="s">
        <v>3222</v>
      </c>
      <c r="E3886" t="s">
        <v>3226</v>
      </c>
      <c r="F3886">
        <v>37069.879999999997</v>
      </c>
      <c r="G3886">
        <v>29578.99</v>
      </c>
      <c r="H3886">
        <v>3</v>
      </c>
    </row>
    <row r="3887" spans="1:8" x14ac:dyDescent="0.25">
      <c r="A3887" t="s">
        <v>3145</v>
      </c>
      <c r="C3887" t="s">
        <v>3217</v>
      </c>
      <c r="D3887" t="s">
        <v>3223</v>
      </c>
      <c r="E3887" t="s">
        <v>3226</v>
      </c>
      <c r="F3887">
        <v>59756.98</v>
      </c>
      <c r="G3887">
        <v>33964.11</v>
      </c>
      <c r="H3887">
        <v>5</v>
      </c>
    </row>
    <row r="3888" spans="1:8" x14ac:dyDescent="0.25">
      <c r="A3888" t="s">
        <v>656</v>
      </c>
      <c r="B3888" t="s">
        <v>3213</v>
      </c>
      <c r="C3888" t="s">
        <v>3217</v>
      </c>
      <c r="D3888" t="s">
        <v>3225</v>
      </c>
      <c r="E3888" t="s">
        <v>3226</v>
      </c>
      <c r="F3888">
        <v>119460.01</v>
      </c>
      <c r="G3888">
        <v>69531.710000000006</v>
      </c>
      <c r="H3888">
        <v>5</v>
      </c>
    </row>
    <row r="3889" spans="1:8" x14ac:dyDescent="0.25">
      <c r="A3889" t="s">
        <v>3146</v>
      </c>
      <c r="B3889" t="s">
        <v>3214</v>
      </c>
      <c r="C3889" t="s">
        <v>3219</v>
      </c>
      <c r="D3889" t="s">
        <v>3225</v>
      </c>
      <c r="E3889" t="s">
        <v>3226</v>
      </c>
      <c r="F3889">
        <v>56094.8</v>
      </c>
      <c r="G3889">
        <v>41241.26</v>
      </c>
      <c r="H3889">
        <v>3</v>
      </c>
    </row>
    <row r="3890" spans="1:8" x14ac:dyDescent="0.25">
      <c r="A3890" t="s">
        <v>3147</v>
      </c>
      <c r="B3890" t="s">
        <v>3212</v>
      </c>
      <c r="C3890" t="s">
        <v>3216</v>
      </c>
      <c r="D3890" t="s">
        <v>3225</v>
      </c>
      <c r="E3890" t="s">
        <v>3226</v>
      </c>
      <c r="F3890">
        <v>107333.29</v>
      </c>
      <c r="G3890">
        <v>60996.62</v>
      </c>
      <c r="H3890">
        <v>5</v>
      </c>
    </row>
    <row r="3891" spans="1:8" x14ac:dyDescent="0.25">
      <c r="A3891" t="s">
        <v>3148</v>
      </c>
      <c r="B3891" t="s">
        <v>3214</v>
      </c>
      <c r="C3891" t="s">
        <v>3216</v>
      </c>
      <c r="D3891" t="s">
        <v>3222</v>
      </c>
      <c r="E3891" t="s">
        <v>3226</v>
      </c>
      <c r="F3891">
        <v>17308.78</v>
      </c>
      <c r="G3891">
        <v>9796.14</v>
      </c>
      <c r="H3891">
        <v>1</v>
      </c>
    </row>
    <row r="3892" spans="1:8" x14ac:dyDescent="0.25">
      <c r="A3892" t="s">
        <v>3149</v>
      </c>
      <c r="B3892" t="s">
        <v>3211</v>
      </c>
      <c r="C3892" t="s">
        <v>3217</v>
      </c>
      <c r="D3892" t="s">
        <v>3224</v>
      </c>
      <c r="E3892" t="s">
        <v>3226</v>
      </c>
      <c r="F3892">
        <v>184558.53</v>
      </c>
      <c r="G3892">
        <v>138663.96</v>
      </c>
      <c r="H3892">
        <v>3</v>
      </c>
    </row>
    <row r="3893" spans="1:8" x14ac:dyDescent="0.25">
      <c r="A3893" t="s">
        <v>3150</v>
      </c>
      <c r="B3893" t="s">
        <v>3212</v>
      </c>
      <c r="C3893" t="s">
        <v>3219</v>
      </c>
      <c r="D3893" t="s">
        <v>3223</v>
      </c>
      <c r="E3893" t="s">
        <v>3226</v>
      </c>
      <c r="F3893">
        <v>43609.5</v>
      </c>
      <c r="G3893">
        <v>34611.58</v>
      </c>
      <c r="H3893">
        <v>5</v>
      </c>
    </row>
    <row r="3894" spans="1:8" x14ac:dyDescent="0.25">
      <c r="A3894" t="s">
        <v>3151</v>
      </c>
      <c r="B3894" t="s">
        <v>3213</v>
      </c>
      <c r="C3894" t="s">
        <v>3219</v>
      </c>
      <c r="D3894" t="s">
        <v>3224</v>
      </c>
      <c r="E3894" t="s">
        <v>3226</v>
      </c>
      <c r="F3894">
        <v>316006.58</v>
      </c>
      <c r="G3894">
        <v>197447.76</v>
      </c>
      <c r="H3894">
        <v>5</v>
      </c>
    </row>
    <row r="3895" spans="1:8" x14ac:dyDescent="0.25">
      <c r="A3895" t="s">
        <v>2969</v>
      </c>
      <c r="B3895" t="s">
        <v>3211</v>
      </c>
      <c r="C3895" t="s">
        <v>3219</v>
      </c>
      <c r="D3895" t="s">
        <v>3225</v>
      </c>
      <c r="E3895" t="s">
        <v>3226</v>
      </c>
      <c r="F3895">
        <v>54228.56</v>
      </c>
      <c r="G3895">
        <v>45511.98</v>
      </c>
      <c r="H3895">
        <v>3</v>
      </c>
    </row>
    <row r="3896" spans="1:8" x14ac:dyDescent="0.25">
      <c r="A3896" t="s">
        <v>2890</v>
      </c>
      <c r="C3896" t="s">
        <v>3221</v>
      </c>
      <c r="D3896" t="s">
        <v>3223</v>
      </c>
      <c r="E3896" t="s">
        <v>3226</v>
      </c>
      <c r="F3896">
        <v>10872.43</v>
      </c>
      <c r="G3896">
        <v>6775.56</v>
      </c>
      <c r="H3896">
        <v>1</v>
      </c>
    </row>
    <row r="3897" spans="1:8" x14ac:dyDescent="0.25">
      <c r="A3897" t="s">
        <v>1525</v>
      </c>
      <c r="B3897" t="s">
        <v>3211</v>
      </c>
      <c r="C3897" t="s">
        <v>3219</v>
      </c>
      <c r="D3897" t="s">
        <v>3224</v>
      </c>
      <c r="E3897" t="s">
        <v>3226</v>
      </c>
      <c r="F3897">
        <v>198516.63</v>
      </c>
      <c r="G3897">
        <v>119331.07</v>
      </c>
      <c r="H3897">
        <v>3</v>
      </c>
    </row>
    <row r="3898" spans="1:8" x14ac:dyDescent="0.25">
      <c r="A3898" t="s">
        <v>3152</v>
      </c>
      <c r="B3898" t="s">
        <v>3212</v>
      </c>
      <c r="C3898" t="s">
        <v>3220</v>
      </c>
      <c r="D3898" t="s">
        <v>3223</v>
      </c>
      <c r="E3898" t="s">
        <v>3226</v>
      </c>
      <c r="F3898">
        <v>40818.53</v>
      </c>
      <c r="H3898">
        <v>4</v>
      </c>
    </row>
    <row r="3899" spans="1:8" x14ac:dyDescent="0.25">
      <c r="A3899" t="s">
        <v>3153</v>
      </c>
      <c r="B3899" t="s">
        <v>3211</v>
      </c>
      <c r="C3899" t="s">
        <v>3221</v>
      </c>
      <c r="D3899" t="s">
        <v>3222</v>
      </c>
      <c r="E3899" t="s">
        <v>3226</v>
      </c>
      <c r="F3899">
        <v>49259.18</v>
      </c>
      <c r="G3899">
        <v>25641.759999999998</v>
      </c>
      <c r="H3899">
        <v>3</v>
      </c>
    </row>
    <row r="3900" spans="1:8" x14ac:dyDescent="0.25">
      <c r="A3900" t="s">
        <v>2512</v>
      </c>
      <c r="B3900" t="s">
        <v>3212</v>
      </c>
      <c r="C3900" t="s">
        <v>3218</v>
      </c>
      <c r="D3900" t="s">
        <v>3225</v>
      </c>
      <c r="E3900" t="s">
        <v>3226</v>
      </c>
      <c r="G3900">
        <v>76020.92</v>
      </c>
      <c r="H3900">
        <v>5</v>
      </c>
    </row>
    <row r="3901" spans="1:8" x14ac:dyDescent="0.25">
      <c r="A3901" t="s">
        <v>2508</v>
      </c>
      <c r="C3901" t="s">
        <v>3217</v>
      </c>
      <c r="D3901" t="s">
        <v>3223</v>
      </c>
      <c r="E3901" t="s">
        <v>3226</v>
      </c>
      <c r="F3901">
        <v>22627.84</v>
      </c>
      <c r="H3901">
        <v>2</v>
      </c>
    </row>
    <row r="3902" spans="1:8" x14ac:dyDescent="0.25">
      <c r="A3902" t="s">
        <v>949</v>
      </c>
      <c r="C3902" t="s">
        <v>3220</v>
      </c>
      <c r="D3902" t="s">
        <v>3223</v>
      </c>
      <c r="E3902" t="s">
        <v>3226</v>
      </c>
      <c r="F3902">
        <v>10092.83</v>
      </c>
      <c r="G3902">
        <v>5964.84</v>
      </c>
      <c r="H3902">
        <v>1</v>
      </c>
    </row>
    <row r="3903" spans="1:8" x14ac:dyDescent="0.25">
      <c r="A3903" t="s">
        <v>3154</v>
      </c>
      <c r="B3903" t="s">
        <v>3215</v>
      </c>
      <c r="C3903" t="s">
        <v>3220</v>
      </c>
      <c r="D3903" t="s">
        <v>3224</v>
      </c>
      <c r="E3903" t="s">
        <v>3226</v>
      </c>
      <c r="F3903">
        <v>294880.19</v>
      </c>
      <c r="G3903">
        <v>234312.06</v>
      </c>
      <c r="H3903">
        <v>5</v>
      </c>
    </row>
    <row r="3904" spans="1:8" x14ac:dyDescent="0.25">
      <c r="A3904" t="s">
        <v>3155</v>
      </c>
      <c r="B3904" t="s">
        <v>3213</v>
      </c>
      <c r="C3904" t="s">
        <v>3219</v>
      </c>
      <c r="D3904" t="s">
        <v>3222</v>
      </c>
      <c r="E3904" t="s">
        <v>3226</v>
      </c>
      <c r="F3904">
        <v>89665.5</v>
      </c>
      <c r="G3904">
        <v>50546.23</v>
      </c>
      <c r="H3904">
        <v>5</v>
      </c>
    </row>
    <row r="3905" spans="1:8" x14ac:dyDescent="0.25">
      <c r="A3905" t="s">
        <v>1699</v>
      </c>
      <c r="B3905" t="s">
        <v>3215</v>
      </c>
      <c r="C3905" t="s">
        <v>3221</v>
      </c>
      <c r="D3905" t="s">
        <v>3225</v>
      </c>
      <c r="E3905" t="s">
        <v>3226</v>
      </c>
      <c r="G3905">
        <v>13086.84</v>
      </c>
      <c r="H3905">
        <v>1</v>
      </c>
    </row>
    <row r="3906" spans="1:8" x14ac:dyDescent="0.25">
      <c r="A3906" t="s">
        <v>2250</v>
      </c>
      <c r="B3906" t="s">
        <v>3213</v>
      </c>
      <c r="C3906" t="s">
        <v>3219</v>
      </c>
      <c r="D3906" t="s">
        <v>3222</v>
      </c>
      <c r="E3906" t="s">
        <v>3226</v>
      </c>
      <c r="F3906">
        <v>28475.439999999999</v>
      </c>
      <c r="G3906">
        <v>17927.18</v>
      </c>
      <c r="H3906">
        <v>2</v>
      </c>
    </row>
    <row r="3907" spans="1:8" x14ac:dyDescent="0.25">
      <c r="A3907" t="s">
        <v>3156</v>
      </c>
      <c r="C3907" t="s">
        <v>3220</v>
      </c>
      <c r="D3907" t="s">
        <v>3222</v>
      </c>
      <c r="E3907" t="s">
        <v>3226</v>
      </c>
      <c r="F3907">
        <v>79449.27</v>
      </c>
      <c r="G3907">
        <v>48849.7</v>
      </c>
      <c r="H3907">
        <v>5</v>
      </c>
    </row>
    <row r="3908" spans="1:8" x14ac:dyDescent="0.25">
      <c r="A3908" t="s">
        <v>3157</v>
      </c>
      <c r="C3908" t="s">
        <v>3220</v>
      </c>
      <c r="D3908" t="s">
        <v>3224</v>
      </c>
      <c r="E3908" t="s">
        <v>3226</v>
      </c>
      <c r="G3908">
        <v>95183.75</v>
      </c>
      <c r="H3908">
        <v>2</v>
      </c>
    </row>
    <row r="3909" spans="1:8" x14ac:dyDescent="0.25">
      <c r="A3909" t="s">
        <v>2101</v>
      </c>
      <c r="B3909" t="s">
        <v>3212</v>
      </c>
      <c r="C3909" t="s">
        <v>3218</v>
      </c>
      <c r="D3909" t="s">
        <v>3225</v>
      </c>
      <c r="E3909" t="s">
        <v>3226</v>
      </c>
      <c r="F3909">
        <v>71179.55</v>
      </c>
      <c r="G3909">
        <v>43948.55</v>
      </c>
      <c r="H3909">
        <v>3</v>
      </c>
    </row>
    <row r="3910" spans="1:8" x14ac:dyDescent="0.25">
      <c r="A3910" t="s">
        <v>2594</v>
      </c>
      <c r="B3910" t="s">
        <v>3215</v>
      </c>
      <c r="C3910" t="s">
        <v>3221</v>
      </c>
      <c r="D3910" t="s">
        <v>3223</v>
      </c>
      <c r="E3910" t="s">
        <v>3226</v>
      </c>
      <c r="F3910">
        <v>16360.28</v>
      </c>
      <c r="G3910">
        <v>13160.83</v>
      </c>
      <c r="H3910">
        <v>2</v>
      </c>
    </row>
    <row r="3911" spans="1:8" x14ac:dyDescent="0.25">
      <c r="A3911" t="s">
        <v>3158</v>
      </c>
      <c r="B3911" t="s">
        <v>3211</v>
      </c>
      <c r="C3911" t="s">
        <v>3220</v>
      </c>
      <c r="D3911" t="s">
        <v>3223</v>
      </c>
      <c r="E3911" t="s">
        <v>3226</v>
      </c>
      <c r="F3911">
        <v>40747.449999999997</v>
      </c>
      <c r="G3911">
        <v>33882.35</v>
      </c>
      <c r="H3911">
        <v>5</v>
      </c>
    </row>
    <row r="3912" spans="1:8" x14ac:dyDescent="0.25">
      <c r="A3912" t="s">
        <v>2566</v>
      </c>
      <c r="B3912" t="s">
        <v>3211</v>
      </c>
      <c r="C3912" t="s">
        <v>3218</v>
      </c>
      <c r="D3912" t="s">
        <v>3225</v>
      </c>
      <c r="E3912" t="s">
        <v>3226</v>
      </c>
      <c r="F3912">
        <v>37550.83</v>
      </c>
      <c r="H3912">
        <v>2</v>
      </c>
    </row>
    <row r="3913" spans="1:8" x14ac:dyDescent="0.25">
      <c r="A3913" t="s">
        <v>1193</v>
      </c>
      <c r="C3913" t="s">
        <v>3218</v>
      </c>
      <c r="D3913" t="s">
        <v>3223</v>
      </c>
      <c r="E3913" t="s">
        <v>3226</v>
      </c>
      <c r="F3913">
        <v>35494.47</v>
      </c>
      <c r="G3913">
        <v>19989.27</v>
      </c>
      <c r="H3913">
        <v>3</v>
      </c>
    </row>
    <row r="3914" spans="1:8" x14ac:dyDescent="0.25">
      <c r="A3914" t="s">
        <v>1720</v>
      </c>
      <c r="B3914" t="s">
        <v>3211</v>
      </c>
      <c r="C3914" t="s">
        <v>3219</v>
      </c>
      <c r="D3914" t="s">
        <v>3223</v>
      </c>
      <c r="E3914" t="s">
        <v>3226</v>
      </c>
      <c r="F3914">
        <v>22213.21</v>
      </c>
      <c r="G3914">
        <v>12732.82</v>
      </c>
      <c r="H3914">
        <v>2</v>
      </c>
    </row>
    <row r="3915" spans="1:8" x14ac:dyDescent="0.25">
      <c r="A3915" t="s">
        <v>3159</v>
      </c>
      <c r="B3915" t="s">
        <v>3212</v>
      </c>
      <c r="C3915" t="s">
        <v>3218</v>
      </c>
      <c r="D3915" t="s">
        <v>3223</v>
      </c>
      <c r="E3915" t="s">
        <v>3226</v>
      </c>
      <c r="F3915">
        <v>48263.46</v>
      </c>
      <c r="G3915">
        <v>32606.97</v>
      </c>
      <c r="H3915">
        <v>5</v>
      </c>
    </row>
    <row r="3916" spans="1:8" x14ac:dyDescent="0.25">
      <c r="A3916" t="s">
        <v>3160</v>
      </c>
      <c r="B3916" t="s">
        <v>3215</v>
      </c>
      <c r="C3916" t="s">
        <v>3220</v>
      </c>
      <c r="D3916" t="s">
        <v>3224</v>
      </c>
      <c r="E3916" t="s">
        <v>3226</v>
      </c>
      <c r="F3916">
        <v>342186.09</v>
      </c>
      <c r="G3916">
        <v>216278.57</v>
      </c>
      <c r="H3916">
        <v>5</v>
      </c>
    </row>
    <row r="3917" spans="1:8" x14ac:dyDescent="0.25">
      <c r="A3917" t="s">
        <v>3161</v>
      </c>
      <c r="B3917" t="s">
        <v>3211</v>
      </c>
      <c r="C3917" t="s">
        <v>3216</v>
      </c>
      <c r="D3917" t="s">
        <v>3222</v>
      </c>
      <c r="E3917" t="s">
        <v>3226</v>
      </c>
      <c r="F3917">
        <v>14107.52</v>
      </c>
      <c r="G3917">
        <v>9712.7000000000007</v>
      </c>
      <c r="H3917">
        <v>1</v>
      </c>
    </row>
    <row r="3918" spans="1:8" x14ac:dyDescent="0.25">
      <c r="A3918" t="s">
        <v>626</v>
      </c>
      <c r="B3918" t="s">
        <v>3215</v>
      </c>
      <c r="C3918" t="s">
        <v>3216</v>
      </c>
      <c r="D3918" t="s">
        <v>3224</v>
      </c>
      <c r="E3918" t="s">
        <v>3226</v>
      </c>
      <c r="F3918">
        <v>253583.31</v>
      </c>
      <c r="H3918">
        <v>4</v>
      </c>
    </row>
    <row r="3919" spans="1:8" x14ac:dyDescent="0.25">
      <c r="A3919" t="s">
        <v>3162</v>
      </c>
      <c r="B3919" t="s">
        <v>3211</v>
      </c>
      <c r="C3919" t="s">
        <v>3221</v>
      </c>
      <c r="D3919" t="s">
        <v>3224</v>
      </c>
      <c r="E3919" t="s">
        <v>3226</v>
      </c>
      <c r="F3919">
        <v>287843.62</v>
      </c>
      <c r="G3919">
        <v>228118.68</v>
      </c>
      <c r="H3919">
        <v>5</v>
      </c>
    </row>
    <row r="3920" spans="1:8" x14ac:dyDescent="0.25">
      <c r="A3920" t="s">
        <v>2791</v>
      </c>
      <c r="C3920" t="s">
        <v>3216</v>
      </c>
      <c r="D3920" t="s">
        <v>3225</v>
      </c>
      <c r="E3920" t="s">
        <v>3226</v>
      </c>
      <c r="F3920">
        <v>67451.17</v>
      </c>
      <c r="H3920">
        <v>4</v>
      </c>
    </row>
    <row r="3921" spans="1:8" x14ac:dyDescent="0.25">
      <c r="A3921" t="s">
        <v>1919</v>
      </c>
      <c r="B3921" t="s">
        <v>3212</v>
      </c>
      <c r="C3921" t="s">
        <v>3220</v>
      </c>
      <c r="D3921" t="s">
        <v>3225</v>
      </c>
      <c r="E3921" t="s">
        <v>3226</v>
      </c>
      <c r="F3921">
        <v>108934.57</v>
      </c>
      <c r="G3921">
        <v>68560.36</v>
      </c>
      <c r="H3921">
        <v>5</v>
      </c>
    </row>
    <row r="3922" spans="1:8" x14ac:dyDescent="0.25">
      <c r="A3922" t="s">
        <v>3027</v>
      </c>
      <c r="B3922" t="s">
        <v>3214</v>
      </c>
      <c r="C3922" t="s">
        <v>3219</v>
      </c>
      <c r="D3922" t="s">
        <v>3222</v>
      </c>
      <c r="E3922" t="s">
        <v>3226</v>
      </c>
      <c r="F3922">
        <v>66729.460000000006</v>
      </c>
      <c r="G3922">
        <v>54113.04</v>
      </c>
      <c r="H3922">
        <v>5</v>
      </c>
    </row>
    <row r="3923" spans="1:8" x14ac:dyDescent="0.25">
      <c r="A3923" t="s">
        <v>3163</v>
      </c>
      <c r="B3923" t="s">
        <v>3211</v>
      </c>
      <c r="C3923" t="s">
        <v>3221</v>
      </c>
      <c r="D3923" t="s">
        <v>3222</v>
      </c>
      <c r="E3923" t="s">
        <v>3226</v>
      </c>
      <c r="F3923">
        <v>34266.58</v>
      </c>
      <c r="G3923">
        <v>17859.91</v>
      </c>
      <c r="H3923">
        <v>2</v>
      </c>
    </row>
    <row r="3924" spans="1:8" x14ac:dyDescent="0.25">
      <c r="A3924" t="s">
        <v>3164</v>
      </c>
      <c r="B3924" t="s">
        <v>3213</v>
      </c>
      <c r="C3924" t="s">
        <v>3218</v>
      </c>
      <c r="D3924" t="s">
        <v>3225</v>
      </c>
      <c r="E3924" t="s">
        <v>3226</v>
      </c>
      <c r="F3924">
        <v>16200.17</v>
      </c>
      <c r="G3924">
        <v>13793.6</v>
      </c>
      <c r="H3924">
        <v>1</v>
      </c>
    </row>
    <row r="3925" spans="1:8" x14ac:dyDescent="0.25">
      <c r="A3925" t="s">
        <v>3165</v>
      </c>
      <c r="B3925" t="s">
        <v>3214</v>
      </c>
      <c r="C3925" t="s">
        <v>3217</v>
      </c>
      <c r="D3925" t="s">
        <v>3223</v>
      </c>
      <c r="E3925" t="s">
        <v>3226</v>
      </c>
      <c r="F3925">
        <v>22317.96</v>
      </c>
      <c r="G3925">
        <v>14983.14</v>
      </c>
      <c r="H3925">
        <v>2</v>
      </c>
    </row>
    <row r="3926" spans="1:8" x14ac:dyDescent="0.25">
      <c r="A3926" t="s">
        <v>3166</v>
      </c>
      <c r="B3926" t="s">
        <v>3214</v>
      </c>
      <c r="C3926" t="s">
        <v>3218</v>
      </c>
      <c r="D3926" t="s">
        <v>3224</v>
      </c>
      <c r="E3926" t="s">
        <v>3226</v>
      </c>
      <c r="F3926">
        <v>220654.15</v>
      </c>
      <c r="G3926">
        <v>163009.63</v>
      </c>
      <c r="H3926">
        <v>4</v>
      </c>
    </row>
    <row r="3927" spans="1:8" x14ac:dyDescent="0.25">
      <c r="A3927" t="s">
        <v>3167</v>
      </c>
      <c r="B3927" t="s">
        <v>3212</v>
      </c>
      <c r="C3927" t="s">
        <v>3218</v>
      </c>
      <c r="D3927" t="s">
        <v>3222</v>
      </c>
      <c r="E3927" t="s">
        <v>3226</v>
      </c>
      <c r="F3927">
        <v>67406.11</v>
      </c>
      <c r="G3927">
        <v>53093.59</v>
      </c>
      <c r="H3927">
        <v>5</v>
      </c>
    </row>
    <row r="3928" spans="1:8" x14ac:dyDescent="0.25">
      <c r="A3928" t="s">
        <v>2216</v>
      </c>
      <c r="C3928" t="s">
        <v>3220</v>
      </c>
      <c r="D3928" t="s">
        <v>3224</v>
      </c>
      <c r="E3928" t="s">
        <v>3226</v>
      </c>
      <c r="F3928">
        <v>196288.82</v>
      </c>
      <c r="G3928">
        <v>157071.70000000001</v>
      </c>
      <c r="H3928">
        <v>4</v>
      </c>
    </row>
    <row r="3929" spans="1:8" x14ac:dyDescent="0.25">
      <c r="A3929" t="s">
        <v>3168</v>
      </c>
      <c r="B3929" t="s">
        <v>3211</v>
      </c>
      <c r="C3929" t="s">
        <v>3221</v>
      </c>
      <c r="D3929" t="s">
        <v>3223</v>
      </c>
      <c r="E3929" t="s">
        <v>3226</v>
      </c>
      <c r="F3929">
        <v>41856.28</v>
      </c>
      <c r="G3929">
        <v>27246.29</v>
      </c>
      <c r="H3929">
        <v>4</v>
      </c>
    </row>
    <row r="3930" spans="1:8" x14ac:dyDescent="0.25">
      <c r="A3930" t="s">
        <v>3169</v>
      </c>
      <c r="B3930" t="s">
        <v>3214</v>
      </c>
      <c r="C3930" t="s">
        <v>3221</v>
      </c>
      <c r="D3930" t="s">
        <v>3222</v>
      </c>
      <c r="E3930" t="s">
        <v>3226</v>
      </c>
      <c r="F3930">
        <v>81965.5</v>
      </c>
      <c r="G3930">
        <v>53245.14</v>
      </c>
      <c r="H3930">
        <v>5</v>
      </c>
    </row>
    <row r="3931" spans="1:8" x14ac:dyDescent="0.25">
      <c r="A3931" t="s">
        <v>2310</v>
      </c>
      <c r="B3931" t="s">
        <v>3211</v>
      </c>
      <c r="C3931" t="s">
        <v>3217</v>
      </c>
      <c r="D3931" t="s">
        <v>3222</v>
      </c>
      <c r="E3931" t="s">
        <v>3226</v>
      </c>
      <c r="F3931">
        <v>15847.23</v>
      </c>
      <c r="H3931">
        <v>1</v>
      </c>
    </row>
    <row r="3932" spans="1:8" x14ac:dyDescent="0.25">
      <c r="A3932" t="s">
        <v>3170</v>
      </c>
      <c r="B3932" t="s">
        <v>3214</v>
      </c>
      <c r="C3932" t="s">
        <v>3221</v>
      </c>
      <c r="D3932" t="s">
        <v>3225</v>
      </c>
      <c r="E3932" t="s">
        <v>3226</v>
      </c>
      <c r="F3932">
        <v>43473.279999999999</v>
      </c>
      <c r="G3932">
        <v>28301.66</v>
      </c>
      <c r="H3932">
        <v>2</v>
      </c>
    </row>
    <row r="3933" spans="1:8" x14ac:dyDescent="0.25">
      <c r="A3933" t="s">
        <v>3171</v>
      </c>
      <c r="B3933" t="s">
        <v>3215</v>
      </c>
      <c r="C3933" t="s">
        <v>3216</v>
      </c>
      <c r="D3933" t="s">
        <v>3224</v>
      </c>
      <c r="E3933" t="s">
        <v>3226</v>
      </c>
      <c r="F3933">
        <v>255713.2</v>
      </c>
      <c r="G3933">
        <v>169711.08</v>
      </c>
      <c r="H3933">
        <v>4</v>
      </c>
    </row>
    <row r="3934" spans="1:8" x14ac:dyDescent="0.25">
      <c r="A3934" t="s">
        <v>1898</v>
      </c>
      <c r="B3934" t="s">
        <v>3212</v>
      </c>
      <c r="C3934" t="s">
        <v>3218</v>
      </c>
      <c r="D3934" t="s">
        <v>3225</v>
      </c>
      <c r="E3934" t="s">
        <v>3226</v>
      </c>
      <c r="F3934">
        <v>77864.009999999995</v>
      </c>
      <c r="G3934">
        <v>52845.63</v>
      </c>
      <c r="H3934">
        <v>4</v>
      </c>
    </row>
    <row r="3935" spans="1:8" x14ac:dyDescent="0.25">
      <c r="A3935" t="s">
        <v>3172</v>
      </c>
      <c r="C3935" t="s">
        <v>3218</v>
      </c>
      <c r="D3935" t="s">
        <v>3224</v>
      </c>
      <c r="E3935" t="s">
        <v>3226</v>
      </c>
      <c r="F3935">
        <v>316469.46999999997</v>
      </c>
      <c r="G3935">
        <v>206380.88</v>
      </c>
      <c r="H3935">
        <v>5</v>
      </c>
    </row>
    <row r="3936" spans="1:8" x14ac:dyDescent="0.25">
      <c r="A3936" t="s">
        <v>1517</v>
      </c>
      <c r="B3936" t="s">
        <v>3211</v>
      </c>
      <c r="C3936" t="s">
        <v>3217</v>
      </c>
      <c r="D3936" t="s">
        <v>3223</v>
      </c>
      <c r="E3936" t="s">
        <v>3226</v>
      </c>
      <c r="F3936">
        <v>43235.08</v>
      </c>
      <c r="G3936">
        <v>29205.45</v>
      </c>
      <c r="H3936">
        <v>4</v>
      </c>
    </row>
    <row r="3937" spans="1:8" x14ac:dyDescent="0.25">
      <c r="A3937" t="s">
        <v>3173</v>
      </c>
      <c r="B3937" t="s">
        <v>3215</v>
      </c>
      <c r="C3937" t="s">
        <v>3217</v>
      </c>
      <c r="D3937" t="s">
        <v>3224</v>
      </c>
      <c r="E3937" t="s">
        <v>3226</v>
      </c>
      <c r="F3937">
        <v>152044.15</v>
      </c>
      <c r="G3937">
        <v>146689.51999999999</v>
      </c>
      <c r="H3937">
        <v>3</v>
      </c>
    </row>
    <row r="3938" spans="1:8" x14ac:dyDescent="0.25">
      <c r="A3938" t="s">
        <v>1762</v>
      </c>
      <c r="B3938" t="s">
        <v>3212</v>
      </c>
      <c r="C3938" t="s">
        <v>3217</v>
      </c>
      <c r="D3938" t="s">
        <v>3225</v>
      </c>
      <c r="E3938" t="s">
        <v>3226</v>
      </c>
      <c r="G3938">
        <v>42690.77</v>
      </c>
      <c r="H3938">
        <v>3</v>
      </c>
    </row>
    <row r="3939" spans="1:8" x14ac:dyDescent="0.25">
      <c r="A3939" t="s">
        <v>2131</v>
      </c>
      <c r="B3939" t="s">
        <v>3214</v>
      </c>
      <c r="C3939" t="s">
        <v>3219</v>
      </c>
      <c r="D3939" t="s">
        <v>3225</v>
      </c>
      <c r="E3939" t="s">
        <v>3226</v>
      </c>
      <c r="F3939">
        <v>58749.58</v>
      </c>
      <c r="G3939">
        <v>45681.05</v>
      </c>
      <c r="H3939">
        <v>3</v>
      </c>
    </row>
    <row r="3940" spans="1:8" x14ac:dyDescent="0.25">
      <c r="A3940" t="s">
        <v>3174</v>
      </c>
      <c r="B3940" t="s">
        <v>3213</v>
      </c>
      <c r="C3940" t="s">
        <v>3221</v>
      </c>
      <c r="D3940" t="s">
        <v>3223</v>
      </c>
      <c r="E3940" t="s">
        <v>3226</v>
      </c>
      <c r="F3940">
        <v>20071.39</v>
      </c>
      <c r="G3940">
        <v>12678.14</v>
      </c>
      <c r="H3940">
        <v>2</v>
      </c>
    </row>
    <row r="3941" spans="1:8" x14ac:dyDescent="0.25">
      <c r="A3941" t="s">
        <v>3175</v>
      </c>
      <c r="B3941" t="s">
        <v>3215</v>
      </c>
      <c r="C3941" t="s">
        <v>3221</v>
      </c>
      <c r="D3941" t="s">
        <v>3223</v>
      </c>
      <c r="E3941" t="s">
        <v>3226</v>
      </c>
      <c r="F3941">
        <v>8016.43</v>
      </c>
      <c r="G3941">
        <v>6464.93</v>
      </c>
      <c r="H3941">
        <v>1</v>
      </c>
    </row>
    <row r="3942" spans="1:8" x14ac:dyDescent="0.25">
      <c r="A3942" t="s">
        <v>3176</v>
      </c>
      <c r="B3942" t="s">
        <v>3214</v>
      </c>
      <c r="C3942" t="s">
        <v>3218</v>
      </c>
      <c r="D3942" t="s">
        <v>3225</v>
      </c>
      <c r="E3942" t="s">
        <v>3226</v>
      </c>
      <c r="G3942">
        <v>26736.59</v>
      </c>
      <c r="H3942">
        <v>2</v>
      </c>
    </row>
    <row r="3943" spans="1:8" x14ac:dyDescent="0.25">
      <c r="A3943" t="s">
        <v>3177</v>
      </c>
      <c r="B3943" t="s">
        <v>3213</v>
      </c>
      <c r="C3943" t="s">
        <v>3220</v>
      </c>
      <c r="D3943" t="s">
        <v>3225</v>
      </c>
      <c r="E3943" t="s">
        <v>3226</v>
      </c>
      <c r="F3943">
        <v>44594.98</v>
      </c>
      <c r="G3943">
        <v>29032.49</v>
      </c>
      <c r="H3943">
        <v>2</v>
      </c>
    </row>
    <row r="3944" spans="1:8" x14ac:dyDescent="0.25">
      <c r="A3944" t="s">
        <v>3178</v>
      </c>
      <c r="B3944" t="s">
        <v>3215</v>
      </c>
      <c r="C3944" t="s">
        <v>3220</v>
      </c>
      <c r="D3944" t="s">
        <v>3225</v>
      </c>
      <c r="E3944" t="s">
        <v>3226</v>
      </c>
      <c r="F3944">
        <v>50204.41</v>
      </c>
      <c r="G3944">
        <v>39225.129999999997</v>
      </c>
      <c r="H3944">
        <v>3</v>
      </c>
    </row>
    <row r="3945" spans="1:8" x14ac:dyDescent="0.25">
      <c r="A3945" t="s">
        <v>294</v>
      </c>
      <c r="B3945" t="s">
        <v>3214</v>
      </c>
      <c r="C3945" t="s">
        <v>3216</v>
      </c>
      <c r="D3945" t="s">
        <v>3223</v>
      </c>
      <c r="E3945" t="s">
        <v>3226</v>
      </c>
      <c r="F3945">
        <v>21006.67</v>
      </c>
      <c r="G3945">
        <v>13081.38</v>
      </c>
    </row>
    <row r="3946" spans="1:8" x14ac:dyDescent="0.25">
      <c r="A3946" t="s">
        <v>3179</v>
      </c>
      <c r="B3946" t="s">
        <v>3212</v>
      </c>
      <c r="C3946" t="s">
        <v>3220</v>
      </c>
      <c r="D3946" t="s">
        <v>3225</v>
      </c>
      <c r="E3946" t="s">
        <v>3226</v>
      </c>
      <c r="F3946">
        <v>67146.06</v>
      </c>
      <c r="G3946">
        <v>44404.68</v>
      </c>
      <c r="H3946">
        <v>3</v>
      </c>
    </row>
    <row r="3947" spans="1:8" x14ac:dyDescent="0.25">
      <c r="A3947" t="s">
        <v>3180</v>
      </c>
      <c r="B3947" t="s">
        <v>3215</v>
      </c>
      <c r="C3947" t="s">
        <v>3218</v>
      </c>
      <c r="D3947" t="s">
        <v>3225</v>
      </c>
      <c r="E3947" t="s">
        <v>3226</v>
      </c>
      <c r="F3947">
        <v>44951.62</v>
      </c>
      <c r="G3947">
        <v>25448.67</v>
      </c>
      <c r="H3947">
        <v>2</v>
      </c>
    </row>
    <row r="3948" spans="1:8" x14ac:dyDescent="0.25">
      <c r="A3948" t="s">
        <v>3099</v>
      </c>
      <c r="B3948" t="s">
        <v>3214</v>
      </c>
      <c r="C3948" t="s">
        <v>3221</v>
      </c>
      <c r="D3948" t="s">
        <v>3222</v>
      </c>
      <c r="E3948" t="s">
        <v>3226</v>
      </c>
      <c r="F3948">
        <v>33602.9</v>
      </c>
      <c r="G3948">
        <v>19672.59</v>
      </c>
    </row>
    <row r="3949" spans="1:8" x14ac:dyDescent="0.25">
      <c r="A3949" t="s">
        <v>3181</v>
      </c>
      <c r="C3949" t="s">
        <v>3218</v>
      </c>
      <c r="D3949" t="s">
        <v>3223</v>
      </c>
      <c r="E3949" t="s">
        <v>3226</v>
      </c>
      <c r="F3949">
        <v>45686.17</v>
      </c>
      <c r="G3949">
        <v>25486.47</v>
      </c>
      <c r="H3949">
        <v>4</v>
      </c>
    </row>
    <row r="3950" spans="1:8" x14ac:dyDescent="0.25">
      <c r="A3950" t="s">
        <v>3182</v>
      </c>
      <c r="C3950" t="s">
        <v>3220</v>
      </c>
      <c r="D3950" t="s">
        <v>3224</v>
      </c>
      <c r="E3950" t="s">
        <v>3226</v>
      </c>
      <c r="F3950">
        <v>207765.86</v>
      </c>
      <c r="H3950">
        <v>3</v>
      </c>
    </row>
    <row r="3951" spans="1:8" x14ac:dyDescent="0.25">
      <c r="A3951" t="s">
        <v>2187</v>
      </c>
      <c r="B3951" t="s">
        <v>3211</v>
      </c>
      <c r="C3951" t="s">
        <v>3220</v>
      </c>
      <c r="D3951" t="s">
        <v>3224</v>
      </c>
      <c r="E3951" t="s">
        <v>3226</v>
      </c>
      <c r="F3951">
        <v>310595.65000000002</v>
      </c>
      <c r="G3951">
        <v>242094.18</v>
      </c>
    </row>
    <row r="3952" spans="1:8" x14ac:dyDescent="0.25">
      <c r="A3952" t="s">
        <v>2395</v>
      </c>
      <c r="B3952" t="s">
        <v>3213</v>
      </c>
      <c r="C3952" t="s">
        <v>3217</v>
      </c>
      <c r="D3952" t="s">
        <v>3222</v>
      </c>
      <c r="E3952" t="s">
        <v>3226</v>
      </c>
      <c r="F3952">
        <v>71392.509999999995</v>
      </c>
      <c r="G3952">
        <v>52064.959999999999</v>
      </c>
      <c r="H3952">
        <v>5</v>
      </c>
    </row>
    <row r="3953" spans="1:8" x14ac:dyDescent="0.25">
      <c r="A3953" t="s">
        <v>3183</v>
      </c>
      <c r="B3953" t="s">
        <v>3212</v>
      </c>
      <c r="C3953" t="s">
        <v>3221</v>
      </c>
      <c r="D3953" t="s">
        <v>3223</v>
      </c>
      <c r="E3953" t="s">
        <v>3226</v>
      </c>
      <c r="F3953">
        <v>35513.339999999997</v>
      </c>
      <c r="G3953">
        <v>18623.7</v>
      </c>
      <c r="H3953">
        <v>3</v>
      </c>
    </row>
    <row r="3954" spans="1:8" x14ac:dyDescent="0.25">
      <c r="A3954" t="s">
        <v>3184</v>
      </c>
      <c r="C3954" t="s">
        <v>3216</v>
      </c>
      <c r="D3954" t="s">
        <v>3225</v>
      </c>
      <c r="E3954" t="s">
        <v>3226</v>
      </c>
      <c r="G3954">
        <v>67359.710000000006</v>
      </c>
      <c r="H3954">
        <v>5</v>
      </c>
    </row>
    <row r="3955" spans="1:8" x14ac:dyDescent="0.25">
      <c r="A3955" t="s">
        <v>3103</v>
      </c>
      <c r="B3955" t="s">
        <v>3211</v>
      </c>
      <c r="C3955" t="s">
        <v>3220</v>
      </c>
      <c r="D3955" t="s">
        <v>3224</v>
      </c>
      <c r="E3955" t="s">
        <v>3226</v>
      </c>
      <c r="F3955">
        <v>319912.36</v>
      </c>
      <c r="G3955">
        <v>200091.26</v>
      </c>
      <c r="H3955">
        <v>5</v>
      </c>
    </row>
    <row r="3956" spans="1:8" x14ac:dyDescent="0.25">
      <c r="A3956" t="s">
        <v>3185</v>
      </c>
      <c r="C3956" t="s">
        <v>3217</v>
      </c>
      <c r="D3956" t="s">
        <v>3222</v>
      </c>
      <c r="E3956" t="s">
        <v>3226</v>
      </c>
      <c r="F3956">
        <v>66171.520000000004</v>
      </c>
      <c r="G3956">
        <v>50116.94</v>
      </c>
      <c r="H3956">
        <v>5</v>
      </c>
    </row>
    <row r="3957" spans="1:8" x14ac:dyDescent="0.25">
      <c r="A3957" t="s">
        <v>157</v>
      </c>
      <c r="B3957" t="s">
        <v>3211</v>
      </c>
      <c r="C3957" t="s">
        <v>3219</v>
      </c>
      <c r="D3957" t="s">
        <v>3222</v>
      </c>
      <c r="E3957" t="s">
        <v>3226</v>
      </c>
      <c r="F3957">
        <v>16172.95</v>
      </c>
      <c r="G3957">
        <v>10743.48</v>
      </c>
      <c r="H3957">
        <v>1</v>
      </c>
    </row>
    <row r="3958" spans="1:8" x14ac:dyDescent="0.25">
      <c r="A3958" t="s">
        <v>3186</v>
      </c>
      <c r="B3958" t="s">
        <v>3213</v>
      </c>
      <c r="C3958" t="s">
        <v>3221</v>
      </c>
      <c r="D3958" t="s">
        <v>3224</v>
      </c>
      <c r="E3958" t="s">
        <v>3226</v>
      </c>
      <c r="F3958">
        <v>56401.82</v>
      </c>
      <c r="G3958">
        <v>39248.92</v>
      </c>
      <c r="H3958">
        <v>1</v>
      </c>
    </row>
    <row r="3959" spans="1:8" x14ac:dyDescent="0.25">
      <c r="A3959" t="s">
        <v>1641</v>
      </c>
      <c r="B3959" t="s">
        <v>3211</v>
      </c>
      <c r="C3959" t="s">
        <v>3221</v>
      </c>
      <c r="D3959" t="s">
        <v>3224</v>
      </c>
      <c r="E3959" t="s">
        <v>3226</v>
      </c>
      <c r="F3959">
        <v>206775.67999999999</v>
      </c>
      <c r="G3959">
        <v>197630.49</v>
      </c>
      <c r="H3959">
        <v>4</v>
      </c>
    </row>
    <row r="3960" spans="1:8" x14ac:dyDescent="0.25">
      <c r="A3960" t="s">
        <v>3187</v>
      </c>
      <c r="B3960" t="s">
        <v>3213</v>
      </c>
      <c r="C3960" t="s">
        <v>3216</v>
      </c>
      <c r="D3960" t="s">
        <v>3223</v>
      </c>
      <c r="E3960" t="s">
        <v>3226</v>
      </c>
      <c r="F3960">
        <v>23473.23</v>
      </c>
      <c r="H3960">
        <v>2</v>
      </c>
    </row>
    <row r="3961" spans="1:8" x14ac:dyDescent="0.25">
      <c r="A3961" t="s">
        <v>724</v>
      </c>
      <c r="B3961" t="s">
        <v>3211</v>
      </c>
      <c r="C3961" t="s">
        <v>3217</v>
      </c>
      <c r="D3961" t="s">
        <v>3223</v>
      </c>
      <c r="E3961" t="s">
        <v>3226</v>
      </c>
      <c r="F3961">
        <v>34962.699999999997</v>
      </c>
      <c r="G3961">
        <v>20468.59</v>
      </c>
      <c r="H3961">
        <v>3</v>
      </c>
    </row>
    <row r="3962" spans="1:8" x14ac:dyDescent="0.25">
      <c r="A3962" t="s">
        <v>3188</v>
      </c>
      <c r="B3962" t="s">
        <v>3211</v>
      </c>
      <c r="C3962" t="s">
        <v>3221</v>
      </c>
      <c r="D3962" t="s">
        <v>3225</v>
      </c>
      <c r="E3962" t="s">
        <v>3226</v>
      </c>
      <c r="F3962">
        <v>21806.58</v>
      </c>
      <c r="G3962">
        <v>12036.89</v>
      </c>
      <c r="H3962">
        <v>1</v>
      </c>
    </row>
    <row r="3963" spans="1:8" x14ac:dyDescent="0.25">
      <c r="A3963" t="s">
        <v>3189</v>
      </c>
      <c r="C3963" t="s">
        <v>3217</v>
      </c>
      <c r="D3963" t="s">
        <v>3223</v>
      </c>
      <c r="E3963" t="s">
        <v>3226</v>
      </c>
      <c r="G3963">
        <v>37486.49</v>
      </c>
      <c r="H3963">
        <v>5</v>
      </c>
    </row>
    <row r="3964" spans="1:8" x14ac:dyDescent="0.25">
      <c r="A3964" t="s">
        <v>1756</v>
      </c>
      <c r="B3964" t="s">
        <v>3211</v>
      </c>
      <c r="C3964" t="s">
        <v>3219</v>
      </c>
      <c r="D3964" t="s">
        <v>3225</v>
      </c>
      <c r="E3964" t="s">
        <v>3226</v>
      </c>
      <c r="F3964">
        <v>60948.56</v>
      </c>
      <c r="G3964">
        <v>41386</v>
      </c>
      <c r="H3964">
        <v>3</v>
      </c>
    </row>
    <row r="3965" spans="1:8" x14ac:dyDescent="0.25">
      <c r="A3965" t="s">
        <v>243</v>
      </c>
      <c r="B3965" t="s">
        <v>3214</v>
      </c>
      <c r="C3965" t="s">
        <v>3221</v>
      </c>
      <c r="D3965" t="s">
        <v>3225</v>
      </c>
      <c r="E3965" t="s">
        <v>3226</v>
      </c>
      <c r="F3965">
        <v>99135.33</v>
      </c>
      <c r="G3965">
        <v>73645.78</v>
      </c>
      <c r="H3965">
        <v>5</v>
      </c>
    </row>
    <row r="3966" spans="1:8" x14ac:dyDescent="0.25">
      <c r="A3966" t="s">
        <v>3190</v>
      </c>
      <c r="B3966" t="s">
        <v>3215</v>
      </c>
      <c r="C3966" t="s">
        <v>3220</v>
      </c>
      <c r="D3966" t="s">
        <v>3223</v>
      </c>
      <c r="E3966" t="s">
        <v>3226</v>
      </c>
      <c r="G3966">
        <v>6691.53</v>
      </c>
      <c r="H3966">
        <v>1</v>
      </c>
    </row>
    <row r="3967" spans="1:8" x14ac:dyDescent="0.25">
      <c r="A3967" t="s">
        <v>3191</v>
      </c>
      <c r="B3967" t="s">
        <v>3212</v>
      </c>
      <c r="C3967" t="s">
        <v>3220</v>
      </c>
      <c r="D3967" t="s">
        <v>3223</v>
      </c>
      <c r="E3967" t="s">
        <v>3226</v>
      </c>
      <c r="F3967">
        <v>8864.59</v>
      </c>
      <c r="G3967">
        <v>7432.45</v>
      </c>
      <c r="H3967">
        <v>1</v>
      </c>
    </row>
    <row r="3968" spans="1:8" x14ac:dyDescent="0.25">
      <c r="A3968" t="s">
        <v>3192</v>
      </c>
      <c r="B3968" t="s">
        <v>3212</v>
      </c>
      <c r="C3968" t="s">
        <v>3218</v>
      </c>
      <c r="D3968" t="s">
        <v>3225</v>
      </c>
      <c r="E3968" t="s">
        <v>3226</v>
      </c>
      <c r="F3968">
        <v>91752.78</v>
      </c>
      <c r="G3968">
        <v>76176.75</v>
      </c>
      <c r="H3968">
        <v>5</v>
      </c>
    </row>
    <row r="3969" spans="1:8" x14ac:dyDescent="0.25">
      <c r="A3969" t="s">
        <v>2582</v>
      </c>
      <c r="C3969" t="s">
        <v>3217</v>
      </c>
      <c r="D3969" t="s">
        <v>3224</v>
      </c>
      <c r="E3969" t="s">
        <v>3226</v>
      </c>
      <c r="F3969">
        <v>214607.26</v>
      </c>
      <c r="G3969">
        <v>135526.98000000001</v>
      </c>
      <c r="H3969">
        <v>3</v>
      </c>
    </row>
    <row r="3970" spans="1:8" x14ac:dyDescent="0.25">
      <c r="A3970" t="s">
        <v>519</v>
      </c>
      <c r="B3970" t="s">
        <v>3213</v>
      </c>
      <c r="C3970" t="s">
        <v>3218</v>
      </c>
      <c r="D3970" t="s">
        <v>3224</v>
      </c>
      <c r="E3970" t="s">
        <v>3226</v>
      </c>
      <c r="F3970">
        <v>99488.45</v>
      </c>
      <c r="G3970">
        <v>97739.8</v>
      </c>
      <c r="H3970">
        <v>2</v>
      </c>
    </row>
    <row r="3971" spans="1:8" x14ac:dyDescent="0.25">
      <c r="A3971" t="s">
        <v>769</v>
      </c>
      <c r="B3971" t="s">
        <v>3213</v>
      </c>
      <c r="C3971" t="s">
        <v>3219</v>
      </c>
      <c r="D3971" t="s">
        <v>3224</v>
      </c>
      <c r="E3971" t="s">
        <v>3226</v>
      </c>
      <c r="F3971">
        <v>266085.34999999998</v>
      </c>
      <c r="G3971">
        <v>154971.04</v>
      </c>
      <c r="H3971">
        <v>4</v>
      </c>
    </row>
    <row r="3972" spans="1:8" x14ac:dyDescent="0.25">
      <c r="A3972" t="s">
        <v>3193</v>
      </c>
      <c r="C3972" t="s">
        <v>3217</v>
      </c>
      <c r="D3972" t="s">
        <v>3222</v>
      </c>
      <c r="E3972" t="s">
        <v>3226</v>
      </c>
      <c r="F3972">
        <v>67789.34</v>
      </c>
      <c r="G3972">
        <v>41420.01</v>
      </c>
      <c r="H3972">
        <v>4</v>
      </c>
    </row>
    <row r="3973" spans="1:8" x14ac:dyDescent="0.25">
      <c r="A3973" t="s">
        <v>3194</v>
      </c>
      <c r="B3973" t="s">
        <v>3213</v>
      </c>
      <c r="C3973" t="s">
        <v>3218</v>
      </c>
      <c r="D3973" t="s">
        <v>3222</v>
      </c>
      <c r="E3973" t="s">
        <v>3226</v>
      </c>
      <c r="F3973">
        <v>13412.27</v>
      </c>
      <c r="G3973">
        <v>8682.99</v>
      </c>
      <c r="H3973">
        <v>1</v>
      </c>
    </row>
    <row r="3974" spans="1:8" x14ac:dyDescent="0.25">
      <c r="A3974" t="s">
        <v>2954</v>
      </c>
      <c r="B3974" t="s">
        <v>3215</v>
      </c>
      <c r="C3974" t="s">
        <v>3217</v>
      </c>
      <c r="D3974" t="s">
        <v>3225</v>
      </c>
      <c r="E3974" t="s">
        <v>3226</v>
      </c>
      <c r="F3974">
        <v>32628.03</v>
      </c>
      <c r="G3974">
        <v>28485.67</v>
      </c>
      <c r="H3974">
        <v>2</v>
      </c>
    </row>
    <row r="3975" spans="1:8" x14ac:dyDescent="0.25">
      <c r="A3975" t="s">
        <v>2659</v>
      </c>
      <c r="B3975" t="s">
        <v>3211</v>
      </c>
      <c r="C3975" t="s">
        <v>3217</v>
      </c>
      <c r="D3975" t="s">
        <v>3224</v>
      </c>
      <c r="E3975" t="s">
        <v>3226</v>
      </c>
      <c r="F3975">
        <v>287038.12</v>
      </c>
      <c r="G3975">
        <v>208951.86</v>
      </c>
      <c r="H3975">
        <v>5</v>
      </c>
    </row>
    <row r="3976" spans="1:8" x14ac:dyDescent="0.25">
      <c r="A3976" t="s">
        <v>3195</v>
      </c>
      <c r="B3976" t="s">
        <v>3213</v>
      </c>
      <c r="C3976" t="s">
        <v>3217</v>
      </c>
      <c r="D3976" t="s">
        <v>3225</v>
      </c>
      <c r="E3976" t="s">
        <v>3226</v>
      </c>
      <c r="F3976">
        <v>103270.13</v>
      </c>
      <c r="G3976">
        <v>75248.87</v>
      </c>
      <c r="H3976">
        <v>5</v>
      </c>
    </row>
    <row r="3977" spans="1:8" x14ac:dyDescent="0.25">
      <c r="A3977" t="s">
        <v>2687</v>
      </c>
      <c r="B3977" t="s">
        <v>3213</v>
      </c>
      <c r="C3977" t="s">
        <v>3216</v>
      </c>
      <c r="D3977" t="s">
        <v>3224</v>
      </c>
      <c r="E3977" t="s">
        <v>3226</v>
      </c>
      <c r="F3977">
        <v>285828.5</v>
      </c>
      <c r="G3977">
        <v>159878.04999999999</v>
      </c>
      <c r="H3977">
        <v>4</v>
      </c>
    </row>
    <row r="3978" spans="1:8" x14ac:dyDescent="0.25">
      <c r="A3978" t="s">
        <v>3196</v>
      </c>
      <c r="B3978" t="s">
        <v>3212</v>
      </c>
      <c r="C3978" t="s">
        <v>3218</v>
      </c>
      <c r="D3978" t="s">
        <v>3222</v>
      </c>
      <c r="E3978" t="s">
        <v>3226</v>
      </c>
      <c r="F3978">
        <v>26771.18</v>
      </c>
      <c r="G3978">
        <v>18844.54</v>
      </c>
      <c r="H3978">
        <v>2</v>
      </c>
    </row>
    <row r="3979" spans="1:8" x14ac:dyDescent="0.25">
      <c r="A3979" t="s">
        <v>2724</v>
      </c>
      <c r="C3979" t="s">
        <v>3220</v>
      </c>
      <c r="D3979" t="s">
        <v>3224</v>
      </c>
      <c r="E3979" t="s">
        <v>3226</v>
      </c>
      <c r="F3979">
        <v>52617.41</v>
      </c>
      <c r="G3979">
        <v>49410.09</v>
      </c>
      <c r="H3979">
        <v>1</v>
      </c>
    </row>
    <row r="3980" spans="1:8" x14ac:dyDescent="0.25">
      <c r="A3980" t="s">
        <v>158</v>
      </c>
      <c r="B3980" t="s">
        <v>3211</v>
      </c>
      <c r="C3980" t="s">
        <v>3216</v>
      </c>
      <c r="D3980" t="s">
        <v>3225</v>
      </c>
      <c r="E3980" t="s">
        <v>3226</v>
      </c>
      <c r="F3980">
        <v>77505.490000000005</v>
      </c>
      <c r="G3980">
        <v>58962.36</v>
      </c>
      <c r="H3980">
        <v>4</v>
      </c>
    </row>
    <row r="3981" spans="1:8" x14ac:dyDescent="0.25">
      <c r="A3981" t="s">
        <v>1406</v>
      </c>
      <c r="C3981" t="s">
        <v>3221</v>
      </c>
      <c r="D3981" t="s">
        <v>3222</v>
      </c>
      <c r="E3981" t="s">
        <v>3226</v>
      </c>
      <c r="F3981">
        <v>32299.4</v>
      </c>
      <c r="G3981">
        <v>21716.2</v>
      </c>
      <c r="H3981">
        <v>2</v>
      </c>
    </row>
    <row r="3982" spans="1:8" x14ac:dyDescent="0.25">
      <c r="A3982" t="s">
        <v>3197</v>
      </c>
      <c r="B3982" t="s">
        <v>3211</v>
      </c>
      <c r="C3982" t="s">
        <v>3220</v>
      </c>
      <c r="D3982" t="s">
        <v>3225</v>
      </c>
      <c r="E3982" t="s">
        <v>3226</v>
      </c>
      <c r="F3982">
        <v>90576.57</v>
      </c>
      <c r="G3982">
        <v>54802.68</v>
      </c>
      <c r="H3982">
        <v>4</v>
      </c>
    </row>
    <row r="3983" spans="1:8" x14ac:dyDescent="0.25">
      <c r="A3983" t="s">
        <v>3198</v>
      </c>
      <c r="B3983" t="s">
        <v>3211</v>
      </c>
      <c r="C3983" t="s">
        <v>3221</v>
      </c>
      <c r="D3983" t="s">
        <v>3224</v>
      </c>
      <c r="E3983" t="s">
        <v>3226</v>
      </c>
      <c r="F3983">
        <v>308592.40000000002</v>
      </c>
      <c r="G3983">
        <v>202152.04</v>
      </c>
      <c r="H3983">
        <v>5</v>
      </c>
    </row>
    <row r="3984" spans="1:8" x14ac:dyDescent="0.25">
      <c r="A3984" t="s">
        <v>3199</v>
      </c>
      <c r="B3984" t="s">
        <v>3214</v>
      </c>
      <c r="C3984" t="s">
        <v>3221</v>
      </c>
      <c r="D3984" t="s">
        <v>3225</v>
      </c>
      <c r="E3984" t="s">
        <v>3226</v>
      </c>
      <c r="F3984">
        <v>63984.28</v>
      </c>
      <c r="G3984">
        <v>45756.59</v>
      </c>
      <c r="H3984">
        <v>3</v>
      </c>
    </row>
    <row r="3985" spans="1:8" x14ac:dyDescent="0.25">
      <c r="A3985" t="s">
        <v>3200</v>
      </c>
      <c r="B3985" t="s">
        <v>3211</v>
      </c>
      <c r="C3985" t="s">
        <v>3220</v>
      </c>
      <c r="D3985" t="s">
        <v>3223</v>
      </c>
      <c r="E3985" t="s">
        <v>3226</v>
      </c>
      <c r="F3985">
        <v>43484.28</v>
      </c>
      <c r="G3985">
        <v>29407.67</v>
      </c>
    </row>
    <row r="3986" spans="1:8" x14ac:dyDescent="0.25">
      <c r="A3986" t="s">
        <v>2240</v>
      </c>
      <c r="B3986" t="s">
        <v>3213</v>
      </c>
      <c r="C3986" t="s">
        <v>3216</v>
      </c>
      <c r="D3986" t="s">
        <v>3223</v>
      </c>
      <c r="E3986" t="s">
        <v>3226</v>
      </c>
      <c r="F3986">
        <v>10445.82</v>
      </c>
      <c r="G3986">
        <v>6719.26</v>
      </c>
      <c r="H3986">
        <v>1</v>
      </c>
    </row>
    <row r="3987" spans="1:8" x14ac:dyDescent="0.25">
      <c r="A3987" t="s">
        <v>3201</v>
      </c>
      <c r="B3987" t="s">
        <v>3215</v>
      </c>
      <c r="C3987" t="s">
        <v>3218</v>
      </c>
      <c r="D3987" t="s">
        <v>3223</v>
      </c>
      <c r="E3987" t="s">
        <v>3226</v>
      </c>
      <c r="F3987">
        <v>41269.660000000003</v>
      </c>
      <c r="G3987">
        <v>24520.06</v>
      </c>
      <c r="H3987">
        <v>4</v>
      </c>
    </row>
    <row r="3988" spans="1:8" x14ac:dyDescent="0.25">
      <c r="A3988" t="s">
        <v>3202</v>
      </c>
      <c r="C3988" t="s">
        <v>3217</v>
      </c>
      <c r="D3988" t="s">
        <v>3222</v>
      </c>
      <c r="E3988" t="s">
        <v>3226</v>
      </c>
      <c r="F3988">
        <v>17892.89</v>
      </c>
      <c r="H3988">
        <v>1</v>
      </c>
    </row>
    <row r="3989" spans="1:8" x14ac:dyDescent="0.25">
      <c r="A3989" t="s">
        <v>3203</v>
      </c>
      <c r="C3989" t="s">
        <v>3219</v>
      </c>
      <c r="D3989" t="s">
        <v>3223</v>
      </c>
      <c r="E3989" t="s">
        <v>3226</v>
      </c>
      <c r="F3989">
        <v>8311.83</v>
      </c>
      <c r="G3989">
        <v>6266.65</v>
      </c>
      <c r="H3989">
        <v>1</v>
      </c>
    </row>
    <row r="3990" spans="1:8" x14ac:dyDescent="0.25">
      <c r="A3990" t="s">
        <v>2692</v>
      </c>
      <c r="B3990" t="s">
        <v>3212</v>
      </c>
      <c r="C3990" t="s">
        <v>3221</v>
      </c>
      <c r="D3990" t="s">
        <v>3223</v>
      </c>
      <c r="E3990" t="s">
        <v>3226</v>
      </c>
      <c r="F3990">
        <v>46810.69</v>
      </c>
      <c r="G3990">
        <v>26884.880000000001</v>
      </c>
      <c r="H3990">
        <v>4</v>
      </c>
    </row>
    <row r="3991" spans="1:8" x14ac:dyDescent="0.25">
      <c r="A3991" t="s">
        <v>2175</v>
      </c>
      <c r="B3991" t="s">
        <v>3211</v>
      </c>
      <c r="C3991" t="s">
        <v>3218</v>
      </c>
      <c r="D3991" t="s">
        <v>3224</v>
      </c>
      <c r="E3991" t="s">
        <v>3226</v>
      </c>
      <c r="F3991">
        <v>330849.56</v>
      </c>
      <c r="G3991">
        <v>243706.08</v>
      </c>
      <c r="H3991">
        <v>5</v>
      </c>
    </row>
    <row r="3992" spans="1:8" x14ac:dyDescent="0.25">
      <c r="A3992" t="s">
        <v>2924</v>
      </c>
      <c r="B3992" t="s">
        <v>3214</v>
      </c>
      <c r="C3992" t="s">
        <v>3219</v>
      </c>
      <c r="D3992" t="s">
        <v>3223</v>
      </c>
      <c r="E3992" t="s">
        <v>3226</v>
      </c>
      <c r="F3992">
        <v>37461.440000000002</v>
      </c>
      <c r="G3992">
        <v>30735.26</v>
      </c>
      <c r="H3992">
        <v>4</v>
      </c>
    </row>
    <row r="3993" spans="1:8" x14ac:dyDescent="0.25">
      <c r="A3993" t="s">
        <v>3204</v>
      </c>
      <c r="B3993" t="s">
        <v>3213</v>
      </c>
      <c r="C3993" t="s">
        <v>3218</v>
      </c>
      <c r="D3993" t="s">
        <v>3222</v>
      </c>
      <c r="E3993" t="s">
        <v>3226</v>
      </c>
      <c r="F3993">
        <v>12968.24</v>
      </c>
      <c r="G3993">
        <v>8777.67</v>
      </c>
    </row>
    <row r="3994" spans="1:8" x14ac:dyDescent="0.25">
      <c r="A3994" t="s">
        <v>3205</v>
      </c>
      <c r="B3994" t="s">
        <v>3215</v>
      </c>
      <c r="C3994" t="s">
        <v>3220</v>
      </c>
      <c r="D3994" t="s">
        <v>3225</v>
      </c>
      <c r="E3994" t="s">
        <v>3226</v>
      </c>
      <c r="F3994">
        <v>58462.76</v>
      </c>
      <c r="G3994">
        <v>40605.279999999999</v>
      </c>
      <c r="H3994">
        <v>3</v>
      </c>
    </row>
    <row r="3995" spans="1:8" x14ac:dyDescent="0.25">
      <c r="A3995" t="s">
        <v>3206</v>
      </c>
      <c r="B3995" t="s">
        <v>3214</v>
      </c>
      <c r="C3995" t="s">
        <v>3217</v>
      </c>
      <c r="D3995" t="s">
        <v>3223</v>
      </c>
      <c r="E3995" t="s">
        <v>3226</v>
      </c>
      <c r="G3995">
        <v>15243.97</v>
      </c>
      <c r="H3995">
        <v>2</v>
      </c>
    </row>
    <row r="3996" spans="1:8" x14ac:dyDescent="0.25">
      <c r="A3996" t="s">
        <v>380</v>
      </c>
      <c r="B3996" t="s">
        <v>3214</v>
      </c>
      <c r="C3996" t="s">
        <v>3221</v>
      </c>
      <c r="D3996" t="s">
        <v>3224</v>
      </c>
      <c r="E3996" t="s">
        <v>3226</v>
      </c>
      <c r="F3996">
        <v>186516.67</v>
      </c>
      <c r="G3996">
        <v>134031.88</v>
      </c>
      <c r="H3996">
        <v>3</v>
      </c>
    </row>
    <row r="3997" spans="1:8" x14ac:dyDescent="0.25">
      <c r="A3997" t="s">
        <v>3207</v>
      </c>
      <c r="B3997" t="s">
        <v>3212</v>
      </c>
      <c r="C3997" t="s">
        <v>3216</v>
      </c>
      <c r="D3997" t="s">
        <v>3224</v>
      </c>
      <c r="E3997" t="s">
        <v>3226</v>
      </c>
      <c r="F3997">
        <v>111170.43</v>
      </c>
      <c r="G3997">
        <v>94403.18</v>
      </c>
      <c r="H3997">
        <v>2</v>
      </c>
    </row>
    <row r="3998" spans="1:8" x14ac:dyDescent="0.25">
      <c r="A3998" t="s">
        <v>3208</v>
      </c>
      <c r="C3998" t="s">
        <v>3219</v>
      </c>
      <c r="D3998" t="s">
        <v>3222</v>
      </c>
      <c r="E3998" t="s">
        <v>3226</v>
      </c>
      <c r="F3998">
        <v>14928.83</v>
      </c>
      <c r="H3998">
        <v>1</v>
      </c>
    </row>
    <row r="3999" spans="1:8" x14ac:dyDescent="0.25">
      <c r="A3999" t="s">
        <v>3209</v>
      </c>
      <c r="B3999" t="s">
        <v>3215</v>
      </c>
      <c r="C3999" t="s">
        <v>3216</v>
      </c>
      <c r="D3999" t="s">
        <v>3225</v>
      </c>
      <c r="E3999" t="s">
        <v>3226</v>
      </c>
      <c r="F3999">
        <v>22051.17</v>
      </c>
      <c r="G3999">
        <v>13255.07</v>
      </c>
      <c r="H3999">
        <v>1</v>
      </c>
    </row>
    <row r="4000" spans="1:8" x14ac:dyDescent="0.25">
      <c r="A4000" t="s">
        <v>3210</v>
      </c>
      <c r="C4000" t="s">
        <v>3219</v>
      </c>
      <c r="D4000" t="s">
        <v>3224</v>
      </c>
      <c r="E4000" t="s">
        <v>3226</v>
      </c>
      <c r="F4000">
        <v>247021.27</v>
      </c>
      <c r="G4000">
        <v>182536.92</v>
      </c>
      <c r="H4000">
        <v>4</v>
      </c>
    </row>
    <row r="4001" spans="1:8" x14ac:dyDescent="0.25">
      <c r="A4001" t="s">
        <v>230</v>
      </c>
      <c r="C4001" t="s">
        <v>3216</v>
      </c>
      <c r="D4001" t="s">
        <v>3222</v>
      </c>
      <c r="E4001" t="s">
        <v>3226</v>
      </c>
      <c r="F4001">
        <v>53349.760000000002</v>
      </c>
      <c r="G4001">
        <v>39697.67</v>
      </c>
      <c r="H4001">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63F3A-AD26-44BA-A32B-CAD7E66C78C7}">
  <dimension ref="A1:L3799"/>
  <sheetViews>
    <sheetView zoomScaleNormal="100" workbookViewId="0">
      <selection activeCell="C3" sqref="C3"/>
    </sheetView>
  </sheetViews>
  <sheetFormatPr defaultRowHeight="15" x14ac:dyDescent="0.25"/>
  <cols>
    <col min="1" max="1" width="13" bestFit="1" customWidth="1"/>
    <col min="2" max="2" width="15.85546875" bestFit="1" customWidth="1"/>
    <col min="3" max="3" width="11.7109375" bestFit="1" customWidth="1"/>
    <col min="4" max="4" width="12.42578125" bestFit="1" customWidth="1"/>
    <col min="5" max="5" width="13.42578125" bestFit="1" customWidth="1"/>
    <col min="6" max="7" width="11" bestFit="1" customWidth="1"/>
    <col min="8" max="8" width="14.140625" bestFit="1" customWidth="1"/>
    <col min="9" max="9" width="13.28515625" bestFit="1" customWidth="1"/>
    <col min="10" max="10" width="11" bestFit="1" customWidth="1"/>
    <col min="11" max="11" width="17.28515625" bestFit="1" customWidth="1"/>
  </cols>
  <sheetData>
    <row r="1" spans="1:12" x14ac:dyDescent="0.25">
      <c r="A1" s="5" t="s">
        <v>0</v>
      </c>
      <c r="B1" s="5" t="s">
        <v>1</v>
      </c>
      <c r="C1" s="5" t="s">
        <v>3738</v>
      </c>
      <c r="D1" s="5" t="s">
        <v>2</v>
      </c>
      <c r="E1" s="5" t="s">
        <v>3</v>
      </c>
      <c r="F1" s="5" t="s">
        <v>4</v>
      </c>
      <c r="G1" s="5" t="s">
        <v>5</v>
      </c>
      <c r="H1" s="5" t="s">
        <v>6</v>
      </c>
      <c r="I1" s="5" t="s">
        <v>3737</v>
      </c>
      <c r="J1" s="5" t="s">
        <v>7</v>
      </c>
      <c r="K1" s="5" t="s">
        <v>3733</v>
      </c>
      <c r="L1" s="5" t="s">
        <v>3736</v>
      </c>
    </row>
    <row r="2" spans="1:12" x14ac:dyDescent="0.25">
      <c r="A2" t="s">
        <v>8</v>
      </c>
      <c r="B2" s="2">
        <v>45102</v>
      </c>
      <c r="C2" s="2" t="str">
        <f>TEXT(Table3[[#This Row],[Order Date]],"mmmm")</f>
        <v>June</v>
      </c>
      <c r="D2" t="s">
        <v>3216</v>
      </c>
      <c r="E2" t="s">
        <v>3222</v>
      </c>
      <c r="F2" t="s">
        <v>3226</v>
      </c>
      <c r="G2" s="4">
        <v>70817.14</v>
      </c>
      <c r="H2" s="4">
        <v>41319.94</v>
      </c>
      <c r="I2" s="3" t="s">
        <v>3734</v>
      </c>
      <c r="J2">
        <v>4</v>
      </c>
      <c r="K2" s="4">
        <f>Table3[[#This Row],[Sales]]-Table3[[#This Row],[Cost]]</f>
        <v>29497.199999999997</v>
      </c>
      <c r="L2" s="6">
        <f>Table3[[#This Row],[Profit]]/Table3[[#This Row],[Sales]]</f>
        <v>0.41652628163181959</v>
      </c>
    </row>
    <row r="3" spans="1:12" x14ac:dyDescent="0.25">
      <c r="A3" t="s">
        <v>9</v>
      </c>
      <c r="B3" s="2">
        <v>44972</v>
      </c>
      <c r="C3" s="2" t="str">
        <f>TEXT(Table3[[#This Row],[Order Date]],"mmmm")</f>
        <v>February</v>
      </c>
      <c r="D3" t="s">
        <v>3220</v>
      </c>
      <c r="E3" t="s">
        <v>3223</v>
      </c>
      <c r="F3" t="s">
        <v>3226</v>
      </c>
      <c r="G3" s="4">
        <v>24247.01</v>
      </c>
      <c r="H3" s="4">
        <v>22942.03</v>
      </c>
      <c r="I3" s="3" t="s">
        <v>3734</v>
      </c>
      <c r="J3">
        <v>3</v>
      </c>
      <c r="K3" s="4">
        <f>Table3[[#This Row],[Sales]]-Table3[[#This Row],[Cost]]</f>
        <v>1304.9799999999996</v>
      </c>
      <c r="L3" s="6">
        <f>Table3[[#This Row],[Profit]]/Table3[[#This Row],[Sales]]</f>
        <v>5.3820244228051199E-2</v>
      </c>
    </row>
    <row r="4" spans="1:12" x14ac:dyDescent="0.25">
      <c r="A4" t="s">
        <v>11</v>
      </c>
      <c r="B4" s="2">
        <v>44972</v>
      </c>
      <c r="C4" s="2" t="str">
        <f>TEXT(Table3[[#This Row],[Order Date]],"mmmm")</f>
        <v>February</v>
      </c>
      <c r="D4" t="s">
        <v>3730</v>
      </c>
      <c r="E4" t="s">
        <v>3223</v>
      </c>
      <c r="F4" t="s">
        <v>3226</v>
      </c>
      <c r="G4" s="4">
        <v>8185.8</v>
      </c>
      <c r="H4" s="4">
        <v>7013.2</v>
      </c>
      <c r="I4" s="3" t="s">
        <v>3734</v>
      </c>
      <c r="J4">
        <v>1</v>
      </c>
      <c r="K4" s="4">
        <f>Table3[[#This Row],[Sales]]-Table3[[#This Row],[Cost]]</f>
        <v>1172.6000000000004</v>
      </c>
      <c r="L4" s="6">
        <f>Table3[[#This Row],[Profit]]/Table3[[#This Row],[Sales]]</f>
        <v>0.14324806372010071</v>
      </c>
    </row>
    <row r="5" spans="1:12" x14ac:dyDescent="0.25">
      <c r="A5" t="s">
        <v>12</v>
      </c>
      <c r="B5" s="2">
        <v>45021</v>
      </c>
      <c r="C5" s="2" t="str">
        <f>TEXT(Table3[[#This Row],[Order Date]],"mmmm")</f>
        <v>April</v>
      </c>
      <c r="D5" t="s">
        <v>3730</v>
      </c>
      <c r="E5" t="s">
        <v>3225</v>
      </c>
      <c r="F5" t="s">
        <v>3226</v>
      </c>
      <c r="G5" s="4">
        <v>71712.81</v>
      </c>
      <c r="H5" s="4">
        <v>57165.69</v>
      </c>
      <c r="I5" s="3" t="s">
        <v>3734</v>
      </c>
      <c r="J5">
        <v>4</v>
      </c>
      <c r="K5" s="4">
        <f>Table3[[#This Row],[Sales]]-Table3[[#This Row],[Cost]]</f>
        <v>14547.119999999995</v>
      </c>
      <c r="L5" s="6">
        <f>Table3[[#This Row],[Profit]]/Table3[[#This Row],[Sales]]</f>
        <v>0.20285246108749602</v>
      </c>
    </row>
    <row r="6" spans="1:12" x14ac:dyDescent="0.25">
      <c r="A6" t="s">
        <v>13</v>
      </c>
      <c r="B6" s="2" t="s">
        <v>3729</v>
      </c>
      <c r="C6" s="2" t="str">
        <f>TEXT(Table3[[#This Row],[Order Date]],"mmmm")</f>
        <v>Not Mentioned</v>
      </c>
      <c r="D6" t="s">
        <v>3216</v>
      </c>
      <c r="E6" t="s">
        <v>3225</v>
      </c>
      <c r="F6" t="s">
        <v>3226</v>
      </c>
      <c r="G6" s="4">
        <v>41083.21</v>
      </c>
      <c r="H6" s="4">
        <v>24019.19</v>
      </c>
      <c r="I6" s="3" t="s">
        <v>3734</v>
      </c>
      <c r="J6">
        <v>2</v>
      </c>
      <c r="K6" s="4">
        <f>Table3[[#This Row],[Sales]]-Table3[[#This Row],[Cost]]</f>
        <v>17064.02</v>
      </c>
      <c r="L6" s="6">
        <f>Table3[[#This Row],[Profit]]/Table3[[#This Row],[Sales]]</f>
        <v>0.41535264649476028</v>
      </c>
    </row>
    <row r="7" spans="1:12" x14ac:dyDescent="0.25">
      <c r="A7" t="s">
        <v>14</v>
      </c>
      <c r="B7" s="2">
        <v>45102</v>
      </c>
      <c r="C7" s="2" t="str">
        <f>TEXT(Table3[[#This Row],[Order Date]],"mmmm")</f>
        <v>June</v>
      </c>
      <c r="D7" t="s">
        <v>3730</v>
      </c>
      <c r="E7" t="s">
        <v>3224</v>
      </c>
      <c r="F7" t="s">
        <v>3226</v>
      </c>
      <c r="G7" s="4">
        <v>286641.27</v>
      </c>
      <c r="H7" s="4">
        <v>206513.38</v>
      </c>
      <c r="I7" s="3" t="s">
        <v>3734</v>
      </c>
      <c r="J7">
        <v>5</v>
      </c>
      <c r="K7" s="4">
        <f>Table3[[#This Row],[Sales]]-Table3[[#This Row],[Cost]]</f>
        <v>80127.890000000014</v>
      </c>
      <c r="L7" s="6">
        <f>Table3[[#This Row],[Profit]]/Table3[[#This Row],[Sales]]</f>
        <v>0.27954066070109168</v>
      </c>
    </row>
    <row r="8" spans="1:12" x14ac:dyDescent="0.25">
      <c r="A8" t="s">
        <v>3227</v>
      </c>
      <c r="B8" s="2" t="s">
        <v>3729</v>
      </c>
      <c r="C8" s="2" t="str">
        <f>TEXT(Table3[[#This Row],[Order Date]],"mmmm")</f>
        <v>Not Mentioned</v>
      </c>
      <c r="D8" t="s">
        <v>3730</v>
      </c>
      <c r="E8" t="s">
        <v>3222</v>
      </c>
      <c r="F8" t="s">
        <v>3226</v>
      </c>
      <c r="G8" s="4">
        <v>87789.03</v>
      </c>
      <c r="H8" s="4">
        <v>50638.46</v>
      </c>
      <c r="I8" s="3" t="s">
        <v>3734</v>
      </c>
      <c r="J8">
        <v>5</v>
      </c>
      <c r="K8" s="4">
        <f>Table3[[#This Row],[Sales]]-Table3[[#This Row],[Cost]]</f>
        <v>37150.57</v>
      </c>
      <c r="L8" s="6">
        <f>Table3[[#This Row],[Profit]]/Table3[[#This Row],[Sales]]</f>
        <v>0.42318009436942178</v>
      </c>
    </row>
    <row r="9" spans="1:12" x14ac:dyDescent="0.25">
      <c r="A9" t="s">
        <v>17</v>
      </c>
      <c r="B9" s="2" t="s">
        <v>3729</v>
      </c>
      <c r="C9" s="2" t="str">
        <f>TEXT(Table3[[#This Row],[Order Date]],"mmmm")</f>
        <v>Not Mentioned</v>
      </c>
      <c r="D9" t="s">
        <v>3731</v>
      </c>
      <c r="E9" t="s">
        <v>3222</v>
      </c>
      <c r="F9" t="s">
        <v>3226</v>
      </c>
      <c r="G9" s="4">
        <v>63301.38</v>
      </c>
      <c r="H9" s="4">
        <v>42872.13</v>
      </c>
      <c r="I9" s="3" t="s">
        <v>3734</v>
      </c>
      <c r="J9">
        <v>4</v>
      </c>
      <c r="K9" s="4">
        <f>Table3[[#This Row],[Sales]]-Table3[[#This Row],[Cost]]</f>
        <v>20429.25</v>
      </c>
      <c r="L9" s="6">
        <f>Table3[[#This Row],[Profit]]/Table3[[#This Row],[Sales]]</f>
        <v>0.32272993100624348</v>
      </c>
    </row>
    <row r="10" spans="1:12" x14ac:dyDescent="0.25">
      <c r="A10" t="s">
        <v>18</v>
      </c>
      <c r="B10" s="2">
        <v>45102</v>
      </c>
      <c r="C10" s="2" t="str">
        <f>TEXT(Table3[[#This Row],[Order Date]],"mmmm")</f>
        <v>June</v>
      </c>
      <c r="D10" t="s">
        <v>3731</v>
      </c>
      <c r="E10" t="s">
        <v>3224</v>
      </c>
      <c r="F10" t="s">
        <v>3226</v>
      </c>
      <c r="G10" s="4">
        <v>97220.12</v>
      </c>
      <c r="H10" s="4">
        <v>77776.096000000005</v>
      </c>
      <c r="I10" s="3" t="s">
        <v>3735</v>
      </c>
      <c r="J10">
        <v>2</v>
      </c>
      <c r="K10" s="4">
        <f>Table3[[#This Row],[Sales]]-Table3[[#This Row],[Cost]]</f>
        <v>19444.02399999999</v>
      </c>
      <c r="L10" s="6">
        <f>Table3[[#This Row],[Profit]]/Table3[[#This Row],[Sales]]</f>
        <v>0.1999999999999999</v>
      </c>
    </row>
    <row r="11" spans="1:12" x14ac:dyDescent="0.25">
      <c r="A11" t="s">
        <v>19</v>
      </c>
      <c r="B11" s="2">
        <v>45021</v>
      </c>
      <c r="C11" s="2" t="str">
        <f>TEXT(Table3[[#This Row],[Order Date]],"mmmm")</f>
        <v>April</v>
      </c>
      <c r="D11" t="s">
        <v>3216</v>
      </c>
      <c r="E11" t="s">
        <v>3224</v>
      </c>
      <c r="F11" t="s">
        <v>3226</v>
      </c>
      <c r="G11" s="4">
        <v>282513.94</v>
      </c>
      <c r="H11" s="4">
        <v>179948.95</v>
      </c>
      <c r="I11" s="3" t="s">
        <v>3734</v>
      </c>
      <c r="J11">
        <v>4</v>
      </c>
      <c r="K11" s="4">
        <f>Table3[[#This Row],[Sales]]-Table3[[#This Row],[Cost]]</f>
        <v>102564.98999999999</v>
      </c>
      <c r="L11" s="6">
        <f>Table3[[#This Row],[Profit]]/Table3[[#This Row],[Sales]]</f>
        <v>0.36304399705019863</v>
      </c>
    </row>
    <row r="12" spans="1:12" x14ac:dyDescent="0.25">
      <c r="A12" t="s">
        <v>20</v>
      </c>
      <c r="B12" s="2">
        <v>45021</v>
      </c>
      <c r="C12" s="2" t="str">
        <f>TEXT(Table3[[#This Row],[Order Date]],"mmmm")</f>
        <v>April</v>
      </c>
      <c r="D12" t="s">
        <v>3730</v>
      </c>
      <c r="E12" t="s">
        <v>3223</v>
      </c>
      <c r="F12" t="s">
        <v>3226</v>
      </c>
      <c r="G12" s="4">
        <v>27892.14</v>
      </c>
      <c r="H12" s="4">
        <v>18490.96</v>
      </c>
      <c r="I12" s="3" t="s">
        <v>3734</v>
      </c>
      <c r="J12">
        <v>3</v>
      </c>
      <c r="K12" s="4">
        <f>Table3[[#This Row],[Sales]]-Table3[[#This Row],[Cost]]</f>
        <v>9401.18</v>
      </c>
      <c r="L12" s="6">
        <f>Table3[[#This Row],[Profit]]/Table3[[#This Row],[Sales]]</f>
        <v>0.33705481185739067</v>
      </c>
    </row>
    <row r="13" spans="1:12" x14ac:dyDescent="0.25">
      <c r="A13" t="s">
        <v>21</v>
      </c>
      <c r="B13" s="2" t="s">
        <v>3729</v>
      </c>
      <c r="C13" s="2" t="str">
        <f>TEXT(Table3[[#This Row],[Order Date]],"mmmm")</f>
        <v>Not Mentioned</v>
      </c>
      <c r="D13" t="s">
        <v>3220</v>
      </c>
      <c r="E13" t="s">
        <v>3224</v>
      </c>
      <c r="F13" t="s">
        <v>3226</v>
      </c>
      <c r="G13" s="4">
        <v>144500.54999999999</v>
      </c>
      <c r="H13" s="4">
        <v>131987.72</v>
      </c>
      <c r="I13" s="3" t="s">
        <v>3734</v>
      </c>
      <c r="J13">
        <v>3</v>
      </c>
      <c r="K13" s="4">
        <f>Table3[[#This Row],[Sales]]-Table3[[#This Row],[Cost]]</f>
        <v>12512.829999999987</v>
      </c>
      <c r="L13" s="6">
        <f>Table3[[#This Row],[Profit]]/Table3[[#This Row],[Sales]]</f>
        <v>8.6593649643547987E-2</v>
      </c>
    </row>
    <row r="14" spans="1:12" x14ac:dyDescent="0.25">
      <c r="A14" t="s">
        <v>22</v>
      </c>
      <c r="B14" s="2">
        <v>44941</v>
      </c>
      <c r="C14" s="2" t="str">
        <f>TEXT(Table3[[#This Row],[Order Date]],"mmmm")</f>
        <v>January</v>
      </c>
      <c r="D14" t="s">
        <v>3731</v>
      </c>
      <c r="E14" t="s">
        <v>3223</v>
      </c>
      <c r="F14" t="s">
        <v>3226</v>
      </c>
      <c r="G14" s="4">
        <v>8259.57</v>
      </c>
      <c r="H14" s="4">
        <v>6394.35</v>
      </c>
      <c r="I14" s="3" t="s">
        <v>3734</v>
      </c>
      <c r="J14">
        <v>1</v>
      </c>
      <c r="K14" s="4">
        <f>Table3[[#This Row],[Sales]]-Table3[[#This Row],[Cost]]</f>
        <v>1865.2199999999993</v>
      </c>
      <c r="L14" s="6">
        <f>Table3[[#This Row],[Profit]]/Table3[[#This Row],[Sales]]</f>
        <v>0.22582531536145337</v>
      </c>
    </row>
    <row r="15" spans="1:12" x14ac:dyDescent="0.25">
      <c r="A15" t="s">
        <v>23</v>
      </c>
      <c r="B15" s="2">
        <v>44972</v>
      </c>
      <c r="C15" s="2" t="str">
        <f>TEXT(Table3[[#This Row],[Order Date]],"mmmm")</f>
        <v>February</v>
      </c>
      <c r="D15" t="s">
        <v>3220</v>
      </c>
      <c r="E15" t="s">
        <v>3224</v>
      </c>
      <c r="F15" t="s">
        <v>3226</v>
      </c>
      <c r="G15" s="4">
        <v>120128.59</v>
      </c>
      <c r="H15" s="4">
        <v>77658.27</v>
      </c>
      <c r="I15" s="3" t="s">
        <v>3734</v>
      </c>
      <c r="J15">
        <v>2</v>
      </c>
      <c r="K15" s="4">
        <f>Table3[[#This Row],[Sales]]-Table3[[#This Row],[Cost]]</f>
        <v>42470.319999999992</v>
      </c>
      <c r="L15" s="6">
        <f>Table3[[#This Row],[Profit]]/Table3[[#This Row],[Sales]]</f>
        <v>0.35354048524168968</v>
      </c>
    </row>
    <row r="16" spans="1:12" x14ac:dyDescent="0.25">
      <c r="A16" t="s">
        <v>24</v>
      </c>
      <c r="B16" s="2">
        <v>45005</v>
      </c>
      <c r="C16" s="2" t="str">
        <f>TEXT(Table3[[#This Row],[Order Date]],"mmmm")</f>
        <v>March</v>
      </c>
      <c r="D16" t="s">
        <v>3220</v>
      </c>
      <c r="E16" t="s">
        <v>3223</v>
      </c>
      <c r="F16" t="s">
        <v>3226</v>
      </c>
      <c r="G16" s="4">
        <v>33293.65</v>
      </c>
      <c r="H16" s="4">
        <v>26387.58</v>
      </c>
      <c r="I16" s="3" t="s">
        <v>3734</v>
      </c>
      <c r="J16">
        <v>4</v>
      </c>
      <c r="K16" s="4">
        <f>Table3[[#This Row],[Sales]]-Table3[[#This Row],[Cost]]</f>
        <v>6906.07</v>
      </c>
      <c r="L16" s="6">
        <f>Table3[[#This Row],[Profit]]/Table3[[#This Row],[Sales]]</f>
        <v>0.20742904427721201</v>
      </c>
    </row>
    <row r="17" spans="1:12" x14ac:dyDescent="0.25">
      <c r="A17" t="s">
        <v>25</v>
      </c>
      <c r="B17" s="2">
        <v>45021</v>
      </c>
      <c r="C17" s="2" t="str">
        <f>TEXT(Table3[[#This Row],[Order Date]],"mmmm")</f>
        <v>April</v>
      </c>
      <c r="D17" t="s">
        <v>3216</v>
      </c>
      <c r="E17" t="s">
        <v>3224</v>
      </c>
      <c r="F17" t="s">
        <v>3226</v>
      </c>
      <c r="G17" s="4">
        <v>240787.08</v>
      </c>
      <c r="H17" s="4">
        <v>184311.58</v>
      </c>
      <c r="I17" s="3" t="s">
        <v>3734</v>
      </c>
      <c r="J17">
        <v>4</v>
      </c>
      <c r="K17" s="4">
        <f>Table3[[#This Row],[Sales]]-Table3[[#This Row],[Cost]]</f>
        <v>56475.5</v>
      </c>
      <c r="L17" s="6">
        <f>Table3[[#This Row],[Profit]]/Table3[[#This Row],[Sales]]</f>
        <v>0.23454539172118372</v>
      </c>
    </row>
    <row r="18" spans="1:12" x14ac:dyDescent="0.25">
      <c r="A18" t="s">
        <v>26</v>
      </c>
      <c r="B18" s="2">
        <v>45005</v>
      </c>
      <c r="C18" s="2" t="str">
        <f>TEXT(Table3[[#This Row],[Order Date]],"mmmm")</f>
        <v>March</v>
      </c>
      <c r="D18" t="s">
        <v>3216</v>
      </c>
      <c r="E18" t="s">
        <v>3224</v>
      </c>
      <c r="F18" t="s">
        <v>3226</v>
      </c>
      <c r="G18" s="4">
        <v>57541.73</v>
      </c>
      <c r="H18" s="4">
        <v>44074.7</v>
      </c>
      <c r="I18" s="3" t="s">
        <v>3734</v>
      </c>
      <c r="J18">
        <v>1</v>
      </c>
      <c r="K18" s="4">
        <f>Table3[[#This Row],[Sales]]-Table3[[#This Row],[Cost]]</f>
        <v>13467.030000000006</v>
      </c>
      <c r="L18" s="6">
        <f>Table3[[#This Row],[Profit]]/Table3[[#This Row],[Sales]]</f>
        <v>0.23403936586543375</v>
      </c>
    </row>
    <row r="19" spans="1:12" x14ac:dyDescent="0.25">
      <c r="A19" t="s">
        <v>27</v>
      </c>
      <c r="B19" s="2">
        <v>45005</v>
      </c>
      <c r="C19" s="2" t="str">
        <f>TEXT(Table3[[#This Row],[Order Date]],"mmmm")</f>
        <v>March</v>
      </c>
      <c r="D19" t="s">
        <v>3220</v>
      </c>
      <c r="E19" t="s">
        <v>3223</v>
      </c>
      <c r="F19" t="s">
        <v>3226</v>
      </c>
      <c r="G19" s="4">
        <v>23857.35</v>
      </c>
      <c r="H19" s="4">
        <v>13708.23</v>
      </c>
      <c r="I19" s="3" t="s">
        <v>3734</v>
      </c>
      <c r="J19">
        <v>2</v>
      </c>
      <c r="K19" s="4">
        <f>Table3[[#This Row],[Sales]]-Table3[[#This Row],[Cost]]</f>
        <v>10149.119999999999</v>
      </c>
      <c r="L19" s="6">
        <f>Table3[[#This Row],[Profit]]/Table3[[#This Row],[Sales]]</f>
        <v>0.4254085219020553</v>
      </c>
    </row>
    <row r="20" spans="1:12" x14ac:dyDescent="0.25">
      <c r="A20" t="s">
        <v>3228</v>
      </c>
      <c r="B20" s="2">
        <v>45021</v>
      </c>
      <c r="C20" s="2" t="str">
        <f>TEXT(Table3[[#This Row],[Order Date]],"mmmm")</f>
        <v>April</v>
      </c>
      <c r="D20" t="s">
        <v>3220</v>
      </c>
      <c r="E20" t="s">
        <v>3224</v>
      </c>
      <c r="F20" t="s">
        <v>3226</v>
      </c>
      <c r="G20" s="4">
        <v>194425.76</v>
      </c>
      <c r="H20" s="4">
        <v>143324.81</v>
      </c>
      <c r="I20" s="3" t="s">
        <v>3734</v>
      </c>
      <c r="J20">
        <v>3</v>
      </c>
      <c r="K20" s="4">
        <f>Table3[[#This Row],[Sales]]-Table3[[#This Row],[Cost]]</f>
        <v>51100.950000000012</v>
      </c>
      <c r="L20" s="6">
        <f>Table3[[#This Row],[Profit]]/Table3[[#This Row],[Sales]]</f>
        <v>0.26283014143804817</v>
      </c>
    </row>
    <row r="21" spans="1:12" x14ac:dyDescent="0.25">
      <c r="A21" t="s">
        <v>29</v>
      </c>
      <c r="B21" s="2">
        <v>44941</v>
      </c>
      <c r="C21" s="2" t="str">
        <f>TEXT(Table3[[#This Row],[Order Date]],"mmmm")</f>
        <v>January</v>
      </c>
      <c r="D21" t="s">
        <v>3216</v>
      </c>
      <c r="E21" t="s">
        <v>3222</v>
      </c>
      <c r="F21" t="s">
        <v>3226</v>
      </c>
      <c r="G21" s="4">
        <v>15981.01</v>
      </c>
      <c r="H21" s="4">
        <v>8512.65</v>
      </c>
      <c r="I21" s="3" t="s">
        <v>3734</v>
      </c>
      <c r="J21">
        <v>1</v>
      </c>
      <c r="K21" s="4">
        <f>Table3[[#This Row],[Sales]]-Table3[[#This Row],[Cost]]</f>
        <v>7468.3600000000006</v>
      </c>
      <c r="L21" s="6">
        <f>Table3[[#This Row],[Profit]]/Table3[[#This Row],[Sales]]</f>
        <v>0.46732715892174526</v>
      </c>
    </row>
    <row r="22" spans="1:12" x14ac:dyDescent="0.25">
      <c r="A22" t="s">
        <v>30</v>
      </c>
      <c r="B22" s="2" t="s">
        <v>3729</v>
      </c>
      <c r="C22" s="2" t="str">
        <f>TEXT(Table3[[#This Row],[Order Date]],"mmmm")</f>
        <v>Not Mentioned</v>
      </c>
      <c r="D22" t="s">
        <v>3220</v>
      </c>
      <c r="E22" t="s">
        <v>3224</v>
      </c>
      <c r="F22" t="s">
        <v>3226</v>
      </c>
      <c r="G22" s="4">
        <v>261458.73</v>
      </c>
      <c r="H22" s="4">
        <v>211863.87</v>
      </c>
      <c r="I22" s="3" t="s">
        <v>3734</v>
      </c>
      <c r="J22">
        <v>5</v>
      </c>
      <c r="K22" s="4">
        <f>Table3[[#This Row],[Sales]]-Table3[[#This Row],[Cost]]</f>
        <v>49594.860000000015</v>
      </c>
      <c r="L22" s="6">
        <f>Table3[[#This Row],[Profit]]/Table3[[#This Row],[Sales]]</f>
        <v>0.18968523254128869</v>
      </c>
    </row>
    <row r="23" spans="1:12" x14ac:dyDescent="0.25">
      <c r="A23" t="s">
        <v>31</v>
      </c>
      <c r="B23" s="2">
        <v>45102</v>
      </c>
      <c r="C23" s="2" t="str">
        <f>TEXT(Table3[[#This Row],[Order Date]],"mmmm")</f>
        <v>June</v>
      </c>
      <c r="D23" t="s">
        <v>3216</v>
      </c>
      <c r="E23" t="s">
        <v>3225</v>
      </c>
      <c r="F23" t="s">
        <v>3226</v>
      </c>
      <c r="G23" s="4">
        <v>99469.69</v>
      </c>
      <c r="H23" s="4">
        <v>75356.73</v>
      </c>
      <c r="I23" s="3" t="s">
        <v>3734</v>
      </c>
      <c r="J23">
        <v>5</v>
      </c>
      <c r="K23" s="4">
        <f>Table3[[#This Row],[Sales]]-Table3[[#This Row],[Cost]]</f>
        <v>24112.960000000006</v>
      </c>
      <c r="L23" s="6">
        <f>Table3[[#This Row],[Profit]]/Table3[[#This Row],[Sales]]</f>
        <v>0.24241515179146539</v>
      </c>
    </row>
    <row r="24" spans="1:12" x14ac:dyDescent="0.25">
      <c r="A24" t="s">
        <v>32</v>
      </c>
      <c r="B24" s="2">
        <v>45005</v>
      </c>
      <c r="C24" s="2" t="str">
        <f>TEXT(Table3[[#This Row],[Order Date]],"mmmm")</f>
        <v>March</v>
      </c>
      <c r="D24" t="s">
        <v>3216</v>
      </c>
      <c r="E24" t="s">
        <v>3224</v>
      </c>
      <c r="F24" t="s">
        <v>3226</v>
      </c>
      <c r="G24" s="4">
        <v>185184.3</v>
      </c>
      <c r="H24" s="4">
        <v>148147.44</v>
      </c>
      <c r="I24" s="3" t="s">
        <v>3735</v>
      </c>
      <c r="J24">
        <v>3</v>
      </c>
      <c r="K24" s="4">
        <f>Table3[[#This Row],[Sales]]-Table3[[#This Row],[Cost]]</f>
        <v>37036.859999999986</v>
      </c>
      <c r="L24" s="6">
        <f>Table3[[#This Row],[Profit]]/Table3[[#This Row],[Sales]]</f>
        <v>0.19999999999999993</v>
      </c>
    </row>
    <row r="25" spans="1:12" x14ac:dyDescent="0.25">
      <c r="A25" t="s">
        <v>33</v>
      </c>
      <c r="B25" s="2">
        <v>44941</v>
      </c>
      <c r="C25" s="2" t="str">
        <f>TEXT(Table3[[#This Row],[Order Date]],"mmmm")</f>
        <v>January</v>
      </c>
      <c r="D25" t="s">
        <v>3731</v>
      </c>
      <c r="E25" t="s">
        <v>3224</v>
      </c>
      <c r="F25" t="s">
        <v>3226</v>
      </c>
      <c r="G25" s="4">
        <v>351398.23</v>
      </c>
      <c r="H25" s="4">
        <v>215335.36</v>
      </c>
      <c r="I25" s="3" t="s">
        <v>3734</v>
      </c>
      <c r="J25">
        <v>5</v>
      </c>
      <c r="K25" s="4">
        <f>Table3[[#This Row],[Sales]]-Table3[[#This Row],[Cost]]</f>
        <v>136062.87</v>
      </c>
      <c r="L25" s="6">
        <f>Table3[[#This Row],[Profit]]/Table3[[#This Row],[Sales]]</f>
        <v>0.38720419849582055</v>
      </c>
    </row>
    <row r="26" spans="1:12" x14ac:dyDescent="0.25">
      <c r="A26" t="s">
        <v>34</v>
      </c>
      <c r="B26" s="2">
        <v>44972</v>
      </c>
      <c r="C26" s="2" t="str">
        <f>TEXT(Table3[[#This Row],[Order Date]],"mmmm")</f>
        <v>February</v>
      </c>
      <c r="D26" t="s">
        <v>3731</v>
      </c>
      <c r="E26" t="s">
        <v>3223</v>
      </c>
      <c r="F26" t="s">
        <v>3226</v>
      </c>
      <c r="G26" s="4">
        <v>20454.41</v>
      </c>
      <c r="H26" s="4">
        <v>15176.54</v>
      </c>
      <c r="I26" s="3" t="s">
        <v>3734</v>
      </c>
      <c r="J26">
        <v>2</v>
      </c>
      <c r="K26" s="4">
        <f>Table3[[#This Row],[Sales]]-Table3[[#This Row],[Cost]]</f>
        <v>5277.869999999999</v>
      </c>
      <c r="L26" s="6">
        <f>Table3[[#This Row],[Profit]]/Table3[[#This Row],[Sales]]</f>
        <v>0.25803090873801782</v>
      </c>
    </row>
    <row r="27" spans="1:12" x14ac:dyDescent="0.25">
      <c r="A27" t="s">
        <v>35</v>
      </c>
      <c r="B27" s="2">
        <v>45005</v>
      </c>
      <c r="C27" s="2" t="str">
        <f>TEXT(Table3[[#This Row],[Order Date]],"mmmm")</f>
        <v>March</v>
      </c>
      <c r="D27" t="s">
        <v>3730</v>
      </c>
      <c r="E27" t="s">
        <v>3225</v>
      </c>
      <c r="F27" t="s">
        <v>3226</v>
      </c>
      <c r="G27" s="4">
        <v>37160.81</v>
      </c>
      <c r="H27" s="4">
        <v>29740.69</v>
      </c>
      <c r="I27" s="3" t="s">
        <v>3734</v>
      </c>
      <c r="J27">
        <v>2</v>
      </c>
      <c r="K27" s="4">
        <f>Table3[[#This Row],[Sales]]-Table3[[#This Row],[Cost]]</f>
        <v>7420.119999999999</v>
      </c>
      <c r="L27" s="6">
        <f>Table3[[#This Row],[Profit]]/Table3[[#This Row],[Sales]]</f>
        <v>0.19967594893652746</v>
      </c>
    </row>
    <row r="28" spans="1:12" x14ac:dyDescent="0.25">
      <c r="A28" t="s">
        <v>36</v>
      </c>
      <c r="B28" s="2">
        <v>45021</v>
      </c>
      <c r="C28" s="2" t="str">
        <f>TEXT(Table3[[#This Row],[Order Date]],"mmmm")</f>
        <v>April</v>
      </c>
      <c r="D28" t="s">
        <v>3731</v>
      </c>
      <c r="E28" t="s">
        <v>3224</v>
      </c>
      <c r="F28" t="s">
        <v>3226</v>
      </c>
      <c r="G28" s="4">
        <v>249791.3</v>
      </c>
      <c r="H28" s="4">
        <v>191541.65</v>
      </c>
      <c r="I28" s="3" t="s">
        <v>3734</v>
      </c>
      <c r="J28">
        <v>5</v>
      </c>
      <c r="K28" s="4">
        <f>Table3[[#This Row],[Sales]]-Table3[[#This Row],[Cost]]</f>
        <v>58249.649999999994</v>
      </c>
      <c r="L28" s="6">
        <f>Table3[[#This Row],[Profit]]/Table3[[#This Row],[Sales]]</f>
        <v>0.23319326974158025</v>
      </c>
    </row>
    <row r="29" spans="1:12" x14ac:dyDescent="0.25">
      <c r="A29" t="s">
        <v>37</v>
      </c>
      <c r="B29" s="2">
        <v>44972</v>
      </c>
      <c r="C29" s="2" t="str">
        <f>TEXT(Table3[[#This Row],[Order Date]],"mmmm")</f>
        <v>February</v>
      </c>
      <c r="D29" t="s">
        <v>3220</v>
      </c>
      <c r="E29" t="s">
        <v>3222</v>
      </c>
      <c r="F29" t="s">
        <v>3226</v>
      </c>
      <c r="G29" s="4">
        <v>61892.76</v>
      </c>
      <c r="H29" s="4">
        <v>38384.74</v>
      </c>
      <c r="I29" s="3" t="s">
        <v>3734</v>
      </c>
      <c r="J29">
        <v>4</v>
      </c>
      <c r="K29" s="4">
        <f>Table3[[#This Row],[Sales]]-Table3[[#This Row],[Cost]]</f>
        <v>23508.020000000004</v>
      </c>
      <c r="L29" s="6">
        <f>Table3[[#This Row],[Profit]]/Table3[[#This Row],[Sales]]</f>
        <v>0.37981857651848139</v>
      </c>
    </row>
    <row r="30" spans="1:12" x14ac:dyDescent="0.25">
      <c r="A30" t="s">
        <v>38</v>
      </c>
      <c r="B30" s="2">
        <v>45102</v>
      </c>
      <c r="C30" s="2" t="str">
        <f>TEXT(Table3[[#This Row],[Order Date]],"mmmm")</f>
        <v>June</v>
      </c>
      <c r="D30" t="s">
        <v>3216</v>
      </c>
      <c r="E30" t="s">
        <v>3224</v>
      </c>
      <c r="F30" t="s">
        <v>3226</v>
      </c>
      <c r="G30" s="4">
        <v>195728.13</v>
      </c>
      <c r="H30" s="4">
        <v>166646.95000000001</v>
      </c>
      <c r="I30" s="3" t="s">
        <v>3734</v>
      </c>
      <c r="J30">
        <v>4</v>
      </c>
      <c r="K30" s="4">
        <f>Table3[[#This Row],[Sales]]-Table3[[#This Row],[Cost]]</f>
        <v>29081.179999999993</v>
      </c>
      <c r="L30" s="6">
        <f>Table3[[#This Row],[Profit]]/Table3[[#This Row],[Sales]]</f>
        <v>0.14857946070398767</v>
      </c>
    </row>
    <row r="31" spans="1:12" x14ac:dyDescent="0.25">
      <c r="A31" t="s">
        <v>39</v>
      </c>
      <c r="B31" s="2" t="s">
        <v>3729</v>
      </c>
      <c r="C31" s="2" t="str">
        <f>TEXT(Table3[[#This Row],[Order Date]],"mmmm")</f>
        <v>Not Mentioned</v>
      </c>
      <c r="D31" t="s">
        <v>3731</v>
      </c>
      <c r="E31" t="s">
        <v>3225</v>
      </c>
      <c r="F31" t="s">
        <v>3226</v>
      </c>
      <c r="G31" s="4">
        <v>87775.2</v>
      </c>
      <c r="H31" s="4">
        <v>66698.69</v>
      </c>
      <c r="I31" s="3" t="s">
        <v>3734</v>
      </c>
      <c r="J31">
        <v>5</v>
      </c>
      <c r="K31" s="4">
        <f>Table3[[#This Row],[Sales]]-Table3[[#This Row],[Cost]]</f>
        <v>21076.509999999995</v>
      </c>
      <c r="L31" s="6">
        <f>Table3[[#This Row],[Profit]]/Table3[[#This Row],[Sales]]</f>
        <v>0.24011919084206013</v>
      </c>
    </row>
    <row r="32" spans="1:12" x14ac:dyDescent="0.25">
      <c r="A32" t="s">
        <v>40</v>
      </c>
      <c r="B32" s="2">
        <v>44941</v>
      </c>
      <c r="C32" s="2" t="str">
        <f>TEXT(Table3[[#This Row],[Order Date]],"mmmm")</f>
        <v>January</v>
      </c>
      <c r="D32" t="s">
        <v>3730</v>
      </c>
      <c r="E32" t="s">
        <v>3224</v>
      </c>
      <c r="F32" t="s">
        <v>3226</v>
      </c>
      <c r="G32" s="4">
        <v>175605.94</v>
      </c>
      <c r="H32" s="4">
        <v>140484.75200000001</v>
      </c>
      <c r="I32" s="3" t="s">
        <v>3735</v>
      </c>
      <c r="J32">
        <v>3</v>
      </c>
      <c r="K32" s="4">
        <f>Table3[[#This Row],[Sales]]-Table3[[#This Row],[Cost]]</f>
        <v>35121.187999999995</v>
      </c>
      <c r="L32" s="6">
        <f>Table3[[#This Row],[Profit]]/Table3[[#This Row],[Sales]]</f>
        <v>0.19999999999999996</v>
      </c>
    </row>
    <row r="33" spans="1:12" x14ac:dyDescent="0.25">
      <c r="A33" t="s">
        <v>41</v>
      </c>
      <c r="B33" s="2">
        <v>45102</v>
      </c>
      <c r="C33" s="2" t="str">
        <f>TEXT(Table3[[#This Row],[Order Date]],"mmmm")</f>
        <v>June</v>
      </c>
      <c r="D33" t="s">
        <v>3220</v>
      </c>
      <c r="E33" t="s">
        <v>3225</v>
      </c>
      <c r="F33" t="s">
        <v>3226</v>
      </c>
      <c r="G33" s="4">
        <v>19538.82</v>
      </c>
      <c r="H33" s="4">
        <v>15631.056</v>
      </c>
      <c r="I33" s="3" t="s">
        <v>3735</v>
      </c>
      <c r="J33">
        <v>1</v>
      </c>
      <c r="K33" s="4">
        <f>Table3[[#This Row],[Sales]]-Table3[[#This Row],[Cost]]</f>
        <v>3907.7639999999992</v>
      </c>
      <c r="L33" s="6">
        <f>Table3[[#This Row],[Profit]]/Table3[[#This Row],[Sales]]</f>
        <v>0.19999999999999996</v>
      </c>
    </row>
    <row r="34" spans="1:12" x14ac:dyDescent="0.25">
      <c r="A34" t="s">
        <v>43</v>
      </c>
      <c r="B34" s="2">
        <v>44972</v>
      </c>
      <c r="C34" s="2" t="str">
        <f>TEXT(Table3[[#This Row],[Order Date]],"mmmm")</f>
        <v>February</v>
      </c>
      <c r="D34" t="s">
        <v>3220</v>
      </c>
      <c r="E34" t="s">
        <v>3223</v>
      </c>
      <c r="F34" t="s">
        <v>3226</v>
      </c>
      <c r="G34" s="4">
        <v>49483.48</v>
      </c>
      <c r="H34" s="4">
        <v>30606.05</v>
      </c>
      <c r="I34" s="3" t="s">
        <v>3734</v>
      </c>
      <c r="J34">
        <v>5</v>
      </c>
      <c r="K34" s="4">
        <f>Table3[[#This Row],[Sales]]-Table3[[#This Row],[Cost]]</f>
        <v>18877.430000000004</v>
      </c>
      <c r="L34" s="6">
        <f>Table3[[#This Row],[Profit]]/Table3[[#This Row],[Sales]]</f>
        <v>0.38148953953925641</v>
      </c>
    </row>
    <row r="35" spans="1:12" x14ac:dyDescent="0.25">
      <c r="A35" t="s">
        <v>44</v>
      </c>
      <c r="B35" s="2">
        <v>44972</v>
      </c>
      <c r="C35" s="2" t="str">
        <f>TEXT(Table3[[#This Row],[Order Date]],"mmmm")</f>
        <v>February</v>
      </c>
      <c r="D35" t="s">
        <v>3220</v>
      </c>
      <c r="E35" t="s">
        <v>3224</v>
      </c>
      <c r="F35" t="s">
        <v>3226</v>
      </c>
      <c r="G35" s="4">
        <v>196349.18</v>
      </c>
      <c r="H35" s="4">
        <v>169857.57</v>
      </c>
      <c r="I35" s="3" t="s">
        <v>3734</v>
      </c>
      <c r="J35">
        <v>4</v>
      </c>
      <c r="K35" s="4">
        <f>Table3[[#This Row],[Sales]]-Table3[[#This Row],[Cost]]</f>
        <v>26491.609999999986</v>
      </c>
      <c r="L35" s="6">
        <f>Table3[[#This Row],[Profit]]/Table3[[#This Row],[Sales]]</f>
        <v>0.13492090977920043</v>
      </c>
    </row>
    <row r="36" spans="1:12" x14ac:dyDescent="0.25">
      <c r="A36" t="s">
        <v>45</v>
      </c>
      <c r="B36" s="2">
        <v>44941</v>
      </c>
      <c r="C36" s="2" t="str">
        <f>TEXT(Table3[[#This Row],[Order Date]],"mmmm")</f>
        <v>January</v>
      </c>
      <c r="D36" t="s">
        <v>3220</v>
      </c>
      <c r="E36" t="s">
        <v>3223</v>
      </c>
      <c r="F36" t="s">
        <v>3226</v>
      </c>
      <c r="G36" s="4">
        <v>33611.39</v>
      </c>
      <c r="H36" s="4">
        <v>21405.13</v>
      </c>
      <c r="I36" s="3" t="s">
        <v>3734</v>
      </c>
      <c r="J36">
        <v>3</v>
      </c>
      <c r="K36" s="4">
        <f>Table3[[#This Row],[Sales]]-Table3[[#This Row],[Cost]]</f>
        <v>12206.259999999998</v>
      </c>
      <c r="L36" s="6">
        <f>Table3[[#This Row],[Profit]]/Table3[[#This Row],[Sales]]</f>
        <v>0.36315844123078511</v>
      </c>
    </row>
    <row r="37" spans="1:12" x14ac:dyDescent="0.25">
      <c r="A37" t="s">
        <v>46</v>
      </c>
      <c r="B37" s="2">
        <v>44941</v>
      </c>
      <c r="C37" s="2" t="str">
        <f>TEXT(Table3[[#This Row],[Order Date]],"mmmm")</f>
        <v>January</v>
      </c>
      <c r="D37" t="s">
        <v>3730</v>
      </c>
      <c r="E37" t="s">
        <v>3223</v>
      </c>
      <c r="F37" t="s">
        <v>3226</v>
      </c>
      <c r="G37" s="4">
        <v>17653.47</v>
      </c>
      <c r="H37" s="4">
        <v>12858.86</v>
      </c>
      <c r="I37" s="3" t="s">
        <v>3734</v>
      </c>
      <c r="J37" t="s">
        <v>3732</v>
      </c>
      <c r="K37" s="4">
        <f>Table3[[#This Row],[Sales]]-Table3[[#This Row],[Cost]]</f>
        <v>4794.6100000000006</v>
      </c>
      <c r="L37" s="6">
        <f>Table3[[#This Row],[Profit]]/Table3[[#This Row],[Sales]]</f>
        <v>0.27159589587769434</v>
      </c>
    </row>
    <row r="38" spans="1:12" x14ac:dyDescent="0.25">
      <c r="A38" t="s">
        <v>47</v>
      </c>
      <c r="B38" s="2">
        <v>45005</v>
      </c>
      <c r="C38" s="2" t="str">
        <f>TEXT(Table3[[#This Row],[Order Date]],"mmmm")</f>
        <v>March</v>
      </c>
      <c r="D38" t="s">
        <v>3730</v>
      </c>
      <c r="E38" t="s">
        <v>3223</v>
      </c>
      <c r="F38" t="s">
        <v>3226</v>
      </c>
      <c r="G38" s="4">
        <v>56897.51</v>
      </c>
      <c r="H38" s="4">
        <v>29953.63</v>
      </c>
      <c r="I38" s="3" t="s">
        <v>3734</v>
      </c>
      <c r="J38">
        <v>5</v>
      </c>
      <c r="K38" s="4">
        <f>Table3[[#This Row],[Sales]]-Table3[[#This Row],[Cost]]</f>
        <v>26943.88</v>
      </c>
      <c r="L38" s="6">
        <f>Table3[[#This Row],[Profit]]/Table3[[#This Row],[Sales]]</f>
        <v>0.47355112728131687</v>
      </c>
    </row>
    <row r="39" spans="1:12" x14ac:dyDescent="0.25">
      <c r="A39" t="s">
        <v>48</v>
      </c>
      <c r="B39" s="2">
        <v>45021</v>
      </c>
      <c r="C39" s="2" t="str">
        <f>TEXT(Table3[[#This Row],[Order Date]],"mmmm")</f>
        <v>April</v>
      </c>
      <c r="D39" t="s">
        <v>3730</v>
      </c>
      <c r="E39" t="s">
        <v>3223</v>
      </c>
      <c r="F39" t="s">
        <v>3226</v>
      </c>
      <c r="G39" s="4">
        <v>38687.14</v>
      </c>
      <c r="H39" s="4">
        <v>30573.06</v>
      </c>
      <c r="I39" s="3" t="s">
        <v>3734</v>
      </c>
      <c r="J39">
        <v>4</v>
      </c>
      <c r="K39" s="4">
        <f>Table3[[#This Row],[Sales]]-Table3[[#This Row],[Cost]]</f>
        <v>8114.0799999999981</v>
      </c>
      <c r="L39" s="6">
        <f>Table3[[#This Row],[Profit]]/Table3[[#This Row],[Sales]]</f>
        <v>0.20973584503791179</v>
      </c>
    </row>
    <row r="40" spans="1:12" x14ac:dyDescent="0.25">
      <c r="A40" t="s">
        <v>49</v>
      </c>
      <c r="B40" s="2" t="s">
        <v>3729</v>
      </c>
      <c r="C40" s="2" t="str">
        <f>TEXT(Table3[[#This Row],[Order Date]],"mmmm")</f>
        <v>Not Mentioned</v>
      </c>
      <c r="D40" t="s">
        <v>3730</v>
      </c>
      <c r="E40" t="s">
        <v>3224</v>
      </c>
      <c r="F40" t="s">
        <v>3226</v>
      </c>
      <c r="G40" s="4">
        <v>268631.62</v>
      </c>
      <c r="H40" s="4">
        <v>229491.27</v>
      </c>
      <c r="I40" s="3" t="s">
        <v>3734</v>
      </c>
      <c r="J40">
        <v>5</v>
      </c>
      <c r="K40" s="4">
        <f>Table3[[#This Row],[Sales]]-Table3[[#This Row],[Cost]]</f>
        <v>39140.350000000006</v>
      </c>
      <c r="L40" s="6">
        <f>Table3[[#This Row],[Profit]]/Table3[[#This Row],[Sales]]</f>
        <v>0.14570269129151664</v>
      </c>
    </row>
    <row r="41" spans="1:12" x14ac:dyDescent="0.25">
      <c r="A41" t="s">
        <v>50</v>
      </c>
      <c r="B41" s="2">
        <v>45021</v>
      </c>
      <c r="C41" s="2" t="str">
        <f>TEXT(Table3[[#This Row],[Order Date]],"mmmm")</f>
        <v>April</v>
      </c>
      <c r="D41" t="s">
        <v>3731</v>
      </c>
      <c r="E41" t="s">
        <v>3222</v>
      </c>
      <c r="F41" t="s">
        <v>3226</v>
      </c>
      <c r="G41" s="4">
        <v>43005.63</v>
      </c>
      <c r="H41" s="4">
        <v>25581.279999999999</v>
      </c>
      <c r="I41" s="3" t="s">
        <v>3734</v>
      </c>
      <c r="J41">
        <v>3</v>
      </c>
      <c r="K41" s="4">
        <f>Table3[[#This Row],[Sales]]-Table3[[#This Row],[Cost]]</f>
        <v>17424.349999999999</v>
      </c>
      <c r="L41" s="6">
        <f>Table3[[#This Row],[Profit]]/Table3[[#This Row],[Sales]]</f>
        <v>0.40516439359218781</v>
      </c>
    </row>
    <row r="42" spans="1:12" x14ac:dyDescent="0.25">
      <c r="A42" t="s">
        <v>51</v>
      </c>
      <c r="B42" s="2">
        <v>45102</v>
      </c>
      <c r="C42" s="2" t="str">
        <f>TEXT(Table3[[#This Row],[Order Date]],"mmmm")</f>
        <v>June</v>
      </c>
      <c r="D42" t="s">
        <v>3730</v>
      </c>
      <c r="E42" t="s">
        <v>3225</v>
      </c>
      <c r="F42" t="s">
        <v>3226</v>
      </c>
      <c r="G42" s="4">
        <v>83668.17</v>
      </c>
      <c r="H42" s="4">
        <v>70042.720000000001</v>
      </c>
      <c r="I42" s="3" t="s">
        <v>3734</v>
      </c>
      <c r="J42">
        <v>5</v>
      </c>
      <c r="K42" s="4">
        <f>Table3[[#This Row],[Sales]]-Table3[[#This Row],[Cost]]</f>
        <v>13625.449999999997</v>
      </c>
      <c r="L42" s="6">
        <f>Table3[[#This Row],[Profit]]/Table3[[#This Row],[Sales]]</f>
        <v>0.16285105793517413</v>
      </c>
    </row>
    <row r="43" spans="1:12" x14ac:dyDescent="0.25">
      <c r="A43" t="s">
        <v>52</v>
      </c>
      <c r="B43" s="2">
        <v>44941</v>
      </c>
      <c r="C43" s="2" t="str">
        <f>TEXT(Table3[[#This Row],[Order Date]],"mmmm")</f>
        <v>January</v>
      </c>
      <c r="D43" t="s">
        <v>3730</v>
      </c>
      <c r="E43" t="s">
        <v>3225</v>
      </c>
      <c r="F43" t="s">
        <v>3226</v>
      </c>
      <c r="G43" s="4">
        <v>32920.94</v>
      </c>
      <c r="H43" s="4">
        <v>27646.7</v>
      </c>
      <c r="I43" s="3" t="s">
        <v>3734</v>
      </c>
      <c r="J43">
        <v>2</v>
      </c>
      <c r="K43" s="4">
        <f>Table3[[#This Row],[Sales]]-Table3[[#This Row],[Cost]]</f>
        <v>5274.2400000000016</v>
      </c>
      <c r="L43" s="6">
        <f>Table3[[#This Row],[Profit]]/Table3[[#This Row],[Sales]]</f>
        <v>0.16020927713485705</v>
      </c>
    </row>
    <row r="44" spans="1:12" x14ac:dyDescent="0.25">
      <c r="A44" t="s">
        <v>53</v>
      </c>
      <c r="B44" s="2">
        <v>45102</v>
      </c>
      <c r="C44" s="2" t="str">
        <f>TEXT(Table3[[#This Row],[Order Date]],"mmmm")</f>
        <v>June</v>
      </c>
      <c r="D44" t="s">
        <v>3730</v>
      </c>
      <c r="E44" t="s">
        <v>3225</v>
      </c>
      <c r="F44" t="s">
        <v>3226</v>
      </c>
      <c r="G44" s="4">
        <v>91739.8</v>
      </c>
      <c r="H44" s="4">
        <v>59338.73</v>
      </c>
      <c r="I44" s="3" t="s">
        <v>3734</v>
      </c>
      <c r="J44">
        <v>4</v>
      </c>
      <c r="K44" s="4">
        <f>Table3[[#This Row],[Sales]]-Table3[[#This Row],[Cost]]</f>
        <v>32401.07</v>
      </c>
      <c r="L44" s="6">
        <f>Table3[[#This Row],[Profit]]/Table3[[#This Row],[Sales]]</f>
        <v>0.35318444121308307</v>
      </c>
    </row>
    <row r="45" spans="1:12" x14ac:dyDescent="0.25">
      <c r="A45" t="s">
        <v>54</v>
      </c>
      <c r="B45" s="2" t="s">
        <v>3729</v>
      </c>
      <c r="C45" s="2" t="str">
        <f>TEXT(Table3[[#This Row],[Order Date]],"mmmm")</f>
        <v>Not Mentioned</v>
      </c>
      <c r="D45" t="s">
        <v>3216</v>
      </c>
      <c r="E45" t="s">
        <v>3224</v>
      </c>
      <c r="F45" t="s">
        <v>3226</v>
      </c>
      <c r="G45" s="4">
        <v>185853.99</v>
      </c>
      <c r="H45" s="4">
        <v>143880.93</v>
      </c>
      <c r="I45" s="3" t="s">
        <v>3734</v>
      </c>
      <c r="J45">
        <v>3</v>
      </c>
      <c r="K45" s="4">
        <f>Table3[[#This Row],[Sales]]-Table3[[#This Row],[Cost]]</f>
        <v>41973.06</v>
      </c>
      <c r="L45" s="6">
        <f>Table3[[#This Row],[Profit]]/Table3[[#This Row],[Sales]]</f>
        <v>0.22583889643692878</v>
      </c>
    </row>
    <row r="46" spans="1:12" x14ac:dyDescent="0.25">
      <c r="A46" t="s">
        <v>3230</v>
      </c>
      <c r="B46" s="2" t="s">
        <v>3729</v>
      </c>
      <c r="C46" s="2" t="str">
        <f>TEXT(Table3[[#This Row],[Order Date]],"mmmm")</f>
        <v>Not Mentioned</v>
      </c>
      <c r="D46" t="s">
        <v>3730</v>
      </c>
      <c r="E46" t="s">
        <v>3222</v>
      </c>
      <c r="F46" t="s">
        <v>3226</v>
      </c>
      <c r="G46" s="4">
        <v>49988.639999999999</v>
      </c>
      <c r="H46" s="4">
        <v>29688.03</v>
      </c>
      <c r="I46" s="3" t="s">
        <v>3734</v>
      </c>
      <c r="J46">
        <v>3</v>
      </c>
      <c r="K46" s="4">
        <f>Table3[[#This Row],[Sales]]-Table3[[#This Row],[Cost]]</f>
        <v>20300.61</v>
      </c>
      <c r="L46" s="6">
        <f>Table3[[#This Row],[Profit]]/Table3[[#This Row],[Sales]]</f>
        <v>0.40610446693488761</v>
      </c>
    </row>
    <row r="47" spans="1:12" x14ac:dyDescent="0.25">
      <c r="A47" t="s">
        <v>56</v>
      </c>
      <c r="B47" s="2">
        <v>44941</v>
      </c>
      <c r="C47" s="2" t="str">
        <f>TEXT(Table3[[#This Row],[Order Date]],"mmmm")</f>
        <v>January</v>
      </c>
      <c r="D47" t="s">
        <v>3220</v>
      </c>
      <c r="E47" t="s">
        <v>3223</v>
      </c>
      <c r="F47" t="s">
        <v>3226</v>
      </c>
      <c r="G47" s="4">
        <v>44275.12</v>
      </c>
      <c r="H47" s="4">
        <v>29559.53</v>
      </c>
      <c r="I47" s="3" t="s">
        <v>3734</v>
      </c>
      <c r="J47">
        <v>4</v>
      </c>
      <c r="K47" s="4">
        <f>Table3[[#This Row],[Sales]]-Table3[[#This Row],[Cost]]</f>
        <v>14715.590000000004</v>
      </c>
      <c r="L47" s="6">
        <f>Table3[[#This Row],[Profit]]/Table3[[#This Row],[Sales]]</f>
        <v>0.33236702689908015</v>
      </c>
    </row>
    <row r="48" spans="1:12" x14ac:dyDescent="0.25">
      <c r="A48" t="s">
        <v>57</v>
      </c>
      <c r="B48" s="2">
        <v>45005</v>
      </c>
      <c r="C48" s="2" t="str">
        <f>TEXT(Table3[[#This Row],[Order Date]],"mmmm")</f>
        <v>March</v>
      </c>
      <c r="D48" t="s">
        <v>3216</v>
      </c>
      <c r="E48" t="s">
        <v>3223</v>
      </c>
      <c r="F48" t="s">
        <v>3226</v>
      </c>
      <c r="G48" s="4">
        <v>8894.3799999999992</v>
      </c>
      <c r="H48" s="4">
        <v>7115.5039999999999</v>
      </c>
      <c r="I48" s="3" t="s">
        <v>3735</v>
      </c>
      <c r="J48" t="s">
        <v>3732</v>
      </c>
      <c r="K48" s="4">
        <f>Table3[[#This Row],[Sales]]-Table3[[#This Row],[Cost]]</f>
        <v>1778.8759999999993</v>
      </c>
      <c r="L48" s="6">
        <f>Table3[[#This Row],[Profit]]/Table3[[#This Row],[Sales]]</f>
        <v>0.19999999999999993</v>
      </c>
    </row>
    <row r="49" spans="1:12" x14ac:dyDescent="0.25">
      <c r="A49" t="s">
        <v>58</v>
      </c>
      <c r="B49" s="2" t="s">
        <v>3729</v>
      </c>
      <c r="C49" s="2" t="str">
        <f>TEXT(Table3[[#This Row],[Order Date]],"mmmm")</f>
        <v>Not Mentioned</v>
      </c>
      <c r="D49" t="s">
        <v>3220</v>
      </c>
      <c r="E49" t="s">
        <v>3224</v>
      </c>
      <c r="F49" t="s">
        <v>3226</v>
      </c>
      <c r="G49" s="4">
        <v>245170.01</v>
      </c>
      <c r="H49" s="4">
        <v>196618.61</v>
      </c>
      <c r="I49" s="3" t="s">
        <v>3734</v>
      </c>
      <c r="J49">
        <v>4</v>
      </c>
      <c r="K49" s="4">
        <f>Table3[[#This Row],[Sales]]-Table3[[#This Row],[Cost]]</f>
        <v>48551.400000000023</v>
      </c>
      <c r="L49" s="6">
        <f>Table3[[#This Row],[Profit]]/Table3[[#This Row],[Sales]]</f>
        <v>0.19803156185375209</v>
      </c>
    </row>
    <row r="50" spans="1:12" x14ac:dyDescent="0.25">
      <c r="A50" t="s">
        <v>59</v>
      </c>
      <c r="B50" s="2">
        <v>45021</v>
      </c>
      <c r="C50" s="2" t="str">
        <f>TEXT(Table3[[#This Row],[Order Date]],"mmmm")</f>
        <v>April</v>
      </c>
      <c r="D50" t="s">
        <v>3216</v>
      </c>
      <c r="E50" t="s">
        <v>3222</v>
      </c>
      <c r="F50" t="s">
        <v>3226</v>
      </c>
      <c r="G50" s="4">
        <v>17491.53</v>
      </c>
      <c r="H50" s="4">
        <v>13993.224</v>
      </c>
      <c r="I50" s="3" t="s">
        <v>3735</v>
      </c>
      <c r="J50">
        <v>1</v>
      </c>
      <c r="K50" s="4">
        <f>Table3[[#This Row],[Sales]]-Table3[[#This Row],[Cost]]</f>
        <v>3498.3059999999987</v>
      </c>
      <c r="L50" s="6">
        <f>Table3[[#This Row],[Profit]]/Table3[[#This Row],[Sales]]</f>
        <v>0.19999999999999993</v>
      </c>
    </row>
    <row r="51" spans="1:12" x14ac:dyDescent="0.25">
      <c r="A51" t="s">
        <v>60</v>
      </c>
      <c r="B51" s="2">
        <v>44941</v>
      </c>
      <c r="C51" s="2" t="str">
        <f>TEXT(Table3[[#This Row],[Order Date]],"mmmm")</f>
        <v>January</v>
      </c>
      <c r="D51" t="s">
        <v>3730</v>
      </c>
      <c r="E51" t="s">
        <v>3225</v>
      </c>
      <c r="F51" t="s">
        <v>3226</v>
      </c>
      <c r="G51" s="4">
        <v>35670.32</v>
      </c>
      <c r="H51" s="4">
        <v>25661.57</v>
      </c>
      <c r="I51" s="3" t="s">
        <v>3734</v>
      </c>
      <c r="J51">
        <v>2</v>
      </c>
      <c r="K51" s="4">
        <f>Table3[[#This Row],[Sales]]-Table3[[#This Row],[Cost]]</f>
        <v>10008.75</v>
      </c>
      <c r="L51" s="6">
        <f>Table3[[#This Row],[Profit]]/Table3[[#This Row],[Sales]]</f>
        <v>0.28059041802820944</v>
      </c>
    </row>
    <row r="52" spans="1:12" x14ac:dyDescent="0.25">
      <c r="A52" t="s">
        <v>61</v>
      </c>
      <c r="B52" s="2">
        <v>44941</v>
      </c>
      <c r="C52" s="2" t="str">
        <f>TEXT(Table3[[#This Row],[Order Date]],"mmmm")</f>
        <v>January</v>
      </c>
      <c r="D52" t="s">
        <v>3730</v>
      </c>
      <c r="E52" t="s">
        <v>3223</v>
      </c>
      <c r="F52" t="s">
        <v>3226</v>
      </c>
      <c r="G52" s="4">
        <v>53694.62</v>
      </c>
      <c r="H52" s="4">
        <v>31172.9</v>
      </c>
      <c r="I52" s="3" t="s">
        <v>3734</v>
      </c>
      <c r="J52">
        <v>5</v>
      </c>
      <c r="K52" s="4">
        <f>Table3[[#This Row],[Sales]]-Table3[[#This Row],[Cost]]</f>
        <v>22521.72</v>
      </c>
      <c r="L52" s="6">
        <f>Table3[[#This Row],[Profit]]/Table3[[#This Row],[Sales]]</f>
        <v>0.41944090488022823</v>
      </c>
    </row>
    <row r="53" spans="1:12" x14ac:dyDescent="0.25">
      <c r="A53" t="s">
        <v>62</v>
      </c>
      <c r="B53" s="2" t="s">
        <v>3729</v>
      </c>
      <c r="C53" s="2" t="str">
        <f>TEXT(Table3[[#This Row],[Order Date]],"mmmm")</f>
        <v>Not Mentioned</v>
      </c>
      <c r="D53" t="s">
        <v>3731</v>
      </c>
      <c r="E53" t="s">
        <v>3225</v>
      </c>
      <c r="F53" t="s">
        <v>3226</v>
      </c>
      <c r="G53" s="4">
        <v>40825.410000000003</v>
      </c>
      <c r="H53" s="4">
        <v>24953.84</v>
      </c>
      <c r="I53" s="3" t="s">
        <v>3734</v>
      </c>
      <c r="J53">
        <v>2</v>
      </c>
      <c r="K53" s="4">
        <f>Table3[[#This Row],[Sales]]-Table3[[#This Row],[Cost]]</f>
        <v>15871.570000000003</v>
      </c>
      <c r="L53" s="6">
        <f>Table3[[#This Row],[Profit]]/Table3[[#This Row],[Sales]]</f>
        <v>0.38876694685981111</v>
      </c>
    </row>
    <row r="54" spans="1:12" x14ac:dyDescent="0.25">
      <c r="A54" t="s">
        <v>63</v>
      </c>
      <c r="B54" s="2">
        <v>45102</v>
      </c>
      <c r="C54" s="2" t="str">
        <f>TEXT(Table3[[#This Row],[Order Date]],"mmmm")</f>
        <v>June</v>
      </c>
      <c r="D54" t="s">
        <v>3220</v>
      </c>
      <c r="E54" t="s">
        <v>3222</v>
      </c>
      <c r="F54" t="s">
        <v>3226</v>
      </c>
      <c r="G54" s="4">
        <v>17029.97</v>
      </c>
      <c r="H54" s="4">
        <v>9671.73</v>
      </c>
      <c r="I54" s="3" t="s">
        <v>3734</v>
      </c>
      <c r="J54">
        <v>1</v>
      </c>
      <c r="K54" s="4">
        <f>Table3[[#This Row],[Sales]]-Table3[[#This Row],[Cost]]</f>
        <v>7358.2400000000016</v>
      </c>
      <c r="L54" s="6">
        <f>Table3[[#This Row],[Profit]]/Table3[[#This Row],[Sales]]</f>
        <v>0.43207592262346917</v>
      </c>
    </row>
    <row r="55" spans="1:12" x14ac:dyDescent="0.25">
      <c r="A55" t="s">
        <v>3231</v>
      </c>
      <c r="B55" s="2">
        <v>45102</v>
      </c>
      <c r="C55" s="2" t="str">
        <f>TEXT(Table3[[#This Row],[Order Date]],"mmmm")</f>
        <v>June</v>
      </c>
      <c r="D55" t="s">
        <v>3730</v>
      </c>
      <c r="E55" t="s">
        <v>3222</v>
      </c>
      <c r="F55" t="s">
        <v>3226</v>
      </c>
      <c r="G55" s="4">
        <v>77554.490000000005</v>
      </c>
      <c r="H55" s="4">
        <v>51576.51</v>
      </c>
      <c r="I55" s="3" t="s">
        <v>3734</v>
      </c>
      <c r="J55">
        <v>5</v>
      </c>
      <c r="K55" s="4">
        <f>Table3[[#This Row],[Sales]]-Table3[[#This Row],[Cost]]</f>
        <v>25977.980000000003</v>
      </c>
      <c r="L55" s="6">
        <f>Table3[[#This Row],[Profit]]/Table3[[#This Row],[Sales]]</f>
        <v>0.33496422966613543</v>
      </c>
    </row>
    <row r="56" spans="1:12" x14ac:dyDescent="0.25">
      <c r="A56" t="s">
        <v>65</v>
      </c>
      <c r="B56" s="2">
        <v>45005</v>
      </c>
      <c r="C56" s="2" t="str">
        <f>TEXT(Table3[[#This Row],[Order Date]],"mmmm")</f>
        <v>March</v>
      </c>
      <c r="D56" t="s">
        <v>3731</v>
      </c>
      <c r="E56" t="s">
        <v>3223</v>
      </c>
      <c r="F56" t="s">
        <v>3226</v>
      </c>
      <c r="G56" s="4">
        <v>10686.8</v>
      </c>
      <c r="H56" s="4">
        <v>7031.72</v>
      </c>
      <c r="I56" s="3" t="s">
        <v>3734</v>
      </c>
      <c r="J56">
        <v>1</v>
      </c>
      <c r="K56" s="4">
        <f>Table3[[#This Row],[Sales]]-Table3[[#This Row],[Cost]]</f>
        <v>3655.079999999999</v>
      </c>
      <c r="L56" s="6">
        <f>Table3[[#This Row],[Profit]]/Table3[[#This Row],[Sales]]</f>
        <v>0.34201819066511951</v>
      </c>
    </row>
    <row r="57" spans="1:12" x14ac:dyDescent="0.25">
      <c r="A57" t="s">
        <v>3232</v>
      </c>
      <c r="B57" s="2">
        <v>45102</v>
      </c>
      <c r="C57" s="2" t="str">
        <f>TEXT(Table3[[#This Row],[Order Date]],"mmmm")</f>
        <v>June</v>
      </c>
      <c r="D57" t="s">
        <v>3730</v>
      </c>
      <c r="E57" t="s">
        <v>3225</v>
      </c>
      <c r="F57" t="s">
        <v>3226</v>
      </c>
      <c r="G57" s="4">
        <v>90124.34</v>
      </c>
      <c r="H57" s="4">
        <v>72099.471999999994</v>
      </c>
      <c r="I57" s="3" t="s">
        <v>3735</v>
      </c>
      <c r="J57">
        <v>4</v>
      </c>
      <c r="K57" s="4">
        <f>Table3[[#This Row],[Sales]]-Table3[[#This Row],[Cost]]</f>
        <v>18024.868000000002</v>
      </c>
      <c r="L57" s="6">
        <f>Table3[[#This Row],[Profit]]/Table3[[#This Row],[Sales]]</f>
        <v>0.20000000000000004</v>
      </c>
    </row>
    <row r="58" spans="1:12" x14ac:dyDescent="0.25">
      <c r="A58" t="s">
        <v>67</v>
      </c>
      <c r="B58" s="2">
        <v>45005</v>
      </c>
      <c r="C58" s="2" t="str">
        <f>TEXT(Table3[[#This Row],[Order Date]],"mmmm")</f>
        <v>March</v>
      </c>
      <c r="D58" t="s">
        <v>3731</v>
      </c>
      <c r="E58" t="s">
        <v>3225</v>
      </c>
      <c r="F58" t="s">
        <v>3226</v>
      </c>
      <c r="G58" s="4">
        <v>44880.71</v>
      </c>
      <c r="H58" s="4">
        <v>30122.06</v>
      </c>
      <c r="I58" s="3" t="s">
        <v>3734</v>
      </c>
      <c r="J58">
        <v>2</v>
      </c>
      <c r="K58" s="4">
        <f>Table3[[#This Row],[Sales]]-Table3[[#This Row],[Cost]]</f>
        <v>14758.649999999998</v>
      </c>
      <c r="L58" s="6">
        <f>Table3[[#This Row],[Profit]]/Table3[[#This Row],[Sales]]</f>
        <v>0.32884172286935742</v>
      </c>
    </row>
    <row r="59" spans="1:12" x14ac:dyDescent="0.25">
      <c r="A59" t="s">
        <v>68</v>
      </c>
      <c r="B59" s="2">
        <v>45102</v>
      </c>
      <c r="C59" s="2" t="str">
        <f>TEXT(Table3[[#This Row],[Order Date]],"mmmm")</f>
        <v>June</v>
      </c>
      <c r="D59" t="s">
        <v>3216</v>
      </c>
      <c r="E59" t="s">
        <v>3222</v>
      </c>
      <c r="F59" t="s">
        <v>3226</v>
      </c>
      <c r="G59" s="4">
        <v>28179.07</v>
      </c>
      <c r="H59" s="4">
        <v>19569.95</v>
      </c>
      <c r="I59" s="3" t="s">
        <v>3734</v>
      </c>
      <c r="J59">
        <v>2</v>
      </c>
      <c r="K59" s="4">
        <f>Table3[[#This Row],[Sales]]-Table3[[#This Row],[Cost]]</f>
        <v>8609.119999999999</v>
      </c>
      <c r="L59" s="6">
        <f>Table3[[#This Row],[Profit]]/Table3[[#This Row],[Sales]]</f>
        <v>0.30551469583630686</v>
      </c>
    </row>
    <row r="60" spans="1:12" x14ac:dyDescent="0.25">
      <c r="A60" t="s">
        <v>69</v>
      </c>
      <c r="B60" s="2">
        <v>45005</v>
      </c>
      <c r="C60" s="2" t="str">
        <f>TEXT(Table3[[#This Row],[Order Date]],"mmmm")</f>
        <v>March</v>
      </c>
      <c r="D60" t="s">
        <v>3731</v>
      </c>
      <c r="E60" t="s">
        <v>3225</v>
      </c>
      <c r="F60" t="s">
        <v>3226</v>
      </c>
      <c r="G60" s="4">
        <v>19936.93</v>
      </c>
      <c r="H60" s="4">
        <v>12803.86</v>
      </c>
      <c r="I60" s="3" t="s">
        <v>3734</v>
      </c>
      <c r="J60">
        <v>1</v>
      </c>
      <c r="K60" s="4">
        <f>Table3[[#This Row],[Sales]]-Table3[[#This Row],[Cost]]</f>
        <v>7133.07</v>
      </c>
      <c r="L60" s="6">
        <f>Table3[[#This Row],[Profit]]/Table3[[#This Row],[Sales]]</f>
        <v>0.3577817647952819</v>
      </c>
    </row>
    <row r="61" spans="1:12" x14ac:dyDescent="0.25">
      <c r="A61" t="s">
        <v>70</v>
      </c>
      <c r="B61" s="2">
        <v>45005</v>
      </c>
      <c r="C61" s="2" t="str">
        <f>TEXT(Table3[[#This Row],[Order Date]],"mmmm")</f>
        <v>March</v>
      </c>
      <c r="D61" t="s">
        <v>3731</v>
      </c>
      <c r="E61" t="s">
        <v>3222</v>
      </c>
      <c r="F61" t="s">
        <v>3226</v>
      </c>
      <c r="G61" s="4">
        <v>14760.71</v>
      </c>
      <c r="H61" s="4">
        <v>9961.92</v>
      </c>
      <c r="I61" s="3" t="s">
        <v>3734</v>
      </c>
      <c r="J61">
        <v>1</v>
      </c>
      <c r="K61" s="4">
        <f>Table3[[#This Row],[Sales]]-Table3[[#This Row],[Cost]]</f>
        <v>4798.7899999999991</v>
      </c>
      <c r="L61" s="6">
        <f>Table3[[#This Row],[Profit]]/Table3[[#This Row],[Sales]]</f>
        <v>0.32510563516253616</v>
      </c>
    </row>
    <row r="62" spans="1:12" x14ac:dyDescent="0.25">
      <c r="A62" t="s">
        <v>3233</v>
      </c>
      <c r="B62" s="2">
        <v>45102</v>
      </c>
      <c r="C62" s="2" t="str">
        <f>TEXT(Table3[[#This Row],[Order Date]],"mmmm")</f>
        <v>June</v>
      </c>
      <c r="D62" t="s">
        <v>3220</v>
      </c>
      <c r="E62" t="s">
        <v>3224</v>
      </c>
      <c r="F62" t="s">
        <v>3226</v>
      </c>
      <c r="G62" s="4">
        <v>124892.9</v>
      </c>
      <c r="H62" s="4">
        <v>81536.600000000006</v>
      </c>
      <c r="I62" s="3" t="s">
        <v>3734</v>
      </c>
      <c r="J62">
        <v>2</v>
      </c>
      <c r="K62" s="4">
        <f>Table3[[#This Row],[Sales]]-Table3[[#This Row],[Cost]]</f>
        <v>43356.299999999988</v>
      </c>
      <c r="L62" s="6">
        <f>Table3[[#This Row],[Profit]]/Table3[[#This Row],[Sales]]</f>
        <v>0.34714783626611273</v>
      </c>
    </row>
    <row r="63" spans="1:12" x14ac:dyDescent="0.25">
      <c r="A63" t="s">
        <v>72</v>
      </c>
      <c r="B63" s="2" t="s">
        <v>3729</v>
      </c>
      <c r="C63" s="2" t="str">
        <f>TEXT(Table3[[#This Row],[Order Date]],"mmmm")</f>
        <v>Not Mentioned</v>
      </c>
      <c r="D63" t="s">
        <v>3731</v>
      </c>
      <c r="E63" t="s">
        <v>3223</v>
      </c>
      <c r="F63" t="s">
        <v>3226</v>
      </c>
      <c r="G63" s="4">
        <v>23153.74</v>
      </c>
      <c r="H63" s="4">
        <v>12350.62</v>
      </c>
      <c r="I63" s="3" t="s">
        <v>3734</v>
      </c>
      <c r="J63">
        <v>2</v>
      </c>
      <c r="K63" s="4">
        <f>Table3[[#This Row],[Sales]]-Table3[[#This Row],[Cost]]</f>
        <v>10803.12</v>
      </c>
      <c r="L63" s="6">
        <f>Table3[[#This Row],[Profit]]/Table3[[#This Row],[Sales]]</f>
        <v>0.46658207270186158</v>
      </c>
    </row>
    <row r="64" spans="1:12" x14ac:dyDescent="0.25">
      <c r="A64" t="s">
        <v>73</v>
      </c>
      <c r="B64" s="2" t="s">
        <v>3729</v>
      </c>
      <c r="C64" s="2" t="str">
        <f>TEXT(Table3[[#This Row],[Order Date]],"mmmm")</f>
        <v>Not Mentioned</v>
      </c>
      <c r="D64" t="s">
        <v>3220</v>
      </c>
      <c r="E64" t="s">
        <v>3222</v>
      </c>
      <c r="F64" t="s">
        <v>3226</v>
      </c>
      <c r="G64" s="4">
        <v>60077.85</v>
      </c>
      <c r="H64" s="4">
        <v>48062.28</v>
      </c>
      <c r="I64" s="3" t="s">
        <v>3735</v>
      </c>
      <c r="J64">
        <v>5</v>
      </c>
      <c r="K64" s="4">
        <f>Table3[[#This Row],[Sales]]-Table3[[#This Row],[Cost]]</f>
        <v>12015.57</v>
      </c>
      <c r="L64" s="6">
        <f>Table3[[#This Row],[Profit]]/Table3[[#This Row],[Sales]]</f>
        <v>0.2</v>
      </c>
    </row>
    <row r="65" spans="1:12" x14ac:dyDescent="0.25">
      <c r="A65" t="s">
        <v>75</v>
      </c>
      <c r="B65" s="2">
        <v>44941</v>
      </c>
      <c r="C65" s="2" t="str">
        <f>TEXT(Table3[[#This Row],[Order Date]],"mmmm")</f>
        <v>January</v>
      </c>
      <c r="D65" t="s">
        <v>3220</v>
      </c>
      <c r="E65" t="s">
        <v>3222</v>
      </c>
      <c r="F65" t="s">
        <v>3226</v>
      </c>
      <c r="G65" s="4">
        <v>50572.13</v>
      </c>
      <c r="H65" s="4">
        <v>38474.120000000003</v>
      </c>
      <c r="I65" s="3" t="s">
        <v>3734</v>
      </c>
      <c r="J65">
        <v>4</v>
      </c>
      <c r="K65" s="4">
        <f>Table3[[#This Row],[Sales]]-Table3[[#This Row],[Cost]]</f>
        <v>12098.009999999995</v>
      </c>
      <c r="L65" s="6">
        <f>Table3[[#This Row],[Profit]]/Table3[[#This Row],[Sales]]</f>
        <v>0.23922286840597767</v>
      </c>
    </row>
    <row r="66" spans="1:12" x14ac:dyDescent="0.25">
      <c r="A66" t="s">
        <v>76</v>
      </c>
      <c r="B66" s="2">
        <v>44972</v>
      </c>
      <c r="C66" s="2" t="str">
        <f>TEXT(Table3[[#This Row],[Order Date]],"mmmm")</f>
        <v>February</v>
      </c>
      <c r="D66" t="s">
        <v>3220</v>
      </c>
      <c r="E66" t="s">
        <v>3225</v>
      </c>
      <c r="F66" t="s">
        <v>3226</v>
      </c>
      <c r="G66" s="4">
        <v>71462.929999999993</v>
      </c>
      <c r="H66" s="4">
        <v>52400.98</v>
      </c>
      <c r="I66" s="3" t="s">
        <v>3734</v>
      </c>
      <c r="J66">
        <v>4</v>
      </c>
      <c r="K66" s="4">
        <f>Table3[[#This Row],[Sales]]-Table3[[#This Row],[Cost]]</f>
        <v>19061.94999999999</v>
      </c>
      <c r="L66" s="6">
        <f>Table3[[#This Row],[Profit]]/Table3[[#This Row],[Sales]]</f>
        <v>0.26673899320948624</v>
      </c>
    </row>
    <row r="67" spans="1:12" x14ac:dyDescent="0.25">
      <c r="A67" t="s">
        <v>77</v>
      </c>
      <c r="B67" s="2">
        <v>44941</v>
      </c>
      <c r="C67" s="2" t="str">
        <f>TEXT(Table3[[#This Row],[Order Date]],"mmmm")</f>
        <v>January</v>
      </c>
      <c r="D67" t="s">
        <v>3220</v>
      </c>
      <c r="E67" t="s">
        <v>3223</v>
      </c>
      <c r="F67" t="s">
        <v>3226</v>
      </c>
      <c r="G67" s="4">
        <v>28545.27</v>
      </c>
      <c r="H67" s="4">
        <v>19621.599999999999</v>
      </c>
      <c r="I67" s="3" t="s">
        <v>3734</v>
      </c>
      <c r="J67">
        <v>3</v>
      </c>
      <c r="K67" s="4">
        <f>Table3[[#This Row],[Sales]]-Table3[[#This Row],[Cost]]</f>
        <v>8923.6700000000019</v>
      </c>
      <c r="L67" s="6">
        <f>Table3[[#This Row],[Profit]]/Table3[[#This Row],[Sales]]</f>
        <v>0.31261466435595114</v>
      </c>
    </row>
    <row r="68" spans="1:12" x14ac:dyDescent="0.25">
      <c r="A68" t="s">
        <v>78</v>
      </c>
      <c r="B68" s="2">
        <v>45005</v>
      </c>
      <c r="C68" s="2" t="str">
        <f>TEXT(Table3[[#This Row],[Order Date]],"mmmm")</f>
        <v>March</v>
      </c>
      <c r="D68" t="s">
        <v>3731</v>
      </c>
      <c r="E68" t="s">
        <v>3224</v>
      </c>
      <c r="F68" t="s">
        <v>3226</v>
      </c>
      <c r="G68" s="4">
        <v>258343.1</v>
      </c>
      <c r="H68" s="4">
        <v>205085.12</v>
      </c>
      <c r="I68" s="3" t="s">
        <v>3734</v>
      </c>
      <c r="J68">
        <v>5</v>
      </c>
      <c r="K68" s="4">
        <f>Table3[[#This Row],[Sales]]-Table3[[#This Row],[Cost]]</f>
        <v>53257.98000000001</v>
      </c>
      <c r="L68" s="6">
        <f>Table3[[#This Row],[Profit]]/Table3[[#This Row],[Sales]]</f>
        <v>0.20615212870016661</v>
      </c>
    </row>
    <row r="69" spans="1:12" x14ac:dyDescent="0.25">
      <c r="A69" t="s">
        <v>79</v>
      </c>
      <c r="B69" s="2" t="s">
        <v>3729</v>
      </c>
      <c r="C69" s="2" t="str">
        <f>TEXT(Table3[[#This Row],[Order Date]],"mmmm")</f>
        <v>Not Mentioned</v>
      </c>
      <c r="D69" t="s">
        <v>3220</v>
      </c>
      <c r="E69" t="s">
        <v>3222</v>
      </c>
      <c r="F69" t="s">
        <v>3226</v>
      </c>
      <c r="G69" s="4">
        <v>89471.360000000001</v>
      </c>
      <c r="H69" s="4">
        <v>43900.49</v>
      </c>
      <c r="I69" s="3" t="s">
        <v>3734</v>
      </c>
      <c r="J69">
        <v>5</v>
      </c>
      <c r="K69" s="4">
        <f>Table3[[#This Row],[Sales]]-Table3[[#This Row],[Cost]]</f>
        <v>45570.87</v>
      </c>
      <c r="L69" s="6">
        <f>Table3[[#This Row],[Profit]]/Table3[[#This Row],[Sales]]</f>
        <v>0.50933471895364058</v>
      </c>
    </row>
    <row r="70" spans="1:12" x14ac:dyDescent="0.25">
      <c r="A70" t="s">
        <v>80</v>
      </c>
      <c r="B70" s="2">
        <v>44941</v>
      </c>
      <c r="C70" s="2" t="str">
        <f>TEXT(Table3[[#This Row],[Order Date]],"mmmm")</f>
        <v>January</v>
      </c>
      <c r="D70" t="s">
        <v>3216</v>
      </c>
      <c r="E70" t="s">
        <v>3222</v>
      </c>
      <c r="F70" t="s">
        <v>3226</v>
      </c>
      <c r="G70" s="4">
        <v>16310.74</v>
      </c>
      <c r="H70" s="4">
        <v>9837.59</v>
      </c>
      <c r="I70" s="3" t="s">
        <v>3734</v>
      </c>
      <c r="J70">
        <v>1</v>
      </c>
      <c r="K70" s="4">
        <f>Table3[[#This Row],[Sales]]-Table3[[#This Row],[Cost]]</f>
        <v>6473.15</v>
      </c>
      <c r="L70" s="6">
        <f>Table3[[#This Row],[Profit]]/Table3[[#This Row],[Sales]]</f>
        <v>0.39686427470488767</v>
      </c>
    </row>
    <row r="71" spans="1:12" x14ac:dyDescent="0.25">
      <c r="A71" t="s">
        <v>81</v>
      </c>
      <c r="B71" s="2" t="s">
        <v>3729</v>
      </c>
      <c r="C71" s="2" t="str">
        <f>TEXT(Table3[[#This Row],[Order Date]],"mmmm")</f>
        <v>Not Mentioned</v>
      </c>
      <c r="D71" t="s">
        <v>3730</v>
      </c>
      <c r="E71" t="s">
        <v>3222</v>
      </c>
      <c r="F71" t="s">
        <v>3226</v>
      </c>
      <c r="G71" s="4">
        <v>15663.72</v>
      </c>
      <c r="H71" s="4">
        <v>9221.58</v>
      </c>
      <c r="I71" s="3" t="s">
        <v>3734</v>
      </c>
      <c r="J71">
        <v>1</v>
      </c>
      <c r="K71" s="4">
        <f>Table3[[#This Row],[Sales]]-Table3[[#This Row],[Cost]]</f>
        <v>6442.1399999999994</v>
      </c>
      <c r="L71" s="6">
        <f>Table3[[#This Row],[Profit]]/Table3[[#This Row],[Sales]]</f>
        <v>0.41127778075706151</v>
      </c>
    </row>
    <row r="72" spans="1:12" x14ac:dyDescent="0.25">
      <c r="A72" t="s">
        <v>82</v>
      </c>
      <c r="B72" s="2">
        <v>44941</v>
      </c>
      <c r="C72" s="2" t="str">
        <f>TEXT(Table3[[#This Row],[Order Date]],"mmmm")</f>
        <v>January</v>
      </c>
      <c r="D72" t="s">
        <v>3220</v>
      </c>
      <c r="E72" t="s">
        <v>3223</v>
      </c>
      <c r="F72" t="s">
        <v>3226</v>
      </c>
      <c r="G72" s="4">
        <v>20388.82</v>
      </c>
      <c r="H72" s="4">
        <v>13821.23</v>
      </c>
      <c r="I72" s="3" t="s">
        <v>3734</v>
      </c>
      <c r="J72">
        <v>2</v>
      </c>
      <c r="K72" s="4">
        <f>Table3[[#This Row],[Sales]]-Table3[[#This Row],[Cost]]</f>
        <v>6567.59</v>
      </c>
      <c r="L72" s="6">
        <f>Table3[[#This Row],[Profit]]/Table3[[#This Row],[Sales]]</f>
        <v>0.32211721914264779</v>
      </c>
    </row>
    <row r="73" spans="1:12" x14ac:dyDescent="0.25">
      <c r="A73" t="s">
        <v>83</v>
      </c>
      <c r="B73" s="2">
        <v>44972</v>
      </c>
      <c r="C73" s="2" t="str">
        <f>TEXT(Table3[[#This Row],[Order Date]],"mmmm")</f>
        <v>February</v>
      </c>
      <c r="D73" t="s">
        <v>3216</v>
      </c>
      <c r="E73" t="s">
        <v>3222</v>
      </c>
      <c r="F73" t="s">
        <v>3226</v>
      </c>
      <c r="G73" s="4">
        <v>42279.63</v>
      </c>
      <c r="H73" s="4">
        <v>32471.47</v>
      </c>
      <c r="I73" s="3" t="s">
        <v>3734</v>
      </c>
      <c r="J73">
        <v>3</v>
      </c>
      <c r="K73" s="4">
        <f>Table3[[#This Row],[Sales]]-Table3[[#This Row],[Cost]]</f>
        <v>9808.1599999999962</v>
      </c>
      <c r="L73" s="6">
        <f>Table3[[#This Row],[Profit]]/Table3[[#This Row],[Sales]]</f>
        <v>0.23198310865066693</v>
      </c>
    </row>
    <row r="74" spans="1:12" x14ac:dyDescent="0.25">
      <c r="A74" t="s">
        <v>84</v>
      </c>
      <c r="B74" s="2">
        <v>45005</v>
      </c>
      <c r="C74" s="2" t="str">
        <f>TEXT(Table3[[#This Row],[Order Date]],"mmmm")</f>
        <v>March</v>
      </c>
      <c r="D74" t="s">
        <v>3730</v>
      </c>
      <c r="E74" t="s">
        <v>3222</v>
      </c>
      <c r="F74" t="s">
        <v>3226</v>
      </c>
      <c r="G74" s="4">
        <v>52676.09</v>
      </c>
      <c r="H74" s="4">
        <v>42140.872000000003</v>
      </c>
      <c r="I74" s="3" t="s">
        <v>3735</v>
      </c>
      <c r="J74">
        <v>3</v>
      </c>
      <c r="K74" s="4">
        <f>Table3[[#This Row],[Sales]]-Table3[[#This Row],[Cost]]</f>
        <v>10535.217999999993</v>
      </c>
      <c r="L74" s="6">
        <f>Table3[[#This Row],[Profit]]/Table3[[#This Row],[Sales]]</f>
        <v>0.1999999999999999</v>
      </c>
    </row>
    <row r="75" spans="1:12" x14ac:dyDescent="0.25">
      <c r="A75" t="s">
        <v>85</v>
      </c>
      <c r="B75" s="2" t="s">
        <v>3729</v>
      </c>
      <c r="C75" s="2" t="str">
        <f>TEXT(Table3[[#This Row],[Order Date]],"mmmm")</f>
        <v>Not Mentioned</v>
      </c>
      <c r="D75" t="s">
        <v>3220</v>
      </c>
      <c r="E75" t="s">
        <v>3224</v>
      </c>
      <c r="F75" t="s">
        <v>3226</v>
      </c>
      <c r="G75" s="4">
        <v>268283.01</v>
      </c>
      <c r="H75" s="4">
        <v>226898.92</v>
      </c>
      <c r="I75" s="3" t="s">
        <v>3734</v>
      </c>
      <c r="J75">
        <v>5</v>
      </c>
      <c r="K75" s="4">
        <f>Table3[[#This Row],[Sales]]-Table3[[#This Row],[Cost]]</f>
        <v>41384.089999999997</v>
      </c>
      <c r="L75" s="6">
        <f>Table3[[#This Row],[Profit]]/Table3[[#This Row],[Sales]]</f>
        <v>0.15425535146634889</v>
      </c>
    </row>
    <row r="76" spans="1:12" x14ac:dyDescent="0.25">
      <c r="A76" t="s">
        <v>86</v>
      </c>
      <c r="B76" s="2" t="s">
        <v>3729</v>
      </c>
      <c r="C76" s="2" t="str">
        <f>TEXT(Table3[[#This Row],[Order Date]],"mmmm")</f>
        <v>Not Mentioned</v>
      </c>
      <c r="D76" t="s">
        <v>3220</v>
      </c>
      <c r="E76" t="s">
        <v>3222</v>
      </c>
      <c r="F76" t="s">
        <v>3226</v>
      </c>
      <c r="G76" s="4">
        <v>13393.28</v>
      </c>
      <c r="H76" s="4">
        <v>10748.94</v>
      </c>
      <c r="I76" s="3" t="s">
        <v>3734</v>
      </c>
      <c r="J76">
        <v>1</v>
      </c>
      <c r="K76" s="4">
        <f>Table3[[#This Row],[Sales]]-Table3[[#This Row],[Cost]]</f>
        <v>2644.34</v>
      </c>
      <c r="L76" s="6">
        <f>Table3[[#This Row],[Profit]]/Table3[[#This Row],[Sales]]</f>
        <v>0.19743781956324366</v>
      </c>
    </row>
    <row r="77" spans="1:12" x14ac:dyDescent="0.25">
      <c r="A77" t="s">
        <v>87</v>
      </c>
      <c r="B77" s="2" t="s">
        <v>3729</v>
      </c>
      <c r="C77" s="2" t="str">
        <f>TEXT(Table3[[#This Row],[Order Date]],"mmmm")</f>
        <v>Not Mentioned</v>
      </c>
      <c r="D77" t="s">
        <v>3220</v>
      </c>
      <c r="E77" t="s">
        <v>3222</v>
      </c>
      <c r="F77" t="s">
        <v>3226</v>
      </c>
      <c r="G77" s="4">
        <v>42028.3</v>
      </c>
      <c r="H77" s="4">
        <v>26544.54</v>
      </c>
      <c r="I77" s="3" t="s">
        <v>3734</v>
      </c>
      <c r="J77">
        <v>3</v>
      </c>
      <c r="K77" s="4">
        <f>Table3[[#This Row],[Sales]]-Table3[[#This Row],[Cost]]</f>
        <v>15483.760000000002</v>
      </c>
      <c r="L77" s="6">
        <f>Table3[[#This Row],[Profit]]/Table3[[#This Row],[Sales]]</f>
        <v>0.3684127123866538</v>
      </c>
    </row>
    <row r="78" spans="1:12" x14ac:dyDescent="0.25">
      <c r="A78" t="s">
        <v>88</v>
      </c>
      <c r="B78" s="2" t="s">
        <v>3729</v>
      </c>
      <c r="C78" s="2" t="str">
        <f>TEXT(Table3[[#This Row],[Order Date]],"mmmm")</f>
        <v>Not Mentioned</v>
      </c>
      <c r="D78" t="s">
        <v>3730</v>
      </c>
      <c r="E78" t="s">
        <v>3224</v>
      </c>
      <c r="F78" t="s">
        <v>3226</v>
      </c>
      <c r="G78" s="4">
        <v>269818.7</v>
      </c>
      <c r="H78" s="4">
        <v>215854.96000000002</v>
      </c>
      <c r="I78" s="3" t="s">
        <v>3735</v>
      </c>
      <c r="J78">
        <v>5</v>
      </c>
      <c r="K78" s="4">
        <f>Table3[[#This Row],[Sales]]-Table3[[#This Row],[Cost]]</f>
        <v>53963.739999999991</v>
      </c>
      <c r="L78" s="6">
        <f>Table3[[#This Row],[Profit]]/Table3[[#This Row],[Sales]]</f>
        <v>0.19999999999999996</v>
      </c>
    </row>
    <row r="79" spans="1:12" x14ac:dyDescent="0.25">
      <c r="A79" t="s">
        <v>89</v>
      </c>
      <c r="B79" s="2">
        <v>44972</v>
      </c>
      <c r="C79" s="2" t="str">
        <f>TEXT(Table3[[#This Row],[Order Date]],"mmmm")</f>
        <v>February</v>
      </c>
      <c r="D79" t="s">
        <v>3731</v>
      </c>
      <c r="E79" t="s">
        <v>3222</v>
      </c>
      <c r="F79" t="s">
        <v>3226</v>
      </c>
      <c r="G79" s="4">
        <v>58968.01</v>
      </c>
      <c r="H79" s="4">
        <v>40039.58</v>
      </c>
      <c r="I79" s="3" t="s">
        <v>3734</v>
      </c>
      <c r="J79">
        <v>4</v>
      </c>
      <c r="K79" s="4">
        <f>Table3[[#This Row],[Sales]]-Table3[[#This Row],[Cost]]</f>
        <v>18928.43</v>
      </c>
      <c r="L79" s="6">
        <f>Table3[[#This Row],[Profit]]/Table3[[#This Row],[Sales]]</f>
        <v>0.32099489197617487</v>
      </c>
    </row>
    <row r="80" spans="1:12" x14ac:dyDescent="0.25">
      <c r="A80" t="s">
        <v>90</v>
      </c>
      <c r="B80" s="2" t="s">
        <v>3729</v>
      </c>
      <c r="C80" s="2" t="str">
        <f>TEXT(Table3[[#This Row],[Order Date]],"mmmm")</f>
        <v>Not Mentioned</v>
      </c>
      <c r="D80" t="s">
        <v>3731</v>
      </c>
      <c r="E80" t="s">
        <v>3222</v>
      </c>
      <c r="F80" t="s">
        <v>3226</v>
      </c>
      <c r="G80" s="4">
        <v>48491.07</v>
      </c>
      <c r="H80" s="4">
        <v>29570.43</v>
      </c>
      <c r="I80" s="3" t="s">
        <v>3734</v>
      </c>
      <c r="J80">
        <v>3</v>
      </c>
      <c r="K80" s="4">
        <f>Table3[[#This Row],[Sales]]-Table3[[#This Row],[Cost]]</f>
        <v>18920.64</v>
      </c>
      <c r="L80" s="6">
        <f>Table3[[#This Row],[Profit]]/Table3[[#This Row],[Sales]]</f>
        <v>0.39018813154669507</v>
      </c>
    </row>
    <row r="81" spans="1:12" x14ac:dyDescent="0.25">
      <c r="A81" t="s">
        <v>92</v>
      </c>
      <c r="B81" s="2">
        <v>44941</v>
      </c>
      <c r="C81" s="2" t="str">
        <f>TEXT(Table3[[#This Row],[Order Date]],"mmmm")</f>
        <v>January</v>
      </c>
      <c r="D81" t="s">
        <v>3220</v>
      </c>
      <c r="E81" t="s">
        <v>3223</v>
      </c>
      <c r="F81" t="s">
        <v>3226</v>
      </c>
      <c r="G81" s="4">
        <v>22169.97</v>
      </c>
      <c r="H81" s="4">
        <v>17735.976000000002</v>
      </c>
      <c r="I81" s="3" t="s">
        <v>3735</v>
      </c>
      <c r="J81">
        <v>2</v>
      </c>
      <c r="K81" s="4">
        <f>Table3[[#This Row],[Sales]]-Table3[[#This Row],[Cost]]</f>
        <v>4433.9939999999988</v>
      </c>
      <c r="L81" s="6">
        <f>Table3[[#This Row],[Profit]]/Table3[[#This Row],[Sales]]</f>
        <v>0.19999999999999993</v>
      </c>
    </row>
    <row r="82" spans="1:12" x14ac:dyDescent="0.25">
      <c r="A82" t="s">
        <v>93</v>
      </c>
      <c r="B82" s="2">
        <v>45102</v>
      </c>
      <c r="C82" s="2" t="str">
        <f>TEXT(Table3[[#This Row],[Order Date]],"mmmm")</f>
        <v>June</v>
      </c>
      <c r="D82" t="s">
        <v>3220</v>
      </c>
      <c r="E82" t="s">
        <v>3224</v>
      </c>
      <c r="F82" t="s">
        <v>3226</v>
      </c>
      <c r="G82" s="4">
        <v>259862.46</v>
      </c>
      <c r="H82" s="4">
        <v>201730.55</v>
      </c>
      <c r="I82" s="3" t="s">
        <v>3734</v>
      </c>
      <c r="J82">
        <v>5</v>
      </c>
      <c r="K82" s="4">
        <f>Table3[[#This Row],[Sales]]-Table3[[#This Row],[Cost]]</f>
        <v>58131.91</v>
      </c>
      <c r="L82" s="6">
        <f>Table3[[#This Row],[Profit]]/Table3[[#This Row],[Sales]]</f>
        <v>0.22370260791035382</v>
      </c>
    </row>
    <row r="83" spans="1:12" x14ac:dyDescent="0.25">
      <c r="A83" t="s">
        <v>94</v>
      </c>
      <c r="B83" s="2">
        <v>44972</v>
      </c>
      <c r="C83" s="2" t="str">
        <f>TEXT(Table3[[#This Row],[Order Date]],"mmmm")</f>
        <v>February</v>
      </c>
      <c r="D83" t="s">
        <v>3730</v>
      </c>
      <c r="E83" t="s">
        <v>3224</v>
      </c>
      <c r="F83" t="s">
        <v>3226</v>
      </c>
      <c r="G83" s="4">
        <v>52933.919999999998</v>
      </c>
      <c r="H83" s="4">
        <v>47112.639999999999</v>
      </c>
      <c r="I83" s="3" t="s">
        <v>3734</v>
      </c>
      <c r="J83">
        <v>1</v>
      </c>
      <c r="K83" s="4">
        <f>Table3[[#This Row],[Sales]]-Table3[[#This Row],[Cost]]</f>
        <v>5821.2799999999988</v>
      </c>
      <c r="L83" s="6">
        <f>Table3[[#This Row],[Profit]]/Table3[[#This Row],[Sales]]</f>
        <v>0.10997258468671882</v>
      </c>
    </row>
    <row r="84" spans="1:12" x14ac:dyDescent="0.25">
      <c r="A84" t="s">
        <v>3234</v>
      </c>
      <c r="B84" s="2">
        <v>44941</v>
      </c>
      <c r="C84" s="2" t="str">
        <f>TEXT(Table3[[#This Row],[Order Date]],"mmmm")</f>
        <v>January</v>
      </c>
      <c r="D84" t="s">
        <v>3220</v>
      </c>
      <c r="E84" t="s">
        <v>3222</v>
      </c>
      <c r="F84" t="s">
        <v>3226</v>
      </c>
      <c r="G84" s="4">
        <v>35021.46</v>
      </c>
      <c r="H84" s="4">
        <v>28017.168000000001</v>
      </c>
      <c r="I84" s="3" t="s">
        <v>3735</v>
      </c>
      <c r="J84">
        <v>2</v>
      </c>
      <c r="K84" s="4">
        <f>Table3[[#This Row],[Sales]]-Table3[[#This Row],[Cost]]</f>
        <v>7004.2919999999976</v>
      </c>
      <c r="L84" s="6">
        <f>Table3[[#This Row],[Profit]]/Table3[[#This Row],[Sales]]</f>
        <v>0.19999999999999993</v>
      </c>
    </row>
    <row r="85" spans="1:12" x14ac:dyDescent="0.25">
      <c r="A85" t="s">
        <v>96</v>
      </c>
      <c r="B85" s="2" t="s">
        <v>3729</v>
      </c>
      <c r="C85" s="2" t="str">
        <f>TEXT(Table3[[#This Row],[Order Date]],"mmmm")</f>
        <v>Not Mentioned</v>
      </c>
      <c r="D85" t="s">
        <v>3216</v>
      </c>
      <c r="E85" t="s">
        <v>3224</v>
      </c>
      <c r="F85" t="s">
        <v>3226</v>
      </c>
      <c r="G85" s="4">
        <v>189523.03</v>
      </c>
      <c r="H85" s="4">
        <v>115191.94</v>
      </c>
      <c r="I85" s="3" t="s">
        <v>3734</v>
      </c>
      <c r="J85">
        <v>3</v>
      </c>
      <c r="K85" s="4">
        <f>Table3[[#This Row],[Sales]]-Table3[[#This Row],[Cost]]</f>
        <v>74331.09</v>
      </c>
      <c r="L85" s="6">
        <f>Table3[[#This Row],[Profit]]/Table3[[#This Row],[Sales]]</f>
        <v>0.39220083174060694</v>
      </c>
    </row>
    <row r="86" spans="1:12" x14ac:dyDescent="0.25">
      <c r="A86" t="s">
        <v>97</v>
      </c>
      <c r="B86" s="2" t="s">
        <v>3729</v>
      </c>
      <c r="C86" s="2" t="str">
        <f>TEXT(Table3[[#This Row],[Order Date]],"mmmm")</f>
        <v>Not Mentioned</v>
      </c>
      <c r="D86" t="s">
        <v>3730</v>
      </c>
      <c r="E86" t="s">
        <v>3222</v>
      </c>
      <c r="F86" t="s">
        <v>3226</v>
      </c>
      <c r="G86" s="4">
        <v>65533.89</v>
      </c>
      <c r="H86" s="4">
        <v>46244.95</v>
      </c>
      <c r="I86" s="3" t="s">
        <v>3734</v>
      </c>
      <c r="J86">
        <v>5</v>
      </c>
      <c r="K86" s="4">
        <f>Table3[[#This Row],[Sales]]-Table3[[#This Row],[Cost]]</f>
        <v>19288.940000000002</v>
      </c>
      <c r="L86" s="6">
        <f>Table3[[#This Row],[Profit]]/Table3[[#This Row],[Sales]]</f>
        <v>0.29433534313314841</v>
      </c>
    </row>
    <row r="87" spans="1:12" x14ac:dyDescent="0.25">
      <c r="A87" t="s">
        <v>98</v>
      </c>
      <c r="B87" s="2">
        <v>44972</v>
      </c>
      <c r="C87" s="2" t="str">
        <f>TEXT(Table3[[#This Row],[Order Date]],"mmmm")</f>
        <v>February</v>
      </c>
      <c r="D87" t="s">
        <v>3220</v>
      </c>
      <c r="E87" t="s">
        <v>3224</v>
      </c>
      <c r="F87" t="s">
        <v>3226</v>
      </c>
      <c r="G87" s="4">
        <v>285327.11</v>
      </c>
      <c r="H87" s="4">
        <v>238306.77</v>
      </c>
      <c r="I87" s="3" t="s">
        <v>3734</v>
      </c>
      <c r="J87">
        <v>5</v>
      </c>
      <c r="K87" s="4">
        <f>Table3[[#This Row],[Sales]]-Table3[[#This Row],[Cost]]</f>
        <v>47020.34</v>
      </c>
      <c r="L87" s="6">
        <f>Table3[[#This Row],[Profit]]/Table3[[#This Row],[Sales]]</f>
        <v>0.16479450550632921</v>
      </c>
    </row>
    <row r="88" spans="1:12" x14ac:dyDescent="0.25">
      <c r="A88" t="s">
        <v>99</v>
      </c>
      <c r="B88" s="2">
        <v>44972</v>
      </c>
      <c r="C88" s="2" t="str">
        <f>TEXT(Table3[[#This Row],[Order Date]],"mmmm")</f>
        <v>February</v>
      </c>
      <c r="D88" t="s">
        <v>3216</v>
      </c>
      <c r="E88" t="s">
        <v>3225</v>
      </c>
      <c r="F88" t="s">
        <v>3226</v>
      </c>
      <c r="G88" s="4">
        <v>51725.77</v>
      </c>
      <c r="H88" s="4">
        <v>37610.25</v>
      </c>
      <c r="I88" s="3" t="s">
        <v>3734</v>
      </c>
      <c r="J88">
        <v>3</v>
      </c>
      <c r="K88" s="4">
        <f>Table3[[#This Row],[Sales]]-Table3[[#This Row],[Cost]]</f>
        <v>14115.519999999997</v>
      </c>
      <c r="L88" s="6">
        <f>Table3[[#This Row],[Profit]]/Table3[[#This Row],[Sales]]</f>
        <v>0.27289144269867799</v>
      </c>
    </row>
    <row r="89" spans="1:12" x14ac:dyDescent="0.25">
      <c r="A89" t="s">
        <v>3235</v>
      </c>
      <c r="B89" s="2">
        <v>45102</v>
      </c>
      <c r="C89" s="2" t="str">
        <f>TEXT(Table3[[#This Row],[Order Date]],"mmmm")</f>
        <v>June</v>
      </c>
      <c r="D89" t="s">
        <v>3731</v>
      </c>
      <c r="E89" t="s">
        <v>3224</v>
      </c>
      <c r="F89" t="s">
        <v>3226</v>
      </c>
      <c r="G89" s="4">
        <v>272619.73</v>
      </c>
      <c r="H89" s="4">
        <v>192014.72</v>
      </c>
      <c r="I89" s="3" t="s">
        <v>3734</v>
      </c>
      <c r="J89">
        <v>4</v>
      </c>
      <c r="K89" s="4">
        <f>Table3[[#This Row],[Sales]]-Table3[[#This Row],[Cost]]</f>
        <v>80605.00999999998</v>
      </c>
      <c r="L89" s="6">
        <f>Table3[[#This Row],[Profit]]/Table3[[#This Row],[Sales]]</f>
        <v>0.29566829223989027</v>
      </c>
    </row>
    <row r="90" spans="1:12" x14ac:dyDescent="0.25">
      <c r="A90" t="s">
        <v>101</v>
      </c>
      <c r="B90" s="2">
        <v>45021</v>
      </c>
      <c r="C90" s="2" t="str">
        <f>TEXT(Table3[[#This Row],[Order Date]],"mmmm")</f>
        <v>April</v>
      </c>
      <c r="D90" t="s">
        <v>3730</v>
      </c>
      <c r="E90" t="s">
        <v>3222</v>
      </c>
      <c r="F90" t="s">
        <v>3226</v>
      </c>
      <c r="G90" s="4">
        <v>15340.33</v>
      </c>
      <c r="H90" s="4">
        <v>10302.030000000001</v>
      </c>
      <c r="I90" s="3" t="s">
        <v>3734</v>
      </c>
      <c r="J90">
        <v>1</v>
      </c>
      <c r="K90" s="4">
        <f>Table3[[#This Row],[Sales]]-Table3[[#This Row],[Cost]]</f>
        <v>5038.2999999999993</v>
      </c>
      <c r="L90" s="6">
        <f>Table3[[#This Row],[Profit]]/Table3[[#This Row],[Sales]]</f>
        <v>0.32843491632839705</v>
      </c>
    </row>
    <row r="91" spans="1:12" x14ac:dyDescent="0.25">
      <c r="A91" t="s">
        <v>3236</v>
      </c>
      <c r="B91" s="2">
        <v>45102</v>
      </c>
      <c r="C91" s="2" t="str">
        <f>TEXT(Table3[[#This Row],[Order Date]],"mmmm")</f>
        <v>June</v>
      </c>
      <c r="D91" t="s">
        <v>3216</v>
      </c>
      <c r="E91" t="s">
        <v>3225</v>
      </c>
      <c r="F91" t="s">
        <v>3226</v>
      </c>
      <c r="G91" s="4">
        <v>96255.69</v>
      </c>
      <c r="H91" s="4">
        <v>77004.552000000011</v>
      </c>
      <c r="I91" s="3" t="s">
        <v>3735</v>
      </c>
      <c r="J91">
        <v>5</v>
      </c>
      <c r="K91" s="4">
        <f>Table3[[#This Row],[Sales]]-Table3[[#This Row],[Cost]]</f>
        <v>19251.137999999992</v>
      </c>
      <c r="L91" s="6">
        <f>Table3[[#This Row],[Profit]]/Table3[[#This Row],[Sales]]</f>
        <v>0.1999999999999999</v>
      </c>
    </row>
    <row r="92" spans="1:12" x14ac:dyDescent="0.25">
      <c r="A92" t="s">
        <v>103</v>
      </c>
      <c r="B92" s="2">
        <v>45102</v>
      </c>
      <c r="C92" s="2" t="str">
        <f>TEXT(Table3[[#This Row],[Order Date]],"mmmm")</f>
        <v>June</v>
      </c>
      <c r="D92" t="s">
        <v>3220</v>
      </c>
      <c r="E92" t="s">
        <v>3225</v>
      </c>
      <c r="F92" t="s">
        <v>3226</v>
      </c>
      <c r="G92" s="4">
        <v>46569.98</v>
      </c>
      <c r="H92" s="4">
        <v>28173.33</v>
      </c>
      <c r="I92" s="3" t="s">
        <v>3734</v>
      </c>
      <c r="J92">
        <v>2</v>
      </c>
      <c r="K92" s="4">
        <f>Table3[[#This Row],[Sales]]-Table3[[#This Row],[Cost]]</f>
        <v>18396.650000000001</v>
      </c>
      <c r="L92" s="6">
        <f>Table3[[#This Row],[Profit]]/Table3[[#This Row],[Sales]]</f>
        <v>0.39503237922799195</v>
      </c>
    </row>
    <row r="93" spans="1:12" x14ac:dyDescent="0.25">
      <c r="A93" t="s">
        <v>104</v>
      </c>
      <c r="B93" s="2">
        <v>44941</v>
      </c>
      <c r="C93" s="2" t="str">
        <f>TEXT(Table3[[#This Row],[Order Date]],"mmmm")</f>
        <v>January</v>
      </c>
      <c r="D93" t="s">
        <v>3730</v>
      </c>
      <c r="E93" t="s">
        <v>3223</v>
      </c>
      <c r="F93" t="s">
        <v>3226</v>
      </c>
      <c r="G93" s="4">
        <v>9744.51</v>
      </c>
      <c r="H93" s="4">
        <v>6465.32</v>
      </c>
      <c r="I93" s="3" t="s">
        <v>3734</v>
      </c>
      <c r="J93">
        <v>1</v>
      </c>
      <c r="K93" s="4">
        <f>Table3[[#This Row],[Sales]]-Table3[[#This Row],[Cost]]</f>
        <v>3279.1900000000005</v>
      </c>
      <c r="L93" s="6">
        <f>Table3[[#This Row],[Profit]]/Table3[[#This Row],[Sales]]</f>
        <v>0.33651666425505239</v>
      </c>
    </row>
    <row r="94" spans="1:12" x14ac:dyDescent="0.25">
      <c r="A94" t="s">
        <v>105</v>
      </c>
      <c r="B94" s="2">
        <v>44972</v>
      </c>
      <c r="C94" s="2" t="str">
        <f>TEXT(Table3[[#This Row],[Order Date]],"mmmm")</f>
        <v>February</v>
      </c>
      <c r="D94" t="s">
        <v>3730</v>
      </c>
      <c r="E94" t="s">
        <v>3222</v>
      </c>
      <c r="F94" t="s">
        <v>3226</v>
      </c>
      <c r="G94" s="4">
        <v>13612.06</v>
      </c>
      <c r="H94" s="4">
        <v>9854.09</v>
      </c>
      <c r="I94" s="3" t="s">
        <v>3734</v>
      </c>
      <c r="J94">
        <v>1</v>
      </c>
      <c r="K94" s="4">
        <f>Table3[[#This Row],[Sales]]-Table3[[#This Row],[Cost]]</f>
        <v>3757.9699999999993</v>
      </c>
      <c r="L94" s="6">
        <f>Table3[[#This Row],[Profit]]/Table3[[#This Row],[Sales]]</f>
        <v>0.27607650862543948</v>
      </c>
    </row>
    <row r="95" spans="1:12" x14ac:dyDescent="0.25">
      <c r="A95" t="s">
        <v>106</v>
      </c>
      <c r="B95" s="2" t="s">
        <v>3729</v>
      </c>
      <c r="C95" s="2" t="str">
        <f>TEXT(Table3[[#This Row],[Order Date]],"mmmm")</f>
        <v>Not Mentioned</v>
      </c>
      <c r="D95" t="s">
        <v>3730</v>
      </c>
      <c r="E95" t="s">
        <v>3224</v>
      </c>
      <c r="F95" t="s">
        <v>3226</v>
      </c>
      <c r="G95" s="4">
        <v>109070.75</v>
      </c>
      <c r="H95" s="4">
        <v>76913.789999999994</v>
      </c>
      <c r="I95" s="3" t="s">
        <v>3734</v>
      </c>
      <c r="J95">
        <v>2</v>
      </c>
      <c r="K95" s="4">
        <f>Table3[[#This Row],[Sales]]-Table3[[#This Row],[Cost]]</f>
        <v>32156.960000000006</v>
      </c>
      <c r="L95" s="6">
        <f>Table3[[#This Row],[Profit]]/Table3[[#This Row],[Sales]]</f>
        <v>0.29482661483486644</v>
      </c>
    </row>
    <row r="96" spans="1:12" x14ac:dyDescent="0.25">
      <c r="A96" t="s">
        <v>107</v>
      </c>
      <c r="B96" s="2">
        <v>44972</v>
      </c>
      <c r="C96" s="2" t="str">
        <f>TEXT(Table3[[#This Row],[Order Date]],"mmmm")</f>
        <v>February</v>
      </c>
      <c r="D96" t="s">
        <v>3730</v>
      </c>
      <c r="E96" t="s">
        <v>3223</v>
      </c>
      <c r="F96" t="s">
        <v>3226</v>
      </c>
      <c r="G96" s="4">
        <v>40219.919999999998</v>
      </c>
      <c r="H96" s="4">
        <v>30947.75</v>
      </c>
      <c r="I96" s="3" t="s">
        <v>3734</v>
      </c>
      <c r="J96">
        <v>5</v>
      </c>
      <c r="K96" s="4">
        <f>Table3[[#This Row],[Sales]]-Table3[[#This Row],[Cost]]</f>
        <v>9272.1699999999983</v>
      </c>
      <c r="L96" s="6">
        <f>Table3[[#This Row],[Profit]]/Table3[[#This Row],[Sales]]</f>
        <v>0.23053675889957012</v>
      </c>
    </row>
    <row r="97" spans="1:12" x14ac:dyDescent="0.25">
      <c r="A97" t="s">
        <v>3237</v>
      </c>
      <c r="B97" s="2">
        <v>44972</v>
      </c>
      <c r="C97" s="2" t="str">
        <f>TEXT(Table3[[#This Row],[Order Date]],"mmmm")</f>
        <v>February</v>
      </c>
      <c r="D97" t="s">
        <v>3730</v>
      </c>
      <c r="E97" t="s">
        <v>3224</v>
      </c>
      <c r="F97" t="s">
        <v>3226</v>
      </c>
      <c r="G97" s="4">
        <v>115410.31</v>
      </c>
      <c r="H97" s="4">
        <v>93845.51</v>
      </c>
      <c r="I97" s="3" t="s">
        <v>3734</v>
      </c>
      <c r="J97">
        <v>2</v>
      </c>
      <c r="K97" s="4">
        <f>Table3[[#This Row],[Sales]]-Table3[[#This Row],[Cost]]</f>
        <v>21564.800000000003</v>
      </c>
      <c r="L97" s="6">
        <f>Table3[[#This Row],[Profit]]/Table3[[#This Row],[Sales]]</f>
        <v>0.18685332358954762</v>
      </c>
    </row>
    <row r="98" spans="1:12" x14ac:dyDescent="0.25">
      <c r="A98" t="s">
        <v>109</v>
      </c>
      <c r="B98" s="2" t="s">
        <v>3729</v>
      </c>
      <c r="C98" s="2" t="str">
        <f>TEXT(Table3[[#This Row],[Order Date]],"mmmm")</f>
        <v>Not Mentioned</v>
      </c>
      <c r="D98" t="s">
        <v>3220</v>
      </c>
      <c r="E98" t="s">
        <v>3224</v>
      </c>
      <c r="F98" t="s">
        <v>3226</v>
      </c>
      <c r="G98" s="4">
        <v>164785.95000000001</v>
      </c>
      <c r="H98" s="4">
        <v>126753.95</v>
      </c>
      <c r="I98" s="3" t="s">
        <v>3734</v>
      </c>
      <c r="J98">
        <v>3</v>
      </c>
      <c r="K98" s="4">
        <f>Table3[[#This Row],[Sales]]-Table3[[#This Row],[Cost]]</f>
        <v>38032.000000000015</v>
      </c>
      <c r="L98" s="6">
        <f>Table3[[#This Row],[Profit]]/Table3[[#This Row],[Sales]]</f>
        <v>0.23079637554051186</v>
      </c>
    </row>
    <row r="99" spans="1:12" x14ac:dyDescent="0.25">
      <c r="A99" t="s">
        <v>110</v>
      </c>
      <c r="B99" s="2">
        <v>44972</v>
      </c>
      <c r="C99" s="2" t="str">
        <f>TEXT(Table3[[#This Row],[Order Date]],"mmmm")</f>
        <v>February</v>
      </c>
      <c r="D99" t="s">
        <v>3220</v>
      </c>
      <c r="E99" t="s">
        <v>3224</v>
      </c>
      <c r="F99" t="s">
        <v>3226</v>
      </c>
      <c r="G99" s="4">
        <v>54477.87</v>
      </c>
      <c r="H99" s="4">
        <v>44323.23</v>
      </c>
      <c r="I99" s="3" t="s">
        <v>3734</v>
      </c>
      <c r="J99">
        <v>1</v>
      </c>
      <c r="K99" s="4">
        <f>Table3[[#This Row],[Sales]]-Table3[[#This Row],[Cost]]</f>
        <v>10154.64</v>
      </c>
      <c r="L99" s="6">
        <f>Table3[[#This Row],[Profit]]/Table3[[#This Row],[Sales]]</f>
        <v>0.18639935812468436</v>
      </c>
    </row>
    <row r="100" spans="1:12" x14ac:dyDescent="0.25">
      <c r="A100" t="s">
        <v>111</v>
      </c>
      <c r="B100" s="2">
        <v>45005</v>
      </c>
      <c r="C100" s="2" t="str">
        <f>TEXT(Table3[[#This Row],[Order Date]],"mmmm")</f>
        <v>March</v>
      </c>
      <c r="D100" t="s">
        <v>3731</v>
      </c>
      <c r="E100" t="s">
        <v>3225</v>
      </c>
      <c r="F100" t="s">
        <v>3226</v>
      </c>
      <c r="G100" s="4">
        <v>33705.57</v>
      </c>
      <c r="H100" s="4">
        <v>24325.96</v>
      </c>
      <c r="I100" s="3" t="s">
        <v>3734</v>
      </c>
      <c r="J100">
        <v>2</v>
      </c>
      <c r="K100" s="4">
        <f>Table3[[#This Row],[Sales]]-Table3[[#This Row],[Cost]]</f>
        <v>9379.61</v>
      </c>
      <c r="L100" s="6">
        <f>Table3[[#This Row],[Profit]]/Table3[[#This Row],[Sales]]</f>
        <v>0.27828071146697714</v>
      </c>
    </row>
    <row r="101" spans="1:12" x14ac:dyDescent="0.25">
      <c r="A101" t="s">
        <v>112</v>
      </c>
      <c r="B101" s="2">
        <v>44941</v>
      </c>
      <c r="C101" s="2" t="str">
        <f>TEXT(Table3[[#This Row],[Order Date]],"mmmm")</f>
        <v>January</v>
      </c>
      <c r="D101" t="s">
        <v>3730</v>
      </c>
      <c r="E101" t="s">
        <v>3225</v>
      </c>
      <c r="F101" t="s">
        <v>3226</v>
      </c>
      <c r="G101" s="4">
        <v>80093.58</v>
      </c>
      <c r="H101" s="4">
        <v>64074.864000000001</v>
      </c>
      <c r="I101" s="3" t="s">
        <v>3735</v>
      </c>
      <c r="J101">
        <v>5</v>
      </c>
      <c r="K101" s="4">
        <f>Table3[[#This Row],[Sales]]-Table3[[#This Row],[Cost]]</f>
        <v>16018.716</v>
      </c>
      <c r="L101" s="6">
        <f>Table3[[#This Row],[Profit]]/Table3[[#This Row],[Sales]]</f>
        <v>0.2</v>
      </c>
    </row>
    <row r="102" spans="1:12" x14ac:dyDescent="0.25">
      <c r="A102" t="s">
        <v>113</v>
      </c>
      <c r="B102" s="2" t="s">
        <v>3729</v>
      </c>
      <c r="C102" s="2" t="str">
        <f>TEXT(Table3[[#This Row],[Order Date]],"mmmm")</f>
        <v>Not Mentioned</v>
      </c>
      <c r="D102" t="s">
        <v>3220</v>
      </c>
      <c r="E102" t="s">
        <v>3224</v>
      </c>
      <c r="F102" t="s">
        <v>3226</v>
      </c>
      <c r="G102" s="4">
        <v>52443.19</v>
      </c>
      <c r="H102" s="4">
        <v>44346.39</v>
      </c>
      <c r="I102" s="3" t="s">
        <v>3734</v>
      </c>
      <c r="J102">
        <v>1</v>
      </c>
      <c r="K102" s="4">
        <f>Table3[[#This Row],[Sales]]-Table3[[#This Row],[Cost]]</f>
        <v>8096.8000000000029</v>
      </c>
      <c r="L102" s="6">
        <f>Table3[[#This Row],[Profit]]/Table3[[#This Row],[Sales]]</f>
        <v>0.15439182856725539</v>
      </c>
    </row>
    <row r="103" spans="1:12" x14ac:dyDescent="0.25">
      <c r="A103" t="s">
        <v>114</v>
      </c>
      <c r="B103" s="2">
        <v>44972</v>
      </c>
      <c r="C103" s="2" t="str">
        <f>TEXT(Table3[[#This Row],[Order Date]],"mmmm")</f>
        <v>February</v>
      </c>
      <c r="D103" t="s">
        <v>3730</v>
      </c>
      <c r="E103" t="s">
        <v>3225</v>
      </c>
      <c r="F103" t="s">
        <v>3226</v>
      </c>
      <c r="G103" s="4">
        <v>21173.32</v>
      </c>
      <c r="H103" s="4">
        <v>16938.655999999999</v>
      </c>
      <c r="I103" s="3" t="s">
        <v>3735</v>
      </c>
      <c r="J103" t="s">
        <v>3732</v>
      </c>
      <c r="K103" s="4">
        <f>Table3[[#This Row],[Sales]]-Table3[[#This Row],[Cost]]</f>
        <v>4234.6640000000007</v>
      </c>
      <c r="L103" s="6">
        <f>Table3[[#This Row],[Profit]]/Table3[[#This Row],[Sales]]</f>
        <v>0.20000000000000004</v>
      </c>
    </row>
    <row r="104" spans="1:12" x14ac:dyDescent="0.25">
      <c r="A104" t="s">
        <v>115</v>
      </c>
      <c r="B104" s="2" t="s">
        <v>3729</v>
      </c>
      <c r="C104" s="2" t="str">
        <f>TEXT(Table3[[#This Row],[Order Date]],"mmmm")</f>
        <v>Not Mentioned</v>
      </c>
      <c r="D104" t="s">
        <v>3216</v>
      </c>
      <c r="E104" t="s">
        <v>3225</v>
      </c>
      <c r="F104" t="s">
        <v>3226</v>
      </c>
      <c r="G104" s="4">
        <v>37005.68</v>
      </c>
      <c r="H104" s="4">
        <v>24643.66</v>
      </c>
      <c r="I104" s="3" t="s">
        <v>3734</v>
      </c>
      <c r="J104">
        <v>2</v>
      </c>
      <c r="K104" s="4">
        <f>Table3[[#This Row],[Sales]]-Table3[[#This Row],[Cost]]</f>
        <v>12362.02</v>
      </c>
      <c r="L104" s="6">
        <f>Table3[[#This Row],[Profit]]/Table3[[#This Row],[Sales]]</f>
        <v>0.33405736632862848</v>
      </c>
    </row>
    <row r="105" spans="1:12" x14ac:dyDescent="0.25">
      <c r="A105" t="s">
        <v>3238</v>
      </c>
      <c r="B105" s="2">
        <v>45005</v>
      </c>
      <c r="C105" s="2" t="str">
        <f>TEXT(Table3[[#This Row],[Order Date]],"mmmm")</f>
        <v>March</v>
      </c>
      <c r="D105" t="s">
        <v>3730</v>
      </c>
      <c r="E105" t="s">
        <v>3222</v>
      </c>
      <c r="F105" t="s">
        <v>3226</v>
      </c>
      <c r="G105" s="4">
        <v>41743.81</v>
      </c>
      <c r="H105" s="4">
        <v>33395.048000000003</v>
      </c>
      <c r="I105" s="3" t="s">
        <v>3735</v>
      </c>
      <c r="J105">
        <v>3</v>
      </c>
      <c r="K105" s="4">
        <f>Table3[[#This Row],[Sales]]-Table3[[#This Row],[Cost]]</f>
        <v>8348.7619999999952</v>
      </c>
      <c r="L105" s="6">
        <f>Table3[[#This Row],[Profit]]/Table3[[#This Row],[Sales]]</f>
        <v>0.1999999999999999</v>
      </c>
    </row>
    <row r="106" spans="1:12" x14ac:dyDescent="0.25">
      <c r="A106" t="s">
        <v>117</v>
      </c>
      <c r="B106" s="2" t="s">
        <v>3729</v>
      </c>
      <c r="C106" s="2" t="str">
        <f>TEXT(Table3[[#This Row],[Order Date]],"mmmm")</f>
        <v>Not Mentioned</v>
      </c>
      <c r="D106" t="s">
        <v>3730</v>
      </c>
      <c r="E106" t="s">
        <v>3222</v>
      </c>
      <c r="F106" t="s">
        <v>3226</v>
      </c>
      <c r="G106" s="4">
        <v>61738.27</v>
      </c>
      <c r="H106" s="4">
        <v>42039.77</v>
      </c>
      <c r="I106" s="3" t="s">
        <v>3734</v>
      </c>
      <c r="J106">
        <v>4</v>
      </c>
      <c r="K106" s="4">
        <f>Table3[[#This Row],[Sales]]-Table3[[#This Row],[Cost]]</f>
        <v>19698.5</v>
      </c>
      <c r="L106" s="6">
        <f>Table3[[#This Row],[Profit]]/Table3[[#This Row],[Sales]]</f>
        <v>0.31906465795040906</v>
      </c>
    </row>
    <row r="107" spans="1:12" x14ac:dyDescent="0.25">
      <c r="A107" t="s">
        <v>3239</v>
      </c>
      <c r="B107" s="2">
        <v>45021</v>
      </c>
      <c r="C107" s="2" t="str">
        <f>TEXT(Table3[[#This Row],[Order Date]],"mmmm")</f>
        <v>April</v>
      </c>
      <c r="D107" t="s">
        <v>3730</v>
      </c>
      <c r="E107" t="s">
        <v>3222</v>
      </c>
      <c r="F107" t="s">
        <v>3226</v>
      </c>
      <c r="G107" s="4">
        <v>51661.78</v>
      </c>
      <c r="H107" s="4">
        <v>25659.52</v>
      </c>
      <c r="I107" s="3" t="s">
        <v>3734</v>
      </c>
      <c r="J107">
        <v>3</v>
      </c>
      <c r="K107" s="4">
        <f>Table3[[#This Row],[Sales]]-Table3[[#This Row],[Cost]]</f>
        <v>26002.26</v>
      </c>
      <c r="L107" s="6">
        <f>Table3[[#This Row],[Profit]]/Table3[[#This Row],[Sales]]</f>
        <v>0.50331715244809605</v>
      </c>
    </row>
    <row r="108" spans="1:12" x14ac:dyDescent="0.25">
      <c r="A108" t="s">
        <v>3240</v>
      </c>
      <c r="B108" s="2">
        <v>45021</v>
      </c>
      <c r="C108" s="2" t="str">
        <f>TEXT(Table3[[#This Row],[Order Date]],"mmmm")</f>
        <v>April</v>
      </c>
      <c r="D108" t="s">
        <v>3730</v>
      </c>
      <c r="E108" t="s">
        <v>3225</v>
      </c>
      <c r="F108" t="s">
        <v>3226</v>
      </c>
      <c r="G108" s="4">
        <v>19215.45</v>
      </c>
      <c r="H108" s="4">
        <v>13579.56</v>
      </c>
      <c r="I108" s="3" t="s">
        <v>3734</v>
      </c>
      <c r="J108">
        <v>1</v>
      </c>
      <c r="K108" s="4">
        <f>Table3[[#This Row],[Sales]]-Table3[[#This Row],[Cost]]</f>
        <v>5635.8900000000012</v>
      </c>
      <c r="L108" s="6">
        <f>Table3[[#This Row],[Profit]]/Table3[[#This Row],[Sales]]</f>
        <v>0.29329992271843758</v>
      </c>
    </row>
    <row r="109" spans="1:12" x14ac:dyDescent="0.25">
      <c r="A109" t="s">
        <v>120</v>
      </c>
      <c r="B109" s="2">
        <v>45102</v>
      </c>
      <c r="C109" s="2" t="str">
        <f>TEXT(Table3[[#This Row],[Order Date]],"mmmm")</f>
        <v>June</v>
      </c>
      <c r="D109" t="s">
        <v>3220</v>
      </c>
      <c r="E109" t="s">
        <v>3224</v>
      </c>
      <c r="F109" t="s">
        <v>3226</v>
      </c>
      <c r="G109" s="4">
        <v>50651.38</v>
      </c>
      <c r="H109" s="4">
        <v>42239.5</v>
      </c>
      <c r="I109" s="3" t="s">
        <v>3734</v>
      </c>
      <c r="J109">
        <v>1</v>
      </c>
      <c r="K109" s="4">
        <f>Table3[[#This Row],[Sales]]-Table3[[#This Row],[Cost]]</f>
        <v>8411.8799999999974</v>
      </c>
      <c r="L109" s="6">
        <f>Table3[[#This Row],[Profit]]/Table3[[#This Row],[Sales]]</f>
        <v>0.16607405365855774</v>
      </c>
    </row>
    <row r="110" spans="1:12" x14ac:dyDescent="0.25">
      <c r="A110" t="s">
        <v>121</v>
      </c>
      <c r="B110" s="2" t="s">
        <v>3729</v>
      </c>
      <c r="C110" s="2" t="str">
        <f>TEXT(Table3[[#This Row],[Order Date]],"mmmm")</f>
        <v>Not Mentioned</v>
      </c>
      <c r="D110" t="s">
        <v>3731</v>
      </c>
      <c r="E110" t="s">
        <v>3222</v>
      </c>
      <c r="F110" t="s">
        <v>3226</v>
      </c>
      <c r="G110" s="4">
        <v>12656.81</v>
      </c>
      <c r="H110" s="4">
        <v>9479.08</v>
      </c>
      <c r="I110" s="3" t="s">
        <v>3734</v>
      </c>
      <c r="J110">
        <v>1</v>
      </c>
      <c r="K110" s="4">
        <f>Table3[[#This Row],[Sales]]-Table3[[#This Row],[Cost]]</f>
        <v>3177.7299999999996</v>
      </c>
      <c r="L110" s="6">
        <f>Table3[[#This Row],[Profit]]/Table3[[#This Row],[Sales]]</f>
        <v>0.251068792215416</v>
      </c>
    </row>
    <row r="111" spans="1:12" x14ac:dyDescent="0.25">
      <c r="A111" t="s">
        <v>122</v>
      </c>
      <c r="B111" s="2">
        <v>45102</v>
      </c>
      <c r="C111" s="2" t="str">
        <f>TEXT(Table3[[#This Row],[Order Date]],"mmmm")</f>
        <v>June</v>
      </c>
      <c r="D111" t="s">
        <v>3220</v>
      </c>
      <c r="E111" t="s">
        <v>3225</v>
      </c>
      <c r="F111" t="s">
        <v>3226</v>
      </c>
      <c r="G111" s="4">
        <v>119567.4</v>
      </c>
      <c r="H111" s="4">
        <v>95653.92</v>
      </c>
      <c r="I111" s="3" t="s">
        <v>3735</v>
      </c>
      <c r="J111">
        <v>5</v>
      </c>
      <c r="K111" s="4">
        <f>Table3[[#This Row],[Sales]]-Table3[[#This Row],[Cost]]</f>
        <v>23913.479999999996</v>
      </c>
      <c r="L111" s="6">
        <f>Table3[[#This Row],[Profit]]/Table3[[#This Row],[Sales]]</f>
        <v>0.19999999999999998</v>
      </c>
    </row>
    <row r="112" spans="1:12" x14ac:dyDescent="0.25">
      <c r="A112" t="s">
        <v>123</v>
      </c>
      <c r="B112" s="2">
        <v>44941</v>
      </c>
      <c r="C112" s="2" t="str">
        <f>TEXT(Table3[[#This Row],[Order Date]],"mmmm")</f>
        <v>January</v>
      </c>
      <c r="D112" t="s">
        <v>3220</v>
      </c>
      <c r="E112" t="s">
        <v>3225</v>
      </c>
      <c r="F112" t="s">
        <v>3226</v>
      </c>
      <c r="G112" s="4">
        <v>52236.67</v>
      </c>
      <c r="H112" s="4">
        <v>38015.11</v>
      </c>
      <c r="I112" s="3" t="s">
        <v>3734</v>
      </c>
      <c r="J112">
        <v>3</v>
      </c>
      <c r="K112" s="4">
        <f>Table3[[#This Row],[Sales]]-Table3[[#This Row],[Cost]]</f>
        <v>14221.559999999998</v>
      </c>
      <c r="L112" s="6">
        <f>Table3[[#This Row],[Profit]]/Table3[[#This Row],[Sales]]</f>
        <v>0.27225242344123385</v>
      </c>
    </row>
    <row r="113" spans="1:12" x14ac:dyDescent="0.25">
      <c r="A113" t="s">
        <v>124</v>
      </c>
      <c r="B113" s="2" t="s">
        <v>3729</v>
      </c>
      <c r="C113" s="2" t="str">
        <f>TEXT(Table3[[#This Row],[Order Date]],"mmmm")</f>
        <v>Not Mentioned</v>
      </c>
      <c r="D113" t="s">
        <v>3730</v>
      </c>
      <c r="E113" t="s">
        <v>3222</v>
      </c>
      <c r="F113" t="s">
        <v>3226</v>
      </c>
      <c r="G113" s="4">
        <v>71877.789999999994</v>
      </c>
      <c r="H113" s="4">
        <v>35738.949999999997</v>
      </c>
      <c r="I113" s="3" t="s">
        <v>3734</v>
      </c>
      <c r="J113">
        <v>4</v>
      </c>
      <c r="K113" s="4">
        <f>Table3[[#This Row],[Sales]]-Table3[[#This Row],[Cost]]</f>
        <v>36138.839999999997</v>
      </c>
      <c r="L113" s="6">
        <f>Table3[[#This Row],[Profit]]/Table3[[#This Row],[Sales]]</f>
        <v>0.50278173549854555</v>
      </c>
    </row>
    <row r="114" spans="1:12" x14ac:dyDescent="0.25">
      <c r="A114" t="s">
        <v>125</v>
      </c>
      <c r="B114" s="2">
        <v>45102</v>
      </c>
      <c r="C114" s="2" t="str">
        <f>TEXT(Table3[[#This Row],[Order Date]],"mmmm")</f>
        <v>June</v>
      </c>
      <c r="D114" t="s">
        <v>3220</v>
      </c>
      <c r="E114" t="s">
        <v>3223</v>
      </c>
      <c r="F114" t="s">
        <v>3226</v>
      </c>
      <c r="G114" s="4">
        <v>50739.49</v>
      </c>
      <c r="H114" s="4">
        <v>34938.22</v>
      </c>
      <c r="I114" s="3" t="s">
        <v>3734</v>
      </c>
      <c r="J114">
        <v>5</v>
      </c>
      <c r="K114" s="4">
        <f>Table3[[#This Row],[Sales]]-Table3[[#This Row],[Cost]]</f>
        <v>15801.269999999997</v>
      </c>
      <c r="L114" s="6">
        <f>Table3[[#This Row],[Profit]]/Table3[[#This Row],[Sales]]</f>
        <v>0.31141956688961592</v>
      </c>
    </row>
    <row r="115" spans="1:12" x14ac:dyDescent="0.25">
      <c r="A115" t="s">
        <v>126</v>
      </c>
      <c r="B115" s="2">
        <v>45005</v>
      </c>
      <c r="C115" s="2" t="str">
        <f>TEXT(Table3[[#This Row],[Order Date]],"mmmm")</f>
        <v>March</v>
      </c>
      <c r="D115" t="s">
        <v>3730</v>
      </c>
      <c r="E115" t="s">
        <v>3222</v>
      </c>
      <c r="F115" t="s">
        <v>3226</v>
      </c>
      <c r="G115" s="4">
        <v>17113.16</v>
      </c>
      <c r="H115" s="4">
        <v>8588.56</v>
      </c>
      <c r="I115" s="3" t="s">
        <v>3734</v>
      </c>
      <c r="J115">
        <v>1</v>
      </c>
      <c r="K115" s="4">
        <f>Table3[[#This Row],[Sales]]-Table3[[#This Row],[Cost]]</f>
        <v>8524.6</v>
      </c>
      <c r="L115" s="6">
        <f>Table3[[#This Row],[Profit]]/Table3[[#This Row],[Sales]]</f>
        <v>0.49813126272412578</v>
      </c>
    </row>
    <row r="116" spans="1:12" x14ac:dyDescent="0.25">
      <c r="A116" t="s">
        <v>127</v>
      </c>
      <c r="B116" s="2" t="s">
        <v>3729</v>
      </c>
      <c r="C116" s="2" t="str">
        <f>TEXT(Table3[[#This Row],[Order Date]],"mmmm")</f>
        <v>Not Mentioned</v>
      </c>
      <c r="D116" t="s">
        <v>3730</v>
      </c>
      <c r="E116" t="s">
        <v>3223</v>
      </c>
      <c r="F116" t="s">
        <v>3226</v>
      </c>
      <c r="G116" s="4">
        <v>20260.82</v>
      </c>
      <c r="H116" s="4">
        <v>15267.43</v>
      </c>
      <c r="I116" s="3" t="s">
        <v>3734</v>
      </c>
      <c r="J116">
        <v>2</v>
      </c>
      <c r="K116" s="4">
        <f>Table3[[#This Row],[Sales]]-Table3[[#This Row],[Cost]]</f>
        <v>4993.3899999999994</v>
      </c>
      <c r="L116" s="6">
        <f>Table3[[#This Row],[Profit]]/Table3[[#This Row],[Sales]]</f>
        <v>0.24645547416146038</v>
      </c>
    </row>
    <row r="117" spans="1:12" x14ac:dyDescent="0.25">
      <c r="A117" t="s">
        <v>128</v>
      </c>
      <c r="B117" s="2">
        <v>45021</v>
      </c>
      <c r="C117" s="2" t="str">
        <f>TEXT(Table3[[#This Row],[Order Date]],"mmmm")</f>
        <v>April</v>
      </c>
      <c r="D117" t="s">
        <v>3220</v>
      </c>
      <c r="E117" t="s">
        <v>3222</v>
      </c>
      <c r="F117" t="s">
        <v>3226</v>
      </c>
      <c r="G117" s="4">
        <v>30855.83</v>
      </c>
      <c r="H117" s="4">
        <v>20310.560000000001</v>
      </c>
      <c r="I117" s="3" t="s">
        <v>3734</v>
      </c>
      <c r="J117">
        <v>2</v>
      </c>
      <c r="K117" s="4">
        <f>Table3[[#This Row],[Sales]]-Table3[[#This Row],[Cost]]</f>
        <v>10545.27</v>
      </c>
      <c r="L117" s="6">
        <f>Table3[[#This Row],[Profit]]/Table3[[#This Row],[Sales]]</f>
        <v>0.34175940170787822</v>
      </c>
    </row>
    <row r="118" spans="1:12" x14ac:dyDescent="0.25">
      <c r="A118" t="s">
        <v>129</v>
      </c>
      <c r="B118" s="2">
        <v>45102</v>
      </c>
      <c r="C118" s="2" t="str">
        <f>TEXT(Table3[[#This Row],[Order Date]],"mmmm")</f>
        <v>June</v>
      </c>
      <c r="D118" t="s">
        <v>3731</v>
      </c>
      <c r="E118" t="s">
        <v>3222</v>
      </c>
      <c r="F118" t="s">
        <v>3226</v>
      </c>
      <c r="G118" s="4">
        <v>38887.199999999997</v>
      </c>
      <c r="H118" s="4">
        <v>28005.07</v>
      </c>
      <c r="I118" s="3" t="s">
        <v>3734</v>
      </c>
      <c r="J118">
        <v>3</v>
      </c>
      <c r="K118" s="4">
        <f>Table3[[#This Row],[Sales]]-Table3[[#This Row],[Cost]]</f>
        <v>10882.129999999997</v>
      </c>
      <c r="L118" s="6">
        <f>Table3[[#This Row],[Profit]]/Table3[[#This Row],[Sales]]</f>
        <v>0.27983835297990078</v>
      </c>
    </row>
    <row r="119" spans="1:12" x14ac:dyDescent="0.25">
      <c r="A119" t="s">
        <v>3241</v>
      </c>
      <c r="B119" s="2" t="s">
        <v>3729</v>
      </c>
      <c r="C119" s="2" t="str">
        <f>TEXT(Table3[[#This Row],[Order Date]],"mmmm")</f>
        <v>Not Mentioned</v>
      </c>
      <c r="D119" t="s">
        <v>3730</v>
      </c>
      <c r="E119" t="s">
        <v>3224</v>
      </c>
      <c r="F119" t="s">
        <v>3226</v>
      </c>
      <c r="G119" s="4">
        <v>118342.56</v>
      </c>
      <c r="H119" s="4">
        <v>94674.04800000001</v>
      </c>
      <c r="I119" s="3" t="s">
        <v>3735</v>
      </c>
      <c r="J119">
        <v>2</v>
      </c>
      <c r="K119" s="4">
        <f>Table3[[#This Row],[Sales]]-Table3[[#This Row],[Cost]]</f>
        <v>23668.511999999988</v>
      </c>
      <c r="L119" s="6">
        <f>Table3[[#This Row],[Profit]]/Table3[[#This Row],[Sales]]</f>
        <v>0.1999999999999999</v>
      </c>
    </row>
    <row r="120" spans="1:12" x14ac:dyDescent="0.25">
      <c r="A120" t="s">
        <v>131</v>
      </c>
      <c r="B120" s="2">
        <v>45102</v>
      </c>
      <c r="C120" s="2" t="str">
        <f>TEXT(Table3[[#This Row],[Order Date]],"mmmm")</f>
        <v>June</v>
      </c>
      <c r="D120" t="s">
        <v>3731</v>
      </c>
      <c r="E120" t="s">
        <v>3224</v>
      </c>
      <c r="F120" t="s">
        <v>3226</v>
      </c>
      <c r="G120" s="4">
        <v>192613.04</v>
      </c>
      <c r="H120" s="4">
        <v>165916.72</v>
      </c>
      <c r="I120" s="3" t="s">
        <v>3734</v>
      </c>
      <c r="J120">
        <v>4</v>
      </c>
      <c r="K120" s="4">
        <f>Table3[[#This Row],[Sales]]-Table3[[#This Row],[Cost]]</f>
        <v>26696.320000000007</v>
      </c>
      <c r="L120" s="6">
        <f>Table3[[#This Row],[Profit]]/Table3[[#This Row],[Sales]]</f>
        <v>0.13860079255277838</v>
      </c>
    </row>
    <row r="121" spans="1:12" x14ac:dyDescent="0.25">
      <c r="A121" t="s">
        <v>132</v>
      </c>
      <c r="B121" s="2">
        <v>45021</v>
      </c>
      <c r="C121" s="2" t="str">
        <f>TEXT(Table3[[#This Row],[Order Date]],"mmmm")</f>
        <v>April</v>
      </c>
      <c r="D121" t="s">
        <v>3216</v>
      </c>
      <c r="E121" t="s">
        <v>3223</v>
      </c>
      <c r="F121" t="s">
        <v>3226</v>
      </c>
      <c r="G121" s="4">
        <v>33132.33</v>
      </c>
      <c r="H121" s="4">
        <v>20691.650000000001</v>
      </c>
      <c r="I121" s="3" t="s">
        <v>3734</v>
      </c>
      <c r="J121">
        <v>3</v>
      </c>
      <c r="K121" s="4">
        <f>Table3[[#This Row],[Sales]]-Table3[[#This Row],[Cost]]</f>
        <v>12440.68</v>
      </c>
      <c r="L121" s="6">
        <f>Table3[[#This Row],[Profit]]/Table3[[#This Row],[Sales]]</f>
        <v>0.37548460974522468</v>
      </c>
    </row>
    <row r="122" spans="1:12" x14ac:dyDescent="0.25">
      <c r="A122" t="s">
        <v>3242</v>
      </c>
      <c r="B122" s="2">
        <v>44972</v>
      </c>
      <c r="C122" s="2" t="str">
        <f>TEXT(Table3[[#This Row],[Order Date]],"mmmm")</f>
        <v>February</v>
      </c>
      <c r="D122" t="s">
        <v>3220</v>
      </c>
      <c r="E122" t="s">
        <v>3225</v>
      </c>
      <c r="F122" t="s">
        <v>3226</v>
      </c>
      <c r="G122" s="4">
        <v>73630.83</v>
      </c>
      <c r="H122" s="4">
        <v>58904.664000000004</v>
      </c>
      <c r="I122" s="3" t="s">
        <v>3735</v>
      </c>
      <c r="J122">
        <v>4</v>
      </c>
      <c r="K122" s="4">
        <f>Table3[[#This Row],[Sales]]-Table3[[#This Row],[Cost]]</f>
        <v>14726.165999999997</v>
      </c>
      <c r="L122" s="6">
        <f>Table3[[#This Row],[Profit]]/Table3[[#This Row],[Sales]]</f>
        <v>0.19999999999999996</v>
      </c>
    </row>
    <row r="123" spans="1:12" x14ac:dyDescent="0.25">
      <c r="A123" t="s">
        <v>134</v>
      </c>
      <c r="B123" s="2">
        <v>45005</v>
      </c>
      <c r="C123" s="2" t="str">
        <f>TEXT(Table3[[#This Row],[Order Date]],"mmmm")</f>
        <v>March</v>
      </c>
      <c r="D123" t="s">
        <v>3731</v>
      </c>
      <c r="E123" t="s">
        <v>3223</v>
      </c>
      <c r="F123" t="s">
        <v>3226</v>
      </c>
      <c r="G123" s="4">
        <v>48919.17</v>
      </c>
      <c r="H123" s="4">
        <v>35416.269999999997</v>
      </c>
      <c r="I123" s="3" t="s">
        <v>3734</v>
      </c>
      <c r="J123">
        <v>5</v>
      </c>
      <c r="K123" s="4">
        <f>Table3[[#This Row],[Sales]]-Table3[[#This Row],[Cost]]</f>
        <v>13502.900000000001</v>
      </c>
      <c r="L123" s="6">
        <f>Table3[[#This Row],[Profit]]/Table3[[#This Row],[Sales]]</f>
        <v>0.27602471587314342</v>
      </c>
    </row>
    <row r="124" spans="1:12" x14ac:dyDescent="0.25">
      <c r="A124" t="s">
        <v>135</v>
      </c>
      <c r="B124" s="2">
        <v>45102</v>
      </c>
      <c r="C124" s="2" t="str">
        <f>TEXT(Table3[[#This Row],[Order Date]],"mmmm")</f>
        <v>June</v>
      </c>
      <c r="D124" t="s">
        <v>3731</v>
      </c>
      <c r="E124" t="s">
        <v>3225</v>
      </c>
      <c r="F124" t="s">
        <v>3226</v>
      </c>
      <c r="G124" s="4">
        <v>34543.01</v>
      </c>
      <c r="H124" s="4">
        <v>27079.78</v>
      </c>
      <c r="I124" s="3" t="s">
        <v>3734</v>
      </c>
      <c r="J124">
        <v>2</v>
      </c>
      <c r="K124" s="4">
        <f>Table3[[#This Row],[Sales]]-Table3[[#This Row],[Cost]]</f>
        <v>7463.2300000000032</v>
      </c>
      <c r="L124" s="6">
        <f>Table3[[#This Row],[Profit]]/Table3[[#This Row],[Sales]]</f>
        <v>0.2160561572370214</v>
      </c>
    </row>
    <row r="125" spans="1:12" x14ac:dyDescent="0.25">
      <c r="A125" t="s">
        <v>136</v>
      </c>
      <c r="B125" s="2">
        <v>45102</v>
      </c>
      <c r="C125" s="2" t="str">
        <f>TEXT(Table3[[#This Row],[Order Date]],"mmmm")</f>
        <v>June</v>
      </c>
      <c r="D125" t="s">
        <v>3731</v>
      </c>
      <c r="E125" t="s">
        <v>3223</v>
      </c>
      <c r="F125" t="s">
        <v>3226</v>
      </c>
      <c r="G125" s="4">
        <v>22182.58</v>
      </c>
      <c r="H125" s="4">
        <v>12705.19</v>
      </c>
      <c r="I125" s="3" t="s">
        <v>3734</v>
      </c>
      <c r="J125">
        <v>2</v>
      </c>
      <c r="K125" s="4">
        <f>Table3[[#This Row],[Sales]]-Table3[[#This Row],[Cost]]</f>
        <v>9477.3900000000012</v>
      </c>
      <c r="L125" s="6">
        <f>Table3[[#This Row],[Profit]]/Table3[[#This Row],[Sales]]</f>
        <v>0.42724471184145402</v>
      </c>
    </row>
    <row r="126" spans="1:12" x14ac:dyDescent="0.25">
      <c r="A126" t="s">
        <v>137</v>
      </c>
      <c r="B126" s="2">
        <v>44941</v>
      </c>
      <c r="C126" s="2" t="str">
        <f>TEXT(Table3[[#This Row],[Order Date]],"mmmm")</f>
        <v>January</v>
      </c>
      <c r="D126" t="s">
        <v>3220</v>
      </c>
      <c r="E126" t="s">
        <v>3223</v>
      </c>
      <c r="F126" t="s">
        <v>3226</v>
      </c>
      <c r="G126" s="4">
        <v>27290.58</v>
      </c>
      <c r="H126" s="4">
        <v>23015.88</v>
      </c>
      <c r="I126" s="3" t="s">
        <v>3734</v>
      </c>
      <c r="J126">
        <v>3</v>
      </c>
      <c r="K126" s="4">
        <f>Table3[[#This Row],[Sales]]-Table3[[#This Row],[Cost]]</f>
        <v>4274.7000000000007</v>
      </c>
      <c r="L126" s="6">
        <f>Table3[[#This Row],[Profit]]/Table3[[#This Row],[Sales]]</f>
        <v>0.15663646576950729</v>
      </c>
    </row>
    <row r="127" spans="1:12" x14ac:dyDescent="0.25">
      <c r="A127" t="s">
        <v>138</v>
      </c>
      <c r="B127" s="2">
        <v>45005</v>
      </c>
      <c r="C127" s="2" t="str">
        <f>TEXT(Table3[[#This Row],[Order Date]],"mmmm")</f>
        <v>March</v>
      </c>
      <c r="D127" t="s">
        <v>3220</v>
      </c>
      <c r="E127" t="s">
        <v>3223</v>
      </c>
      <c r="F127" t="s">
        <v>3226</v>
      </c>
      <c r="G127" s="4">
        <v>41004</v>
      </c>
      <c r="H127" s="4">
        <v>27100.73</v>
      </c>
      <c r="I127" s="3" t="s">
        <v>3734</v>
      </c>
      <c r="J127">
        <v>4</v>
      </c>
      <c r="K127" s="4">
        <f>Table3[[#This Row],[Sales]]-Table3[[#This Row],[Cost]]</f>
        <v>13903.27</v>
      </c>
      <c r="L127" s="6">
        <f>Table3[[#This Row],[Profit]]/Table3[[#This Row],[Sales]]</f>
        <v>0.33907106623744027</v>
      </c>
    </row>
    <row r="128" spans="1:12" x14ac:dyDescent="0.25">
      <c r="A128" t="s">
        <v>139</v>
      </c>
      <c r="B128" s="2" t="s">
        <v>3729</v>
      </c>
      <c r="C128" s="2" t="str">
        <f>TEXT(Table3[[#This Row],[Order Date]],"mmmm")</f>
        <v>Not Mentioned</v>
      </c>
      <c r="D128" t="s">
        <v>3220</v>
      </c>
      <c r="E128" t="s">
        <v>3225</v>
      </c>
      <c r="F128" t="s">
        <v>3226</v>
      </c>
      <c r="G128" s="4">
        <v>64571.58</v>
      </c>
      <c r="H128" s="4">
        <v>58755.17</v>
      </c>
      <c r="I128" s="3" t="s">
        <v>3734</v>
      </c>
      <c r="J128">
        <v>4</v>
      </c>
      <c r="K128" s="4">
        <f>Table3[[#This Row],[Sales]]-Table3[[#This Row],[Cost]]</f>
        <v>5816.4100000000035</v>
      </c>
      <c r="L128" s="6">
        <f>Table3[[#This Row],[Profit]]/Table3[[#This Row],[Sales]]</f>
        <v>9.0076934775330006E-2</v>
      </c>
    </row>
    <row r="129" spans="1:12" x14ac:dyDescent="0.25">
      <c r="A129" t="s">
        <v>140</v>
      </c>
      <c r="B129" s="2">
        <v>44972</v>
      </c>
      <c r="C129" s="2" t="str">
        <f>TEXT(Table3[[#This Row],[Order Date]],"mmmm")</f>
        <v>February</v>
      </c>
      <c r="D129" t="s">
        <v>3731</v>
      </c>
      <c r="E129" t="s">
        <v>3222</v>
      </c>
      <c r="F129" t="s">
        <v>3226</v>
      </c>
      <c r="G129" s="4">
        <v>15643.84</v>
      </c>
      <c r="H129" s="4">
        <v>9118.85</v>
      </c>
      <c r="I129" s="3" t="s">
        <v>3734</v>
      </c>
      <c r="J129">
        <v>1</v>
      </c>
      <c r="K129" s="4">
        <f>Table3[[#This Row],[Sales]]-Table3[[#This Row],[Cost]]</f>
        <v>6524.99</v>
      </c>
      <c r="L129" s="6">
        <f>Table3[[#This Row],[Profit]]/Table3[[#This Row],[Sales]]</f>
        <v>0.41709644179434202</v>
      </c>
    </row>
    <row r="130" spans="1:12" x14ac:dyDescent="0.25">
      <c r="A130" t="s">
        <v>141</v>
      </c>
      <c r="B130" s="2">
        <v>45102</v>
      </c>
      <c r="C130" s="2" t="str">
        <f>TEXT(Table3[[#This Row],[Order Date]],"mmmm")</f>
        <v>June</v>
      </c>
      <c r="D130" t="s">
        <v>3220</v>
      </c>
      <c r="E130" t="s">
        <v>3223</v>
      </c>
      <c r="F130" t="s">
        <v>3226</v>
      </c>
      <c r="G130" s="4">
        <v>42991.61</v>
      </c>
      <c r="H130" s="4">
        <v>33815.24</v>
      </c>
      <c r="I130" s="3" t="s">
        <v>3734</v>
      </c>
      <c r="J130">
        <v>5</v>
      </c>
      <c r="K130" s="4">
        <f>Table3[[#This Row],[Sales]]-Table3[[#This Row],[Cost]]</f>
        <v>9176.3700000000026</v>
      </c>
      <c r="L130" s="6">
        <f>Table3[[#This Row],[Profit]]/Table3[[#This Row],[Sales]]</f>
        <v>0.21344560019966693</v>
      </c>
    </row>
    <row r="131" spans="1:12" x14ac:dyDescent="0.25">
      <c r="A131" t="s">
        <v>3243</v>
      </c>
      <c r="B131" s="2" t="s">
        <v>3729</v>
      </c>
      <c r="C131" s="2" t="str">
        <f>TEXT(Table3[[#This Row],[Order Date]],"mmmm")</f>
        <v>Not Mentioned</v>
      </c>
      <c r="D131" t="s">
        <v>3220</v>
      </c>
      <c r="E131" t="s">
        <v>3224</v>
      </c>
      <c r="F131" t="s">
        <v>3226</v>
      </c>
      <c r="G131" s="4">
        <v>266865.69</v>
      </c>
      <c r="H131" s="4">
        <v>154782.85</v>
      </c>
      <c r="I131" s="3" t="s">
        <v>3734</v>
      </c>
      <c r="J131">
        <v>4</v>
      </c>
      <c r="K131" s="4">
        <f>Table3[[#This Row],[Sales]]-Table3[[#This Row],[Cost]]</f>
        <v>112082.84</v>
      </c>
      <c r="L131" s="6">
        <f>Table3[[#This Row],[Profit]]/Table3[[#This Row],[Sales]]</f>
        <v>0.41999719034694943</v>
      </c>
    </row>
    <row r="132" spans="1:12" x14ac:dyDescent="0.25">
      <c r="A132" t="s">
        <v>3244</v>
      </c>
      <c r="B132" s="2">
        <v>44972</v>
      </c>
      <c r="C132" s="2" t="str">
        <f>TEXT(Table3[[#This Row],[Order Date]],"mmmm")</f>
        <v>February</v>
      </c>
      <c r="D132" t="s">
        <v>3220</v>
      </c>
      <c r="E132" t="s">
        <v>3223</v>
      </c>
      <c r="F132" t="s">
        <v>3226</v>
      </c>
      <c r="G132" s="4">
        <v>37536.269999999997</v>
      </c>
      <c r="H132" s="4">
        <v>29230.63</v>
      </c>
      <c r="I132" s="3" t="s">
        <v>3734</v>
      </c>
      <c r="J132">
        <v>4</v>
      </c>
      <c r="K132" s="4">
        <f>Table3[[#This Row],[Sales]]-Table3[[#This Row],[Cost]]</f>
        <v>8305.6399999999958</v>
      </c>
      <c r="L132" s="6">
        <f>Table3[[#This Row],[Profit]]/Table3[[#This Row],[Sales]]</f>
        <v>0.2212697212589316</v>
      </c>
    </row>
    <row r="133" spans="1:12" x14ac:dyDescent="0.25">
      <c r="A133" t="s">
        <v>3245</v>
      </c>
      <c r="B133" s="2">
        <v>45005</v>
      </c>
      <c r="C133" s="2" t="str">
        <f>TEXT(Table3[[#This Row],[Order Date]],"mmmm")</f>
        <v>March</v>
      </c>
      <c r="D133" t="s">
        <v>3731</v>
      </c>
      <c r="E133" t="s">
        <v>3222</v>
      </c>
      <c r="F133" t="s">
        <v>3226</v>
      </c>
      <c r="G133" s="4">
        <v>35729.599999999999</v>
      </c>
      <c r="H133" s="4">
        <v>18004.3</v>
      </c>
      <c r="I133" s="3" t="s">
        <v>3734</v>
      </c>
      <c r="J133" t="s">
        <v>3732</v>
      </c>
      <c r="K133" s="4">
        <f>Table3[[#This Row],[Sales]]-Table3[[#This Row],[Cost]]</f>
        <v>17725.3</v>
      </c>
      <c r="L133" s="6">
        <f>Table3[[#This Row],[Profit]]/Table3[[#This Row],[Sales]]</f>
        <v>0.49609567417491379</v>
      </c>
    </row>
    <row r="134" spans="1:12" x14ac:dyDescent="0.25">
      <c r="A134" t="s">
        <v>145</v>
      </c>
      <c r="B134" s="2">
        <v>45005</v>
      </c>
      <c r="C134" s="2" t="str">
        <f>TEXT(Table3[[#This Row],[Order Date]],"mmmm")</f>
        <v>March</v>
      </c>
      <c r="D134" t="s">
        <v>3731</v>
      </c>
      <c r="E134" t="s">
        <v>3225</v>
      </c>
      <c r="F134" t="s">
        <v>3226</v>
      </c>
      <c r="G134" s="4">
        <v>23489.7</v>
      </c>
      <c r="H134" s="4">
        <v>12081.9</v>
      </c>
      <c r="I134" s="3" t="s">
        <v>3734</v>
      </c>
      <c r="J134">
        <v>1</v>
      </c>
      <c r="K134" s="4">
        <f>Table3[[#This Row],[Sales]]-Table3[[#This Row],[Cost]]</f>
        <v>11407.800000000001</v>
      </c>
      <c r="L134" s="6">
        <f>Table3[[#This Row],[Profit]]/Table3[[#This Row],[Sales]]</f>
        <v>0.48565115774147821</v>
      </c>
    </row>
    <row r="135" spans="1:12" x14ac:dyDescent="0.25">
      <c r="A135" t="s">
        <v>147</v>
      </c>
      <c r="B135" s="2">
        <v>45005</v>
      </c>
      <c r="C135" s="2" t="str">
        <f>TEXT(Table3[[#This Row],[Order Date]],"mmmm")</f>
        <v>March</v>
      </c>
      <c r="D135" t="s">
        <v>3216</v>
      </c>
      <c r="E135" t="s">
        <v>3224</v>
      </c>
      <c r="F135" t="s">
        <v>3226</v>
      </c>
      <c r="G135" s="4">
        <v>313889.03999999998</v>
      </c>
      <c r="H135" s="4">
        <v>209757.23</v>
      </c>
      <c r="I135" s="3" t="s">
        <v>3734</v>
      </c>
      <c r="J135">
        <v>5</v>
      </c>
      <c r="K135" s="4">
        <f>Table3[[#This Row],[Sales]]-Table3[[#This Row],[Cost]]</f>
        <v>104131.80999999997</v>
      </c>
      <c r="L135" s="6">
        <f>Table3[[#This Row],[Profit]]/Table3[[#This Row],[Sales]]</f>
        <v>0.33174719958364896</v>
      </c>
    </row>
    <row r="136" spans="1:12" x14ac:dyDescent="0.25">
      <c r="A136" t="s">
        <v>148</v>
      </c>
      <c r="B136" s="2">
        <v>45102</v>
      </c>
      <c r="C136" s="2" t="str">
        <f>TEXT(Table3[[#This Row],[Order Date]],"mmmm")</f>
        <v>June</v>
      </c>
      <c r="D136" t="s">
        <v>3220</v>
      </c>
      <c r="E136" t="s">
        <v>3225</v>
      </c>
      <c r="F136" t="s">
        <v>3226</v>
      </c>
      <c r="G136" s="4">
        <v>42452.21</v>
      </c>
      <c r="H136" s="4">
        <v>26126.2</v>
      </c>
      <c r="I136" s="3" t="s">
        <v>3734</v>
      </c>
      <c r="J136">
        <v>2</v>
      </c>
      <c r="K136" s="4">
        <f>Table3[[#This Row],[Sales]]-Table3[[#This Row],[Cost]]</f>
        <v>16326.009999999998</v>
      </c>
      <c r="L136" s="6">
        <f>Table3[[#This Row],[Profit]]/Table3[[#This Row],[Sales]]</f>
        <v>0.38457385375225456</v>
      </c>
    </row>
    <row r="137" spans="1:12" x14ac:dyDescent="0.25">
      <c r="A137" t="s">
        <v>149</v>
      </c>
      <c r="B137" s="2">
        <v>44972</v>
      </c>
      <c r="C137" s="2" t="str">
        <f>TEXT(Table3[[#This Row],[Order Date]],"mmmm")</f>
        <v>February</v>
      </c>
      <c r="D137" t="s">
        <v>3220</v>
      </c>
      <c r="E137" t="s">
        <v>3222</v>
      </c>
      <c r="F137" t="s">
        <v>3226</v>
      </c>
      <c r="G137" s="4">
        <v>17042.71</v>
      </c>
      <c r="H137" s="4">
        <v>8935.48</v>
      </c>
      <c r="I137" s="3" t="s">
        <v>3734</v>
      </c>
      <c r="J137">
        <v>1</v>
      </c>
      <c r="K137" s="4">
        <f>Table3[[#This Row],[Sales]]-Table3[[#This Row],[Cost]]</f>
        <v>8107.23</v>
      </c>
      <c r="L137" s="6">
        <f>Table3[[#This Row],[Profit]]/Table3[[#This Row],[Sales]]</f>
        <v>0.47570075416409713</v>
      </c>
    </row>
    <row r="138" spans="1:12" x14ac:dyDescent="0.25">
      <c r="A138" t="s">
        <v>150</v>
      </c>
      <c r="B138" s="2">
        <v>45102</v>
      </c>
      <c r="C138" s="2" t="str">
        <f>TEXT(Table3[[#This Row],[Order Date]],"mmmm")</f>
        <v>June</v>
      </c>
      <c r="D138" t="s">
        <v>3216</v>
      </c>
      <c r="E138" t="s">
        <v>3222</v>
      </c>
      <c r="F138" t="s">
        <v>3226</v>
      </c>
      <c r="G138" s="4">
        <v>14631.69</v>
      </c>
      <c r="H138" s="4">
        <v>10313.14</v>
      </c>
      <c r="I138" s="3" t="s">
        <v>3734</v>
      </c>
      <c r="J138">
        <v>1</v>
      </c>
      <c r="K138" s="4">
        <f>Table3[[#This Row],[Sales]]-Table3[[#This Row],[Cost]]</f>
        <v>4318.5500000000011</v>
      </c>
      <c r="L138" s="6">
        <f>Table3[[#This Row],[Profit]]/Table3[[#This Row],[Sales]]</f>
        <v>0.2951504576709868</v>
      </c>
    </row>
    <row r="139" spans="1:12" x14ac:dyDescent="0.25">
      <c r="A139" t="s">
        <v>151</v>
      </c>
      <c r="B139" s="2">
        <v>45102</v>
      </c>
      <c r="C139" s="2" t="str">
        <f>TEXT(Table3[[#This Row],[Order Date]],"mmmm")</f>
        <v>June</v>
      </c>
      <c r="D139" t="s">
        <v>3730</v>
      </c>
      <c r="E139" t="s">
        <v>3222</v>
      </c>
      <c r="F139" t="s">
        <v>3226</v>
      </c>
      <c r="G139" s="4">
        <v>73974.38</v>
      </c>
      <c r="H139" s="4">
        <v>52949.98</v>
      </c>
      <c r="I139" s="3" t="s">
        <v>3734</v>
      </c>
      <c r="J139">
        <v>5</v>
      </c>
      <c r="K139" s="4">
        <f>Table3[[#This Row],[Sales]]-Table3[[#This Row],[Cost]]</f>
        <v>21024.400000000001</v>
      </c>
      <c r="L139" s="6">
        <f>Table3[[#This Row],[Profit]]/Table3[[#This Row],[Sales]]</f>
        <v>0.28421191228638887</v>
      </c>
    </row>
    <row r="140" spans="1:12" x14ac:dyDescent="0.25">
      <c r="A140" t="s">
        <v>152</v>
      </c>
      <c r="B140" s="2" t="s">
        <v>3729</v>
      </c>
      <c r="C140" s="2" t="str">
        <f>TEXT(Table3[[#This Row],[Order Date]],"mmmm")</f>
        <v>Not Mentioned</v>
      </c>
      <c r="D140" t="s">
        <v>3220</v>
      </c>
      <c r="E140" t="s">
        <v>3225</v>
      </c>
      <c r="F140" t="s">
        <v>3226</v>
      </c>
      <c r="G140" s="4">
        <v>97486.62</v>
      </c>
      <c r="H140" s="4">
        <v>61204.38</v>
      </c>
      <c r="I140" s="3" t="s">
        <v>3734</v>
      </c>
      <c r="J140">
        <v>5</v>
      </c>
      <c r="K140" s="4">
        <f>Table3[[#This Row],[Sales]]-Table3[[#This Row],[Cost]]</f>
        <v>36282.239999999998</v>
      </c>
      <c r="L140" s="6">
        <f>Table3[[#This Row],[Profit]]/Table3[[#This Row],[Sales]]</f>
        <v>0.37217661254436762</v>
      </c>
    </row>
    <row r="141" spans="1:12" x14ac:dyDescent="0.25">
      <c r="A141" t="s">
        <v>153</v>
      </c>
      <c r="B141" s="2">
        <v>45005</v>
      </c>
      <c r="C141" s="2" t="str">
        <f>TEXT(Table3[[#This Row],[Order Date]],"mmmm")</f>
        <v>March</v>
      </c>
      <c r="D141" t="s">
        <v>3730</v>
      </c>
      <c r="E141" t="s">
        <v>3222</v>
      </c>
      <c r="F141" t="s">
        <v>3226</v>
      </c>
      <c r="G141" s="4">
        <v>17816.47</v>
      </c>
      <c r="H141" s="4">
        <v>9145.33</v>
      </c>
      <c r="I141" s="3" t="s">
        <v>3734</v>
      </c>
      <c r="J141">
        <v>1</v>
      </c>
      <c r="K141" s="4">
        <f>Table3[[#This Row],[Sales]]-Table3[[#This Row],[Cost]]</f>
        <v>8671.1400000000012</v>
      </c>
      <c r="L141" s="6">
        <f>Table3[[#This Row],[Profit]]/Table3[[#This Row],[Sales]]</f>
        <v>0.48669236947610839</v>
      </c>
    </row>
    <row r="142" spans="1:12" x14ac:dyDescent="0.25">
      <c r="A142" t="s">
        <v>154</v>
      </c>
      <c r="B142" s="2" t="s">
        <v>3729</v>
      </c>
      <c r="C142" s="2" t="str">
        <f>TEXT(Table3[[#This Row],[Order Date]],"mmmm")</f>
        <v>Not Mentioned</v>
      </c>
      <c r="D142" t="s">
        <v>3216</v>
      </c>
      <c r="E142" t="s">
        <v>3222</v>
      </c>
      <c r="F142" t="s">
        <v>3226</v>
      </c>
      <c r="G142" s="4">
        <v>29385.33</v>
      </c>
      <c r="H142" s="4">
        <v>20346.95</v>
      </c>
      <c r="I142" s="3" t="s">
        <v>3734</v>
      </c>
      <c r="J142">
        <v>2</v>
      </c>
      <c r="K142" s="4">
        <f>Table3[[#This Row],[Sales]]-Table3[[#This Row],[Cost]]</f>
        <v>9038.380000000001</v>
      </c>
      <c r="L142" s="6">
        <f>Table3[[#This Row],[Profit]]/Table3[[#This Row],[Sales]]</f>
        <v>0.30758136798191482</v>
      </c>
    </row>
    <row r="143" spans="1:12" x14ac:dyDescent="0.25">
      <c r="A143" t="s">
        <v>155</v>
      </c>
      <c r="B143" s="2" t="s">
        <v>3729</v>
      </c>
      <c r="C143" s="2" t="str">
        <f>TEXT(Table3[[#This Row],[Order Date]],"mmmm")</f>
        <v>Not Mentioned</v>
      </c>
      <c r="D143" t="s">
        <v>3216</v>
      </c>
      <c r="E143" t="s">
        <v>3223</v>
      </c>
      <c r="F143" t="s">
        <v>3226</v>
      </c>
      <c r="G143" s="4">
        <v>10422.15</v>
      </c>
      <c r="H143" s="4">
        <v>6574.28</v>
      </c>
      <c r="I143" s="3" t="s">
        <v>3734</v>
      </c>
      <c r="J143">
        <v>1</v>
      </c>
      <c r="K143" s="4">
        <f>Table3[[#This Row],[Sales]]-Table3[[#This Row],[Cost]]</f>
        <v>3847.87</v>
      </c>
      <c r="L143" s="6">
        <f>Table3[[#This Row],[Profit]]/Table3[[#This Row],[Sales]]</f>
        <v>0.36920117250279455</v>
      </c>
    </row>
    <row r="144" spans="1:12" x14ac:dyDescent="0.25">
      <c r="A144" t="s">
        <v>156</v>
      </c>
      <c r="B144" s="2">
        <v>45102</v>
      </c>
      <c r="C144" s="2" t="str">
        <f>TEXT(Table3[[#This Row],[Order Date]],"mmmm")</f>
        <v>June</v>
      </c>
      <c r="D144" t="s">
        <v>3730</v>
      </c>
      <c r="E144" t="s">
        <v>3222</v>
      </c>
      <c r="F144" t="s">
        <v>3226</v>
      </c>
      <c r="G144" s="4">
        <v>61025.63</v>
      </c>
      <c r="H144" s="4">
        <v>54833.66</v>
      </c>
      <c r="I144" s="3" t="s">
        <v>3734</v>
      </c>
      <c r="J144">
        <v>5</v>
      </c>
      <c r="K144" s="4">
        <f>Table3[[#This Row],[Sales]]-Table3[[#This Row],[Cost]]</f>
        <v>6191.9699999999939</v>
      </c>
      <c r="L144" s="6">
        <f>Table3[[#This Row],[Profit]]/Table3[[#This Row],[Sales]]</f>
        <v>0.10146507295377359</v>
      </c>
    </row>
    <row r="145" spans="1:12" x14ac:dyDescent="0.25">
      <c r="A145" t="s">
        <v>3246</v>
      </c>
      <c r="B145" s="2">
        <v>44972</v>
      </c>
      <c r="C145" s="2" t="str">
        <f>TEXT(Table3[[#This Row],[Order Date]],"mmmm")</f>
        <v>February</v>
      </c>
      <c r="D145" t="s">
        <v>3730</v>
      </c>
      <c r="E145" t="s">
        <v>3222</v>
      </c>
      <c r="F145" t="s">
        <v>3226</v>
      </c>
      <c r="G145" s="4">
        <v>63099.27</v>
      </c>
      <c r="H145" s="4">
        <v>49808.38</v>
      </c>
      <c r="I145" s="3" t="s">
        <v>3734</v>
      </c>
      <c r="J145">
        <v>5</v>
      </c>
      <c r="K145" s="4">
        <f>Table3[[#This Row],[Sales]]-Table3[[#This Row],[Cost]]</f>
        <v>13290.89</v>
      </c>
      <c r="L145" s="6">
        <f>Table3[[#This Row],[Profit]]/Table3[[#This Row],[Sales]]</f>
        <v>0.21063460797565486</v>
      </c>
    </row>
    <row r="146" spans="1:12" x14ac:dyDescent="0.25">
      <c r="A146" t="s">
        <v>3247</v>
      </c>
      <c r="B146" s="2">
        <v>44972</v>
      </c>
      <c r="C146" s="2" t="str">
        <f>TEXT(Table3[[#This Row],[Order Date]],"mmmm")</f>
        <v>February</v>
      </c>
      <c r="D146" t="s">
        <v>3220</v>
      </c>
      <c r="E146" t="s">
        <v>3224</v>
      </c>
      <c r="F146" t="s">
        <v>3226</v>
      </c>
      <c r="G146" s="4">
        <v>293250.03000000003</v>
      </c>
      <c r="H146" s="4">
        <v>240083</v>
      </c>
      <c r="I146" s="3" t="s">
        <v>3734</v>
      </c>
      <c r="J146">
        <v>5</v>
      </c>
      <c r="K146" s="4">
        <f>Table3[[#This Row],[Sales]]-Table3[[#This Row],[Cost]]</f>
        <v>53167.030000000028</v>
      </c>
      <c r="L146" s="6">
        <f>Table3[[#This Row],[Profit]]/Table3[[#This Row],[Sales]]</f>
        <v>0.1813027265504458</v>
      </c>
    </row>
    <row r="147" spans="1:12" x14ac:dyDescent="0.25">
      <c r="A147" t="s">
        <v>160</v>
      </c>
      <c r="B147" s="2">
        <v>44941</v>
      </c>
      <c r="C147" s="2" t="str">
        <f>TEXT(Table3[[#This Row],[Order Date]],"mmmm")</f>
        <v>January</v>
      </c>
      <c r="D147" t="s">
        <v>3730</v>
      </c>
      <c r="E147" t="s">
        <v>3223</v>
      </c>
      <c r="F147" t="s">
        <v>3226</v>
      </c>
      <c r="G147" s="4">
        <v>35171.379999999997</v>
      </c>
      <c r="H147" s="4">
        <v>21470.02</v>
      </c>
      <c r="I147" s="3" t="s">
        <v>3734</v>
      </c>
      <c r="J147">
        <v>3</v>
      </c>
      <c r="K147" s="4">
        <f>Table3[[#This Row],[Sales]]-Table3[[#This Row],[Cost]]</f>
        <v>13701.359999999997</v>
      </c>
      <c r="L147" s="6">
        <f>Table3[[#This Row],[Profit]]/Table3[[#This Row],[Sales]]</f>
        <v>0.38955992059452876</v>
      </c>
    </row>
    <row r="148" spans="1:12" x14ac:dyDescent="0.25">
      <c r="A148" t="s">
        <v>161</v>
      </c>
      <c r="B148" s="2">
        <v>45102</v>
      </c>
      <c r="C148" s="2" t="str">
        <f>TEXT(Table3[[#This Row],[Order Date]],"mmmm")</f>
        <v>June</v>
      </c>
      <c r="D148" t="s">
        <v>3220</v>
      </c>
      <c r="E148" t="s">
        <v>3225</v>
      </c>
      <c r="F148" t="s">
        <v>3226</v>
      </c>
      <c r="G148" s="4">
        <v>69097.2</v>
      </c>
      <c r="H148" s="4">
        <v>56069.35</v>
      </c>
      <c r="I148" s="3" t="s">
        <v>3734</v>
      </c>
      <c r="J148">
        <v>4</v>
      </c>
      <c r="K148" s="4">
        <f>Table3[[#This Row],[Sales]]-Table3[[#This Row],[Cost]]</f>
        <v>13027.849999999999</v>
      </c>
      <c r="L148" s="6">
        <f>Table3[[#This Row],[Profit]]/Table3[[#This Row],[Sales]]</f>
        <v>0.18854381943117809</v>
      </c>
    </row>
    <row r="149" spans="1:12" x14ac:dyDescent="0.25">
      <c r="A149" t="s">
        <v>162</v>
      </c>
      <c r="B149" s="2">
        <v>45102</v>
      </c>
      <c r="C149" s="2" t="str">
        <f>TEXT(Table3[[#This Row],[Order Date]],"mmmm")</f>
        <v>June</v>
      </c>
      <c r="D149" t="s">
        <v>3731</v>
      </c>
      <c r="E149" t="s">
        <v>3222</v>
      </c>
      <c r="F149" t="s">
        <v>3226</v>
      </c>
      <c r="G149" s="4">
        <v>63612.28</v>
      </c>
      <c r="H149" s="4">
        <v>41651.910000000003</v>
      </c>
      <c r="I149" s="3" t="s">
        <v>3734</v>
      </c>
      <c r="J149">
        <v>4</v>
      </c>
      <c r="K149" s="4">
        <f>Table3[[#This Row],[Sales]]-Table3[[#This Row],[Cost]]</f>
        <v>21960.369999999995</v>
      </c>
      <c r="L149" s="6">
        <f>Table3[[#This Row],[Profit]]/Table3[[#This Row],[Sales]]</f>
        <v>0.34522218037146279</v>
      </c>
    </row>
    <row r="150" spans="1:12" x14ac:dyDescent="0.25">
      <c r="A150" t="s">
        <v>163</v>
      </c>
      <c r="B150" s="2">
        <v>44941</v>
      </c>
      <c r="C150" s="2" t="str">
        <f>TEXT(Table3[[#This Row],[Order Date]],"mmmm")</f>
        <v>January</v>
      </c>
      <c r="D150" t="s">
        <v>3731</v>
      </c>
      <c r="E150" t="s">
        <v>3224</v>
      </c>
      <c r="F150" t="s">
        <v>3226</v>
      </c>
      <c r="G150" s="4">
        <v>55881.15</v>
      </c>
      <c r="H150" s="4">
        <v>45339.85</v>
      </c>
      <c r="I150" s="3" t="s">
        <v>3734</v>
      </c>
      <c r="J150">
        <v>1</v>
      </c>
      <c r="K150" s="4">
        <f>Table3[[#This Row],[Sales]]-Table3[[#This Row],[Cost]]</f>
        <v>10541.300000000003</v>
      </c>
      <c r="L150" s="6">
        <f>Table3[[#This Row],[Profit]]/Table3[[#This Row],[Sales]]</f>
        <v>0.18863785015161647</v>
      </c>
    </row>
    <row r="151" spans="1:12" x14ac:dyDescent="0.25">
      <c r="A151" t="s">
        <v>164</v>
      </c>
      <c r="B151" s="2">
        <v>44972</v>
      </c>
      <c r="C151" s="2" t="str">
        <f>TEXT(Table3[[#This Row],[Order Date]],"mmmm")</f>
        <v>February</v>
      </c>
      <c r="D151" t="s">
        <v>3220</v>
      </c>
      <c r="E151" t="s">
        <v>3223</v>
      </c>
      <c r="F151" t="s">
        <v>3226</v>
      </c>
      <c r="G151" s="4">
        <v>20696.490000000002</v>
      </c>
      <c r="H151" s="4">
        <v>12489.56</v>
      </c>
      <c r="I151" s="3" t="s">
        <v>3734</v>
      </c>
      <c r="J151">
        <v>2</v>
      </c>
      <c r="K151" s="4">
        <f>Table3[[#This Row],[Sales]]-Table3[[#This Row],[Cost]]</f>
        <v>8206.9300000000021</v>
      </c>
      <c r="L151" s="6">
        <f>Table3[[#This Row],[Profit]]/Table3[[#This Row],[Sales]]</f>
        <v>0.39653728724049353</v>
      </c>
    </row>
    <row r="152" spans="1:12" x14ac:dyDescent="0.25">
      <c r="A152" t="s">
        <v>165</v>
      </c>
      <c r="B152" s="2" t="s">
        <v>3729</v>
      </c>
      <c r="C152" s="2" t="str">
        <f>TEXT(Table3[[#This Row],[Order Date]],"mmmm")</f>
        <v>Not Mentioned</v>
      </c>
      <c r="D152" t="s">
        <v>3220</v>
      </c>
      <c r="E152" t="s">
        <v>3223</v>
      </c>
      <c r="F152" t="s">
        <v>3226</v>
      </c>
      <c r="G152" s="4">
        <v>56275.33</v>
      </c>
      <c r="H152" s="4">
        <v>30703.040000000001</v>
      </c>
      <c r="I152" s="3" t="s">
        <v>3734</v>
      </c>
      <c r="J152">
        <v>5</v>
      </c>
      <c r="K152" s="4">
        <f>Table3[[#This Row],[Sales]]-Table3[[#This Row],[Cost]]</f>
        <v>25572.29</v>
      </c>
      <c r="L152" s="6">
        <f>Table3[[#This Row],[Profit]]/Table3[[#This Row],[Sales]]</f>
        <v>0.45441386127811245</v>
      </c>
    </row>
    <row r="153" spans="1:12" x14ac:dyDescent="0.25">
      <c r="A153" t="s">
        <v>167</v>
      </c>
      <c r="B153" s="2">
        <v>45021</v>
      </c>
      <c r="C153" s="2" t="str">
        <f>TEXT(Table3[[#This Row],[Order Date]],"mmmm")</f>
        <v>April</v>
      </c>
      <c r="D153" t="s">
        <v>3731</v>
      </c>
      <c r="E153" t="s">
        <v>3222</v>
      </c>
      <c r="F153" t="s">
        <v>3226</v>
      </c>
      <c r="G153" s="4">
        <v>70426.460000000006</v>
      </c>
      <c r="H153" s="4">
        <v>37516.230000000003</v>
      </c>
      <c r="I153" s="3" t="s">
        <v>3734</v>
      </c>
      <c r="J153">
        <v>4</v>
      </c>
      <c r="K153" s="4">
        <f>Table3[[#This Row],[Sales]]-Table3[[#This Row],[Cost]]</f>
        <v>32910.230000000003</v>
      </c>
      <c r="L153" s="6">
        <f>Table3[[#This Row],[Profit]]/Table3[[#This Row],[Sales]]</f>
        <v>0.46729922247973277</v>
      </c>
    </row>
    <row r="154" spans="1:12" x14ac:dyDescent="0.25">
      <c r="A154" t="s">
        <v>3248</v>
      </c>
      <c r="B154" s="2">
        <v>44972</v>
      </c>
      <c r="C154" s="2" t="str">
        <f>TEXT(Table3[[#This Row],[Order Date]],"mmmm")</f>
        <v>February</v>
      </c>
      <c r="D154" t="s">
        <v>3730</v>
      </c>
      <c r="E154" t="s">
        <v>3223</v>
      </c>
      <c r="F154" t="s">
        <v>3226</v>
      </c>
      <c r="G154" s="4">
        <v>20882.669999999998</v>
      </c>
      <c r="H154" s="4">
        <v>14406.53</v>
      </c>
      <c r="I154" s="3" t="s">
        <v>3734</v>
      </c>
      <c r="J154">
        <v>2</v>
      </c>
      <c r="K154" s="4">
        <f>Table3[[#This Row],[Sales]]-Table3[[#This Row],[Cost]]</f>
        <v>6476.1399999999976</v>
      </c>
      <c r="L154" s="6">
        <f>Table3[[#This Row],[Profit]]/Table3[[#This Row],[Sales]]</f>
        <v>0.31012030549733333</v>
      </c>
    </row>
    <row r="155" spans="1:12" x14ac:dyDescent="0.25">
      <c r="A155" t="s">
        <v>3249</v>
      </c>
      <c r="B155" s="2">
        <v>45005</v>
      </c>
      <c r="C155" s="2" t="str">
        <f>TEXT(Table3[[#This Row],[Order Date]],"mmmm")</f>
        <v>March</v>
      </c>
      <c r="D155" t="s">
        <v>3730</v>
      </c>
      <c r="E155" t="s">
        <v>3222</v>
      </c>
      <c r="F155" t="s">
        <v>3226</v>
      </c>
      <c r="G155" s="4">
        <v>15403.87</v>
      </c>
      <c r="H155" s="4">
        <v>9141.41</v>
      </c>
      <c r="I155" s="3" t="s">
        <v>3734</v>
      </c>
      <c r="J155">
        <v>1</v>
      </c>
      <c r="K155" s="4">
        <f>Table3[[#This Row],[Sales]]-Table3[[#This Row],[Cost]]</f>
        <v>6262.4600000000009</v>
      </c>
      <c r="L155" s="6">
        <f>Table3[[#This Row],[Profit]]/Table3[[#This Row],[Sales]]</f>
        <v>0.40655108099458126</v>
      </c>
    </row>
    <row r="156" spans="1:12" x14ac:dyDescent="0.25">
      <c r="A156" t="s">
        <v>170</v>
      </c>
      <c r="B156" s="2">
        <v>44972</v>
      </c>
      <c r="C156" s="2" t="str">
        <f>TEXT(Table3[[#This Row],[Order Date]],"mmmm")</f>
        <v>February</v>
      </c>
      <c r="D156" t="s">
        <v>3731</v>
      </c>
      <c r="E156" t="s">
        <v>3222</v>
      </c>
      <c r="F156" t="s">
        <v>3226</v>
      </c>
      <c r="G156" s="4">
        <v>86526.19</v>
      </c>
      <c r="H156" s="4">
        <v>45351</v>
      </c>
      <c r="I156" s="3" t="s">
        <v>3734</v>
      </c>
      <c r="J156">
        <v>5</v>
      </c>
      <c r="K156" s="4">
        <f>Table3[[#This Row],[Sales]]-Table3[[#This Row],[Cost]]</f>
        <v>41175.19</v>
      </c>
      <c r="L156" s="6">
        <f>Table3[[#This Row],[Profit]]/Table3[[#This Row],[Sales]]</f>
        <v>0.47586967599058738</v>
      </c>
    </row>
    <row r="157" spans="1:12" x14ac:dyDescent="0.25">
      <c r="A157" t="s">
        <v>171</v>
      </c>
      <c r="B157" s="2">
        <v>45102</v>
      </c>
      <c r="C157" s="2" t="str">
        <f>TEXT(Table3[[#This Row],[Order Date]],"mmmm")</f>
        <v>June</v>
      </c>
      <c r="D157" t="s">
        <v>3220</v>
      </c>
      <c r="E157" t="s">
        <v>3224</v>
      </c>
      <c r="F157" t="s">
        <v>3226</v>
      </c>
      <c r="G157" s="4">
        <v>218381.38</v>
      </c>
      <c r="H157" s="4">
        <v>190017.64</v>
      </c>
      <c r="I157" s="3" t="s">
        <v>3734</v>
      </c>
      <c r="J157">
        <v>4</v>
      </c>
      <c r="K157" s="4">
        <f>Table3[[#This Row],[Sales]]-Table3[[#This Row],[Cost]]</f>
        <v>28363.739999999991</v>
      </c>
      <c r="L157" s="6">
        <f>Table3[[#This Row],[Profit]]/Table3[[#This Row],[Sales]]</f>
        <v>0.12988167764119812</v>
      </c>
    </row>
    <row r="158" spans="1:12" x14ac:dyDescent="0.25">
      <c r="A158" t="s">
        <v>173</v>
      </c>
      <c r="B158" s="2">
        <v>44941</v>
      </c>
      <c r="C158" s="2" t="str">
        <f>TEXT(Table3[[#This Row],[Order Date]],"mmmm")</f>
        <v>January</v>
      </c>
      <c r="D158" t="s">
        <v>3731</v>
      </c>
      <c r="E158" t="s">
        <v>3224</v>
      </c>
      <c r="F158" t="s">
        <v>3226</v>
      </c>
      <c r="G158" s="4">
        <v>311337.15999999997</v>
      </c>
      <c r="H158" s="4">
        <v>219193.14</v>
      </c>
      <c r="I158" s="3" t="s">
        <v>3734</v>
      </c>
      <c r="J158">
        <v>5</v>
      </c>
      <c r="K158" s="4">
        <f>Table3[[#This Row],[Sales]]-Table3[[#This Row],[Cost]]</f>
        <v>92144.01999999996</v>
      </c>
      <c r="L158" s="6">
        <f>Table3[[#This Row],[Profit]]/Table3[[#This Row],[Sales]]</f>
        <v>0.2959621652616089</v>
      </c>
    </row>
    <row r="159" spans="1:12" x14ac:dyDescent="0.25">
      <c r="A159" t="s">
        <v>3250</v>
      </c>
      <c r="B159" s="2">
        <v>44941</v>
      </c>
      <c r="C159" s="2" t="str">
        <f>TEXT(Table3[[#This Row],[Order Date]],"mmmm")</f>
        <v>January</v>
      </c>
      <c r="D159" t="s">
        <v>3731</v>
      </c>
      <c r="E159" t="s">
        <v>3222</v>
      </c>
      <c r="F159" t="s">
        <v>3226</v>
      </c>
      <c r="G159" s="4">
        <v>67648.97</v>
      </c>
      <c r="H159" s="4">
        <v>40032.19</v>
      </c>
      <c r="I159" s="3" t="s">
        <v>3734</v>
      </c>
      <c r="J159">
        <v>4</v>
      </c>
      <c r="K159" s="4">
        <f>Table3[[#This Row],[Sales]]-Table3[[#This Row],[Cost]]</f>
        <v>27616.78</v>
      </c>
      <c r="L159" s="6">
        <f>Table3[[#This Row],[Profit]]/Table3[[#This Row],[Sales]]</f>
        <v>0.40823651860479176</v>
      </c>
    </row>
    <row r="160" spans="1:12" x14ac:dyDescent="0.25">
      <c r="A160" t="s">
        <v>175</v>
      </c>
      <c r="B160" s="2" t="s">
        <v>3729</v>
      </c>
      <c r="C160" s="2" t="str">
        <f>TEXT(Table3[[#This Row],[Order Date]],"mmmm")</f>
        <v>Not Mentioned</v>
      </c>
      <c r="D160" t="s">
        <v>3730</v>
      </c>
      <c r="E160" t="s">
        <v>3225</v>
      </c>
      <c r="F160" t="s">
        <v>3226</v>
      </c>
      <c r="G160" s="4">
        <v>20937.25</v>
      </c>
      <c r="H160" s="4">
        <v>13448.43</v>
      </c>
      <c r="I160" s="3" t="s">
        <v>3734</v>
      </c>
      <c r="J160">
        <v>1</v>
      </c>
      <c r="K160" s="4">
        <f>Table3[[#This Row],[Sales]]-Table3[[#This Row],[Cost]]</f>
        <v>7488.82</v>
      </c>
      <c r="L160" s="6">
        <f>Table3[[#This Row],[Profit]]/Table3[[#This Row],[Sales]]</f>
        <v>0.3576792558717119</v>
      </c>
    </row>
    <row r="161" spans="1:12" x14ac:dyDescent="0.25">
      <c r="A161" t="s">
        <v>176</v>
      </c>
      <c r="B161" s="2" t="s">
        <v>3729</v>
      </c>
      <c r="C161" s="2" t="str">
        <f>TEXT(Table3[[#This Row],[Order Date]],"mmmm")</f>
        <v>Not Mentioned</v>
      </c>
      <c r="D161" t="s">
        <v>3216</v>
      </c>
      <c r="E161" t="s">
        <v>3222</v>
      </c>
      <c r="F161" t="s">
        <v>3226</v>
      </c>
      <c r="G161" s="4">
        <v>55784.01</v>
      </c>
      <c r="H161" s="4">
        <v>37330.019999999997</v>
      </c>
      <c r="I161" s="3" t="s">
        <v>3734</v>
      </c>
      <c r="J161">
        <v>4</v>
      </c>
      <c r="K161" s="4">
        <f>Table3[[#This Row],[Sales]]-Table3[[#This Row],[Cost]]</f>
        <v>18453.990000000005</v>
      </c>
      <c r="L161" s="6">
        <f>Table3[[#This Row],[Profit]]/Table3[[#This Row],[Sales]]</f>
        <v>0.33081146371513998</v>
      </c>
    </row>
    <row r="162" spans="1:12" x14ac:dyDescent="0.25">
      <c r="A162" t="s">
        <v>3251</v>
      </c>
      <c r="B162" s="2">
        <v>45021</v>
      </c>
      <c r="C162" s="2" t="str">
        <f>TEXT(Table3[[#This Row],[Order Date]],"mmmm")</f>
        <v>April</v>
      </c>
      <c r="D162" t="s">
        <v>3220</v>
      </c>
      <c r="E162" t="s">
        <v>3223</v>
      </c>
      <c r="F162" t="s">
        <v>3226</v>
      </c>
      <c r="G162" s="4">
        <v>33420.28</v>
      </c>
      <c r="H162" s="4">
        <v>30531.66</v>
      </c>
      <c r="I162" s="3" t="s">
        <v>3734</v>
      </c>
      <c r="J162">
        <v>4</v>
      </c>
      <c r="K162" s="4">
        <f>Table3[[#This Row],[Sales]]-Table3[[#This Row],[Cost]]</f>
        <v>2888.619999999999</v>
      </c>
      <c r="L162" s="6">
        <f>Table3[[#This Row],[Profit]]/Table3[[#This Row],[Sales]]</f>
        <v>8.6433147777337571E-2</v>
      </c>
    </row>
    <row r="163" spans="1:12" x14ac:dyDescent="0.25">
      <c r="A163" t="s">
        <v>178</v>
      </c>
      <c r="B163" s="2">
        <v>45021</v>
      </c>
      <c r="C163" s="2" t="str">
        <f>TEXT(Table3[[#This Row],[Order Date]],"mmmm")</f>
        <v>April</v>
      </c>
      <c r="D163" t="s">
        <v>3220</v>
      </c>
      <c r="E163" t="s">
        <v>3223</v>
      </c>
      <c r="F163" t="s">
        <v>3226</v>
      </c>
      <c r="G163" s="4">
        <v>47699.78</v>
      </c>
      <c r="H163" s="4">
        <v>27124.21</v>
      </c>
      <c r="I163" s="3" t="s">
        <v>3734</v>
      </c>
      <c r="J163">
        <v>4</v>
      </c>
      <c r="K163" s="4">
        <f>Table3[[#This Row],[Sales]]-Table3[[#This Row],[Cost]]</f>
        <v>20575.57</v>
      </c>
      <c r="L163" s="6">
        <f>Table3[[#This Row],[Profit]]/Table3[[#This Row],[Sales]]</f>
        <v>0.43135565824412608</v>
      </c>
    </row>
    <row r="164" spans="1:12" x14ac:dyDescent="0.25">
      <c r="A164" t="s">
        <v>3252</v>
      </c>
      <c r="B164" s="2">
        <v>44941</v>
      </c>
      <c r="C164" s="2" t="str">
        <f>TEXT(Table3[[#This Row],[Order Date]],"mmmm")</f>
        <v>January</v>
      </c>
      <c r="D164" t="s">
        <v>3730</v>
      </c>
      <c r="E164" t="s">
        <v>3224</v>
      </c>
      <c r="F164" t="s">
        <v>3226</v>
      </c>
      <c r="G164" s="4">
        <v>251151.5</v>
      </c>
      <c r="H164" s="4">
        <v>205708.91</v>
      </c>
      <c r="I164" s="3" t="s">
        <v>3734</v>
      </c>
      <c r="J164">
        <v>5</v>
      </c>
      <c r="K164" s="4">
        <f>Table3[[#This Row],[Sales]]-Table3[[#This Row],[Cost]]</f>
        <v>45442.59</v>
      </c>
      <c r="L164" s="6">
        <f>Table3[[#This Row],[Profit]]/Table3[[#This Row],[Sales]]</f>
        <v>0.18093696434223963</v>
      </c>
    </row>
    <row r="165" spans="1:12" x14ac:dyDescent="0.25">
      <c r="A165" t="s">
        <v>180</v>
      </c>
      <c r="B165" s="2">
        <v>44972</v>
      </c>
      <c r="C165" s="2" t="str">
        <f>TEXT(Table3[[#This Row],[Order Date]],"mmmm")</f>
        <v>February</v>
      </c>
      <c r="D165" t="s">
        <v>3220</v>
      </c>
      <c r="E165" t="s">
        <v>3224</v>
      </c>
      <c r="F165" t="s">
        <v>3226</v>
      </c>
      <c r="G165" s="4">
        <v>114283.66</v>
      </c>
      <c r="H165" s="4">
        <v>84292.24</v>
      </c>
      <c r="I165" s="3" t="s">
        <v>3734</v>
      </c>
      <c r="J165">
        <v>2</v>
      </c>
      <c r="K165" s="4">
        <f>Table3[[#This Row],[Sales]]-Table3[[#This Row],[Cost]]</f>
        <v>29991.42</v>
      </c>
      <c r="L165" s="6">
        <f>Table3[[#This Row],[Profit]]/Table3[[#This Row],[Sales]]</f>
        <v>0.26242964217281806</v>
      </c>
    </row>
    <row r="166" spans="1:12" x14ac:dyDescent="0.25">
      <c r="A166" t="s">
        <v>181</v>
      </c>
      <c r="B166" s="2" t="s">
        <v>3729</v>
      </c>
      <c r="C166" s="2" t="str">
        <f>TEXT(Table3[[#This Row],[Order Date]],"mmmm")</f>
        <v>Not Mentioned</v>
      </c>
      <c r="D166" t="s">
        <v>3730</v>
      </c>
      <c r="E166" t="s">
        <v>3222</v>
      </c>
      <c r="F166" t="s">
        <v>3226</v>
      </c>
      <c r="G166" s="4">
        <v>46342.57</v>
      </c>
      <c r="H166" s="4">
        <v>29749.32</v>
      </c>
      <c r="I166" s="3" t="s">
        <v>3734</v>
      </c>
      <c r="J166">
        <v>3</v>
      </c>
      <c r="K166" s="4">
        <f>Table3[[#This Row],[Sales]]-Table3[[#This Row],[Cost]]</f>
        <v>16593.25</v>
      </c>
      <c r="L166" s="6">
        <f>Table3[[#This Row],[Profit]]/Table3[[#This Row],[Sales]]</f>
        <v>0.35805631841307034</v>
      </c>
    </row>
    <row r="167" spans="1:12" x14ac:dyDescent="0.25">
      <c r="A167" t="s">
        <v>182</v>
      </c>
      <c r="B167" s="2" t="s">
        <v>3729</v>
      </c>
      <c r="C167" s="2" t="str">
        <f>TEXT(Table3[[#This Row],[Order Date]],"mmmm")</f>
        <v>Not Mentioned</v>
      </c>
      <c r="D167" t="s">
        <v>3216</v>
      </c>
      <c r="E167" t="s">
        <v>3225</v>
      </c>
      <c r="F167" t="s">
        <v>3226</v>
      </c>
      <c r="G167" s="4">
        <v>66960.73</v>
      </c>
      <c r="H167" s="4">
        <v>53568.584000000003</v>
      </c>
      <c r="I167" s="3" t="s">
        <v>3735</v>
      </c>
      <c r="J167">
        <v>3</v>
      </c>
      <c r="K167" s="4">
        <f>Table3[[#This Row],[Sales]]-Table3[[#This Row],[Cost]]</f>
        <v>13392.145999999993</v>
      </c>
      <c r="L167" s="6">
        <f>Table3[[#This Row],[Profit]]/Table3[[#This Row],[Sales]]</f>
        <v>0.1999999999999999</v>
      </c>
    </row>
    <row r="168" spans="1:12" x14ac:dyDescent="0.25">
      <c r="A168" t="s">
        <v>183</v>
      </c>
      <c r="B168" s="2">
        <v>45021</v>
      </c>
      <c r="C168" s="2" t="str">
        <f>TEXT(Table3[[#This Row],[Order Date]],"mmmm")</f>
        <v>April</v>
      </c>
      <c r="D168" t="s">
        <v>3731</v>
      </c>
      <c r="E168" t="s">
        <v>3225</v>
      </c>
      <c r="F168" t="s">
        <v>3226</v>
      </c>
      <c r="G168" s="4">
        <v>45159.69</v>
      </c>
      <c r="H168" s="4">
        <v>24727.67</v>
      </c>
      <c r="I168" s="3" t="s">
        <v>3734</v>
      </c>
      <c r="J168">
        <v>2</v>
      </c>
      <c r="K168" s="4">
        <f>Table3[[#This Row],[Sales]]-Table3[[#This Row],[Cost]]</f>
        <v>20432.020000000004</v>
      </c>
      <c r="L168" s="6">
        <f>Table3[[#This Row],[Profit]]/Table3[[#This Row],[Sales]]</f>
        <v>0.45243933251091856</v>
      </c>
    </row>
    <row r="169" spans="1:12" x14ac:dyDescent="0.25">
      <c r="A169" t="s">
        <v>184</v>
      </c>
      <c r="B169" s="2">
        <v>45021</v>
      </c>
      <c r="C169" s="2" t="str">
        <f>TEXT(Table3[[#This Row],[Order Date]],"mmmm")</f>
        <v>April</v>
      </c>
      <c r="D169" t="s">
        <v>3730</v>
      </c>
      <c r="E169" t="s">
        <v>3222</v>
      </c>
      <c r="F169" t="s">
        <v>3226</v>
      </c>
      <c r="G169" s="4">
        <v>16951.2</v>
      </c>
      <c r="H169" s="4">
        <v>10165.77</v>
      </c>
      <c r="I169" s="3" t="s">
        <v>3734</v>
      </c>
      <c r="J169">
        <v>1</v>
      </c>
      <c r="K169" s="4">
        <f>Table3[[#This Row],[Sales]]-Table3[[#This Row],[Cost]]</f>
        <v>6785.43</v>
      </c>
      <c r="L169" s="6">
        <f>Table3[[#This Row],[Profit]]/Table3[[#This Row],[Sales]]</f>
        <v>0.40029201472462128</v>
      </c>
    </row>
    <row r="170" spans="1:12" x14ac:dyDescent="0.25">
      <c r="A170" t="s">
        <v>185</v>
      </c>
      <c r="B170" s="2">
        <v>45005</v>
      </c>
      <c r="C170" s="2" t="str">
        <f>TEXT(Table3[[#This Row],[Order Date]],"mmmm")</f>
        <v>March</v>
      </c>
      <c r="D170" t="s">
        <v>3730</v>
      </c>
      <c r="E170" t="s">
        <v>3222</v>
      </c>
      <c r="F170" t="s">
        <v>3226</v>
      </c>
      <c r="G170" s="4">
        <v>58548.28</v>
      </c>
      <c r="H170" s="4">
        <v>35056.65</v>
      </c>
      <c r="I170" s="3" t="s">
        <v>3734</v>
      </c>
      <c r="J170">
        <v>4</v>
      </c>
      <c r="K170" s="4">
        <f>Table3[[#This Row],[Sales]]-Table3[[#This Row],[Cost]]</f>
        <v>23491.629999999997</v>
      </c>
      <c r="L170" s="6">
        <f>Table3[[#This Row],[Profit]]/Table3[[#This Row],[Sales]]</f>
        <v>0.40123518573047745</v>
      </c>
    </row>
    <row r="171" spans="1:12" x14ac:dyDescent="0.25">
      <c r="A171" t="s">
        <v>186</v>
      </c>
      <c r="B171" s="2">
        <v>44941</v>
      </c>
      <c r="C171" s="2" t="str">
        <f>TEXT(Table3[[#This Row],[Order Date]],"mmmm")</f>
        <v>January</v>
      </c>
      <c r="D171" t="s">
        <v>3731</v>
      </c>
      <c r="E171" t="s">
        <v>3222</v>
      </c>
      <c r="F171" t="s">
        <v>3226</v>
      </c>
      <c r="G171" s="4">
        <v>29517.61</v>
      </c>
      <c r="H171" s="4">
        <v>17290.82</v>
      </c>
      <c r="I171" s="3" t="s">
        <v>3734</v>
      </c>
      <c r="J171">
        <v>2</v>
      </c>
      <c r="K171" s="4">
        <f>Table3[[#This Row],[Sales]]-Table3[[#This Row],[Cost]]</f>
        <v>12226.79</v>
      </c>
      <c r="L171" s="6">
        <f>Table3[[#This Row],[Profit]]/Table3[[#This Row],[Sales]]</f>
        <v>0.4142201892361882</v>
      </c>
    </row>
    <row r="172" spans="1:12" x14ac:dyDescent="0.25">
      <c r="A172" t="s">
        <v>187</v>
      </c>
      <c r="B172" s="2">
        <v>45102</v>
      </c>
      <c r="C172" s="2" t="str">
        <f>TEXT(Table3[[#This Row],[Order Date]],"mmmm")</f>
        <v>June</v>
      </c>
      <c r="D172" t="s">
        <v>3216</v>
      </c>
      <c r="E172" t="s">
        <v>3224</v>
      </c>
      <c r="F172" t="s">
        <v>3226</v>
      </c>
      <c r="G172" s="4">
        <v>66784.7</v>
      </c>
      <c r="H172" s="4">
        <v>41235.61</v>
      </c>
      <c r="I172" s="3" t="s">
        <v>3734</v>
      </c>
      <c r="J172">
        <v>1</v>
      </c>
      <c r="K172" s="4">
        <f>Table3[[#This Row],[Sales]]-Table3[[#This Row],[Cost]]</f>
        <v>25549.089999999997</v>
      </c>
      <c r="L172" s="6">
        <f>Table3[[#This Row],[Profit]]/Table3[[#This Row],[Sales]]</f>
        <v>0.38255902923873281</v>
      </c>
    </row>
    <row r="173" spans="1:12" x14ac:dyDescent="0.25">
      <c r="A173" t="s">
        <v>188</v>
      </c>
      <c r="B173" s="2">
        <v>45005</v>
      </c>
      <c r="C173" s="2" t="str">
        <f>TEXT(Table3[[#This Row],[Order Date]],"mmmm")</f>
        <v>March</v>
      </c>
      <c r="D173" t="s">
        <v>3731</v>
      </c>
      <c r="E173" t="s">
        <v>3223</v>
      </c>
      <c r="F173" t="s">
        <v>3226</v>
      </c>
      <c r="G173" s="4">
        <v>52477.919999999998</v>
      </c>
      <c r="H173" s="4">
        <v>34361.61</v>
      </c>
      <c r="I173" s="3" t="s">
        <v>3734</v>
      </c>
      <c r="J173">
        <v>5</v>
      </c>
      <c r="K173" s="4">
        <f>Table3[[#This Row],[Sales]]-Table3[[#This Row],[Cost]]</f>
        <v>18116.309999999998</v>
      </c>
      <c r="L173" s="6">
        <f>Table3[[#This Row],[Profit]]/Table3[[#This Row],[Sales]]</f>
        <v>0.34521776015512806</v>
      </c>
    </row>
    <row r="174" spans="1:12" x14ac:dyDescent="0.25">
      <c r="A174" t="s">
        <v>189</v>
      </c>
      <c r="B174" s="2">
        <v>44972</v>
      </c>
      <c r="C174" s="2" t="str">
        <f>TEXT(Table3[[#This Row],[Order Date]],"mmmm")</f>
        <v>February</v>
      </c>
      <c r="D174" t="s">
        <v>3730</v>
      </c>
      <c r="E174" t="s">
        <v>3223</v>
      </c>
      <c r="F174" t="s">
        <v>3226</v>
      </c>
      <c r="G174" s="4">
        <v>47741.58</v>
      </c>
      <c r="H174" s="4">
        <v>38183.440000000002</v>
      </c>
      <c r="I174" s="3" t="s">
        <v>3734</v>
      </c>
      <c r="J174">
        <v>5</v>
      </c>
      <c r="K174" s="4">
        <f>Table3[[#This Row],[Sales]]-Table3[[#This Row],[Cost]]</f>
        <v>9558.14</v>
      </c>
      <c r="L174" s="6">
        <f>Table3[[#This Row],[Profit]]/Table3[[#This Row],[Sales]]</f>
        <v>0.20020577450515881</v>
      </c>
    </row>
    <row r="175" spans="1:12" x14ac:dyDescent="0.25">
      <c r="A175" t="s">
        <v>3253</v>
      </c>
      <c r="B175" s="2">
        <v>45005</v>
      </c>
      <c r="C175" s="2" t="str">
        <f>TEXT(Table3[[#This Row],[Order Date]],"mmmm")</f>
        <v>March</v>
      </c>
      <c r="D175" t="s">
        <v>3220</v>
      </c>
      <c r="E175" t="s">
        <v>3223</v>
      </c>
      <c r="F175" t="s">
        <v>3226</v>
      </c>
      <c r="G175" s="4">
        <v>44304.04</v>
      </c>
      <c r="H175" s="4">
        <v>29856.06</v>
      </c>
      <c r="I175" s="3" t="s">
        <v>3734</v>
      </c>
      <c r="J175">
        <v>5</v>
      </c>
      <c r="K175" s="4">
        <f>Table3[[#This Row],[Sales]]-Table3[[#This Row],[Cost]]</f>
        <v>14447.98</v>
      </c>
      <c r="L175" s="6">
        <f>Table3[[#This Row],[Profit]]/Table3[[#This Row],[Sales]]</f>
        <v>0.32610976335340974</v>
      </c>
    </row>
    <row r="176" spans="1:12" x14ac:dyDescent="0.25">
      <c r="A176" t="s">
        <v>191</v>
      </c>
      <c r="B176" s="2">
        <v>45005</v>
      </c>
      <c r="C176" s="2" t="str">
        <f>TEXT(Table3[[#This Row],[Order Date]],"mmmm")</f>
        <v>March</v>
      </c>
      <c r="D176" t="s">
        <v>3220</v>
      </c>
      <c r="E176" t="s">
        <v>3223</v>
      </c>
      <c r="F176" t="s">
        <v>3226</v>
      </c>
      <c r="G176" s="4">
        <v>29452.53</v>
      </c>
      <c r="H176" s="4">
        <v>23562.024000000001</v>
      </c>
      <c r="I176" s="3" t="s">
        <v>3735</v>
      </c>
      <c r="J176">
        <v>3</v>
      </c>
      <c r="K176" s="4">
        <f>Table3[[#This Row],[Sales]]-Table3[[#This Row],[Cost]]</f>
        <v>5890.5059999999976</v>
      </c>
      <c r="L176" s="6">
        <f>Table3[[#This Row],[Profit]]/Table3[[#This Row],[Sales]]</f>
        <v>0.19999999999999993</v>
      </c>
    </row>
    <row r="177" spans="1:12" x14ac:dyDescent="0.25">
      <c r="A177" t="s">
        <v>192</v>
      </c>
      <c r="B177" s="2">
        <v>44941</v>
      </c>
      <c r="C177" s="2" t="str">
        <f>TEXT(Table3[[#This Row],[Order Date]],"mmmm")</f>
        <v>January</v>
      </c>
      <c r="D177" t="s">
        <v>3730</v>
      </c>
      <c r="E177" t="s">
        <v>3224</v>
      </c>
      <c r="F177" t="s">
        <v>3226</v>
      </c>
      <c r="G177" s="4">
        <v>274518.26</v>
      </c>
      <c r="H177" s="4">
        <v>170657.72</v>
      </c>
      <c r="I177" s="3" t="s">
        <v>3734</v>
      </c>
      <c r="J177">
        <v>4</v>
      </c>
      <c r="K177" s="4">
        <f>Table3[[#This Row],[Sales]]-Table3[[#This Row],[Cost]]</f>
        <v>103860.54000000001</v>
      </c>
      <c r="L177" s="6">
        <f>Table3[[#This Row],[Profit]]/Table3[[#This Row],[Sales]]</f>
        <v>0.37833745558492177</v>
      </c>
    </row>
    <row r="178" spans="1:12" x14ac:dyDescent="0.25">
      <c r="A178" t="s">
        <v>193</v>
      </c>
      <c r="B178" s="2">
        <v>44941</v>
      </c>
      <c r="C178" s="2" t="str">
        <f>TEXT(Table3[[#This Row],[Order Date]],"mmmm")</f>
        <v>January</v>
      </c>
      <c r="D178" t="s">
        <v>3220</v>
      </c>
      <c r="E178" t="s">
        <v>3223</v>
      </c>
      <c r="F178" t="s">
        <v>3226</v>
      </c>
      <c r="G178" s="4">
        <v>45587.35</v>
      </c>
      <c r="H178" s="4">
        <v>37890.29</v>
      </c>
      <c r="I178" s="3" t="s">
        <v>3734</v>
      </c>
      <c r="J178">
        <v>5</v>
      </c>
      <c r="K178" s="4">
        <f>Table3[[#This Row],[Sales]]-Table3[[#This Row],[Cost]]</f>
        <v>7697.0599999999977</v>
      </c>
      <c r="L178" s="6">
        <f>Table3[[#This Row],[Profit]]/Table3[[#This Row],[Sales]]</f>
        <v>0.16884201428685805</v>
      </c>
    </row>
    <row r="179" spans="1:12" x14ac:dyDescent="0.25">
      <c r="A179" t="s">
        <v>3254</v>
      </c>
      <c r="B179" s="2">
        <v>45005</v>
      </c>
      <c r="C179" s="2" t="str">
        <f>TEXT(Table3[[#This Row],[Order Date]],"mmmm")</f>
        <v>March</v>
      </c>
      <c r="D179" t="s">
        <v>3220</v>
      </c>
      <c r="E179" t="s">
        <v>3223</v>
      </c>
      <c r="F179" t="s">
        <v>3226</v>
      </c>
      <c r="G179" s="4">
        <v>43003.38</v>
      </c>
      <c r="H179" s="4">
        <v>36202.550000000003</v>
      </c>
      <c r="I179" s="3" t="s">
        <v>3734</v>
      </c>
      <c r="J179" t="s">
        <v>3732</v>
      </c>
      <c r="K179" s="4">
        <f>Table3[[#This Row],[Sales]]-Table3[[#This Row],[Cost]]</f>
        <v>6800.8299999999945</v>
      </c>
      <c r="L179" s="6">
        <f>Table3[[#This Row],[Profit]]/Table3[[#This Row],[Sales]]</f>
        <v>0.15814640616621287</v>
      </c>
    </row>
    <row r="180" spans="1:12" x14ac:dyDescent="0.25">
      <c r="A180" t="s">
        <v>195</v>
      </c>
      <c r="B180" s="2">
        <v>45005</v>
      </c>
      <c r="C180" s="2" t="str">
        <f>TEXT(Table3[[#This Row],[Order Date]],"mmmm")</f>
        <v>March</v>
      </c>
      <c r="D180" t="s">
        <v>3731</v>
      </c>
      <c r="E180" t="s">
        <v>3224</v>
      </c>
      <c r="F180" t="s">
        <v>3226</v>
      </c>
      <c r="G180" s="4">
        <v>262800.8</v>
      </c>
      <c r="H180" s="4">
        <v>168896.31</v>
      </c>
      <c r="I180" s="3" t="s">
        <v>3734</v>
      </c>
      <c r="J180">
        <v>4</v>
      </c>
      <c r="K180" s="4">
        <f>Table3[[#This Row],[Sales]]-Table3[[#This Row],[Cost]]</f>
        <v>93904.489999999991</v>
      </c>
      <c r="L180" s="6">
        <f>Table3[[#This Row],[Profit]]/Table3[[#This Row],[Sales]]</f>
        <v>0.35732193357097847</v>
      </c>
    </row>
    <row r="181" spans="1:12" x14ac:dyDescent="0.25">
      <c r="A181" t="s">
        <v>196</v>
      </c>
      <c r="B181" s="2">
        <v>44941</v>
      </c>
      <c r="C181" s="2" t="str">
        <f>TEXT(Table3[[#This Row],[Order Date]],"mmmm")</f>
        <v>January</v>
      </c>
      <c r="D181" t="s">
        <v>3220</v>
      </c>
      <c r="E181" t="s">
        <v>3225</v>
      </c>
      <c r="F181" t="s">
        <v>3226</v>
      </c>
      <c r="G181" s="4">
        <v>101984.64</v>
      </c>
      <c r="H181" s="4">
        <v>81587.712</v>
      </c>
      <c r="I181" s="3" t="s">
        <v>3735</v>
      </c>
      <c r="J181">
        <v>5</v>
      </c>
      <c r="K181" s="4">
        <f>Table3[[#This Row],[Sales]]-Table3[[#This Row],[Cost]]</f>
        <v>20396.928</v>
      </c>
      <c r="L181" s="6">
        <f>Table3[[#This Row],[Profit]]/Table3[[#This Row],[Sales]]</f>
        <v>0.2</v>
      </c>
    </row>
    <row r="182" spans="1:12" x14ac:dyDescent="0.25">
      <c r="A182" t="s">
        <v>197</v>
      </c>
      <c r="B182" s="2">
        <v>44972</v>
      </c>
      <c r="C182" s="2" t="str">
        <f>TEXT(Table3[[#This Row],[Order Date]],"mmmm")</f>
        <v>February</v>
      </c>
      <c r="D182" t="s">
        <v>3730</v>
      </c>
      <c r="E182" t="s">
        <v>3225</v>
      </c>
      <c r="F182" t="s">
        <v>3226</v>
      </c>
      <c r="G182" s="4">
        <v>32166.84</v>
      </c>
      <c r="H182" s="4">
        <v>25587.89</v>
      </c>
      <c r="I182" s="3" t="s">
        <v>3734</v>
      </c>
      <c r="J182">
        <v>2</v>
      </c>
      <c r="K182" s="4">
        <f>Table3[[#This Row],[Sales]]-Table3[[#This Row],[Cost]]</f>
        <v>6578.9500000000007</v>
      </c>
      <c r="L182" s="6">
        <f>Table3[[#This Row],[Profit]]/Table3[[#This Row],[Sales]]</f>
        <v>0.20452584089702316</v>
      </c>
    </row>
    <row r="183" spans="1:12" x14ac:dyDescent="0.25">
      <c r="A183" t="s">
        <v>3255</v>
      </c>
      <c r="B183" s="2">
        <v>44972</v>
      </c>
      <c r="C183" s="2" t="str">
        <f>TEXT(Table3[[#This Row],[Order Date]],"mmmm")</f>
        <v>February</v>
      </c>
      <c r="D183" t="s">
        <v>3220</v>
      </c>
      <c r="E183" t="s">
        <v>3223</v>
      </c>
      <c r="F183" t="s">
        <v>3226</v>
      </c>
      <c r="G183" s="4">
        <v>39589.379999999997</v>
      </c>
      <c r="H183" s="4">
        <v>24597.7</v>
      </c>
      <c r="I183" s="3" t="s">
        <v>3734</v>
      </c>
      <c r="J183">
        <v>4</v>
      </c>
      <c r="K183" s="4">
        <f>Table3[[#This Row],[Sales]]-Table3[[#This Row],[Cost]]</f>
        <v>14991.679999999997</v>
      </c>
      <c r="L183" s="6">
        <f>Table3[[#This Row],[Profit]]/Table3[[#This Row],[Sales]]</f>
        <v>0.37867933268972631</v>
      </c>
    </row>
    <row r="184" spans="1:12" x14ac:dyDescent="0.25">
      <c r="A184" t="s">
        <v>3256</v>
      </c>
      <c r="B184" s="2" t="s">
        <v>3729</v>
      </c>
      <c r="C184" s="2" t="str">
        <f>TEXT(Table3[[#This Row],[Order Date]],"mmmm")</f>
        <v>Not Mentioned</v>
      </c>
      <c r="D184" t="s">
        <v>3220</v>
      </c>
      <c r="E184" t="s">
        <v>3224</v>
      </c>
      <c r="F184" t="s">
        <v>3226</v>
      </c>
      <c r="G184" s="4">
        <v>183606.62</v>
      </c>
      <c r="H184" s="4">
        <v>127867.03</v>
      </c>
      <c r="I184" s="3" t="s">
        <v>3734</v>
      </c>
      <c r="J184">
        <v>3</v>
      </c>
      <c r="K184" s="4">
        <f>Table3[[#This Row],[Sales]]-Table3[[#This Row],[Cost]]</f>
        <v>55739.59</v>
      </c>
      <c r="L184" s="6">
        <f>Table3[[#This Row],[Profit]]/Table3[[#This Row],[Sales]]</f>
        <v>0.30358159199270701</v>
      </c>
    </row>
    <row r="185" spans="1:12" x14ac:dyDescent="0.25">
      <c r="A185" t="s">
        <v>200</v>
      </c>
      <c r="B185" s="2">
        <v>45021</v>
      </c>
      <c r="C185" s="2" t="str">
        <f>TEXT(Table3[[#This Row],[Order Date]],"mmmm")</f>
        <v>April</v>
      </c>
      <c r="D185" t="s">
        <v>3731</v>
      </c>
      <c r="E185" t="s">
        <v>3223</v>
      </c>
      <c r="F185" t="s">
        <v>3226</v>
      </c>
      <c r="G185" s="4">
        <v>10176.07</v>
      </c>
      <c r="H185" s="4">
        <v>7063.12</v>
      </c>
      <c r="I185" s="3" t="s">
        <v>3734</v>
      </c>
      <c r="J185">
        <v>1</v>
      </c>
      <c r="K185" s="4">
        <f>Table3[[#This Row],[Sales]]-Table3[[#This Row],[Cost]]</f>
        <v>3112.95</v>
      </c>
      <c r="L185" s="6">
        <f>Table3[[#This Row],[Profit]]/Table3[[#This Row],[Sales]]</f>
        <v>0.30590886265522937</v>
      </c>
    </row>
    <row r="186" spans="1:12" x14ac:dyDescent="0.25">
      <c r="A186" t="s">
        <v>201</v>
      </c>
      <c r="B186" s="2">
        <v>45005</v>
      </c>
      <c r="C186" s="2" t="str">
        <f>TEXT(Table3[[#This Row],[Order Date]],"mmmm")</f>
        <v>March</v>
      </c>
      <c r="D186" t="s">
        <v>3216</v>
      </c>
      <c r="E186" t="s">
        <v>3223</v>
      </c>
      <c r="F186" t="s">
        <v>3226</v>
      </c>
      <c r="G186" s="4">
        <v>27231.98</v>
      </c>
      <c r="H186" s="4">
        <v>20682.669999999998</v>
      </c>
      <c r="I186" s="3" t="s">
        <v>3734</v>
      </c>
      <c r="J186">
        <v>3</v>
      </c>
      <c r="K186" s="4">
        <f>Table3[[#This Row],[Sales]]-Table3[[#This Row],[Cost]]</f>
        <v>6549.3100000000013</v>
      </c>
      <c r="L186" s="6">
        <f>Table3[[#This Row],[Profit]]/Table3[[#This Row],[Sales]]</f>
        <v>0.2405006907319997</v>
      </c>
    </row>
    <row r="187" spans="1:12" x14ac:dyDescent="0.25">
      <c r="A187" t="s">
        <v>202</v>
      </c>
      <c r="B187" s="2">
        <v>44941</v>
      </c>
      <c r="C187" s="2" t="str">
        <f>TEXT(Table3[[#This Row],[Order Date]],"mmmm")</f>
        <v>January</v>
      </c>
      <c r="D187" t="s">
        <v>3730</v>
      </c>
      <c r="E187" t="s">
        <v>3224</v>
      </c>
      <c r="F187" t="s">
        <v>3226</v>
      </c>
      <c r="G187" s="4">
        <v>198589.32</v>
      </c>
      <c r="H187" s="4">
        <v>139840.54999999999</v>
      </c>
      <c r="I187" s="3" t="s">
        <v>3734</v>
      </c>
      <c r="J187">
        <v>3</v>
      </c>
      <c r="K187" s="4">
        <f>Table3[[#This Row],[Sales]]-Table3[[#This Row],[Cost]]</f>
        <v>58748.770000000019</v>
      </c>
      <c r="L187" s="6">
        <f>Table3[[#This Row],[Profit]]/Table3[[#This Row],[Sales]]</f>
        <v>0.29583046057058865</v>
      </c>
    </row>
    <row r="188" spans="1:12" x14ac:dyDescent="0.25">
      <c r="A188" t="s">
        <v>203</v>
      </c>
      <c r="B188" s="2">
        <v>44972</v>
      </c>
      <c r="C188" s="2" t="str">
        <f>TEXT(Table3[[#This Row],[Order Date]],"mmmm")</f>
        <v>February</v>
      </c>
      <c r="D188" t="s">
        <v>3731</v>
      </c>
      <c r="E188" t="s">
        <v>3222</v>
      </c>
      <c r="F188" t="s">
        <v>3226</v>
      </c>
      <c r="G188" s="4">
        <v>30696.51</v>
      </c>
      <c r="H188" s="4">
        <v>21058.76</v>
      </c>
      <c r="I188" s="3" t="s">
        <v>3734</v>
      </c>
      <c r="J188">
        <v>2</v>
      </c>
      <c r="K188" s="4">
        <f>Table3[[#This Row],[Sales]]-Table3[[#This Row],[Cost]]</f>
        <v>9637.75</v>
      </c>
      <c r="L188" s="6">
        <f>Table3[[#This Row],[Profit]]/Table3[[#This Row],[Sales]]</f>
        <v>0.31396891698763152</v>
      </c>
    </row>
    <row r="189" spans="1:12" x14ac:dyDescent="0.25">
      <c r="A189" t="s">
        <v>204</v>
      </c>
      <c r="B189" s="2">
        <v>44972</v>
      </c>
      <c r="C189" s="2" t="str">
        <f>TEXT(Table3[[#This Row],[Order Date]],"mmmm")</f>
        <v>February</v>
      </c>
      <c r="D189" t="s">
        <v>3730</v>
      </c>
      <c r="E189" t="s">
        <v>3224</v>
      </c>
      <c r="F189" t="s">
        <v>3226</v>
      </c>
      <c r="G189" s="4">
        <v>131632.71</v>
      </c>
      <c r="H189" s="4">
        <v>94840.16</v>
      </c>
      <c r="I189" s="3" t="s">
        <v>3734</v>
      </c>
      <c r="J189">
        <v>2</v>
      </c>
      <c r="K189" s="4">
        <f>Table3[[#This Row],[Sales]]-Table3[[#This Row],[Cost]]</f>
        <v>36792.549999999988</v>
      </c>
      <c r="L189" s="6">
        <f>Table3[[#This Row],[Profit]]/Table3[[#This Row],[Sales]]</f>
        <v>0.2795091736696752</v>
      </c>
    </row>
    <row r="190" spans="1:12" x14ac:dyDescent="0.25">
      <c r="A190" t="s">
        <v>205</v>
      </c>
      <c r="B190" s="2" t="s">
        <v>3729</v>
      </c>
      <c r="C190" s="2" t="str">
        <f>TEXT(Table3[[#This Row],[Order Date]],"mmmm")</f>
        <v>Not Mentioned</v>
      </c>
      <c r="D190" t="s">
        <v>3731</v>
      </c>
      <c r="E190" t="s">
        <v>3225</v>
      </c>
      <c r="F190" t="s">
        <v>3226</v>
      </c>
      <c r="G190" s="4">
        <v>87863.48</v>
      </c>
      <c r="H190" s="4">
        <v>50434.73</v>
      </c>
      <c r="I190" s="3" t="s">
        <v>3734</v>
      </c>
      <c r="J190">
        <v>4</v>
      </c>
      <c r="K190" s="4">
        <f>Table3[[#This Row],[Sales]]-Table3[[#This Row],[Cost]]</f>
        <v>37428.749999999993</v>
      </c>
      <c r="L190" s="6">
        <f>Table3[[#This Row],[Profit]]/Table3[[#This Row],[Sales]]</f>
        <v>0.42598756616514616</v>
      </c>
    </row>
    <row r="191" spans="1:12" x14ac:dyDescent="0.25">
      <c r="A191" t="s">
        <v>206</v>
      </c>
      <c r="B191" s="2" t="s">
        <v>3729</v>
      </c>
      <c r="C191" s="2" t="str">
        <f>TEXT(Table3[[#This Row],[Order Date]],"mmmm")</f>
        <v>Not Mentioned</v>
      </c>
      <c r="D191" t="s">
        <v>3730</v>
      </c>
      <c r="E191" t="s">
        <v>3224</v>
      </c>
      <c r="F191" t="s">
        <v>3226</v>
      </c>
      <c r="G191" s="4">
        <v>113678.86</v>
      </c>
      <c r="H191" s="4">
        <v>86593.74</v>
      </c>
      <c r="I191" s="3" t="s">
        <v>3734</v>
      </c>
      <c r="J191">
        <v>2</v>
      </c>
      <c r="K191" s="4">
        <f>Table3[[#This Row],[Sales]]-Table3[[#This Row],[Cost]]</f>
        <v>27085.119999999995</v>
      </c>
      <c r="L191" s="6">
        <f>Table3[[#This Row],[Profit]]/Table3[[#This Row],[Sales]]</f>
        <v>0.23825995440137238</v>
      </c>
    </row>
    <row r="192" spans="1:12" x14ac:dyDescent="0.25">
      <c r="A192" t="s">
        <v>3257</v>
      </c>
      <c r="B192" s="2">
        <v>44972</v>
      </c>
      <c r="C192" s="2" t="str">
        <f>TEXT(Table3[[#This Row],[Order Date]],"mmmm")</f>
        <v>February</v>
      </c>
      <c r="D192" t="s">
        <v>3216</v>
      </c>
      <c r="E192" t="s">
        <v>3225</v>
      </c>
      <c r="F192" t="s">
        <v>3226</v>
      </c>
      <c r="G192" s="4">
        <v>69802.22</v>
      </c>
      <c r="H192" s="4">
        <v>53027.43</v>
      </c>
      <c r="I192" s="3" t="s">
        <v>3734</v>
      </c>
      <c r="J192">
        <v>4</v>
      </c>
      <c r="K192" s="4">
        <f>Table3[[#This Row],[Sales]]-Table3[[#This Row],[Cost]]</f>
        <v>16774.79</v>
      </c>
      <c r="L192" s="6">
        <f>Table3[[#This Row],[Profit]]/Table3[[#This Row],[Sales]]</f>
        <v>0.24031886091875015</v>
      </c>
    </row>
    <row r="193" spans="1:12" x14ac:dyDescent="0.25">
      <c r="A193" t="s">
        <v>3258</v>
      </c>
      <c r="B193" s="2">
        <v>45021</v>
      </c>
      <c r="C193" s="2" t="str">
        <f>TEXT(Table3[[#This Row],[Order Date]],"mmmm")</f>
        <v>April</v>
      </c>
      <c r="D193" t="s">
        <v>3220</v>
      </c>
      <c r="E193" t="s">
        <v>3223</v>
      </c>
      <c r="F193" t="s">
        <v>3226</v>
      </c>
      <c r="G193" s="4">
        <v>20794.95</v>
      </c>
      <c r="H193" s="4">
        <v>16635.960000000003</v>
      </c>
      <c r="I193" s="3" t="s">
        <v>3735</v>
      </c>
      <c r="J193">
        <v>2</v>
      </c>
      <c r="K193" s="4">
        <f>Table3[[#This Row],[Sales]]-Table3[[#This Row],[Cost]]</f>
        <v>4158.989999999998</v>
      </c>
      <c r="L193" s="6">
        <f>Table3[[#This Row],[Profit]]/Table3[[#This Row],[Sales]]</f>
        <v>0.1999999999999999</v>
      </c>
    </row>
    <row r="194" spans="1:12" x14ac:dyDescent="0.25">
      <c r="A194" t="s">
        <v>209</v>
      </c>
      <c r="B194" s="2">
        <v>44941</v>
      </c>
      <c r="C194" s="2" t="str">
        <f>TEXT(Table3[[#This Row],[Order Date]],"mmmm")</f>
        <v>January</v>
      </c>
      <c r="D194" t="s">
        <v>3731</v>
      </c>
      <c r="E194" t="s">
        <v>3225</v>
      </c>
      <c r="F194" t="s">
        <v>3226</v>
      </c>
      <c r="G194" s="4">
        <v>111544.6</v>
      </c>
      <c r="H194" s="4">
        <v>68552.210000000006</v>
      </c>
      <c r="I194" s="3" t="s">
        <v>3734</v>
      </c>
      <c r="J194">
        <v>5</v>
      </c>
      <c r="K194" s="4">
        <f>Table3[[#This Row],[Sales]]-Table3[[#This Row],[Cost]]</f>
        <v>42992.39</v>
      </c>
      <c r="L194" s="6">
        <f>Table3[[#This Row],[Profit]]/Table3[[#This Row],[Sales]]</f>
        <v>0.385427801973381</v>
      </c>
    </row>
    <row r="195" spans="1:12" x14ac:dyDescent="0.25">
      <c r="A195" t="s">
        <v>210</v>
      </c>
      <c r="B195" s="2">
        <v>45005</v>
      </c>
      <c r="C195" s="2" t="str">
        <f>TEXT(Table3[[#This Row],[Order Date]],"mmmm")</f>
        <v>March</v>
      </c>
      <c r="D195" t="s">
        <v>3220</v>
      </c>
      <c r="E195" t="s">
        <v>3223</v>
      </c>
      <c r="F195" t="s">
        <v>3226</v>
      </c>
      <c r="G195" s="4">
        <v>33199.06</v>
      </c>
      <c r="H195" s="4">
        <v>21701.48</v>
      </c>
      <c r="I195" s="3" t="s">
        <v>3734</v>
      </c>
      <c r="J195">
        <v>3</v>
      </c>
      <c r="K195" s="4">
        <f>Table3[[#This Row],[Sales]]-Table3[[#This Row],[Cost]]</f>
        <v>11497.579999999998</v>
      </c>
      <c r="L195" s="6">
        <f>Table3[[#This Row],[Profit]]/Table3[[#This Row],[Sales]]</f>
        <v>0.34632245611773343</v>
      </c>
    </row>
    <row r="196" spans="1:12" x14ac:dyDescent="0.25">
      <c r="A196" t="s">
        <v>3259</v>
      </c>
      <c r="B196" s="2">
        <v>44941</v>
      </c>
      <c r="C196" s="2" t="str">
        <f>TEXT(Table3[[#This Row],[Order Date]],"mmmm")</f>
        <v>January</v>
      </c>
      <c r="D196" t="s">
        <v>3220</v>
      </c>
      <c r="E196" t="s">
        <v>3222</v>
      </c>
      <c r="F196" t="s">
        <v>3226</v>
      </c>
      <c r="G196" s="4">
        <v>57211.99</v>
      </c>
      <c r="H196" s="4">
        <v>39718.720000000001</v>
      </c>
      <c r="I196" s="3" t="s">
        <v>3734</v>
      </c>
      <c r="J196">
        <v>4</v>
      </c>
      <c r="K196" s="4">
        <f>Table3[[#This Row],[Sales]]-Table3[[#This Row],[Cost]]</f>
        <v>17493.269999999997</v>
      </c>
      <c r="L196" s="6">
        <f>Table3[[#This Row],[Profit]]/Table3[[#This Row],[Sales]]</f>
        <v>0.30576230611800076</v>
      </c>
    </row>
    <row r="197" spans="1:12" x14ac:dyDescent="0.25">
      <c r="A197" t="s">
        <v>212</v>
      </c>
      <c r="B197" s="2">
        <v>45102</v>
      </c>
      <c r="C197" s="2" t="str">
        <f>TEXT(Table3[[#This Row],[Order Date]],"mmmm")</f>
        <v>June</v>
      </c>
      <c r="D197" t="s">
        <v>3730</v>
      </c>
      <c r="E197" t="s">
        <v>3225</v>
      </c>
      <c r="F197" t="s">
        <v>3226</v>
      </c>
      <c r="G197" s="4">
        <v>107906.83</v>
      </c>
      <c r="H197" s="4">
        <v>75768.3</v>
      </c>
      <c r="I197" s="3" t="s">
        <v>3734</v>
      </c>
      <c r="J197">
        <v>5</v>
      </c>
      <c r="K197" s="4">
        <f>Table3[[#This Row],[Sales]]-Table3[[#This Row],[Cost]]</f>
        <v>32138.53</v>
      </c>
      <c r="L197" s="6">
        <f>Table3[[#This Row],[Profit]]/Table3[[#This Row],[Sales]]</f>
        <v>0.29783592011738275</v>
      </c>
    </row>
    <row r="198" spans="1:12" x14ac:dyDescent="0.25">
      <c r="A198" t="s">
        <v>213</v>
      </c>
      <c r="B198" s="2">
        <v>44941</v>
      </c>
      <c r="C198" s="2" t="str">
        <f>TEXT(Table3[[#This Row],[Order Date]],"mmmm")</f>
        <v>January</v>
      </c>
      <c r="D198" t="s">
        <v>3220</v>
      </c>
      <c r="E198" t="s">
        <v>3223</v>
      </c>
      <c r="F198" t="s">
        <v>3226</v>
      </c>
      <c r="G198" s="4">
        <v>9740.7199999999993</v>
      </c>
      <c r="H198" s="4">
        <v>7590.37</v>
      </c>
      <c r="I198" s="3" t="s">
        <v>3734</v>
      </c>
      <c r="J198" t="s">
        <v>3732</v>
      </c>
      <c r="K198" s="4">
        <f>Table3[[#This Row],[Sales]]-Table3[[#This Row],[Cost]]</f>
        <v>2150.3499999999995</v>
      </c>
      <c r="L198" s="6">
        <f>Table3[[#This Row],[Profit]]/Table3[[#This Row],[Sales]]</f>
        <v>0.22075883507584651</v>
      </c>
    </row>
    <row r="199" spans="1:12" x14ac:dyDescent="0.25">
      <c r="A199" t="s">
        <v>3260</v>
      </c>
      <c r="B199" s="2">
        <v>44972</v>
      </c>
      <c r="C199" s="2" t="str">
        <f>TEXT(Table3[[#This Row],[Order Date]],"mmmm")</f>
        <v>February</v>
      </c>
      <c r="D199" t="s">
        <v>3220</v>
      </c>
      <c r="E199" t="s">
        <v>3223</v>
      </c>
      <c r="F199" t="s">
        <v>3226</v>
      </c>
      <c r="G199" s="4">
        <v>8635.6299999999992</v>
      </c>
      <c r="H199" s="4">
        <v>7017.89</v>
      </c>
      <c r="I199" s="3" t="s">
        <v>3734</v>
      </c>
      <c r="J199">
        <v>1</v>
      </c>
      <c r="K199" s="4">
        <f>Table3[[#This Row],[Sales]]-Table3[[#This Row],[Cost]]</f>
        <v>1617.7399999999989</v>
      </c>
      <c r="L199" s="6">
        <f>Table3[[#This Row],[Profit]]/Table3[[#This Row],[Sales]]</f>
        <v>0.18733317661826629</v>
      </c>
    </row>
    <row r="200" spans="1:12" x14ac:dyDescent="0.25">
      <c r="A200" t="s">
        <v>215</v>
      </c>
      <c r="B200" s="2">
        <v>45102</v>
      </c>
      <c r="C200" s="2" t="str">
        <f>TEXT(Table3[[#This Row],[Order Date]],"mmmm")</f>
        <v>June</v>
      </c>
      <c r="D200" t="s">
        <v>3220</v>
      </c>
      <c r="E200" t="s">
        <v>3225</v>
      </c>
      <c r="F200" t="s">
        <v>3226</v>
      </c>
      <c r="G200" s="4">
        <v>72823.039999999994</v>
      </c>
      <c r="H200" s="4">
        <v>51458.57</v>
      </c>
      <c r="I200" s="3" t="s">
        <v>3734</v>
      </c>
      <c r="J200">
        <v>4</v>
      </c>
      <c r="K200" s="4">
        <f>Table3[[#This Row],[Sales]]-Table3[[#This Row],[Cost]]</f>
        <v>21364.469999999994</v>
      </c>
      <c r="L200" s="6">
        <f>Table3[[#This Row],[Profit]]/Table3[[#This Row],[Sales]]</f>
        <v>0.29337514610760546</v>
      </c>
    </row>
    <row r="201" spans="1:12" x14ac:dyDescent="0.25">
      <c r="A201" t="s">
        <v>216</v>
      </c>
      <c r="B201" s="2" t="s">
        <v>3729</v>
      </c>
      <c r="C201" s="2" t="str">
        <f>TEXT(Table3[[#This Row],[Order Date]],"mmmm")</f>
        <v>Not Mentioned</v>
      </c>
      <c r="D201" t="s">
        <v>3730</v>
      </c>
      <c r="E201" t="s">
        <v>3223</v>
      </c>
      <c r="F201" t="s">
        <v>3226</v>
      </c>
      <c r="G201" s="4">
        <v>9950.2800000000007</v>
      </c>
      <c r="H201" s="4">
        <v>7960.2240000000011</v>
      </c>
      <c r="I201" s="3" t="s">
        <v>3735</v>
      </c>
      <c r="J201">
        <v>1</v>
      </c>
      <c r="K201" s="4">
        <f>Table3[[#This Row],[Sales]]-Table3[[#This Row],[Cost]]</f>
        <v>1990.0559999999996</v>
      </c>
      <c r="L201" s="6">
        <f>Table3[[#This Row],[Profit]]/Table3[[#This Row],[Sales]]</f>
        <v>0.19999999999999996</v>
      </c>
    </row>
    <row r="202" spans="1:12" x14ac:dyDescent="0.25">
      <c r="A202" t="s">
        <v>217</v>
      </c>
      <c r="B202" s="2">
        <v>44972</v>
      </c>
      <c r="C202" s="2" t="str">
        <f>TEXT(Table3[[#This Row],[Order Date]],"mmmm")</f>
        <v>February</v>
      </c>
      <c r="D202" t="s">
        <v>3730</v>
      </c>
      <c r="E202" t="s">
        <v>3223</v>
      </c>
      <c r="F202" t="s">
        <v>3226</v>
      </c>
      <c r="G202" s="4">
        <v>35560.730000000003</v>
      </c>
      <c r="H202" s="4">
        <v>20790.88</v>
      </c>
      <c r="I202" s="3" t="s">
        <v>3734</v>
      </c>
      <c r="J202">
        <v>3</v>
      </c>
      <c r="K202" s="4">
        <f>Table3[[#This Row],[Sales]]-Table3[[#This Row],[Cost]]</f>
        <v>14769.850000000002</v>
      </c>
      <c r="L202" s="6">
        <f>Table3[[#This Row],[Profit]]/Table3[[#This Row],[Sales]]</f>
        <v>0.41534158606980232</v>
      </c>
    </row>
    <row r="203" spans="1:12" x14ac:dyDescent="0.25">
      <c r="A203" t="s">
        <v>3261</v>
      </c>
      <c r="B203" s="2">
        <v>45102</v>
      </c>
      <c r="C203" s="2" t="str">
        <f>TEXT(Table3[[#This Row],[Order Date]],"mmmm")</f>
        <v>June</v>
      </c>
      <c r="D203" t="s">
        <v>3216</v>
      </c>
      <c r="E203" t="s">
        <v>3225</v>
      </c>
      <c r="F203" t="s">
        <v>3226</v>
      </c>
      <c r="G203" s="4">
        <v>106166.98</v>
      </c>
      <c r="H203" s="4">
        <v>62966.71</v>
      </c>
      <c r="I203" s="3" t="s">
        <v>3734</v>
      </c>
      <c r="J203">
        <v>5</v>
      </c>
      <c r="K203" s="4">
        <f>Table3[[#This Row],[Sales]]-Table3[[#This Row],[Cost]]</f>
        <v>43200.27</v>
      </c>
      <c r="L203" s="6">
        <f>Table3[[#This Row],[Profit]]/Table3[[#This Row],[Sales]]</f>
        <v>0.4069087205833678</v>
      </c>
    </row>
    <row r="204" spans="1:12" x14ac:dyDescent="0.25">
      <c r="A204" t="s">
        <v>219</v>
      </c>
      <c r="B204" s="2">
        <v>44941</v>
      </c>
      <c r="C204" s="2" t="str">
        <f>TEXT(Table3[[#This Row],[Order Date]],"mmmm")</f>
        <v>January</v>
      </c>
      <c r="D204" t="s">
        <v>3220</v>
      </c>
      <c r="E204" t="s">
        <v>3222</v>
      </c>
      <c r="F204" t="s">
        <v>3226</v>
      </c>
      <c r="G204" s="4">
        <v>25066.080000000002</v>
      </c>
      <c r="H204" s="4">
        <v>20418.77</v>
      </c>
      <c r="I204" s="3" t="s">
        <v>3734</v>
      </c>
      <c r="J204">
        <v>2</v>
      </c>
      <c r="K204" s="4">
        <f>Table3[[#This Row],[Sales]]-Table3[[#This Row],[Cost]]</f>
        <v>4647.3100000000013</v>
      </c>
      <c r="L204" s="6">
        <f>Table3[[#This Row],[Profit]]/Table3[[#This Row],[Sales]]</f>
        <v>0.18540234452295695</v>
      </c>
    </row>
    <row r="205" spans="1:12" x14ac:dyDescent="0.25">
      <c r="A205" t="s">
        <v>3262</v>
      </c>
      <c r="B205" s="2">
        <v>45005</v>
      </c>
      <c r="C205" s="2" t="str">
        <f>TEXT(Table3[[#This Row],[Order Date]],"mmmm")</f>
        <v>March</v>
      </c>
      <c r="D205" t="s">
        <v>3730</v>
      </c>
      <c r="E205" t="s">
        <v>3224</v>
      </c>
      <c r="F205" t="s">
        <v>3226</v>
      </c>
      <c r="G205" s="4">
        <v>62709.599999999999</v>
      </c>
      <c r="H205" s="4">
        <v>40794.15</v>
      </c>
      <c r="I205" s="3" t="s">
        <v>3734</v>
      </c>
      <c r="J205">
        <v>1</v>
      </c>
      <c r="K205" s="4">
        <f>Table3[[#This Row],[Sales]]-Table3[[#This Row],[Cost]]</f>
        <v>21915.449999999997</v>
      </c>
      <c r="L205" s="6">
        <f>Table3[[#This Row],[Profit]]/Table3[[#This Row],[Sales]]</f>
        <v>0.34947519996938264</v>
      </c>
    </row>
    <row r="206" spans="1:12" x14ac:dyDescent="0.25">
      <c r="A206" t="s">
        <v>221</v>
      </c>
      <c r="B206" s="2">
        <v>45102</v>
      </c>
      <c r="C206" s="2" t="str">
        <f>TEXT(Table3[[#This Row],[Order Date]],"mmmm")</f>
        <v>June</v>
      </c>
      <c r="D206" t="s">
        <v>3216</v>
      </c>
      <c r="E206" t="s">
        <v>3222</v>
      </c>
      <c r="F206" t="s">
        <v>3226</v>
      </c>
      <c r="G206" s="4">
        <v>49494.55</v>
      </c>
      <c r="H206" s="4">
        <v>39125.03</v>
      </c>
      <c r="I206" s="3" t="s">
        <v>3734</v>
      </c>
      <c r="J206">
        <v>4</v>
      </c>
      <c r="K206" s="4">
        <f>Table3[[#This Row],[Sales]]-Table3[[#This Row],[Cost]]</f>
        <v>10369.520000000004</v>
      </c>
      <c r="L206" s="6">
        <f>Table3[[#This Row],[Profit]]/Table3[[#This Row],[Sales]]</f>
        <v>0.20950831960286542</v>
      </c>
    </row>
    <row r="207" spans="1:12" x14ac:dyDescent="0.25">
      <c r="A207" t="s">
        <v>222</v>
      </c>
      <c r="B207" s="2">
        <v>44941</v>
      </c>
      <c r="C207" s="2" t="str">
        <f>TEXT(Table3[[#This Row],[Order Date]],"mmmm")</f>
        <v>January</v>
      </c>
      <c r="D207" t="s">
        <v>3730</v>
      </c>
      <c r="E207" t="s">
        <v>3225</v>
      </c>
      <c r="F207" t="s">
        <v>3226</v>
      </c>
      <c r="G207" s="4">
        <v>88216.05</v>
      </c>
      <c r="H207" s="4">
        <v>54871.4</v>
      </c>
      <c r="I207" s="3" t="s">
        <v>3734</v>
      </c>
      <c r="J207">
        <v>4</v>
      </c>
      <c r="K207" s="4">
        <f>Table3[[#This Row],[Sales]]-Table3[[#This Row],[Cost]]</f>
        <v>33344.65</v>
      </c>
      <c r="L207" s="6">
        <f>Table3[[#This Row],[Profit]]/Table3[[#This Row],[Sales]]</f>
        <v>0.37798847261921159</v>
      </c>
    </row>
    <row r="208" spans="1:12" x14ac:dyDescent="0.25">
      <c r="A208" t="s">
        <v>223</v>
      </c>
      <c r="B208" s="2" t="s">
        <v>3729</v>
      </c>
      <c r="C208" s="2" t="str">
        <f>TEXT(Table3[[#This Row],[Order Date]],"mmmm")</f>
        <v>Not Mentioned</v>
      </c>
      <c r="D208" t="s">
        <v>3216</v>
      </c>
      <c r="E208" t="s">
        <v>3223</v>
      </c>
      <c r="F208" t="s">
        <v>3226</v>
      </c>
      <c r="G208" s="4">
        <v>20463.849999999999</v>
      </c>
      <c r="H208" s="4">
        <v>16371.08</v>
      </c>
      <c r="I208" s="3" t="s">
        <v>3735</v>
      </c>
      <c r="J208">
        <v>2</v>
      </c>
      <c r="K208" s="4">
        <f>Table3[[#This Row],[Sales]]-Table3[[#This Row],[Cost]]</f>
        <v>4092.7699999999986</v>
      </c>
      <c r="L208" s="6">
        <f>Table3[[#This Row],[Profit]]/Table3[[#This Row],[Sales]]</f>
        <v>0.19999999999999996</v>
      </c>
    </row>
    <row r="209" spans="1:12" x14ac:dyDescent="0.25">
      <c r="A209" t="s">
        <v>224</v>
      </c>
      <c r="B209" s="2">
        <v>45021</v>
      </c>
      <c r="C209" s="2" t="str">
        <f>TEXT(Table3[[#This Row],[Order Date]],"mmmm")</f>
        <v>April</v>
      </c>
      <c r="D209" t="s">
        <v>3220</v>
      </c>
      <c r="E209" t="s">
        <v>3222</v>
      </c>
      <c r="F209" t="s">
        <v>3226</v>
      </c>
      <c r="G209" s="4">
        <v>14384.29</v>
      </c>
      <c r="H209" s="4">
        <v>8733.52</v>
      </c>
      <c r="I209" s="3" t="s">
        <v>3734</v>
      </c>
      <c r="J209">
        <v>1</v>
      </c>
      <c r="K209" s="4">
        <f>Table3[[#This Row],[Sales]]-Table3[[#This Row],[Cost]]</f>
        <v>5650.77</v>
      </c>
      <c r="L209" s="6">
        <f>Table3[[#This Row],[Profit]]/Table3[[#This Row],[Sales]]</f>
        <v>0.39284316431328903</v>
      </c>
    </row>
    <row r="210" spans="1:12" x14ac:dyDescent="0.25">
      <c r="A210" t="s">
        <v>225</v>
      </c>
      <c r="B210" s="2">
        <v>45021</v>
      </c>
      <c r="C210" s="2" t="str">
        <f>TEXT(Table3[[#This Row],[Order Date]],"mmmm")</f>
        <v>April</v>
      </c>
      <c r="D210" t="s">
        <v>3730</v>
      </c>
      <c r="E210" t="s">
        <v>3223</v>
      </c>
      <c r="F210" t="s">
        <v>3226</v>
      </c>
      <c r="G210" s="4">
        <v>52691.65</v>
      </c>
      <c r="H210" s="4">
        <v>36731.75</v>
      </c>
      <c r="I210" s="3" t="s">
        <v>3734</v>
      </c>
      <c r="J210">
        <v>5</v>
      </c>
      <c r="K210" s="4">
        <f>Table3[[#This Row],[Sales]]-Table3[[#This Row],[Cost]]</f>
        <v>15959.900000000001</v>
      </c>
      <c r="L210" s="6">
        <f>Table3[[#This Row],[Profit]]/Table3[[#This Row],[Sales]]</f>
        <v>0.30289239376637478</v>
      </c>
    </row>
    <row r="211" spans="1:12" x14ac:dyDescent="0.25">
      <c r="A211" t="s">
        <v>3263</v>
      </c>
      <c r="B211" s="2">
        <v>45021</v>
      </c>
      <c r="C211" s="2" t="str">
        <f>TEXT(Table3[[#This Row],[Order Date]],"mmmm")</f>
        <v>April</v>
      </c>
      <c r="D211" t="s">
        <v>3731</v>
      </c>
      <c r="E211" t="s">
        <v>3222</v>
      </c>
      <c r="F211" t="s">
        <v>3226</v>
      </c>
      <c r="G211" s="4">
        <v>42535.81</v>
      </c>
      <c r="H211" s="4">
        <v>32228.9</v>
      </c>
      <c r="I211" s="3" t="s">
        <v>3734</v>
      </c>
      <c r="J211">
        <v>3</v>
      </c>
      <c r="K211" s="4">
        <f>Table3[[#This Row],[Sales]]-Table3[[#This Row],[Cost]]</f>
        <v>10306.909999999996</v>
      </c>
      <c r="L211" s="6">
        <f>Table3[[#This Row],[Profit]]/Table3[[#This Row],[Sales]]</f>
        <v>0.24231136070995232</v>
      </c>
    </row>
    <row r="212" spans="1:12" x14ac:dyDescent="0.25">
      <c r="A212" t="s">
        <v>227</v>
      </c>
      <c r="B212" s="2">
        <v>45102</v>
      </c>
      <c r="C212" s="2" t="str">
        <f>TEXT(Table3[[#This Row],[Order Date]],"mmmm")</f>
        <v>June</v>
      </c>
      <c r="D212" t="s">
        <v>3730</v>
      </c>
      <c r="E212" t="s">
        <v>3224</v>
      </c>
      <c r="F212" t="s">
        <v>3226</v>
      </c>
      <c r="G212" s="4">
        <v>268664.95</v>
      </c>
      <c r="H212" s="4">
        <v>196549.01</v>
      </c>
      <c r="I212" s="3" t="s">
        <v>3734</v>
      </c>
      <c r="J212">
        <v>4</v>
      </c>
      <c r="K212" s="4">
        <f>Table3[[#This Row],[Sales]]-Table3[[#This Row],[Cost]]</f>
        <v>72115.94</v>
      </c>
      <c r="L212" s="6">
        <f>Table3[[#This Row],[Profit]]/Table3[[#This Row],[Sales]]</f>
        <v>0.26842332801506114</v>
      </c>
    </row>
    <row r="213" spans="1:12" x14ac:dyDescent="0.25">
      <c r="A213" t="s">
        <v>228</v>
      </c>
      <c r="B213" s="2">
        <v>44941</v>
      </c>
      <c r="C213" s="2" t="str">
        <f>TEXT(Table3[[#This Row],[Order Date]],"mmmm")</f>
        <v>January</v>
      </c>
      <c r="D213" t="s">
        <v>3216</v>
      </c>
      <c r="E213" t="s">
        <v>3224</v>
      </c>
      <c r="F213" t="s">
        <v>3226</v>
      </c>
      <c r="G213" s="4">
        <v>278761.34000000003</v>
      </c>
      <c r="H213" s="4">
        <v>247335.65</v>
      </c>
      <c r="I213" s="3" t="s">
        <v>3734</v>
      </c>
      <c r="J213">
        <v>5</v>
      </c>
      <c r="K213" s="4">
        <f>Table3[[#This Row],[Sales]]-Table3[[#This Row],[Cost]]</f>
        <v>31425.690000000031</v>
      </c>
      <c r="L213" s="6">
        <f>Table3[[#This Row],[Profit]]/Table3[[#This Row],[Sales]]</f>
        <v>0.11273331517203938</v>
      </c>
    </row>
    <row r="214" spans="1:12" x14ac:dyDescent="0.25">
      <c r="A214" t="s">
        <v>229</v>
      </c>
      <c r="B214" s="2">
        <v>45021</v>
      </c>
      <c r="C214" s="2" t="str">
        <f>TEXT(Table3[[#This Row],[Order Date]],"mmmm")</f>
        <v>April</v>
      </c>
      <c r="D214" t="s">
        <v>3220</v>
      </c>
      <c r="E214" t="s">
        <v>3224</v>
      </c>
      <c r="F214" t="s">
        <v>3226</v>
      </c>
      <c r="G214" s="4">
        <v>277464.77</v>
      </c>
      <c r="H214" s="4">
        <v>156573.29999999999</v>
      </c>
      <c r="I214" s="3" t="s">
        <v>3734</v>
      </c>
      <c r="J214">
        <v>4</v>
      </c>
      <c r="K214" s="4">
        <f>Table3[[#This Row],[Sales]]-Table3[[#This Row],[Cost]]</f>
        <v>120891.47000000003</v>
      </c>
      <c r="L214" s="6">
        <f>Table3[[#This Row],[Profit]]/Table3[[#This Row],[Sales]]</f>
        <v>0.43570025124270739</v>
      </c>
    </row>
    <row r="215" spans="1:12" x14ac:dyDescent="0.25">
      <c r="A215" t="s">
        <v>230</v>
      </c>
      <c r="B215" s="2">
        <v>44972</v>
      </c>
      <c r="C215" s="2" t="str">
        <f>TEXT(Table3[[#This Row],[Order Date]],"mmmm")</f>
        <v>February</v>
      </c>
      <c r="D215" t="s">
        <v>3220</v>
      </c>
      <c r="E215" t="s">
        <v>3222</v>
      </c>
      <c r="F215" t="s">
        <v>3226</v>
      </c>
      <c r="G215" s="4">
        <v>33859.64</v>
      </c>
      <c r="H215" s="4">
        <v>19296.330000000002</v>
      </c>
      <c r="I215" s="3" t="s">
        <v>3734</v>
      </c>
      <c r="J215">
        <v>2</v>
      </c>
      <c r="K215" s="4">
        <f>Table3[[#This Row],[Sales]]-Table3[[#This Row],[Cost]]</f>
        <v>14563.309999999998</v>
      </c>
      <c r="L215" s="6">
        <f>Table3[[#This Row],[Profit]]/Table3[[#This Row],[Sales]]</f>
        <v>0.43010823505506846</v>
      </c>
    </row>
    <row r="216" spans="1:12" x14ac:dyDescent="0.25">
      <c r="A216" t="s">
        <v>231</v>
      </c>
      <c r="B216" s="2" t="s">
        <v>3729</v>
      </c>
      <c r="C216" s="2" t="str">
        <f>TEXT(Table3[[#This Row],[Order Date]],"mmmm")</f>
        <v>Not Mentioned</v>
      </c>
      <c r="D216" t="s">
        <v>3220</v>
      </c>
      <c r="E216" t="s">
        <v>3224</v>
      </c>
      <c r="F216" t="s">
        <v>3226</v>
      </c>
      <c r="G216" s="4">
        <v>290414.25</v>
      </c>
      <c r="H216" s="4">
        <v>242176.49</v>
      </c>
      <c r="I216" s="3" t="s">
        <v>3734</v>
      </c>
      <c r="J216">
        <v>5</v>
      </c>
      <c r="K216" s="4">
        <f>Table3[[#This Row],[Sales]]-Table3[[#This Row],[Cost]]</f>
        <v>48237.760000000009</v>
      </c>
      <c r="L216" s="6">
        <f>Table3[[#This Row],[Profit]]/Table3[[#This Row],[Sales]]</f>
        <v>0.16609983842046322</v>
      </c>
    </row>
    <row r="217" spans="1:12" x14ac:dyDescent="0.25">
      <c r="A217" t="s">
        <v>232</v>
      </c>
      <c r="B217" s="2">
        <v>45021</v>
      </c>
      <c r="C217" s="2" t="str">
        <f>TEXT(Table3[[#This Row],[Order Date]],"mmmm")</f>
        <v>April</v>
      </c>
      <c r="D217" t="s">
        <v>3220</v>
      </c>
      <c r="E217" t="s">
        <v>3224</v>
      </c>
      <c r="F217" t="s">
        <v>3226</v>
      </c>
      <c r="G217" s="4">
        <v>237243.57</v>
      </c>
      <c r="H217" s="4">
        <v>197059.72</v>
      </c>
      <c r="I217" s="3" t="s">
        <v>3734</v>
      </c>
      <c r="J217">
        <v>4</v>
      </c>
      <c r="K217" s="4">
        <f>Table3[[#This Row],[Sales]]-Table3[[#This Row],[Cost]]</f>
        <v>40183.850000000006</v>
      </c>
      <c r="L217" s="6">
        <f>Table3[[#This Row],[Profit]]/Table3[[#This Row],[Sales]]</f>
        <v>0.16937803625194142</v>
      </c>
    </row>
    <row r="218" spans="1:12" x14ac:dyDescent="0.25">
      <c r="A218" t="s">
        <v>233</v>
      </c>
      <c r="B218" s="2">
        <v>45102</v>
      </c>
      <c r="C218" s="2" t="str">
        <f>TEXT(Table3[[#This Row],[Order Date]],"mmmm")</f>
        <v>June</v>
      </c>
      <c r="D218" t="s">
        <v>3731</v>
      </c>
      <c r="E218" t="s">
        <v>3224</v>
      </c>
      <c r="F218" t="s">
        <v>3226</v>
      </c>
      <c r="G218" s="4">
        <v>213809.24</v>
      </c>
      <c r="H218" s="4">
        <v>190666.85</v>
      </c>
      <c r="I218" s="3" t="s">
        <v>3734</v>
      </c>
      <c r="J218">
        <v>4</v>
      </c>
      <c r="K218" s="4">
        <f>Table3[[#This Row],[Sales]]-Table3[[#This Row],[Cost]]</f>
        <v>23142.389999999985</v>
      </c>
      <c r="L218" s="6">
        <f>Table3[[#This Row],[Profit]]/Table3[[#This Row],[Sales]]</f>
        <v>0.10823849334107349</v>
      </c>
    </row>
    <row r="219" spans="1:12" x14ac:dyDescent="0.25">
      <c r="A219" t="s">
        <v>234</v>
      </c>
      <c r="B219" s="2">
        <v>44972</v>
      </c>
      <c r="C219" s="2" t="str">
        <f>TEXT(Table3[[#This Row],[Order Date]],"mmmm")</f>
        <v>February</v>
      </c>
      <c r="D219" t="s">
        <v>3731</v>
      </c>
      <c r="E219" t="s">
        <v>3224</v>
      </c>
      <c r="F219" t="s">
        <v>3226</v>
      </c>
      <c r="G219" s="4">
        <v>288996.76</v>
      </c>
      <c r="H219" s="4">
        <v>233957.74</v>
      </c>
      <c r="I219" s="3" t="s">
        <v>3734</v>
      </c>
      <c r="J219">
        <v>5</v>
      </c>
      <c r="K219" s="4">
        <f>Table3[[#This Row],[Sales]]-Table3[[#This Row],[Cost]]</f>
        <v>55039.020000000019</v>
      </c>
      <c r="L219" s="6">
        <f>Table3[[#This Row],[Profit]]/Table3[[#This Row],[Sales]]</f>
        <v>0.19044857111892888</v>
      </c>
    </row>
    <row r="220" spans="1:12" x14ac:dyDescent="0.25">
      <c r="A220" t="s">
        <v>235</v>
      </c>
      <c r="B220" s="2">
        <v>45005</v>
      </c>
      <c r="C220" s="2" t="str">
        <f>TEXT(Table3[[#This Row],[Order Date]],"mmmm")</f>
        <v>March</v>
      </c>
      <c r="D220" t="s">
        <v>3731</v>
      </c>
      <c r="E220" t="s">
        <v>3224</v>
      </c>
      <c r="F220" t="s">
        <v>3226</v>
      </c>
      <c r="G220" s="4">
        <v>144013.56</v>
      </c>
      <c r="H220" s="4">
        <v>120456.49</v>
      </c>
      <c r="I220" s="3" t="s">
        <v>3734</v>
      </c>
      <c r="J220">
        <v>3</v>
      </c>
      <c r="K220" s="4">
        <f>Table3[[#This Row],[Sales]]-Table3[[#This Row],[Cost]]</f>
        <v>23557.069999999992</v>
      </c>
      <c r="L220" s="6">
        <f>Table3[[#This Row],[Profit]]/Table3[[#This Row],[Sales]]</f>
        <v>0.16357536054243776</v>
      </c>
    </row>
    <row r="221" spans="1:12" x14ac:dyDescent="0.25">
      <c r="A221" t="s">
        <v>236</v>
      </c>
      <c r="B221" s="2" t="s">
        <v>3729</v>
      </c>
      <c r="C221" s="2" t="str">
        <f>TEXT(Table3[[#This Row],[Order Date]],"mmmm")</f>
        <v>Not Mentioned</v>
      </c>
      <c r="D221" t="s">
        <v>3731</v>
      </c>
      <c r="E221" t="s">
        <v>3225</v>
      </c>
      <c r="F221" t="s">
        <v>3226</v>
      </c>
      <c r="G221" s="4">
        <v>58141.16</v>
      </c>
      <c r="H221" s="4">
        <v>36141.26</v>
      </c>
      <c r="I221" s="3" t="s">
        <v>3734</v>
      </c>
      <c r="J221">
        <v>3</v>
      </c>
      <c r="K221" s="4">
        <f>Table3[[#This Row],[Sales]]-Table3[[#This Row],[Cost]]</f>
        <v>21999.9</v>
      </c>
      <c r="L221" s="6">
        <f>Table3[[#This Row],[Profit]]/Table3[[#This Row],[Sales]]</f>
        <v>0.37838770330691718</v>
      </c>
    </row>
    <row r="222" spans="1:12" x14ac:dyDescent="0.25">
      <c r="A222" t="s">
        <v>237</v>
      </c>
      <c r="B222" s="2">
        <v>45021</v>
      </c>
      <c r="C222" s="2" t="str">
        <f>TEXT(Table3[[#This Row],[Order Date]],"mmmm")</f>
        <v>April</v>
      </c>
      <c r="D222" t="s">
        <v>3220</v>
      </c>
      <c r="E222" t="s">
        <v>3222</v>
      </c>
      <c r="F222" t="s">
        <v>3226</v>
      </c>
      <c r="G222" s="4">
        <v>32391.78</v>
      </c>
      <c r="H222" s="4">
        <v>21197.3</v>
      </c>
      <c r="I222" s="3" t="s">
        <v>3734</v>
      </c>
      <c r="J222">
        <v>2</v>
      </c>
      <c r="K222" s="4">
        <f>Table3[[#This Row],[Sales]]-Table3[[#This Row],[Cost]]</f>
        <v>11194.48</v>
      </c>
      <c r="L222" s="6">
        <f>Table3[[#This Row],[Profit]]/Table3[[#This Row],[Sales]]</f>
        <v>0.34559632104194338</v>
      </c>
    </row>
    <row r="223" spans="1:12" x14ac:dyDescent="0.25">
      <c r="A223" t="s">
        <v>239</v>
      </c>
      <c r="B223" s="2">
        <v>45102</v>
      </c>
      <c r="C223" s="2" t="str">
        <f>TEXT(Table3[[#This Row],[Order Date]],"mmmm")</f>
        <v>June</v>
      </c>
      <c r="D223" t="s">
        <v>3220</v>
      </c>
      <c r="E223" t="s">
        <v>3224</v>
      </c>
      <c r="F223" t="s">
        <v>3226</v>
      </c>
      <c r="G223" s="4">
        <v>198191.16</v>
      </c>
      <c r="H223" s="4">
        <v>192475.78</v>
      </c>
      <c r="I223" s="3" t="s">
        <v>3734</v>
      </c>
      <c r="J223">
        <v>4</v>
      </c>
      <c r="K223" s="4">
        <f>Table3[[#This Row],[Sales]]-Table3[[#This Row],[Cost]]</f>
        <v>5715.3800000000047</v>
      </c>
      <c r="L223" s="6">
        <f>Table3[[#This Row],[Profit]]/Table3[[#This Row],[Sales]]</f>
        <v>2.8837714053442164E-2</v>
      </c>
    </row>
    <row r="224" spans="1:12" x14ac:dyDescent="0.25">
      <c r="A224" t="s">
        <v>3264</v>
      </c>
      <c r="B224" s="2">
        <v>45102</v>
      </c>
      <c r="C224" s="2" t="str">
        <f>TEXT(Table3[[#This Row],[Order Date]],"mmmm")</f>
        <v>June</v>
      </c>
      <c r="D224" t="s">
        <v>3220</v>
      </c>
      <c r="E224" t="s">
        <v>3224</v>
      </c>
      <c r="F224" t="s">
        <v>3226</v>
      </c>
      <c r="G224" s="4">
        <v>247949.46</v>
      </c>
      <c r="H224" s="4">
        <v>197794.69</v>
      </c>
      <c r="I224" s="3" t="s">
        <v>3734</v>
      </c>
      <c r="J224">
        <v>4</v>
      </c>
      <c r="K224" s="4">
        <f>Table3[[#This Row],[Sales]]-Table3[[#This Row],[Cost]]</f>
        <v>50154.76999999999</v>
      </c>
      <c r="L224" s="6">
        <f>Table3[[#This Row],[Profit]]/Table3[[#This Row],[Sales]]</f>
        <v>0.20227819814570272</v>
      </c>
    </row>
    <row r="225" spans="1:12" x14ac:dyDescent="0.25">
      <c r="A225" t="s">
        <v>241</v>
      </c>
      <c r="B225" s="2">
        <v>44941</v>
      </c>
      <c r="C225" s="2" t="str">
        <f>TEXT(Table3[[#This Row],[Order Date]],"mmmm")</f>
        <v>January</v>
      </c>
      <c r="D225" t="s">
        <v>3731</v>
      </c>
      <c r="E225" t="s">
        <v>3223</v>
      </c>
      <c r="F225" t="s">
        <v>3226</v>
      </c>
      <c r="G225" s="4">
        <v>33951.440000000002</v>
      </c>
      <c r="H225" s="4">
        <v>22464.639999999999</v>
      </c>
      <c r="I225" s="3" t="s">
        <v>3734</v>
      </c>
      <c r="J225">
        <v>3</v>
      </c>
      <c r="K225" s="4">
        <f>Table3[[#This Row],[Sales]]-Table3[[#This Row],[Cost]]</f>
        <v>11486.800000000003</v>
      </c>
      <c r="L225" s="6">
        <f>Table3[[#This Row],[Profit]]/Table3[[#This Row],[Sales]]</f>
        <v>0.33833027406201333</v>
      </c>
    </row>
    <row r="226" spans="1:12" x14ac:dyDescent="0.25">
      <c r="A226" t="s">
        <v>242</v>
      </c>
      <c r="B226" s="2">
        <v>45021</v>
      </c>
      <c r="C226" s="2" t="str">
        <f>TEXT(Table3[[#This Row],[Order Date]],"mmmm")</f>
        <v>April</v>
      </c>
      <c r="D226" t="s">
        <v>3216</v>
      </c>
      <c r="E226" t="s">
        <v>3225</v>
      </c>
      <c r="F226" t="s">
        <v>3226</v>
      </c>
      <c r="G226" s="4">
        <v>78188.160000000003</v>
      </c>
      <c r="H226" s="4">
        <v>56099.25</v>
      </c>
      <c r="I226" s="3" t="s">
        <v>3734</v>
      </c>
      <c r="J226">
        <v>4</v>
      </c>
      <c r="K226" s="4">
        <f>Table3[[#This Row],[Sales]]-Table3[[#This Row],[Cost]]</f>
        <v>22088.910000000003</v>
      </c>
      <c r="L226" s="6">
        <f>Table3[[#This Row],[Profit]]/Table3[[#This Row],[Sales]]</f>
        <v>0.28250965363553771</v>
      </c>
    </row>
    <row r="227" spans="1:12" x14ac:dyDescent="0.25">
      <c r="A227" t="s">
        <v>3265</v>
      </c>
      <c r="B227" s="2">
        <v>44972</v>
      </c>
      <c r="C227" s="2" t="str">
        <f>TEXT(Table3[[#This Row],[Order Date]],"mmmm")</f>
        <v>February</v>
      </c>
      <c r="D227" t="s">
        <v>3220</v>
      </c>
      <c r="E227" t="s">
        <v>3225</v>
      </c>
      <c r="F227" t="s">
        <v>3226</v>
      </c>
      <c r="G227" s="4">
        <v>79605.350000000006</v>
      </c>
      <c r="H227" s="4">
        <v>56731.14</v>
      </c>
      <c r="I227" s="3" t="s">
        <v>3734</v>
      </c>
      <c r="J227">
        <v>4</v>
      </c>
      <c r="K227" s="4">
        <f>Table3[[#This Row],[Sales]]-Table3[[#This Row],[Cost]]</f>
        <v>22874.210000000006</v>
      </c>
      <c r="L227" s="6">
        <f>Table3[[#This Row],[Profit]]/Table3[[#This Row],[Sales]]</f>
        <v>0.28734513446646492</v>
      </c>
    </row>
    <row r="228" spans="1:12" x14ac:dyDescent="0.25">
      <c r="A228" t="s">
        <v>244</v>
      </c>
      <c r="B228" s="2" t="s">
        <v>3729</v>
      </c>
      <c r="C228" s="2" t="str">
        <f>TEXT(Table3[[#This Row],[Order Date]],"mmmm")</f>
        <v>Not Mentioned</v>
      </c>
      <c r="D228" t="s">
        <v>3731</v>
      </c>
      <c r="E228" t="s">
        <v>3224</v>
      </c>
      <c r="F228" t="s">
        <v>3226</v>
      </c>
      <c r="G228" s="4">
        <v>249990.88</v>
      </c>
      <c r="H228" s="4">
        <v>193832.11</v>
      </c>
      <c r="I228" s="3" t="s">
        <v>3734</v>
      </c>
      <c r="J228">
        <v>4</v>
      </c>
      <c r="K228" s="4">
        <f>Table3[[#This Row],[Sales]]-Table3[[#This Row],[Cost]]</f>
        <v>56158.770000000019</v>
      </c>
      <c r="L228" s="6">
        <f>Table3[[#This Row],[Profit]]/Table3[[#This Row],[Sales]]</f>
        <v>0.22464327498667158</v>
      </c>
    </row>
    <row r="229" spans="1:12" x14ac:dyDescent="0.25">
      <c r="A229" t="s">
        <v>3266</v>
      </c>
      <c r="B229" s="2">
        <v>44941</v>
      </c>
      <c r="C229" s="2" t="str">
        <f>TEXT(Table3[[#This Row],[Order Date]],"mmmm")</f>
        <v>January</v>
      </c>
      <c r="D229" t="s">
        <v>3730</v>
      </c>
      <c r="E229" t="s">
        <v>3223</v>
      </c>
      <c r="F229" t="s">
        <v>3226</v>
      </c>
      <c r="G229" s="4">
        <v>49485.77</v>
      </c>
      <c r="H229" s="4">
        <v>34920.089999999997</v>
      </c>
      <c r="I229" s="3" t="s">
        <v>3734</v>
      </c>
      <c r="J229" t="s">
        <v>3732</v>
      </c>
      <c r="K229" s="4">
        <f>Table3[[#This Row],[Sales]]-Table3[[#This Row],[Cost]]</f>
        <v>14565.68</v>
      </c>
      <c r="L229" s="6">
        <f>Table3[[#This Row],[Profit]]/Table3[[#This Row],[Sales]]</f>
        <v>0.29434077715674628</v>
      </c>
    </row>
    <row r="230" spans="1:12" x14ac:dyDescent="0.25">
      <c r="A230" t="s">
        <v>247</v>
      </c>
      <c r="B230" s="2">
        <v>45102</v>
      </c>
      <c r="C230" s="2" t="str">
        <f>TEXT(Table3[[#This Row],[Order Date]],"mmmm")</f>
        <v>June</v>
      </c>
      <c r="D230" t="s">
        <v>3220</v>
      </c>
      <c r="E230" t="s">
        <v>3222</v>
      </c>
      <c r="F230" t="s">
        <v>3226</v>
      </c>
      <c r="G230" s="4">
        <v>45133.41</v>
      </c>
      <c r="H230" s="4">
        <v>32056.67</v>
      </c>
      <c r="I230" s="3" t="s">
        <v>3734</v>
      </c>
      <c r="J230">
        <v>3</v>
      </c>
      <c r="K230" s="4">
        <f>Table3[[#This Row],[Sales]]-Table3[[#This Row],[Cost]]</f>
        <v>13076.740000000005</v>
      </c>
      <c r="L230" s="6">
        <f>Table3[[#This Row],[Profit]]/Table3[[#This Row],[Sales]]</f>
        <v>0.28973525377320269</v>
      </c>
    </row>
    <row r="231" spans="1:12" x14ac:dyDescent="0.25">
      <c r="A231" t="s">
        <v>248</v>
      </c>
      <c r="B231" s="2">
        <v>45021</v>
      </c>
      <c r="C231" s="2" t="str">
        <f>TEXT(Table3[[#This Row],[Order Date]],"mmmm")</f>
        <v>April</v>
      </c>
      <c r="D231" t="s">
        <v>3730</v>
      </c>
      <c r="E231" t="s">
        <v>3223</v>
      </c>
      <c r="F231" t="s">
        <v>3226</v>
      </c>
      <c r="G231" s="4">
        <v>43677.760000000002</v>
      </c>
      <c r="H231" s="4">
        <v>29975.81</v>
      </c>
      <c r="I231" s="3" t="s">
        <v>3734</v>
      </c>
      <c r="J231">
        <v>4</v>
      </c>
      <c r="K231" s="4">
        <f>Table3[[#This Row],[Sales]]-Table3[[#This Row],[Cost]]</f>
        <v>13701.95</v>
      </c>
      <c r="L231" s="6">
        <f>Table3[[#This Row],[Profit]]/Table3[[#This Row],[Sales]]</f>
        <v>0.31370541895921406</v>
      </c>
    </row>
    <row r="232" spans="1:12" x14ac:dyDescent="0.25">
      <c r="A232" t="s">
        <v>249</v>
      </c>
      <c r="B232" s="2">
        <v>45021</v>
      </c>
      <c r="C232" s="2" t="str">
        <f>TEXT(Table3[[#This Row],[Order Date]],"mmmm")</f>
        <v>April</v>
      </c>
      <c r="D232" t="s">
        <v>3220</v>
      </c>
      <c r="E232" t="s">
        <v>3224</v>
      </c>
      <c r="F232" t="s">
        <v>3226</v>
      </c>
      <c r="G232" s="4">
        <v>63273.63</v>
      </c>
      <c r="H232" s="4">
        <v>38825.269999999997</v>
      </c>
      <c r="I232" s="3" t="s">
        <v>3734</v>
      </c>
      <c r="J232">
        <v>1</v>
      </c>
      <c r="K232" s="4">
        <f>Table3[[#This Row],[Sales]]-Table3[[#This Row],[Cost]]</f>
        <v>24448.36</v>
      </c>
      <c r="L232" s="6">
        <f>Table3[[#This Row],[Profit]]/Table3[[#This Row],[Sales]]</f>
        <v>0.38639098151947349</v>
      </c>
    </row>
    <row r="233" spans="1:12" x14ac:dyDescent="0.25">
      <c r="A233" t="s">
        <v>250</v>
      </c>
      <c r="B233" s="2">
        <v>44972</v>
      </c>
      <c r="C233" s="2" t="str">
        <f>TEXT(Table3[[#This Row],[Order Date]],"mmmm")</f>
        <v>February</v>
      </c>
      <c r="D233" t="s">
        <v>3730</v>
      </c>
      <c r="E233" t="s">
        <v>3224</v>
      </c>
      <c r="F233" t="s">
        <v>3226</v>
      </c>
      <c r="G233" s="4">
        <v>227429.09</v>
      </c>
      <c r="H233" s="4">
        <v>158446.13</v>
      </c>
      <c r="I233" s="3" t="s">
        <v>3734</v>
      </c>
      <c r="J233">
        <v>4</v>
      </c>
      <c r="K233" s="4">
        <f>Table3[[#This Row],[Sales]]-Table3[[#This Row],[Cost]]</f>
        <v>68982.959999999992</v>
      </c>
      <c r="L233" s="6">
        <f>Table3[[#This Row],[Profit]]/Table3[[#This Row],[Sales]]</f>
        <v>0.30331634356888992</v>
      </c>
    </row>
    <row r="234" spans="1:12" x14ac:dyDescent="0.25">
      <c r="A234" t="s">
        <v>3268</v>
      </c>
      <c r="B234" s="2">
        <v>45021</v>
      </c>
      <c r="C234" s="2" t="str">
        <f>TEXT(Table3[[#This Row],[Order Date]],"mmmm")</f>
        <v>April</v>
      </c>
      <c r="D234" t="s">
        <v>3220</v>
      </c>
      <c r="E234" t="s">
        <v>3224</v>
      </c>
      <c r="F234" t="s">
        <v>3226</v>
      </c>
      <c r="G234" s="4">
        <v>113372.16</v>
      </c>
      <c r="H234" s="4">
        <v>90697.728000000003</v>
      </c>
      <c r="I234" s="3" t="s">
        <v>3735</v>
      </c>
      <c r="J234">
        <v>2</v>
      </c>
      <c r="K234" s="4">
        <f>Table3[[#This Row],[Sales]]-Table3[[#This Row],[Cost]]</f>
        <v>22674.432000000001</v>
      </c>
      <c r="L234" s="6">
        <f>Table3[[#This Row],[Profit]]/Table3[[#This Row],[Sales]]</f>
        <v>0.2</v>
      </c>
    </row>
    <row r="235" spans="1:12" x14ac:dyDescent="0.25">
      <c r="A235" t="s">
        <v>252</v>
      </c>
      <c r="B235" s="2">
        <v>45102</v>
      </c>
      <c r="C235" s="2" t="str">
        <f>TEXT(Table3[[#This Row],[Order Date]],"mmmm")</f>
        <v>June</v>
      </c>
      <c r="D235" t="s">
        <v>3730</v>
      </c>
      <c r="E235" t="s">
        <v>3222</v>
      </c>
      <c r="F235" t="s">
        <v>3226</v>
      </c>
      <c r="G235" s="4">
        <v>87073.600000000006</v>
      </c>
      <c r="H235" s="4">
        <v>43330.55</v>
      </c>
      <c r="I235" s="3" t="s">
        <v>3734</v>
      </c>
      <c r="J235" t="s">
        <v>3732</v>
      </c>
      <c r="K235" s="4">
        <f>Table3[[#This Row],[Sales]]-Table3[[#This Row],[Cost]]</f>
        <v>43743.05</v>
      </c>
      <c r="L235" s="6">
        <f>Table3[[#This Row],[Profit]]/Table3[[#This Row],[Sales]]</f>
        <v>0.5023686858014369</v>
      </c>
    </row>
    <row r="236" spans="1:12" x14ac:dyDescent="0.25">
      <c r="A236" t="s">
        <v>253</v>
      </c>
      <c r="B236" s="2">
        <v>45005</v>
      </c>
      <c r="C236" s="2" t="str">
        <f>TEXT(Table3[[#This Row],[Order Date]],"mmmm")</f>
        <v>March</v>
      </c>
      <c r="D236" t="s">
        <v>3730</v>
      </c>
      <c r="E236" t="s">
        <v>3224</v>
      </c>
      <c r="F236" t="s">
        <v>3226</v>
      </c>
      <c r="G236" s="4">
        <v>336962.72</v>
      </c>
      <c r="H236" s="4">
        <v>203402.89</v>
      </c>
      <c r="I236" s="3" t="s">
        <v>3734</v>
      </c>
      <c r="J236">
        <v>5</v>
      </c>
      <c r="K236" s="4">
        <f>Table3[[#This Row],[Sales]]-Table3[[#This Row],[Cost]]</f>
        <v>133559.82999999996</v>
      </c>
      <c r="L236" s="6">
        <f>Table3[[#This Row],[Profit]]/Table3[[#This Row],[Sales]]</f>
        <v>0.39636381733860637</v>
      </c>
    </row>
    <row r="237" spans="1:12" x14ac:dyDescent="0.25">
      <c r="A237" t="s">
        <v>254</v>
      </c>
      <c r="B237" s="2">
        <v>45005</v>
      </c>
      <c r="C237" s="2" t="str">
        <f>TEXT(Table3[[#This Row],[Order Date]],"mmmm")</f>
        <v>March</v>
      </c>
      <c r="D237" t="s">
        <v>3730</v>
      </c>
      <c r="E237" t="s">
        <v>3222</v>
      </c>
      <c r="F237" t="s">
        <v>3226</v>
      </c>
      <c r="G237" s="4">
        <v>13837.88</v>
      </c>
      <c r="H237" s="4">
        <v>10472.459999999999</v>
      </c>
      <c r="I237" s="3" t="s">
        <v>3734</v>
      </c>
      <c r="J237">
        <v>1</v>
      </c>
      <c r="K237" s="4">
        <f>Table3[[#This Row],[Sales]]-Table3[[#This Row],[Cost]]</f>
        <v>3365.42</v>
      </c>
      <c r="L237" s="6">
        <f>Table3[[#This Row],[Profit]]/Table3[[#This Row],[Sales]]</f>
        <v>0.24320343867702279</v>
      </c>
    </row>
    <row r="238" spans="1:12" x14ac:dyDescent="0.25">
      <c r="A238" t="s">
        <v>3269</v>
      </c>
      <c r="B238" s="2">
        <v>44941</v>
      </c>
      <c r="C238" s="2" t="str">
        <f>TEXT(Table3[[#This Row],[Order Date]],"mmmm")</f>
        <v>January</v>
      </c>
      <c r="D238" t="s">
        <v>3220</v>
      </c>
      <c r="E238" t="s">
        <v>3222</v>
      </c>
      <c r="F238" t="s">
        <v>3226</v>
      </c>
      <c r="G238" s="4">
        <v>12164.52</v>
      </c>
      <c r="H238" s="4">
        <v>9482.44</v>
      </c>
      <c r="I238" s="3" t="s">
        <v>3734</v>
      </c>
      <c r="J238">
        <v>1</v>
      </c>
      <c r="K238" s="4">
        <f>Table3[[#This Row],[Sales]]-Table3[[#This Row],[Cost]]</f>
        <v>2682.08</v>
      </c>
      <c r="L238" s="6">
        <f>Table3[[#This Row],[Profit]]/Table3[[#This Row],[Sales]]</f>
        <v>0.2204838333119597</v>
      </c>
    </row>
    <row r="239" spans="1:12" x14ac:dyDescent="0.25">
      <c r="A239" t="s">
        <v>257</v>
      </c>
      <c r="B239" s="2">
        <v>45005</v>
      </c>
      <c r="C239" s="2" t="str">
        <f>TEXT(Table3[[#This Row],[Order Date]],"mmmm")</f>
        <v>March</v>
      </c>
      <c r="D239" t="s">
        <v>3730</v>
      </c>
      <c r="E239" t="s">
        <v>3223</v>
      </c>
      <c r="F239" t="s">
        <v>3226</v>
      </c>
      <c r="G239" s="4">
        <v>40955.019999999997</v>
      </c>
      <c r="H239" s="4">
        <v>24536.81</v>
      </c>
      <c r="I239" s="3" t="s">
        <v>3734</v>
      </c>
      <c r="J239">
        <v>4</v>
      </c>
      <c r="K239" s="4">
        <f>Table3[[#This Row],[Sales]]-Table3[[#This Row],[Cost]]</f>
        <v>16418.209999999995</v>
      </c>
      <c r="L239" s="6">
        <f>Table3[[#This Row],[Profit]]/Table3[[#This Row],[Sales]]</f>
        <v>0.40088394536249761</v>
      </c>
    </row>
    <row r="240" spans="1:12" x14ac:dyDescent="0.25">
      <c r="A240" t="s">
        <v>258</v>
      </c>
      <c r="B240" s="2" t="s">
        <v>3729</v>
      </c>
      <c r="C240" s="2" t="str">
        <f>TEXT(Table3[[#This Row],[Order Date]],"mmmm")</f>
        <v>Not Mentioned</v>
      </c>
      <c r="D240" t="s">
        <v>3730</v>
      </c>
      <c r="E240" t="s">
        <v>3223</v>
      </c>
      <c r="F240" t="s">
        <v>3226</v>
      </c>
      <c r="G240" s="4">
        <v>16311.97</v>
      </c>
      <c r="H240" s="4">
        <v>12008.35</v>
      </c>
      <c r="I240" s="3" t="s">
        <v>3734</v>
      </c>
      <c r="J240" t="s">
        <v>3732</v>
      </c>
      <c r="K240" s="4">
        <f>Table3[[#This Row],[Sales]]-Table3[[#This Row],[Cost]]</f>
        <v>4303.619999999999</v>
      </c>
      <c r="L240" s="6">
        <f>Table3[[#This Row],[Profit]]/Table3[[#This Row],[Sales]]</f>
        <v>0.26383202028939479</v>
      </c>
    </row>
    <row r="241" spans="1:12" x14ac:dyDescent="0.25">
      <c r="A241" t="s">
        <v>259</v>
      </c>
      <c r="B241" s="2">
        <v>45102</v>
      </c>
      <c r="C241" s="2" t="str">
        <f>TEXT(Table3[[#This Row],[Order Date]],"mmmm")</f>
        <v>June</v>
      </c>
      <c r="D241" t="s">
        <v>3730</v>
      </c>
      <c r="E241" t="s">
        <v>3224</v>
      </c>
      <c r="F241" t="s">
        <v>3226</v>
      </c>
      <c r="G241" s="4">
        <v>101574.67</v>
      </c>
      <c r="H241" s="4">
        <v>98008.17</v>
      </c>
      <c r="I241" s="3" t="s">
        <v>3734</v>
      </c>
      <c r="J241">
        <v>2</v>
      </c>
      <c r="K241" s="4">
        <f>Table3[[#This Row],[Sales]]-Table3[[#This Row],[Cost]]</f>
        <v>3566.5</v>
      </c>
      <c r="L241" s="6">
        <f>Table3[[#This Row],[Profit]]/Table3[[#This Row],[Sales]]</f>
        <v>3.5112100290357821E-2</v>
      </c>
    </row>
    <row r="242" spans="1:12" x14ac:dyDescent="0.25">
      <c r="A242" t="s">
        <v>260</v>
      </c>
      <c r="B242" s="2" t="s">
        <v>3729</v>
      </c>
      <c r="C242" s="2" t="str">
        <f>TEXT(Table3[[#This Row],[Order Date]],"mmmm")</f>
        <v>Not Mentioned</v>
      </c>
      <c r="D242" t="s">
        <v>3730</v>
      </c>
      <c r="E242" t="s">
        <v>3222</v>
      </c>
      <c r="F242" t="s">
        <v>3226</v>
      </c>
      <c r="G242" s="4">
        <v>48742.5</v>
      </c>
      <c r="H242" s="4">
        <v>43707.42</v>
      </c>
      <c r="I242" s="3" t="s">
        <v>3734</v>
      </c>
      <c r="J242">
        <v>4</v>
      </c>
      <c r="K242" s="4">
        <f>Table3[[#This Row],[Sales]]-Table3[[#This Row],[Cost]]</f>
        <v>5035.0800000000017</v>
      </c>
      <c r="L242" s="6">
        <f>Table3[[#This Row],[Profit]]/Table3[[#This Row],[Sales]]</f>
        <v>0.10329958455146949</v>
      </c>
    </row>
    <row r="243" spans="1:12" x14ac:dyDescent="0.25">
      <c r="A243" t="s">
        <v>261</v>
      </c>
      <c r="B243" s="2">
        <v>45021</v>
      </c>
      <c r="C243" s="2" t="str">
        <f>TEXT(Table3[[#This Row],[Order Date]],"mmmm")</f>
        <v>April</v>
      </c>
      <c r="D243" t="s">
        <v>3731</v>
      </c>
      <c r="E243" t="s">
        <v>3222</v>
      </c>
      <c r="F243" t="s">
        <v>3226</v>
      </c>
      <c r="G243" s="4">
        <v>42411.34</v>
      </c>
      <c r="H243" s="4">
        <v>31701.11</v>
      </c>
      <c r="I243" s="3" t="s">
        <v>3734</v>
      </c>
      <c r="J243">
        <v>3</v>
      </c>
      <c r="K243" s="4">
        <f>Table3[[#This Row],[Sales]]-Table3[[#This Row],[Cost]]</f>
        <v>10710.229999999996</v>
      </c>
      <c r="L243" s="6">
        <f>Table3[[#This Row],[Profit]]/Table3[[#This Row],[Sales]]</f>
        <v>0.25253222369300277</v>
      </c>
    </row>
    <row r="244" spans="1:12" x14ac:dyDescent="0.25">
      <c r="A244" t="s">
        <v>262</v>
      </c>
      <c r="B244" s="2">
        <v>45021</v>
      </c>
      <c r="C244" s="2" t="str">
        <f>TEXT(Table3[[#This Row],[Order Date]],"mmmm")</f>
        <v>April</v>
      </c>
      <c r="D244" t="s">
        <v>3730</v>
      </c>
      <c r="E244" t="s">
        <v>3222</v>
      </c>
      <c r="F244" t="s">
        <v>3226</v>
      </c>
      <c r="G244" s="4">
        <v>56334.65</v>
      </c>
      <c r="H244" s="4">
        <v>39804.68</v>
      </c>
      <c r="I244" s="3" t="s">
        <v>3734</v>
      </c>
      <c r="J244">
        <v>4</v>
      </c>
      <c r="K244" s="4">
        <f>Table3[[#This Row],[Sales]]-Table3[[#This Row],[Cost]]</f>
        <v>16529.97</v>
      </c>
      <c r="L244" s="6">
        <f>Table3[[#This Row],[Profit]]/Table3[[#This Row],[Sales]]</f>
        <v>0.29342456197029715</v>
      </c>
    </row>
    <row r="245" spans="1:12" x14ac:dyDescent="0.25">
      <c r="A245" t="s">
        <v>263</v>
      </c>
      <c r="B245" s="2">
        <v>45005</v>
      </c>
      <c r="C245" s="2" t="str">
        <f>TEXT(Table3[[#This Row],[Order Date]],"mmmm")</f>
        <v>March</v>
      </c>
      <c r="D245" t="s">
        <v>3731</v>
      </c>
      <c r="E245" t="s">
        <v>3223</v>
      </c>
      <c r="F245" t="s">
        <v>3226</v>
      </c>
      <c r="G245" s="4">
        <v>11170.09</v>
      </c>
      <c r="H245" s="4">
        <v>6757.53</v>
      </c>
      <c r="I245" s="3" t="s">
        <v>3734</v>
      </c>
      <c r="J245">
        <v>1</v>
      </c>
      <c r="K245" s="4">
        <f>Table3[[#This Row],[Sales]]-Table3[[#This Row],[Cost]]</f>
        <v>4412.5600000000004</v>
      </c>
      <c r="L245" s="6">
        <f>Table3[[#This Row],[Profit]]/Table3[[#This Row],[Sales]]</f>
        <v>0.39503352255890511</v>
      </c>
    </row>
    <row r="246" spans="1:12" x14ac:dyDescent="0.25">
      <c r="A246" t="s">
        <v>3270</v>
      </c>
      <c r="B246" s="2">
        <v>45021</v>
      </c>
      <c r="C246" s="2" t="str">
        <f>TEXT(Table3[[#This Row],[Order Date]],"mmmm")</f>
        <v>April</v>
      </c>
      <c r="D246" t="s">
        <v>3220</v>
      </c>
      <c r="E246" t="s">
        <v>3224</v>
      </c>
      <c r="F246" t="s">
        <v>3226</v>
      </c>
      <c r="G246" s="4">
        <v>130662.88</v>
      </c>
      <c r="H246" s="4">
        <v>88501.2</v>
      </c>
      <c r="I246" s="3" t="s">
        <v>3734</v>
      </c>
      <c r="J246">
        <v>2</v>
      </c>
      <c r="K246" s="4">
        <f>Table3[[#This Row],[Sales]]-Table3[[#This Row],[Cost]]</f>
        <v>42161.680000000008</v>
      </c>
      <c r="L246" s="6">
        <f>Table3[[#This Row],[Profit]]/Table3[[#This Row],[Sales]]</f>
        <v>0.322675269364949</v>
      </c>
    </row>
    <row r="247" spans="1:12" x14ac:dyDescent="0.25">
      <c r="A247" t="s">
        <v>265</v>
      </c>
      <c r="B247" s="2">
        <v>45021</v>
      </c>
      <c r="C247" s="2" t="str">
        <f>TEXT(Table3[[#This Row],[Order Date]],"mmmm")</f>
        <v>April</v>
      </c>
      <c r="D247" t="s">
        <v>3220</v>
      </c>
      <c r="E247" t="s">
        <v>3225</v>
      </c>
      <c r="F247" t="s">
        <v>3226</v>
      </c>
      <c r="G247" s="4">
        <v>47104.67</v>
      </c>
      <c r="H247" s="4">
        <v>24841.57</v>
      </c>
      <c r="I247" s="3" t="s">
        <v>3734</v>
      </c>
      <c r="J247">
        <v>2</v>
      </c>
      <c r="K247" s="4">
        <f>Table3[[#This Row],[Sales]]-Table3[[#This Row],[Cost]]</f>
        <v>22263.1</v>
      </c>
      <c r="L247" s="6">
        <f>Table3[[#This Row],[Profit]]/Table3[[#This Row],[Sales]]</f>
        <v>0.47263042072049333</v>
      </c>
    </row>
    <row r="248" spans="1:12" x14ac:dyDescent="0.25">
      <c r="A248" t="s">
        <v>266</v>
      </c>
      <c r="B248" s="2" t="s">
        <v>3729</v>
      </c>
      <c r="C248" s="2" t="str">
        <f>TEXT(Table3[[#This Row],[Order Date]],"mmmm")</f>
        <v>Not Mentioned</v>
      </c>
      <c r="D248" t="s">
        <v>3731</v>
      </c>
      <c r="E248" t="s">
        <v>3222</v>
      </c>
      <c r="F248" t="s">
        <v>3226</v>
      </c>
      <c r="G248" s="4">
        <v>15376.27</v>
      </c>
      <c r="H248" s="4">
        <v>9603.06</v>
      </c>
      <c r="I248" s="3" t="s">
        <v>3734</v>
      </c>
      <c r="J248">
        <v>1</v>
      </c>
      <c r="K248" s="4">
        <f>Table3[[#This Row],[Sales]]-Table3[[#This Row],[Cost]]</f>
        <v>5773.2100000000009</v>
      </c>
      <c r="L248" s="6">
        <f>Table3[[#This Row],[Profit]]/Table3[[#This Row],[Sales]]</f>
        <v>0.37546231953523196</v>
      </c>
    </row>
    <row r="249" spans="1:12" x14ac:dyDescent="0.25">
      <c r="A249" t="s">
        <v>267</v>
      </c>
      <c r="B249" s="2">
        <v>44941</v>
      </c>
      <c r="C249" s="2" t="str">
        <f>TEXT(Table3[[#This Row],[Order Date]],"mmmm")</f>
        <v>January</v>
      </c>
      <c r="D249" t="s">
        <v>3220</v>
      </c>
      <c r="E249" t="s">
        <v>3225</v>
      </c>
      <c r="F249" t="s">
        <v>3226</v>
      </c>
      <c r="G249" s="4">
        <v>90480.61</v>
      </c>
      <c r="H249" s="4">
        <v>58303.39</v>
      </c>
      <c r="I249" s="3" t="s">
        <v>3734</v>
      </c>
      <c r="J249">
        <v>4</v>
      </c>
      <c r="K249" s="4">
        <f>Table3[[#This Row],[Sales]]-Table3[[#This Row],[Cost]]</f>
        <v>32177.22</v>
      </c>
      <c r="L249" s="6">
        <f>Table3[[#This Row],[Profit]]/Table3[[#This Row],[Sales]]</f>
        <v>0.35562558652069215</v>
      </c>
    </row>
    <row r="250" spans="1:12" x14ac:dyDescent="0.25">
      <c r="A250" t="s">
        <v>268</v>
      </c>
      <c r="B250" s="2">
        <v>44972</v>
      </c>
      <c r="C250" s="2" t="str">
        <f>TEXT(Table3[[#This Row],[Order Date]],"mmmm")</f>
        <v>February</v>
      </c>
      <c r="D250" t="s">
        <v>3220</v>
      </c>
      <c r="E250" t="s">
        <v>3224</v>
      </c>
      <c r="F250" t="s">
        <v>3226</v>
      </c>
      <c r="G250" s="4">
        <v>69434.16</v>
      </c>
      <c r="H250" s="4">
        <v>38952.65</v>
      </c>
      <c r="I250" s="3" t="s">
        <v>3734</v>
      </c>
      <c r="J250">
        <v>1</v>
      </c>
      <c r="K250" s="4">
        <f>Table3[[#This Row],[Sales]]-Table3[[#This Row],[Cost]]</f>
        <v>30481.510000000002</v>
      </c>
      <c r="L250" s="6">
        <f>Table3[[#This Row],[Profit]]/Table3[[#This Row],[Sales]]</f>
        <v>0.43899875796005888</v>
      </c>
    </row>
    <row r="251" spans="1:12" x14ac:dyDescent="0.25">
      <c r="A251" t="s">
        <v>78</v>
      </c>
      <c r="B251" s="2" t="s">
        <v>3729</v>
      </c>
      <c r="C251" s="2" t="str">
        <f>TEXT(Table3[[#This Row],[Order Date]],"mmmm")</f>
        <v>Not Mentioned</v>
      </c>
      <c r="D251" t="s">
        <v>3220</v>
      </c>
      <c r="E251" t="s">
        <v>3224</v>
      </c>
      <c r="F251" t="s">
        <v>3226</v>
      </c>
      <c r="G251" s="4">
        <v>206787.48</v>
      </c>
      <c r="H251" s="4">
        <v>132543.88</v>
      </c>
      <c r="I251" s="3" t="s">
        <v>3734</v>
      </c>
      <c r="J251">
        <v>3</v>
      </c>
      <c r="K251" s="4">
        <f>Table3[[#This Row],[Sales]]-Table3[[#This Row],[Cost]]</f>
        <v>74243.600000000006</v>
      </c>
      <c r="L251" s="6">
        <f>Table3[[#This Row],[Profit]]/Table3[[#This Row],[Sales]]</f>
        <v>0.35903334186383046</v>
      </c>
    </row>
    <row r="252" spans="1:12" x14ac:dyDescent="0.25">
      <c r="A252" t="s">
        <v>269</v>
      </c>
      <c r="B252" s="2">
        <v>45102</v>
      </c>
      <c r="C252" s="2" t="str">
        <f>TEXT(Table3[[#This Row],[Order Date]],"mmmm")</f>
        <v>June</v>
      </c>
      <c r="D252" t="s">
        <v>3220</v>
      </c>
      <c r="E252" t="s">
        <v>3225</v>
      </c>
      <c r="F252" t="s">
        <v>3226</v>
      </c>
      <c r="G252" s="4">
        <v>71947.7</v>
      </c>
      <c r="H252" s="4">
        <v>42806.62</v>
      </c>
      <c r="I252" s="3" t="s">
        <v>3734</v>
      </c>
      <c r="J252" t="s">
        <v>3732</v>
      </c>
      <c r="K252" s="4">
        <f>Table3[[#This Row],[Sales]]-Table3[[#This Row],[Cost]]</f>
        <v>29141.079999999994</v>
      </c>
      <c r="L252" s="6">
        <f>Table3[[#This Row],[Profit]]/Table3[[#This Row],[Sales]]</f>
        <v>0.40503143255448049</v>
      </c>
    </row>
    <row r="253" spans="1:12" x14ac:dyDescent="0.25">
      <c r="A253" t="s">
        <v>270</v>
      </c>
      <c r="B253" s="2">
        <v>44972</v>
      </c>
      <c r="C253" s="2" t="str">
        <f>TEXT(Table3[[#This Row],[Order Date]],"mmmm")</f>
        <v>February</v>
      </c>
      <c r="D253" t="s">
        <v>3220</v>
      </c>
      <c r="E253" t="s">
        <v>3222</v>
      </c>
      <c r="F253" t="s">
        <v>3226</v>
      </c>
      <c r="G253" s="4">
        <v>60169.97</v>
      </c>
      <c r="H253" s="4">
        <v>54213.64</v>
      </c>
      <c r="I253" s="3" t="s">
        <v>3734</v>
      </c>
      <c r="J253">
        <v>5</v>
      </c>
      <c r="K253" s="4">
        <f>Table3[[#This Row],[Sales]]-Table3[[#This Row],[Cost]]</f>
        <v>5956.3300000000017</v>
      </c>
      <c r="L253" s="6">
        <f>Table3[[#This Row],[Profit]]/Table3[[#This Row],[Sales]]</f>
        <v>9.8991739567096365E-2</v>
      </c>
    </row>
    <row r="254" spans="1:12" x14ac:dyDescent="0.25">
      <c r="A254" t="s">
        <v>3271</v>
      </c>
      <c r="B254" s="2">
        <v>45005</v>
      </c>
      <c r="C254" s="2" t="str">
        <f>TEXT(Table3[[#This Row],[Order Date]],"mmmm")</f>
        <v>March</v>
      </c>
      <c r="D254" t="s">
        <v>3220</v>
      </c>
      <c r="E254" t="s">
        <v>3225</v>
      </c>
      <c r="F254" t="s">
        <v>3226</v>
      </c>
      <c r="G254" s="4">
        <v>77027.41</v>
      </c>
      <c r="H254" s="4">
        <v>48524.14</v>
      </c>
      <c r="I254" s="3" t="s">
        <v>3734</v>
      </c>
      <c r="J254">
        <v>4</v>
      </c>
      <c r="K254" s="4">
        <f>Table3[[#This Row],[Sales]]-Table3[[#This Row],[Cost]]</f>
        <v>28503.270000000004</v>
      </c>
      <c r="L254" s="6">
        <f>Table3[[#This Row],[Profit]]/Table3[[#This Row],[Sales]]</f>
        <v>0.37004061281561984</v>
      </c>
    </row>
    <row r="255" spans="1:12" x14ac:dyDescent="0.25">
      <c r="A255" t="s">
        <v>272</v>
      </c>
      <c r="B255" s="2">
        <v>45021</v>
      </c>
      <c r="C255" s="2" t="str">
        <f>TEXT(Table3[[#This Row],[Order Date]],"mmmm")</f>
        <v>April</v>
      </c>
      <c r="D255" t="s">
        <v>3730</v>
      </c>
      <c r="E255" t="s">
        <v>3223</v>
      </c>
      <c r="F255" t="s">
        <v>3226</v>
      </c>
      <c r="G255" s="4">
        <v>16614.900000000001</v>
      </c>
      <c r="H255" s="4">
        <v>13652.18</v>
      </c>
      <c r="I255" s="3" t="s">
        <v>3734</v>
      </c>
      <c r="J255">
        <v>2</v>
      </c>
      <c r="K255" s="4">
        <f>Table3[[#This Row],[Sales]]-Table3[[#This Row],[Cost]]</f>
        <v>2962.7200000000012</v>
      </c>
      <c r="L255" s="6">
        <f>Table3[[#This Row],[Profit]]/Table3[[#This Row],[Sales]]</f>
        <v>0.17831705276589091</v>
      </c>
    </row>
    <row r="256" spans="1:12" x14ac:dyDescent="0.25">
      <c r="A256" t="s">
        <v>273</v>
      </c>
      <c r="B256" s="2">
        <v>44941</v>
      </c>
      <c r="C256" s="2" t="str">
        <f>TEXT(Table3[[#This Row],[Order Date]],"mmmm")</f>
        <v>January</v>
      </c>
      <c r="D256" t="s">
        <v>3220</v>
      </c>
      <c r="E256" t="s">
        <v>3222</v>
      </c>
      <c r="F256" t="s">
        <v>3226</v>
      </c>
      <c r="G256" s="4">
        <v>50462.69</v>
      </c>
      <c r="H256" s="4">
        <v>32469.21</v>
      </c>
      <c r="I256" s="3" t="s">
        <v>3734</v>
      </c>
      <c r="J256">
        <v>3</v>
      </c>
      <c r="K256" s="4">
        <f>Table3[[#This Row],[Sales]]-Table3[[#This Row],[Cost]]</f>
        <v>17993.480000000003</v>
      </c>
      <c r="L256" s="6">
        <f>Table3[[#This Row],[Profit]]/Table3[[#This Row],[Sales]]</f>
        <v>0.35656997278583447</v>
      </c>
    </row>
    <row r="257" spans="1:12" x14ac:dyDescent="0.25">
      <c r="A257" t="s">
        <v>274</v>
      </c>
      <c r="B257" s="2" t="s">
        <v>3729</v>
      </c>
      <c r="C257" s="2" t="str">
        <f>TEXT(Table3[[#This Row],[Order Date]],"mmmm")</f>
        <v>Not Mentioned</v>
      </c>
      <c r="D257" t="s">
        <v>3730</v>
      </c>
      <c r="E257" t="s">
        <v>3225</v>
      </c>
      <c r="F257" t="s">
        <v>3226</v>
      </c>
      <c r="G257" s="4">
        <v>81346.77</v>
      </c>
      <c r="H257" s="4">
        <v>63255.99</v>
      </c>
      <c r="I257" s="3" t="s">
        <v>3734</v>
      </c>
      <c r="J257">
        <v>5</v>
      </c>
      <c r="K257" s="4">
        <f>Table3[[#This Row],[Sales]]-Table3[[#This Row],[Cost]]</f>
        <v>18090.780000000006</v>
      </c>
      <c r="L257" s="6">
        <f>Table3[[#This Row],[Profit]]/Table3[[#This Row],[Sales]]</f>
        <v>0.22239088288324177</v>
      </c>
    </row>
    <row r="258" spans="1:12" x14ac:dyDescent="0.25">
      <c r="A258" t="s">
        <v>275</v>
      </c>
      <c r="B258" s="2" t="s">
        <v>3729</v>
      </c>
      <c r="C258" s="2" t="str">
        <f>TEXT(Table3[[#This Row],[Order Date]],"mmmm")</f>
        <v>Not Mentioned</v>
      </c>
      <c r="D258" t="s">
        <v>3220</v>
      </c>
      <c r="E258" t="s">
        <v>3225</v>
      </c>
      <c r="F258" t="s">
        <v>3226</v>
      </c>
      <c r="G258" s="4">
        <v>83993.08</v>
      </c>
      <c r="H258" s="4">
        <v>48604.86</v>
      </c>
      <c r="I258" s="3" t="s">
        <v>3734</v>
      </c>
      <c r="J258">
        <v>4</v>
      </c>
      <c r="K258" s="4">
        <f>Table3[[#This Row],[Sales]]-Table3[[#This Row],[Cost]]</f>
        <v>35388.22</v>
      </c>
      <c r="L258" s="6">
        <f>Table3[[#This Row],[Profit]]/Table3[[#This Row],[Sales]]</f>
        <v>0.42132304232682027</v>
      </c>
    </row>
    <row r="259" spans="1:12" x14ac:dyDescent="0.25">
      <c r="A259" t="s">
        <v>276</v>
      </c>
      <c r="B259" s="2">
        <v>45005</v>
      </c>
      <c r="C259" s="2" t="str">
        <f>TEXT(Table3[[#This Row],[Order Date]],"mmmm")</f>
        <v>March</v>
      </c>
      <c r="D259" t="s">
        <v>3220</v>
      </c>
      <c r="E259" t="s">
        <v>3222</v>
      </c>
      <c r="F259" t="s">
        <v>3226</v>
      </c>
      <c r="G259" s="4">
        <v>51429.02</v>
      </c>
      <c r="H259" s="4">
        <v>41753.46</v>
      </c>
      <c r="I259" s="3" t="s">
        <v>3734</v>
      </c>
      <c r="J259">
        <v>4</v>
      </c>
      <c r="K259" s="4">
        <f>Table3[[#This Row],[Sales]]-Table3[[#This Row],[Cost]]</f>
        <v>9675.5599999999977</v>
      </c>
      <c r="L259" s="6">
        <f>Table3[[#This Row],[Profit]]/Table3[[#This Row],[Sales]]</f>
        <v>0.18813424794017072</v>
      </c>
    </row>
    <row r="260" spans="1:12" x14ac:dyDescent="0.25">
      <c r="A260" t="s">
        <v>278</v>
      </c>
      <c r="B260" s="2">
        <v>45021</v>
      </c>
      <c r="C260" s="2" t="str">
        <f>TEXT(Table3[[#This Row],[Order Date]],"mmmm")</f>
        <v>April</v>
      </c>
      <c r="D260" t="s">
        <v>3730</v>
      </c>
      <c r="E260" t="s">
        <v>3224</v>
      </c>
      <c r="F260" t="s">
        <v>3226</v>
      </c>
      <c r="G260" s="4">
        <v>263126.78999999998</v>
      </c>
      <c r="H260" s="4">
        <v>167232.16</v>
      </c>
      <c r="I260" s="3" t="s">
        <v>3734</v>
      </c>
      <c r="J260">
        <v>4</v>
      </c>
      <c r="K260" s="4">
        <f>Table3[[#This Row],[Sales]]-Table3[[#This Row],[Cost]]</f>
        <v>95894.629999999976</v>
      </c>
      <c r="L260" s="6">
        <f>Table3[[#This Row],[Profit]]/Table3[[#This Row],[Sales]]</f>
        <v>0.36444267039475525</v>
      </c>
    </row>
    <row r="261" spans="1:12" x14ac:dyDescent="0.25">
      <c r="A261" t="s">
        <v>279</v>
      </c>
      <c r="B261" s="2">
        <v>44941</v>
      </c>
      <c r="C261" s="2" t="str">
        <f>TEXT(Table3[[#This Row],[Order Date]],"mmmm")</f>
        <v>January</v>
      </c>
      <c r="D261" t="s">
        <v>3216</v>
      </c>
      <c r="E261" t="s">
        <v>3222</v>
      </c>
      <c r="F261" t="s">
        <v>3226</v>
      </c>
      <c r="G261" s="4">
        <v>43808.71</v>
      </c>
      <c r="H261" s="4">
        <v>32324.57</v>
      </c>
      <c r="I261" s="3" t="s">
        <v>3734</v>
      </c>
      <c r="J261">
        <v>3</v>
      </c>
      <c r="K261" s="4">
        <f>Table3[[#This Row],[Sales]]-Table3[[#This Row],[Cost]]</f>
        <v>11484.14</v>
      </c>
      <c r="L261" s="6">
        <f>Table3[[#This Row],[Profit]]/Table3[[#This Row],[Sales]]</f>
        <v>0.26214284784920622</v>
      </c>
    </row>
    <row r="262" spans="1:12" x14ac:dyDescent="0.25">
      <c r="A262" t="s">
        <v>280</v>
      </c>
      <c r="B262" s="2">
        <v>44941</v>
      </c>
      <c r="C262" s="2" t="str">
        <f>TEXT(Table3[[#This Row],[Order Date]],"mmmm")</f>
        <v>January</v>
      </c>
      <c r="D262" t="s">
        <v>3216</v>
      </c>
      <c r="E262" t="s">
        <v>3222</v>
      </c>
      <c r="F262" t="s">
        <v>3226</v>
      </c>
      <c r="G262" s="4">
        <v>16223.14</v>
      </c>
      <c r="H262" s="4">
        <v>8510.91</v>
      </c>
      <c r="I262" s="3" t="s">
        <v>3734</v>
      </c>
      <c r="J262">
        <v>1</v>
      </c>
      <c r="K262" s="4">
        <f>Table3[[#This Row],[Sales]]-Table3[[#This Row],[Cost]]</f>
        <v>7712.23</v>
      </c>
      <c r="L262" s="6">
        <f>Table3[[#This Row],[Profit]]/Table3[[#This Row],[Sales]]</f>
        <v>0.47538454331282354</v>
      </c>
    </row>
    <row r="263" spans="1:12" x14ac:dyDescent="0.25">
      <c r="A263" t="s">
        <v>281</v>
      </c>
      <c r="B263" s="2">
        <v>45021</v>
      </c>
      <c r="C263" s="2" t="str">
        <f>TEXT(Table3[[#This Row],[Order Date]],"mmmm")</f>
        <v>April</v>
      </c>
      <c r="D263" t="s">
        <v>3220</v>
      </c>
      <c r="E263" t="s">
        <v>3222</v>
      </c>
      <c r="F263" t="s">
        <v>3226</v>
      </c>
      <c r="G263" s="4">
        <v>13788.31</v>
      </c>
      <c r="H263" s="4">
        <v>8763.41</v>
      </c>
      <c r="I263" s="3" t="s">
        <v>3734</v>
      </c>
      <c r="J263" t="s">
        <v>3732</v>
      </c>
      <c r="K263" s="4">
        <f>Table3[[#This Row],[Sales]]-Table3[[#This Row],[Cost]]</f>
        <v>5024.8999999999996</v>
      </c>
      <c r="L263" s="6">
        <f>Table3[[#This Row],[Profit]]/Table3[[#This Row],[Sales]]</f>
        <v>0.36443189919576802</v>
      </c>
    </row>
    <row r="264" spans="1:12" x14ac:dyDescent="0.25">
      <c r="A264" t="s">
        <v>282</v>
      </c>
      <c r="B264" s="2">
        <v>44972</v>
      </c>
      <c r="C264" s="2" t="str">
        <f>TEXT(Table3[[#This Row],[Order Date]],"mmmm")</f>
        <v>February</v>
      </c>
      <c r="D264" t="s">
        <v>3220</v>
      </c>
      <c r="E264" t="s">
        <v>3222</v>
      </c>
      <c r="F264" t="s">
        <v>3226</v>
      </c>
      <c r="G264" s="4">
        <v>31613.09</v>
      </c>
      <c r="H264" s="4">
        <v>25290.472000000002</v>
      </c>
      <c r="I264" s="3" t="s">
        <v>3735</v>
      </c>
      <c r="J264">
        <v>2</v>
      </c>
      <c r="K264" s="4">
        <f>Table3[[#This Row],[Sales]]-Table3[[#This Row],[Cost]]</f>
        <v>6322.6179999999986</v>
      </c>
      <c r="L264" s="6">
        <f>Table3[[#This Row],[Profit]]/Table3[[#This Row],[Sales]]</f>
        <v>0.19999999999999996</v>
      </c>
    </row>
    <row r="265" spans="1:12" x14ac:dyDescent="0.25">
      <c r="A265" t="s">
        <v>3272</v>
      </c>
      <c r="B265" s="2">
        <v>45021</v>
      </c>
      <c r="C265" s="2" t="str">
        <f>TEXT(Table3[[#This Row],[Order Date]],"mmmm")</f>
        <v>April</v>
      </c>
      <c r="D265" t="s">
        <v>3730</v>
      </c>
      <c r="E265" t="s">
        <v>3224</v>
      </c>
      <c r="F265" t="s">
        <v>3226</v>
      </c>
      <c r="G265" s="4">
        <v>196595.74</v>
      </c>
      <c r="H265" s="4">
        <v>136610.32</v>
      </c>
      <c r="I265" s="3" t="s">
        <v>3734</v>
      </c>
      <c r="J265" t="s">
        <v>3732</v>
      </c>
      <c r="K265" s="4">
        <f>Table3[[#This Row],[Sales]]-Table3[[#This Row],[Cost]]</f>
        <v>59985.419999999984</v>
      </c>
      <c r="L265" s="6">
        <f>Table3[[#This Row],[Profit]]/Table3[[#This Row],[Sales]]</f>
        <v>0.30512065012192019</v>
      </c>
    </row>
    <row r="266" spans="1:12" x14ac:dyDescent="0.25">
      <c r="A266" t="s">
        <v>284</v>
      </c>
      <c r="B266" s="2">
        <v>44941</v>
      </c>
      <c r="C266" s="2" t="str">
        <f>TEXT(Table3[[#This Row],[Order Date]],"mmmm")</f>
        <v>January</v>
      </c>
      <c r="D266" t="s">
        <v>3220</v>
      </c>
      <c r="E266" t="s">
        <v>3222</v>
      </c>
      <c r="F266" t="s">
        <v>3226</v>
      </c>
      <c r="G266" s="4">
        <v>71390.2</v>
      </c>
      <c r="H266" s="4">
        <v>34521.99</v>
      </c>
      <c r="I266" s="3" t="s">
        <v>3734</v>
      </c>
      <c r="J266">
        <v>4</v>
      </c>
      <c r="K266" s="4">
        <f>Table3[[#This Row],[Sales]]-Table3[[#This Row],[Cost]]</f>
        <v>36868.21</v>
      </c>
      <c r="L266" s="6">
        <f>Table3[[#This Row],[Profit]]/Table3[[#This Row],[Sales]]</f>
        <v>0.51643236746780374</v>
      </c>
    </row>
    <row r="267" spans="1:12" x14ac:dyDescent="0.25">
      <c r="A267" t="s">
        <v>3273</v>
      </c>
      <c r="B267" s="2" t="s">
        <v>3729</v>
      </c>
      <c r="C267" s="2" t="str">
        <f>TEXT(Table3[[#This Row],[Order Date]],"mmmm")</f>
        <v>Not Mentioned</v>
      </c>
      <c r="D267" t="s">
        <v>3730</v>
      </c>
      <c r="E267" t="s">
        <v>3225</v>
      </c>
      <c r="F267" t="s">
        <v>3226</v>
      </c>
      <c r="G267" s="4">
        <v>40700.89</v>
      </c>
      <c r="H267" s="4">
        <v>24499.07</v>
      </c>
      <c r="I267" s="3" t="s">
        <v>3734</v>
      </c>
      <c r="J267">
        <v>2</v>
      </c>
      <c r="K267" s="4">
        <f>Table3[[#This Row],[Sales]]-Table3[[#This Row],[Cost]]</f>
        <v>16201.82</v>
      </c>
      <c r="L267" s="6">
        <f>Table3[[#This Row],[Profit]]/Table3[[#This Row],[Sales]]</f>
        <v>0.39807041074531785</v>
      </c>
    </row>
    <row r="268" spans="1:12" x14ac:dyDescent="0.25">
      <c r="A268" t="s">
        <v>3274</v>
      </c>
      <c r="B268" s="2" t="s">
        <v>3729</v>
      </c>
      <c r="C268" s="2" t="str">
        <f>TEXT(Table3[[#This Row],[Order Date]],"mmmm")</f>
        <v>Not Mentioned</v>
      </c>
      <c r="D268" t="s">
        <v>3220</v>
      </c>
      <c r="E268" t="s">
        <v>3222</v>
      </c>
      <c r="F268" t="s">
        <v>3226</v>
      </c>
      <c r="G268" s="4">
        <v>16417.2</v>
      </c>
      <c r="H268" s="4">
        <v>9325.61</v>
      </c>
      <c r="I268" s="3" t="s">
        <v>3734</v>
      </c>
      <c r="J268">
        <v>1</v>
      </c>
      <c r="K268" s="4">
        <f>Table3[[#This Row],[Sales]]-Table3[[#This Row],[Cost]]</f>
        <v>7091.59</v>
      </c>
      <c r="L268" s="6">
        <f>Table3[[#This Row],[Profit]]/Table3[[#This Row],[Sales]]</f>
        <v>0.43196099213020489</v>
      </c>
    </row>
    <row r="269" spans="1:12" x14ac:dyDescent="0.25">
      <c r="A269" t="s">
        <v>287</v>
      </c>
      <c r="B269" s="2">
        <v>44941</v>
      </c>
      <c r="C269" s="2" t="str">
        <f>TEXT(Table3[[#This Row],[Order Date]],"mmmm")</f>
        <v>January</v>
      </c>
      <c r="D269" t="s">
        <v>3730</v>
      </c>
      <c r="E269" t="s">
        <v>3223</v>
      </c>
      <c r="F269" t="s">
        <v>3226</v>
      </c>
      <c r="G269" s="4">
        <v>36276.04</v>
      </c>
      <c r="H269" s="4">
        <v>25338.639999999999</v>
      </c>
      <c r="I269" s="3" t="s">
        <v>3734</v>
      </c>
      <c r="J269">
        <v>4</v>
      </c>
      <c r="K269" s="4">
        <f>Table3[[#This Row],[Sales]]-Table3[[#This Row],[Cost]]</f>
        <v>10937.400000000001</v>
      </c>
      <c r="L269" s="6">
        <f>Table3[[#This Row],[Profit]]/Table3[[#This Row],[Sales]]</f>
        <v>0.30150479490043569</v>
      </c>
    </row>
    <row r="270" spans="1:12" x14ac:dyDescent="0.25">
      <c r="A270" t="s">
        <v>288</v>
      </c>
      <c r="B270" s="2">
        <v>45021</v>
      </c>
      <c r="C270" s="2" t="str">
        <f>TEXT(Table3[[#This Row],[Order Date]],"mmmm")</f>
        <v>April</v>
      </c>
      <c r="D270" t="s">
        <v>3730</v>
      </c>
      <c r="E270" t="s">
        <v>3224</v>
      </c>
      <c r="F270" t="s">
        <v>3226</v>
      </c>
      <c r="G270" s="4">
        <v>281016.44</v>
      </c>
      <c r="H270" s="4">
        <v>232820.24</v>
      </c>
      <c r="I270" s="3" t="s">
        <v>3734</v>
      </c>
      <c r="J270">
        <v>5</v>
      </c>
      <c r="K270" s="4">
        <f>Table3[[#This Row],[Sales]]-Table3[[#This Row],[Cost]]</f>
        <v>48196.200000000012</v>
      </c>
      <c r="L270" s="6">
        <f>Table3[[#This Row],[Profit]]/Table3[[#This Row],[Sales]]</f>
        <v>0.17150669192165416</v>
      </c>
    </row>
    <row r="271" spans="1:12" x14ac:dyDescent="0.25">
      <c r="A271" t="s">
        <v>289</v>
      </c>
      <c r="B271" s="2">
        <v>45102</v>
      </c>
      <c r="C271" s="2" t="str">
        <f>TEXT(Table3[[#This Row],[Order Date]],"mmmm")</f>
        <v>June</v>
      </c>
      <c r="D271" t="s">
        <v>3220</v>
      </c>
      <c r="E271" t="s">
        <v>3222</v>
      </c>
      <c r="F271" t="s">
        <v>3226</v>
      </c>
      <c r="G271" s="4">
        <v>68329.460000000006</v>
      </c>
      <c r="H271" s="4">
        <v>34235.949999999997</v>
      </c>
      <c r="I271" s="3" t="s">
        <v>3734</v>
      </c>
      <c r="J271">
        <v>4</v>
      </c>
      <c r="K271" s="4">
        <f>Table3[[#This Row],[Sales]]-Table3[[#This Row],[Cost]]</f>
        <v>34093.510000000009</v>
      </c>
      <c r="L271" s="6">
        <f>Table3[[#This Row],[Profit]]/Table3[[#This Row],[Sales]]</f>
        <v>0.49895769701677734</v>
      </c>
    </row>
    <row r="272" spans="1:12" x14ac:dyDescent="0.25">
      <c r="A272" t="s">
        <v>290</v>
      </c>
      <c r="B272" s="2">
        <v>45102</v>
      </c>
      <c r="C272" s="2" t="str">
        <f>TEXT(Table3[[#This Row],[Order Date]],"mmmm")</f>
        <v>June</v>
      </c>
      <c r="D272" t="s">
        <v>3216</v>
      </c>
      <c r="E272" t="s">
        <v>3224</v>
      </c>
      <c r="F272" t="s">
        <v>3226</v>
      </c>
      <c r="G272" s="4">
        <v>124958.01</v>
      </c>
      <c r="H272" s="4">
        <v>99966.407999999996</v>
      </c>
      <c r="I272" s="3" t="s">
        <v>3735</v>
      </c>
      <c r="J272">
        <v>2</v>
      </c>
      <c r="K272" s="4">
        <f>Table3[[#This Row],[Sales]]-Table3[[#This Row],[Cost]]</f>
        <v>24991.601999999999</v>
      </c>
      <c r="L272" s="6">
        <f>Table3[[#This Row],[Profit]]/Table3[[#This Row],[Sales]]</f>
        <v>0.2</v>
      </c>
    </row>
    <row r="273" spans="1:12" x14ac:dyDescent="0.25">
      <c r="A273" t="s">
        <v>291</v>
      </c>
      <c r="B273" s="2">
        <v>45005</v>
      </c>
      <c r="C273" s="2" t="str">
        <f>TEXT(Table3[[#This Row],[Order Date]],"mmmm")</f>
        <v>March</v>
      </c>
      <c r="D273" t="s">
        <v>3730</v>
      </c>
      <c r="E273" t="s">
        <v>3225</v>
      </c>
      <c r="F273" t="s">
        <v>3226</v>
      </c>
      <c r="G273" s="4">
        <v>71106.44</v>
      </c>
      <c r="H273" s="4">
        <v>36493.85</v>
      </c>
      <c r="I273" s="3" t="s">
        <v>3734</v>
      </c>
      <c r="J273">
        <v>3</v>
      </c>
      <c r="K273" s="4">
        <f>Table3[[#This Row],[Sales]]-Table3[[#This Row],[Cost]]</f>
        <v>34612.590000000004</v>
      </c>
      <c r="L273" s="6">
        <f>Table3[[#This Row],[Profit]]/Table3[[#This Row],[Sales]]</f>
        <v>0.48677152167933035</v>
      </c>
    </row>
    <row r="274" spans="1:12" x14ac:dyDescent="0.25">
      <c r="A274" t="s">
        <v>292</v>
      </c>
      <c r="B274" s="2" t="s">
        <v>3729</v>
      </c>
      <c r="C274" s="2" t="str">
        <f>TEXT(Table3[[#This Row],[Order Date]],"mmmm")</f>
        <v>Not Mentioned</v>
      </c>
      <c r="D274" t="s">
        <v>3220</v>
      </c>
      <c r="E274" t="s">
        <v>3222</v>
      </c>
      <c r="F274" t="s">
        <v>3226</v>
      </c>
      <c r="G274" s="4">
        <v>53669.760000000002</v>
      </c>
      <c r="H274" s="4">
        <v>29454.49</v>
      </c>
      <c r="I274" s="3" t="s">
        <v>3734</v>
      </c>
      <c r="J274">
        <v>3</v>
      </c>
      <c r="K274" s="4">
        <f>Table3[[#This Row],[Sales]]-Table3[[#This Row],[Cost]]</f>
        <v>24215.27</v>
      </c>
      <c r="L274" s="6">
        <f>Table3[[#This Row],[Profit]]/Table3[[#This Row],[Sales]]</f>
        <v>0.45119020468882287</v>
      </c>
    </row>
    <row r="275" spans="1:12" x14ac:dyDescent="0.25">
      <c r="A275" t="s">
        <v>293</v>
      </c>
      <c r="B275" s="2" t="s">
        <v>3729</v>
      </c>
      <c r="C275" s="2" t="str">
        <f>TEXT(Table3[[#This Row],[Order Date]],"mmmm")</f>
        <v>Not Mentioned</v>
      </c>
      <c r="D275" t="s">
        <v>3220</v>
      </c>
      <c r="E275" t="s">
        <v>3223</v>
      </c>
      <c r="F275" t="s">
        <v>3226</v>
      </c>
      <c r="G275" s="4">
        <v>11560.56</v>
      </c>
      <c r="H275" s="4">
        <v>9248.4480000000003</v>
      </c>
      <c r="I275" s="3" t="s">
        <v>3735</v>
      </c>
      <c r="J275" t="s">
        <v>3732</v>
      </c>
      <c r="K275" s="4">
        <f>Table3[[#This Row],[Sales]]-Table3[[#This Row],[Cost]]</f>
        <v>2312.1119999999992</v>
      </c>
      <c r="L275" s="6">
        <f>Table3[[#This Row],[Profit]]/Table3[[#This Row],[Sales]]</f>
        <v>0.19999999999999993</v>
      </c>
    </row>
    <row r="276" spans="1:12" x14ac:dyDescent="0.25">
      <c r="A276" t="s">
        <v>294</v>
      </c>
      <c r="B276" s="2" t="s">
        <v>3729</v>
      </c>
      <c r="C276" s="2" t="str">
        <f>TEXT(Table3[[#This Row],[Order Date]],"mmmm")</f>
        <v>Not Mentioned</v>
      </c>
      <c r="D276" t="s">
        <v>3730</v>
      </c>
      <c r="E276" t="s">
        <v>3225</v>
      </c>
      <c r="F276" t="s">
        <v>3226</v>
      </c>
      <c r="G276" s="4">
        <v>66266.12</v>
      </c>
      <c r="H276" s="4">
        <v>39419.81</v>
      </c>
      <c r="I276" s="3" t="s">
        <v>3734</v>
      </c>
      <c r="J276">
        <v>3</v>
      </c>
      <c r="K276" s="4">
        <f>Table3[[#This Row],[Sales]]-Table3[[#This Row],[Cost]]</f>
        <v>26846.309999999998</v>
      </c>
      <c r="L276" s="6">
        <f>Table3[[#This Row],[Profit]]/Table3[[#This Row],[Sales]]</f>
        <v>0.40512874452284214</v>
      </c>
    </row>
    <row r="277" spans="1:12" x14ac:dyDescent="0.25">
      <c r="A277" t="s">
        <v>295</v>
      </c>
      <c r="B277" s="2">
        <v>45005</v>
      </c>
      <c r="C277" s="2" t="str">
        <f>TEXT(Table3[[#This Row],[Order Date]],"mmmm")</f>
        <v>March</v>
      </c>
      <c r="D277" t="s">
        <v>3730</v>
      </c>
      <c r="E277" t="s">
        <v>3225</v>
      </c>
      <c r="F277" t="s">
        <v>3226</v>
      </c>
      <c r="G277" s="4">
        <v>98343.92</v>
      </c>
      <c r="H277" s="4">
        <v>69315.3</v>
      </c>
      <c r="I277" s="3" t="s">
        <v>3734</v>
      </c>
      <c r="J277">
        <v>5</v>
      </c>
      <c r="K277" s="4">
        <f>Table3[[#This Row],[Sales]]-Table3[[#This Row],[Cost]]</f>
        <v>29028.619999999995</v>
      </c>
      <c r="L277" s="6">
        <f>Table3[[#This Row],[Profit]]/Table3[[#This Row],[Sales]]</f>
        <v>0.2951745262950673</v>
      </c>
    </row>
    <row r="278" spans="1:12" x14ac:dyDescent="0.25">
      <c r="A278" t="s">
        <v>296</v>
      </c>
      <c r="B278" s="2">
        <v>44972</v>
      </c>
      <c r="C278" s="2" t="str">
        <f>TEXT(Table3[[#This Row],[Order Date]],"mmmm")</f>
        <v>February</v>
      </c>
      <c r="D278" t="s">
        <v>3220</v>
      </c>
      <c r="E278" t="s">
        <v>3225</v>
      </c>
      <c r="F278" t="s">
        <v>3226</v>
      </c>
      <c r="G278" s="4">
        <v>57404.6</v>
      </c>
      <c r="H278" s="4">
        <v>42620.69</v>
      </c>
      <c r="I278" s="3" t="s">
        <v>3734</v>
      </c>
      <c r="J278">
        <v>3</v>
      </c>
      <c r="K278" s="4">
        <f>Table3[[#This Row],[Sales]]-Table3[[#This Row],[Cost]]</f>
        <v>14783.909999999996</v>
      </c>
      <c r="L278" s="6">
        <f>Table3[[#This Row],[Profit]]/Table3[[#This Row],[Sales]]</f>
        <v>0.2575387686701065</v>
      </c>
    </row>
    <row r="279" spans="1:12" x14ac:dyDescent="0.25">
      <c r="A279" t="s">
        <v>297</v>
      </c>
      <c r="B279" s="2">
        <v>45005</v>
      </c>
      <c r="C279" s="2" t="str">
        <f>TEXT(Table3[[#This Row],[Order Date]],"mmmm")</f>
        <v>March</v>
      </c>
      <c r="D279" t="s">
        <v>3730</v>
      </c>
      <c r="E279" t="s">
        <v>3224</v>
      </c>
      <c r="F279" t="s">
        <v>3226</v>
      </c>
      <c r="G279" s="4">
        <v>216916.01</v>
      </c>
      <c r="H279" s="4">
        <v>172664.81</v>
      </c>
      <c r="I279" s="3" t="s">
        <v>3734</v>
      </c>
      <c r="J279">
        <v>4</v>
      </c>
      <c r="K279" s="4">
        <f>Table3[[#This Row],[Sales]]-Table3[[#This Row],[Cost]]</f>
        <v>44251.200000000012</v>
      </c>
      <c r="L279" s="6">
        <f>Table3[[#This Row],[Profit]]/Table3[[#This Row],[Sales]]</f>
        <v>0.20400153958207146</v>
      </c>
    </row>
    <row r="280" spans="1:12" x14ac:dyDescent="0.25">
      <c r="A280" t="s">
        <v>298</v>
      </c>
      <c r="B280" s="2">
        <v>45021</v>
      </c>
      <c r="C280" s="2" t="str">
        <f>TEXT(Table3[[#This Row],[Order Date]],"mmmm")</f>
        <v>April</v>
      </c>
      <c r="D280" t="s">
        <v>3220</v>
      </c>
      <c r="E280" t="s">
        <v>3225</v>
      </c>
      <c r="F280" t="s">
        <v>3226</v>
      </c>
      <c r="G280" s="4">
        <v>23681.08</v>
      </c>
      <c r="H280" s="4">
        <v>13725.11</v>
      </c>
      <c r="I280" s="3" t="s">
        <v>3734</v>
      </c>
      <c r="J280">
        <v>1</v>
      </c>
      <c r="K280" s="4">
        <f>Table3[[#This Row],[Sales]]-Table3[[#This Row],[Cost]]</f>
        <v>9955.9700000000012</v>
      </c>
      <c r="L280" s="6">
        <f>Table3[[#This Row],[Profit]]/Table3[[#This Row],[Sales]]</f>
        <v>0.42041874779359728</v>
      </c>
    </row>
    <row r="281" spans="1:12" x14ac:dyDescent="0.25">
      <c r="A281" t="s">
        <v>3263</v>
      </c>
      <c r="B281" s="2">
        <v>45021</v>
      </c>
      <c r="C281" s="2" t="str">
        <f>TEXT(Table3[[#This Row],[Order Date]],"mmmm")</f>
        <v>April</v>
      </c>
      <c r="D281" t="s">
        <v>3216</v>
      </c>
      <c r="E281" t="s">
        <v>3224</v>
      </c>
      <c r="F281" t="s">
        <v>3226</v>
      </c>
      <c r="G281" s="4">
        <v>191995.23</v>
      </c>
      <c r="H281" s="4">
        <v>120241.12</v>
      </c>
      <c r="I281" s="3" t="s">
        <v>3734</v>
      </c>
      <c r="J281">
        <v>3</v>
      </c>
      <c r="K281" s="4">
        <f>Table3[[#This Row],[Sales]]-Table3[[#This Row],[Cost]]</f>
        <v>71754.110000000015</v>
      </c>
      <c r="L281" s="6">
        <f>Table3[[#This Row],[Profit]]/Table3[[#This Row],[Sales]]</f>
        <v>0.37372860773676519</v>
      </c>
    </row>
    <row r="282" spans="1:12" x14ac:dyDescent="0.25">
      <c r="A282" t="s">
        <v>299</v>
      </c>
      <c r="B282" s="2">
        <v>45102</v>
      </c>
      <c r="C282" s="2" t="str">
        <f>TEXT(Table3[[#This Row],[Order Date]],"mmmm")</f>
        <v>June</v>
      </c>
      <c r="D282" t="s">
        <v>3730</v>
      </c>
      <c r="E282" t="s">
        <v>3225</v>
      </c>
      <c r="F282" t="s">
        <v>3226</v>
      </c>
      <c r="G282" s="4">
        <v>49105.36</v>
      </c>
      <c r="H282" s="4">
        <v>44184.83</v>
      </c>
      <c r="I282" s="3" t="s">
        <v>3734</v>
      </c>
      <c r="J282">
        <v>3</v>
      </c>
      <c r="K282" s="4">
        <f>Table3[[#This Row],[Sales]]-Table3[[#This Row],[Cost]]</f>
        <v>4920.5299999999988</v>
      </c>
      <c r="L282" s="6">
        <f>Table3[[#This Row],[Profit]]/Table3[[#This Row],[Sales]]</f>
        <v>0.10020352157076129</v>
      </c>
    </row>
    <row r="283" spans="1:12" x14ac:dyDescent="0.25">
      <c r="A283" t="s">
        <v>300</v>
      </c>
      <c r="B283" s="2">
        <v>45021</v>
      </c>
      <c r="C283" s="2" t="str">
        <f>TEXT(Table3[[#This Row],[Order Date]],"mmmm")</f>
        <v>April</v>
      </c>
      <c r="D283" t="s">
        <v>3216</v>
      </c>
      <c r="E283" t="s">
        <v>3225</v>
      </c>
      <c r="F283" t="s">
        <v>3226</v>
      </c>
      <c r="G283" s="4">
        <v>73244.320000000007</v>
      </c>
      <c r="H283" s="4">
        <v>53169.71</v>
      </c>
      <c r="I283" s="3" t="s">
        <v>3734</v>
      </c>
      <c r="J283" t="s">
        <v>3732</v>
      </c>
      <c r="K283" s="4">
        <f>Table3[[#This Row],[Sales]]-Table3[[#This Row],[Cost]]</f>
        <v>20074.610000000008</v>
      </c>
      <c r="L283" s="6">
        <f>Table3[[#This Row],[Profit]]/Table3[[#This Row],[Sales]]</f>
        <v>0.27407736190328486</v>
      </c>
    </row>
    <row r="284" spans="1:12" x14ac:dyDescent="0.25">
      <c r="A284" t="s">
        <v>301</v>
      </c>
      <c r="B284" s="2">
        <v>45005</v>
      </c>
      <c r="C284" s="2" t="str">
        <f>TEXT(Table3[[#This Row],[Order Date]],"mmmm")</f>
        <v>March</v>
      </c>
      <c r="D284" t="s">
        <v>3730</v>
      </c>
      <c r="E284" t="s">
        <v>3224</v>
      </c>
      <c r="F284" t="s">
        <v>3226</v>
      </c>
      <c r="G284" s="4">
        <v>148154.60999999999</v>
      </c>
      <c r="H284" s="4">
        <v>129747.33</v>
      </c>
      <c r="I284" s="3" t="s">
        <v>3734</v>
      </c>
      <c r="J284">
        <v>3</v>
      </c>
      <c r="K284" s="4">
        <f>Table3[[#This Row],[Sales]]-Table3[[#This Row],[Cost]]</f>
        <v>18407.279999999984</v>
      </c>
      <c r="L284" s="6">
        <f>Table3[[#This Row],[Profit]]/Table3[[#This Row],[Sales]]</f>
        <v>0.12424372079950793</v>
      </c>
    </row>
    <row r="285" spans="1:12" x14ac:dyDescent="0.25">
      <c r="A285" t="s">
        <v>302</v>
      </c>
      <c r="B285" s="2">
        <v>45102</v>
      </c>
      <c r="C285" s="2" t="str">
        <f>TEXT(Table3[[#This Row],[Order Date]],"mmmm")</f>
        <v>June</v>
      </c>
      <c r="D285" t="s">
        <v>3730</v>
      </c>
      <c r="E285" t="s">
        <v>3223</v>
      </c>
      <c r="F285" t="s">
        <v>3226</v>
      </c>
      <c r="G285" s="4">
        <v>8961.6</v>
      </c>
      <c r="H285" s="4">
        <v>6285.29</v>
      </c>
      <c r="I285" s="3" t="s">
        <v>3734</v>
      </c>
      <c r="J285">
        <v>1</v>
      </c>
      <c r="K285" s="4">
        <f>Table3[[#This Row],[Sales]]-Table3[[#This Row],[Cost]]</f>
        <v>2676.3100000000004</v>
      </c>
      <c r="L285" s="6">
        <f>Table3[[#This Row],[Profit]]/Table3[[#This Row],[Sales]]</f>
        <v>0.29864198357436178</v>
      </c>
    </row>
    <row r="286" spans="1:12" x14ac:dyDescent="0.25">
      <c r="A286" t="s">
        <v>303</v>
      </c>
      <c r="B286" s="2">
        <v>45005</v>
      </c>
      <c r="C286" s="2" t="str">
        <f>TEXT(Table3[[#This Row],[Order Date]],"mmmm")</f>
        <v>March</v>
      </c>
      <c r="D286" t="s">
        <v>3216</v>
      </c>
      <c r="E286" t="s">
        <v>3224</v>
      </c>
      <c r="F286" t="s">
        <v>3226</v>
      </c>
      <c r="G286" s="4">
        <v>51556.27</v>
      </c>
      <c r="H286" s="4">
        <v>45894.94</v>
      </c>
      <c r="I286" s="3" t="s">
        <v>3734</v>
      </c>
      <c r="J286">
        <v>1</v>
      </c>
      <c r="K286" s="4">
        <f>Table3[[#This Row],[Sales]]-Table3[[#This Row],[Cost]]</f>
        <v>5661.3299999999945</v>
      </c>
      <c r="L286" s="6">
        <f>Table3[[#This Row],[Profit]]/Table3[[#This Row],[Sales]]</f>
        <v>0.1098087584691444</v>
      </c>
    </row>
    <row r="287" spans="1:12" x14ac:dyDescent="0.25">
      <c r="A287" t="s">
        <v>304</v>
      </c>
      <c r="B287" s="2">
        <v>44972</v>
      </c>
      <c r="C287" s="2" t="str">
        <f>TEXT(Table3[[#This Row],[Order Date]],"mmmm")</f>
        <v>February</v>
      </c>
      <c r="D287" t="s">
        <v>3216</v>
      </c>
      <c r="E287" t="s">
        <v>3225</v>
      </c>
      <c r="F287" t="s">
        <v>3226</v>
      </c>
      <c r="G287" s="4">
        <v>54779.91</v>
      </c>
      <c r="H287" s="4">
        <v>39407.03</v>
      </c>
      <c r="I287" s="3" t="s">
        <v>3734</v>
      </c>
      <c r="J287">
        <v>3</v>
      </c>
      <c r="K287" s="4">
        <f>Table3[[#This Row],[Sales]]-Table3[[#This Row],[Cost]]</f>
        <v>15372.880000000005</v>
      </c>
      <c r="L287" s="6">
        <f>Table3[[#This Row],[Profit]]/Table3[[#This Row],[Sales]]</f>
        <v>0.28062988785487242</v>
      </c>
    </row>
    <row r="288" spans="1:12" x14ac:dyDescent="0.25">
      <c r="A288" t="s">
        <v>3275</v>
      </c>
      <c r="B288" s="2">
        <v>45005</v>
      </c>
      <c r="C288" s="2" t="str">
        <f>TEXT(Table3[[#This Row],[Order Date]],"mmmm")</f>
        <v>March</v>
      </c>
      <c r="D288" t="s">
        <v>3730</v>
      </c>
      <c r="E288" t="s">
        <v>3222</v>
      </c>
      <c r="F288" t="s">
        <v>3226</v>
      </c>
      <c r="G288" s="4">
        <v>26456.16</v>
      </c>
      <c r="H288" s="4">
        <v>19955.650000000001</v>
      </c>
      <c r="I288" s="3" t="s">
        <v>3734</v>
      </c>
      <c r="J288">
        <v>2</v>
      </c>
      <c r="K288" s="4">
        <f>Table3[[#This Row],[Sales]]-Table3[[#This Row],[Cost]]</f>
        <v>6500.5099999999984</v>
      </c>
      <c r="L288" s="6">
        <f>Table3[[#This Row],[Profit]]/Table3[[#This Row],[Sales]]</f>
        <v>0.24570874987148544</v>
      </c>
    </row>
    <row r="289" spans="1:12" x14ac:dyDescent="0.25">
      <c r="A289" t="s">
        <v>3276</v>
      </c>
      <c r="B289" s="2">
        <v>45102</v>
      </c>
      <c r="C289" s="2" t="str">
        <f>TEXT(Table3[[#This Row],[Order Date]],"mmmm")</f>
        <v>June</v>
      </c>
      <c r="D289" t="s">
        <v>3216</v>
      </c>
      <c r="E289" t="s">
        <v>3224</v>
      </c>
      <c r="F289" t="s">
        <v>3226</v>
      </c>
      <c r="G289" s="4">
        <v>150843.82</v>
      </c>
      <c r="H289" s="4">
        <v>120675.05600000001</v>
      </c>
      <c r="I289" s="3" t="s">
        <v>3735</v>
      </c>
      <c r="J289">
        <v>3</v>
      </c>
      <c r="K289" s="4">
        <f>Table3[[#This Row],[Sales]]-Table3[[#This Row],[Cost]]</f>
        <v>30168.763999999996</v>
      </c>
      <c r="L289" s="6">
        <f>Table3[[#This Row],[Profit]]/Table3[[#This Row],[Sales]]</f>
        <v>0.19999999999999996</v>
      </c>
    </row>
    <row r="290" spans="1:12" x14ac:dyDescent="0.25">
      <c r="A290" t="s">
        <v>308</v>
      </c>
      <c r="B290" s="2">
        <v>44972</v>
      </c>
      <c r="C290" s="2" t="str">
        <f>TEXT(Table3[[#This Row],[Order Date]],"mmmm")</f>
        <v>February</v>
      </c>
      <c r="D290" t="s">
        <v>3730</v>
      </c>
      <c r="E290" t="s">
        <v>3224</v>
      </c>
      <c r="F290" t="s">
        <v>3226</v>
      </c>
      <c r="G290" s="4">
        <v>214120</v>
      </c>
      <c r="H290" s="4">
        <v>153066.32</v>
      </c>
      <c r="I290" s="3" t="s">
        <v>3734</v>
      </c>
      <c r="J290">
        <v>4</v>
      </c>
      <c r="K290" s="4">
        <f>Table3[[#This Row],[Sales]]-Table3[[#This Row],[Cost]]</f>
        <v>61053.679999999993</v>
      </c>
      <c r="L290" s="6">
        <f>Table3[[#This Row],[Profit]]/Table3[[#This Row],[Sales]]</f>
        <v>0.28513767980571642</v>
      </c>
    </row>
    <row r="291" spans="1:12" x14ac:dyDescent="0.25">
      <c r="A291" t="s">
        <v>309</v>
      </c>
      <c r="B291" s="2" t="s">
        <v>3729</v>
      </c>
      <c r="C291" s="2" t="str">
        <f>TEXT(Table3[[#This Row],[Order Date]],"mmmm")</f>
        <v>Not Mentioned</v>
      </c>
      <c r="D291" t="s">
        <v>3730</v>
      </c>
      <c r="E291" t="s">
        <v>3225</v>
      </c>
      <c r="F291" t="s">
        <v>3226</v>
      </c>
      <c r="G291" s="4">
        <v>108504.85</v>
      </c>
      <c r="H291" s="4">
        <v>73793.64</v>
      </c>
      <c r="I291" s="3" t="s">
        <v>3734</v>
      </c>
      <c r="J291">
        <v>5</v>
      </c>
      <c r="K291" s="4">
        <f>Table3[[#This Row],[Sales]]-Table3[[#This Row],[Cost]]</f>
        <v>34711.210000000006</v>
      </c>
      <c r="L291" s="6">
        <f>Table3[[#This Row],[Profit]]/Table3[[#This Row],[Sales]]</f>
        <v>0.31990468628821667</v>
      </c>
    </row>
    <row r="292" spans="1:12" x14ac:dyDescent="0.25">
      <c r="A292" t="s">
        <v>310</v>
      </c>
      <c r="B292" s="2">
        <v>44972</v>
      </c>
      <c r="C292" s="2" t="str">
        <f>TEXT(Table3[[#This Row],[Order Date]],"mmmm")</f>
        <v>February</v>
      </c>
      <c r="D292" t="s">
        <v>3220</v>
      </c>
      <c r="E292" t="s">
        <v>3225</v>
      </c>
      <c r="F292" t="s">
        <v>3226</v>
      </c>
      <c r="G292" s="4">
        <v>85984.06</v>
      </c>
      <c r="H292" s="4">
        <v>66162.070000000007</v>
      </c>
      <c r="I292" s="3" t="s">
        <v>3734</v>
      </c>
      <c r="J292" t="s">
        <v>3732</v>
      </c>
      <c r="K292" s="4">
        <f>Table3[[#This Row],[Sales]]-Table3[[#This Row],[Cost]]</f>
        <v>19821.989999999991</v>
      </c>
      <c r="L292" s="6">
        <f>Table3[[#This Row],[Profit]]/Table3[[#This Row],[Sales]]</f>
        <v>0.23053098446386447</v>
      </c>
    </row>
    <row r="293" spans="1:12" x14ac:dyDescent="0.25">
      <c r="A293" t="s">
        <v>311</v>
      </c>
      <c r="B293" s="2">
        <v>45021</v>
      </c>
      <c r="C293" s="2" t="str">
        <f>TEXT(Table3[[#This Row],[Order Date]],"mmmm")</f>
        <v>April</v>
      </c>
      <c r="D293" t="s">
        <v>3220</v>
      </c>
      <c r="E293" t="s">
        <v>3224</v>
      </c>
      <c r="F293" t="s">
        <v>3226</v>
      </c>
      <c r="G293" s="4">
        <v>62437.29</v>
      </c>
      <c r="H293" s="4">
        <v>41586.300000000003</v>
      </c>
      <c r="I293" s="3" t="s">
        <v>3734</v>
      </c>
      <c r="J293">
        <v>1</v>
      </c>
      <c r="K293" s="4">
        <f>Table3[[#This Row],[Sales]]-Table3[[#This Row],[Cost]]</f>
        <v>20850.989999999998</v>
      </c>
      <c r="L293" s="6">
        <f>Table3[[#This Row],[Profit]]/Table3[[#This Row],[Sales]]</f>
        <v>0.33395091298805568</v>
      </c>
    </row>
    <row r="294" spans="1:12" x14ac:dyDescent="0.25">
      <c r="A294" t="s">
        <v>312</v>
      </c>
      <c r="B294" s="2">
        <v>44941</v>
      </c>
      <c r="C294" s="2" t="str">
        <f>TEXT(Table3[[#This Row],[Order Date]],"mmmm")</f>
        <v>January</v>
      </c>
      <c r="D294" t="s">
        <v>3220</v>
      </c>
      <c r="E294" t="s">
        <v>3224</v>
      </c>
      <c r="F294" t="s">
        <v>3226</v>
      </c>
      <c r="G294" s="4">
        <v>129466.05</v>
      </c>
      <c r="H294" s="4">
        <v>92572.35</v>
      </c>
      <c r="I294" s="3" t="s">
        <v>3734</v>
      </c>
      <c r="J294">
        <v>2</v>
      </c>
      <c r="K294" s="4">
        <f>Table3[[#This Row],[Sales]]-Table3[[#This Row],[Cost]]</f>
        <v>36893.699999999997</v>
      </c>
      <c r="L294" s="6">
        <f>Table3[[#This Row],[Profit]]/Table3[[#This Row],[Sales]]</f>
        <v>0.28496814415825611</v>
      </c>
    </row>
    <row r="295" spans="1:12" x14ac:dyDescent="0.25">
      <c r="A295" t="s">
        <v>313</v>
      </c>
      <c r="B295" s="2">
        <v>45021</v>
      </c>
      <c r="C295" s="2" t="str">
        <f>TEXT(Table3[[#This Row],[Order Date]],"mmmm")</f>
        <v>April</v>
      </c>
      <c r="D295" t="s">
        <v>3730</v>
      </c>
      <c r="E295" t="s">
        <v>3225</v>
      </c>
      <c r="F295" t="s">
        <v>3226</v>
      </c>
      <c r="G295" s="4">
        <v>49245.49</v>
      </c>
      <c r="H295" s="4">
        <v>37192.79</v>
      </c>
      <c r="I295" s="3" t="s">
        <v>3734</v>
      </c>
      <c r="J295">
        <v>3</v>
      </c>
      <c r="K295" s="4">
        <f>Table3[[#This Row],[Sales]]-Table3[[#This Row],[Cost]]</f>
        <v>12052.699999999997</v>
      </c>
      <c r="L295" s="6">
        <f>Table3[[#This Row],[Profit]]/Table3[[#This Row],[Sales]]</f>
        <v>0.24474728548746286</v>
      </c>
    </row>
    <row r="296" spans="1:12" x14ac:dyDescent="0.25">
      <c r="A296" t="s">
        <v>3277</v>
      </c>
      <c r="B296" s="2">
        <v>45005</v>
      </c>
      <c r="C296" s="2" t="str">
        <f>TEXT(Table3[[#This Row],[Order Date]],"mmmm")</f>
        <v>March</v>
      </c>
      <c r="D296" t="s">
        <v>3220</v>
      </c>
      <c r="E296" t="s">
        <v>3222</v>
      </c>
      <c r="F296" t="s">
        <v>3226</v>
      </c>
      <c r="G296" s="4">
        <v>13871.9</v>
      </c>
      <c r="H296" s="4">
        <v>9706.25</v>
      </c>
      <c r="I296" s="3" t="s">
        <v>3734</v>
      </c>
      <c r="J296">
        <v>1</v>
      </c>
      <c r="K296" s="4">
        <f>Table3[[#This Row],[Sales]]-Table3[[#This Row],[Cost]]</f>
        <v>4165.6499999999996</v>
      </c>
      <c r="L296" s="6">
        <f>Table3[[#This Row],[Profit]]/Table3[[#This Row],[Sales]]</f>
        <v>0.30029411976729936</v>
      </c>
    </row>
    <row r="297" spans="1:12" x14ac:dyDescent="0.25">
      <c r="A297" t="s">
        <v>315</v>
      </c>
      <c r="B297" s="2">
        <v>45005</v>
      </c>
      <c r="C297" s="2" t="str">
        <f>TEXT(Table3[[#This Row],[Order Date]],"mmmm")</f>
        <v>March</v>
      </c>
      <c r="D297" t="s">
        <v>3730</v>
      </c>
      <c r="E297" t="s">
        <v>3225</v>
      </c>
      <c r="F297" t="s">
        <v>3226</v>
      </c>
      <c r="G297" s="4">
        <v>23762.06</v>
      </c>
      <c r="H297" s="4">
        <v>13431.81</v>
      </c>
      <c r="I297" s="3" t="s">
        <v>3734</v>
      </c>
      <c r="J297">
        <v>1</v>
      </c>
      <c r="K297" s="4">
        <f>Table3[[#This Row],[Sales]]-Table3[[#This Row],[Cost]]</f>
        <v>10330.250000000002</v>
      </c>
      <c r="L297" s="6">
        <f>Table3[[#This Row],[Profit]]/Table3[[#This Row],[Sales]]</f>
        <v>0.43473713979343548</v>
      </c>
    </row>
    <row r="298" spans="1:12" x14ac:dyDescent="0.25">
      <c r="A298" t="s">
        <v>316</v>
      </c>
      <c r="B298" s="2">
        <v>45005</v>
      </c>
      <c r="C298" s="2" t="str">
        <f>TEXT(Table3[[#This Row],[Order Date]],"mmmm")</f>
        <v>March</v>
      </c>
      <c r="D298" t="s">
        <v>3730</v>
      </c>
      <c r="E298" t="s">
        <v>3224</v>
      </c>
      <c r="F298" t="s">
        <v>3226</v>
      </c>
      <c r="G298" s="4">
        <v>326214.46999999997</v>
      </c>
      <c r="H298" s="4">
        <v>239773.53</v>
      </c>
      <c r="I298" s="3" t="s">
        <v>3734</v>
      </c>
      <c r="J298">
        <v>5</v>
      </c>
      <c r="K298" s="4">
        <f>Table3[[#This Row],[Sales]]-Table3[[#This Row],[Cost]]</f>
        <v>86440.939999999973</v>
      </c>
      <c r="L298" s="6">
        <f>Table3[[#This Row],[Profit]]/Table3[[#This Row],[Sales]]</f>
        <v>0.26498193044594243</v>
      </c>
    </row>
    <row r="299" spans="1:12" x14ac:dyDescent="0.25">
      <c r="A299" t="s">
        <v>317</v>
      </c>
      <c r="B299" s="2">
        <v>45005</v>
      </c>
      <c r="C299" s="2" t="str">
        <f>TEXT(Table3[[#This Row],[Order Date]],"mmmm")</f>
        <v>March</v>
      </c>
      <c r="D299" t="s">
        <v>3730</v>
      </c>
      <c r="E299" t="s">
        <v>3224</v>
      </c>
      <c r="F299" t="s">
        <v>3226</v>
      </c>
      <c r="G299" s="4">
        <v>257006.63</v>
      </c>
      <c r="H299" s="4">
        <v>181126.31</v>
      </c>
      <c r="I299" s="3" t="s">
        <v>3734</v>
      </c>
      <c r="J299">
        <v>4</v>
      </c>
      <c r="K299" s="4">
        <f>Table3[[#This Row],[Sales]]-Table3[[#This Row],[Cost]]</f>
        <v>75880.320000000007</v>
      </c>
      <c r="L299" s="6">
        <f>Table3[[#This Row],[Profit]]/Table3[[#This Row],[Sales]]</f>
        <v>0.29524654675250989</v>
      </c>
    </row>
    <row r="300" spans="1:12" x14ac:dyDescent="0.25">
      <c r="A300" t="s">
        <v>318</v>
      </c>
      <c r="B300" s="2">
        <v>44941</v>
      </c>
      <c r="C300" s="2" t="str">
        <f>TEXT(Table3[[#This Row],[Order Date]],"mmmm")</f>
        <v>January</v>
      </c>
      <c r="D300" t="s">
        <v>3730</v>
      </c>
      <c r="E300" t="s">
        <v>3223</v>
      </c>
      <c r="F300" t="s">
        <v>3226</v>
      </c>
      <c r="G300" s="4">
        <v>31535.919999999998</v>
      </c>
      <c r="H300" s="4">
        <v>19149.43</v>
      </c>
      <c r="I300" s="3" t="s">
        <v>3734</v>
      </c>
      <c r="J300" t="s">
        <v>3732</v>
      </c>
      <c r="K300" s="4">
        <f>Table3[[#This Row],[Sales]]-Table3[[#This Row],[Cost]]</f>
        <v>12386.489999999998</v>
      </c>
      <c r="L300" s="6">
        <f>Table3[[#This Row],[Profit]]/Table3[[#This Row],[Sales]]</f>
        <v>0.392774017691572</v>
      </c>
    </row>
    <row r="301" spans="1:12" x14ac:dyDescent="0.25">
      <c r="A301" t="s">
        <v>319</v>
      </c>
      <c r="B301" s="2">
        <v>45005</v>
      </c>
      <c r="C301" s="2" t="str">
        <f>TEXT(Table3[[#This Row],[Order Date]],"mmmm")</f>
        <v>March</v>
      </c>
      <c r="D301" t="s">
        <v>3730</v>
      </c>
      <c r="E301" t="s">
        <v>3224</v>
      </c>
      <c r="F301" t="s">
        <v>3226</v>
      </c>
      <c r="G301" s="4">
        <v>230834.63</v>
      </c>
      <c r="H301" s="4">
        <v>156075.89000000001</v>
      </c>
      <c r="I301" s="3" t="s">
        <v>3734</v>
      </c>
      <c r="J301">
        <v>4</v>
      </c>
      <c r="K301" s="4">
        <f>Table3[[#This Row],[Sales]]-Table3[[#This Row],[Cost]]</f>
        <v>74758.739999999991</v>
      </c>
      <c r="L301" s="6">
        <f>Table3[[#This Row],[Profit]]/Table3[[#This Row],[Sales]]</f>
        <v>0.32386275837381934</v>
      </c>
    </row>
    <row r="302" spans="1:12" x14ac:dyDescent="0.25">
      <c r="A302" t="s">
        <v>320</v>
      </c>
      <c r="B302" s="2">
        <v>45021</v>
      </c>
      <c r="C302" s="2" t="str">
        <f>TEXT(Table3[[#This Row],[Order Date]],"mmmm")</f>
        <v>April</v>
      </c>
      <c r="D302" t="s">
        <v>3730</v>
      </c>
      <c r="E302" t="s">
        <v>3225</v>
      </c>
      <c r="F302" t="s">
        <v>3226</v>
      </c>
      <c r="G302" s="4">
        <v>95425.59</v>
      </c>
      <c r="H302" s="4">
        <v>58588.07</v>
      </c>
      <c r="I302" s="3" t="s">
        <v>3734</v>
      </c>
      <c r="J302">
        <v>4</v>
      </c>
      <c r="K302" s="4">
        <f>Table3[[#This Row],[Sales]]-Table3[[#This Row],[Cost]]</f>
        <v>36837.519999999997</v>
      </c>
      <c r="L302" s="6">
        <f>Table3[[#This Row],[Profit]]/Table3[[#This Row],[Sales]]</f>
        <v>0.38603397683996504</v>
      </c>
    </row>
    <row r="303" spans="1:12" x14ac:dyDescent="0.25">
      <c r="A303" t="s">
        <v>321</v>
      </c>
      <c r="B303" s="2">
        <v>45021</v>
      </c>
      <c r="C303" s="2" t="str">
        <f>TEXT(Table3[[#This Row],[Order Date]],"mmmm")</f>
        <v>April</v>
      </c>
      <c r="D303" t="s">
        <v>3220</v>
      </c>
      <c r="E303" t="s">
        <v>3223</v>
      </c>
      <c r="F303" t="s">
        <v>3226</v>
      </c>
      <c r="G303" s="4">
        <v>23530.18</v>
      </c>
      <c r="H303" s="4">
        <v>18824.144</v>
      </c>
      <c r="I303" s="3" t="s">
        <v>3735</v>
      </c>
      <c r="J303">
        <v>2</v>
      </c>
      <c r="K303" s="4">
        <f>Table3[[#This Row],[Sales]]-Table3[[#This Row],[Cost]]</f>
        <v>4706.0360000000001</v>
      </c>
      <c r="L303" s="6">
        <f>Table3[[#This Row],[Profit]]/Table3[[#This Row],[Sales]]</f>
        <v>0.2</v>
      </c>
    </row>
    <row r="304" spans="1:12" x14ac:dyDescent="0.25">
      <c r="A304" t="s">
        <v>322</v>
      </c>
      <c r="B304" s="2">
        <v>44972</v>
      </c>
      <c r="C304" s="2" t="str">
        <f>TEXT(Table3[[#This Row],[Order Date]],"mmmm")</f>
        <v>February</v>
      </c>
      <c r="D304" t="s">
        <v>3216</v>
      </c>
      <c r="E304" t="s">
        <v>3224</v>
      </c>
      <c r="F304" t="s">
        <v>3226</v>
      </c>
      <c r="G304" s="4">
        <v>262777.84000000003</v>
      </c>
      <c r="H304" s="4">
        <v>223997.81</v>
      </c>
      <c r="I304" s="3" t="s">
        <v>3734</v>
      </c>
      <c r="J304">
        <v>5</v>
      </c>
      <c r="K304" s="4">
        <f>Table3[[#This Row],[Sales]]-Table3[[#This Row],[Cost]]</f>
        <v>38780.030000000028</v>
      </c>
      <c r="L304" s="6">
        <f>Table3[[#This Row],[Profit]]/Table3[[#This Row],[Sales]]</f>
        <v>0.14757724623963733</v>
      </c>
    </row>
    <row r="305" spans="1:12" x14ac:dyDescent="0.25">
      <c r="A305" t="s">
        <v>323</v>
      </c>
      <c r="B305" s="2" t="s">
        <v>3729</v>
      </c>
      <c r="C305" s="2" t="str">
        <f>TEXT(Table3[[#This Row],[Order Date]],"mmmm")</f>
        <v>Not Mentioned</v>
      </c>
      <c r="D305" t="s">
        <v>3216</v>
      </c>
      <c r="E305" t="s">
        <v>3223</v>
      </c>
      <c r="F305" t="s">
        <v>3226</v>
      </c>
      <c r="G305" s="4">
        <v>21518.23</v>
      </c>
      <c r="H305" s="4">
        <v>12403.8</v>
      </c>
      <c r="I305" s="3" t="s">
        <v>3734</v>
      </c>
      <c r="J305">
        <v>2</v>
      </c>
      <c r="K305" s="4">
        <f>Table3[[#This Row],[Sales]]-Table3[[#This Row],[Cost]]</f>
        <v>9114.43</v>
      </c>
      <c r="L305" s="6">
        <f>Table3[[#This Row],[Profit]]/Table3[[#This Row],[Sales]]</f>
        <v>0.42356783062547432</v>
      </c>
    </row>
    <row r="306" spans="1:12" x14ac:dyDescent="0.25">
      <c r="A306" t="s">
        <v>325</v>
      </c>
      <c r="B306" s="2">
        <v>45005</v>
      </c>
      <c r="C306" s="2" t="str">
        <f>TEXT(Table3[[#This Row],[Order Date]],"mmmm")</f>
        <v>March</v>
      </c>
      <c r="D306" t="s">
        <v>3220</v>
      </c>
      <c r="E306" t="s">
        <v>3223</v>
      </c>
      <c r="F306" t="s">
        <v>3226</v>
      </c>
      <c r="G306" s="4">
        <v>10103.02</v>
      </c>
      <c r="H306" s="4">
        <v>8082.4160000000011</v>
      </c>
      <c r="I306" s="3" t="s">
        <v>3735</v>
      </c>
      <c r="J306">
        <v>1</v>
      </c>
      <c r="K306" s="4">
        <f>Table3[[#This Row],[Sales]]-Table3[[#This Row],[Cost]]</f>
        <v>2020.6039999999994</v>
      </c>
      <c r="L306" s="6">
        <f>Table3[[#This Row],[Profit]]/Table3[[#This Row],[Sales]]</f>
        <v>0.19999999999999993</v>
      </c>
    </row>
    <row r="307" spans="1:12" x14ac:dyDescent="0.25">
      <c r="A307" t="s">
        <v>326</v>
      </c>
      <c r="B307" s="2">
        <v>44941</v>
      </c>
      <c r="C307" s="2" t="str">
        <f>TEXT(Table3[[#This Row],[Order Date]],"mmmm")</f>
        <v>January</v>
      </c>
      <c r="D307" t="s">
        <v>3220</v>
      </c>
      <c r="E307" t="s">
        <v>3222</v>
      </c>
      <c r="F307" t="s">
        <v>3226</v>
      </c>
      <c r="G307" s="4">
        <v>66078.98</v>
      </c>
      <c r="H307" s="4">
        <v>49844.82</v>
      </c>
      <c r="I307" s="3" t="s">
        <v>3734</v>
      </c>
      <c r="J307">
        <v>5</v>
      </c>
      <c r="K307" s="4">
        <f>Table3[[#This Row],[Sales]]-Table3[[#This Row],[Cost]]</f>
        <v>16234.159999999996</v>
      </c>
      <c r="L307" s="6">
        <f>Table3[[#This Row],[Profit]]/Table3[[#This Row],[Sales]]</f>
        <v>0.24567812638754408</v>
      </c>
    </row>
    <row r="308" spans="1:12" x14ac:dyDescent="0.25">
      <c r="A308" t="s">
        <v>327</v>
      </c>
      <c r="B308" s="2">
        <v>44972</v>
      </c>
      <c r="C308" s="2" t="str">
        <f>TEXT(Table3[[#This Row],[Order Date]],"mmmm")</f>
        <v>February</v>
      </c>
      <c r="D308" t="s">
        <v>3730</v>
      </c>
      <c r="E308" t="s">
        <v>3223</v>
      </c>
      <c r="F308" t="s">
        <v>3226</v>
      </c>
      <c r="G308" s="4">
        <v>35490.97</v>
      </c>
      <c r="H308" s="4">
        <v>19944.939999999999</v>
      </c>
      <c r="I308" s="3" t="s">
        <v>3734</v>
      </c>
      <c r="J308">
        <v>3</v>
      </c>
      <c r="K308" s="4">
        <f>Table3[[#This Row],[Sales]]-Table3[[#This Row],[Cost]]</f>
        <v>15546.030000000002</v>
      </c>
      <c r="L308" s="6">
        <f>Table3[[#This Row],[Profit]]/Table3[[#This Row],[Sales]]</f>
        <v>0.43802775748310069</v>
      </c>
    </row>
    <row r="309" spans="1:12" x14ac:dyDescent="0.25">
      <c r="A309" t="s">
        <v>138</v>
      </c>
      <c r="B309" s="2">
        <v>45005</v>
      </c>
      <c r="C309" s="2" t="str">
        <f>TEXT(Table3[[#This Row],[Order Date]],"mmmm")</f>
        <v>March</v>
      </c>
      <c r="D309" t="s">
        <v>3730</v>
      </c>
      <c r="E309" t="s">
        <v>3222</v>
      </c>
      <c r="F309" t="s">
        <v>3226</v>
      </c>
      <c r="G309" s="4">
        <v>25111.51</v>
      </c>
      <c r="H309" s="4">
        <v>20741.919999999998</v>
      </c>
      <c r="I309" s="3" t="s">
        <v>3734</v>
      </c>
      <c r="J309">
        <v>2</v>
      </c>
      <c r="K309" s="4">
        <f>Table3[[#This Row],[Sales]]-Table3[[#This Row],[Cost]]</f>
        <v>4369.59</v>
      </c>
      <c r="L309" s="6">
        <f>Table3[[#This Row],[Profit]]/Table3[[#This Row],[Sales]]</f>
        <v>0.17400745713818089</v>
      </c>
    </row>
    <row r="310" spans="1:12" x14ac:dyDescent="0.25">
      <c r="A310" t="s">
        <v>328</v>
      </c>
      <c r="B310" s="2">
        <v>45021</v>
      </c>
      <c r="C310" s="2" t="str">
        <f>TEXT(Table3[[#This Row],[Order Date]],"mmmm")</f>
        <v>April</v>
      </c>
      <c r="D310" t="s">
        <v>3220</v>
      </c>
      <c r="E310" t="s">
        <v>3222</v>
      </c>
      <c r="F310" t="s">
        <v>3226</v>
      </c>
      <c r="G310" s="4">
        <v>62719</v>
      </c>
      <c r="H310" s="4">
        <v>40376.879999999997</v>
      </c>
      <c r="I310" s="3" t="s">
        <v>3734</v>
      </c>
      <c r="J310">
        <v>4</v>
      </c>
      <c r="K310" s="4">
        <f>Table3[[#This Row],[Sales]]-Table3[[#This Row],[Cost]]</f>
        <v>22342.120000000003</v>
      </c>
      <c r="L310" s="6">
        <f>Table3[[#This Row],[Profit]]/Table3[[#This Row],[Sales]]</f>
        <v>0.35622570512922724</v>
      </c>
    </row>
    <row r="311" spans="1:12" x14ac:dyDescent="0.25">
      <c r="A311" t="s">
        <v>329</v>
      </c>
      <c r="B311" s="2">
        <v>44972</v>
      </c>
      <c r="C311" s="2" t="str">
        <f>TEXT(Table3[[#This Row],[Order Date]],"mmmm")</f>
        <v>February</v>
      </c>
      <c r="D311" t="s">
        <v>3220</v>
      </c>
      <c r="E311" t="s">
        <v>3224</v>
      </c>
      <c r="F311" t="s">
        <v>3226</v>
      </c>
      <c r="G311" s="4">
        <v>249257.42</v>
      </c>
      <c r="H311" s="4">
        <v>242503.22</v>
      </c>
      <c r="I311" s="3" t="s">
        <v>3734</v>
      </c>
      <c r="J311">
        <v>5</v>
      </c>
      <c r="K311" s="4">
        <f>Table3[[#This Row],[Sales]]-Table3[[#This Row],[Cost]]</f>
        <v>6754.2000000000116</v>
      </c>
      <c r="L311" s="6">
        <f>Table3[[#This Row],[Profit]]/Table3[[#This Row],[Sales]]</f>
        <v>2.7097287615349672E-2</v>
      </c>
    </row>
    <row r="312" spans="1:12" x14ac:dyDescent="0.25">
      <c r="A312" t="s">
        <v>330</v>
      </c>
      <c r="B312" s="2">
        <v>45005</v>
      </c>
      <c r="C312" s="2" t="str">
        <f>TEXT(Table3[[#This Row],[Order Date]],"mmmm")</f>
        <v>March</v>
      </c>
      <c r="D312" t="s">
        <v>3220</v>
      </c>
      <c r="E312" t="s">
        <v>3223</v>
      </c>
      <c r="F312" t="s">
        <v>3226</v>
      </c>
      <c r="G312" s="4">
        <v>23079.71</v>
      </c>
      <c r="H312" s="4">
        <v>13241.49</v>
      </c>
      <c r="I312" s="3" t="s">
        <v>3734</v>
      </c>
      <c r="J312">
        <v>2</v>
      </c>
      <c r="K312" s="4">
        <f>Table3[[#This Row],[Sales]]-Table3[[#This Row],[Cost]]</f>
        <v>9838.2199999999993</v>
      </c>
      <c r="L312" s="6">
        <f>Table3[[#This Row],[Profit]]/Table3[[#This Row],[Sales]]</f>
        <v>0.42627138729212799</v>
      </c>
    </row>
    <row r="313" spans="1:12" x14ac:dyDescent="0.25">
      <c r="A313" t="s">
        <v>331</v>
      </c>
      <c r="B313" s="2" t="s">
        <v>3729</v>
      </c>
      <c r="C313" s="2" t="str">
        <f>TEXT(Table3[[#This Row],[Order Date]],"mmmm")</f>
        <v>Not Mentioned</v>
      </c>
      <c r="D313" t="s">
        <v>3730</v>
      </c>
      <c r="E313" t="s">
        <v>3223</v>
      </c>
      <c r="F313" t="s">
        <v>3226</v>
      </c>
      <c r="G313" s="4">
        <v>33248.910000000003</v>
      </c>
      <c r="H313" s="4">
        <v>20094.349999999999</v>
      </c>
      <c r="I313" s="3" t="s">
        <v>3734</v>
      </c>
      <c r="J313">
        <v>3</v>
      </c>
      <c r="K313" s="4">
        <f>Table3[[#This Row],[Sales]]-Table3[[#This Row],[Cost]]</f>
        <v>13154.560000000005</v>
      </c>
      <c r="L313" s="6">
        <f>Table3[[#This Row],[Profit]]/Table3[[#This Row],[Sales]]</f>
        <v>0.39563883447607767</v>
      </c>
    </row>
    <row r="314" spans="1:12" x14ac:dyDescent="0.25">
      <c r="A314" t="s">
        <v>332</v>
      </c>
      <c r="B314" s="2">
        <v>44972</v>
      </c>
      <c r="C314" s="2" t="str">
        <f>TEXT(Table3[[#This Row],[Order Date]],"mmmm")</f>
        <v>February</v>
      </c>
      <c r="D314" t="s">
        <v>3216</v>
      </c>
      <c r="E314" t="s">
        <v>3224</v>
      </c>
      <c r="F314" t="s">
        <v>3226</v>
      </c>
      <c r="G314" s="4">
        <v>133794.57999999999</v>
      </c>
      <c r="H314" s="4">
        <v>86722.77</v>
      </c>
      <c r="I314" s="3" t="s">
        <v>3734</v>
      </c>
      <c r="J314">
        <v>2</v>
      </c>
      <c r="K314" s="4">
        <f>Table3[[#This Row],[Sales]]-Table3[[#This Row],[Cost]]</f>
        <v>47071.809999999983</v>
      </c>
      <c r="L314" s="6">
        <f>Table3[[#This Row],[Profit]]/Table3[[#This Row],[Sales]]</f>
        <v>0.351821501289514</v>
      </c>
    </row>
    <row r="315" spans="1:12" x14ac:dyDescent="0.25">
      <c r="A315" t="s">
        <v>333</v>
      </c>
      <c r="B315" s="2">
        <v>45102</v>
      </c>
      <c r="C315" s="2" t="str">
        <f>TEXT(Table3[[#This Row],[Order Date]],"mmmm")</f>
        <v>June</v>
      </c>
      <c r="D315" t="s">
        <v>3731</v>
      </c>
      <c r="E315" t="s">
        <v>3222</v>
      </c>
      <c r="F315" t="s">
        <v>3226</v>
      </c>
      <c r="G315" s="4">
        <v>83519.62</v>
      </c>
      <c r="H315" s="4">
        <v>47742.37</v>
      </c>
      <c r="I315" s="3" t="s">
        <v>3734</v>
      </c>
      <c r="J315">
        <v>5</v>
      </c>
      <c r="K315" s="4">
        <f>Table3[[#This Row],[Sales]]-Table3[[#This Row],[Cost]]</f>
        <v>35777.249999999993</v>
      </c>
      <c r="L315" s="6">
        <f>Table3[[#This Row],[Profit]]/Table3[[#This Row],[Sales]]</f>
        <v>0.42836940589528538</v>
      </c>
    </row>
    <row r="316" spans="1:12" x14ac:dyDescent="0.25">
      <c r="A316" t="s">
        <v>335</v>
      </c>
      <c r="B316" s="2">
        <v>45005</v>
      </c>
      <c r="C316" s="2" t="str">
        <f>TEXT(Table3[[#This Row],[Order Date]],"mmmm")</f>
        <v>March</v>
      </c>
      <c r="D316" t="s">
        <v>3730</v>
      </c>
      <c r="E316" t="s">
        <v>3223</v>
      </c>
      <c r="F316" t="s">
        <v>3226</v>
      </c>
      <c r="G316" s="4">
        <v>54935.53</v>
      </c>
      <c r="H316" s="4">
        <v>36054.949999999997</v>
      </c>
      <c r="I316" s="3" t="s">
        <v>3734</v>
      </c>
      <c r="J316">
        <v>5</v>
      </c>
      <c r="K316" s="4">
        <f>Table3[[#This Row],[Sales]]-Table3[[#This Row],[Cost]]</f>
        <v>18880.580000000002</v>
      </c>
      <c r="L316" s="6">
        <f>Table3[[#This Row],[Profit]]/Table3[[#This Row],[Sales]]</f>
        <v>0.34368613536631032</v>
      </c>
    </row>
    <row r="317" spans="1:12" x14ac:dyDescent="0.25">
      <c r="A317" t="s">
        <v>336</v>
      </c>
      <c r="B317" s="2">
        <v>45102</v>
      </c>
      <c r="C317" s="2" t="str">
        <f>TEXT(Table3[[#This Row],[Order Date]],"mmmm")</f>
        <v>June</v>
      </c>
      <c r="D317" t="s">
        <v>3216</v>
      </c>
      <c r="E317" t="s">
        <v>3222</v>
      </c>
      <c r="F317" t="s">
        <v>3226</v>
      </c>
      <c r="G317" s="4">
        <v>14141.32</v>
      </c>
      <c r="H317" s="4">
        <v>9384.4699999999993</v>
      </c>
      <c r="I317" s="3" t="s">
        <v>3734</v>
      </c>
      <c r="J317">
        <v>1</v>
      </c>
      <c r="K317" s="4">
        <f>Table3[[#This Row],[Sales]]-Table3[[#This Row],[Cost]]</f>
        <v>4756.8500000000004</v>
      </c>
      <c r="L317" s="6">
        <f>Table3[[#This Row],[Profit]]/Table3[[#This Row],[Sales]]</f>
        <v>0.33637948932631467</v>
      </c>
    </row>
    <row r="318" spans="1:12" x14ac:dyDescent="0.25">
      <c r="A318" t="s">
        <v>337</v>
      </c>
      <c r="B318" s="2">
        <v>45005</v>
      </c>
      <c r="C318" s="2" t="str">
        <f>TEXT(Table3[[#This Row],[Order Date]],"mmmm")</f>
        <v>March</v>
      </c>
      <c r="D318" t="s">
        <v>3220</v>
      </c>
      <c r="E318" t="s">
        <v>3225</v>
      </c>
      <c r="F318" t="s">
        <v>3226</v>
      </c>
      <c r="G318" s="4">
        <v>37976.32</v>
      </c>
      <c r="H318" s="4">
        <v>25700.49</v>
      </c>
      <c r="I318" s="3" t="s">
        <v>3734</v>
      </c>
      <c r="J318">
        <v>2</v>
      </c>
      <c r="K318" s="4">
        <f>Table3[[#This Row],[Sales]]-Table3[[#This Row],[Cost]]</f>
        <v>12275.829999999998</v>
      </c>
      <c r="L318" s="6">
        <f>Table3[[#This Row],[Profit]]/Table3[[#This Row],[Sales]]</f>
        <v>0.32324959343085369</v>
      </c>
    </row>
    <row r="319" spans="1:12" x14ac:dyDescent="0.25">
      <c r="A319" t="s">
        <v>338</v>
      </c>
      <c r="B319" s="2">
        <v>45102</v>
      </c>
      <c r="C319" s="2" t="str">
        <f>TEXT(Table3[[#This Row],[Order Date]],"mmmm")</f>
        <v>June</v>
      </c>
      <c r="D319" t="s">
        <v>3730</v>
      </c>
      <c r="E319" t="s">
        <v>3224</v>
      </c>
      <c r="F319" t="s">
        <v>3226</v>
      </c>
      <c r="G319" s="4">
        <v>321232.89</v>
      </c>
      <c r="H319" s="4">
        <v>238382.35</v>
      </c>
      <c r="I319" s="3" t="s">
        <v>3734</v>
      </c>
      <c r="J319">
        <v>5</v>
      </c>
      <c r="K319" s="4">
        <f>Table3[[#This Row],[Sales]]-Table3[[#This Row],[Cost]]</f>
        <v>82850.540000000008</v>
      </c>
      <c r="L319" s="6">
        <f>Table3[[#This Row],[Profit]]/Table3[[#This Row],[Sales]]</f>
        <v>0.25791425031228904</v>
      </c>
    </row>
    <row r="320" spans="1:12" x14ac:dyDescent="0.25">
      <c r="A320" t="s">
        <v>339</v>
      </c>
      <c r="B320" s="2">
        <v>44941</v>
      </c>
      <c r="C320" s="2" t="str">
        <f>TEXT(Table3[[#This Row],[Order Date]],"mmmm")</f>
        <v>January</v>
      </c>
      <c r="D320" t="s">
        <v>3730</v>
      </c>
      <c r="E320" t="s">
        <v>3225</v>
      </c>
      <c r="F320" t="s">
        <v>3226</v>
      </c>
      <c r="G320" s="4">
        <v>18761.84</v>
      </c>
      <c r="H320" s="4">
        <v>13349.7</v>
      </c>
      <c r="I320" s="3" t="s">
        <v>3734</v>
      </c>
      <c r="J320">
        <v>1</v>
      </c>
      <c r="K320" s="4">
        <f>Table3[[#This Row],[Sales]]-Table3[[#This Row],[Cost]]</f>
        <v>5412.1399999999994</v>
      </c>
      <c r="L320" s="6">
        <f>Table3[[#This Row],[Profit]]/Table3[[#This Row],[Sales]]</f>
        <v>0.28846531043863499</v>
      </c>
    </row>
    <row r="321" spans="1:12" x14ac:dyDescent="0.25">
      <c r="A321" t="s">
        <v>340</v>
      </c>
      <c r="B321" s="2">
        <v>45005</v>
      </c>
      <c r="C321" s="2" t="str">
        <f>TEXT(Table3[[#This Row],[Order Date]],"mmmm")</f>
        <v>March</v>
      </c>
      <c r="D321" t="s">
        <v>3730</v>
      </c>
      <c r="E321" t="s">
        <v>3223</v>
      </c>
      <c r="F321" t="s">
        <v>3226</v>
      </c>
      <c r="G321" s="4">
        <v>26944.23</v>
      </c>
      <c r="H321" s="4">
        <v>18153.09</v>
      </c>
      <c r="I321" s="3" t="s">
        <v>3734</v>
      </c>
      <c r="J321">
        <v>3</v>
      </c>
      <c r="K321" s="4">
        <f>Table3[[#This Row],[Sales]]-Table3[[#This Row],[Cost]]</f>
        <v>8791.14</v>
      </c>
      <c r="L321" s="6">
        <f>Table3[[#This Row],[Profit]]/Table3[[#This Row],[Sales]]</f>
        <v>0.32627171012123929</v>
      </c>
    </row>
    <row r="322" spans="1:12" x14ac:dyDescent="0.25">
      <c r="A322" t="s">
        <v>341</v>
      </c>
      <c r="B322" s="2">
        <v>44941</v>
      </c>
      <c r="C322" s="2" t="str">
        <f>TEXT(Table3[[#This Row],[Order Date]],"mmmm")</f>
        <v>January</v>
      </c>
      <c r="D322" t="s">
        <v>3730</v>
      </c>
      <c r="E322" t="s">
        <v>3224</v>
      </c>
      <c r="F322" t="s">
        <v>3226</v>
      </c>
      <c r="G322" s="4">
        <v>58294.66</v>
      </c>
      <c r="H322" s="4">
        <v>44335.18</v>
      </c>
      <c r="I322" s="3" t="s">
        <v>3734</v>
      </c>
      <c r="J322">
        <v>1</v>
      </c>
      <c r="K322" s="4">
        <f>Table3[[#This Row],[Sales]]-Table3[[#This Row],[Cost]]</f>
        <v>13959.480000000003</v>
      </c>
      <c r="L322" s="6">
        <f>Table3[[#This Row],[Profit]]/Table3[[#This Row],[Sales]]</f>
        <v>0.23946412930446806</v>
      </c>
    </row>
    <row r="323" spans="1:12" x14ac:dyDescent="0.25">
      <c r="A323" t="s">
        <v>342</v>
      </c>
      <c r="B323" s="2">
        <v>45102</v>
      </c>
      <c r="C323" s="2" t="str">
        <f>TEXT(Table3[[#This Row],[Order Date]],"mmmm")</f>
        <v>June</v>
      </c>
      <c r="D323" t="s">
        <v>3730</v>
      </c>
      <c r="E323" t="s">
        <v>3224</v>
      </c>
      <c r="F323" t="s">
        <v>3226</v>
      </c>
      <c r="G323" s="4">
        <v>323595.27</v>
      </c>
      <c r="H323" s="4">
        <v>219133.34</v>
      </c>
      <c r="I323" s="3" t="s">
        <v>3734</v>
      </c>
      <c r="J323">
        <v>5</v>
      </c>
      <c r="K323" s="4">
        <f>Table3[[#This Row],[Sales]]-Table3[[#This Row],[Cost]]</f>
        <v>104461.93000000002</v>
      </c>
      <c r="L323" s="6">
        <f>Table3[[#This Row],[Profit]]/Table3[[#This Row],[Sales]]</f>
        <v>0.32281661595362632</v>
      </c>
    </row>
    <row r="324" spans="1:12" x14ac:dyDescent="0.25">
      <c r="A324" t="s">
        <v>56</v>
      </c>
      <c r="B324" s="2">
        <v>44941</v>
      </c>
      <c r="C324" s="2" t="str">
        <f>TEXT(Table3[[#This Row],[Order Date]],"mmmm")</f>
        <v>January</v>
      </c>
      <c r="D324" t="s">
        <v>3731</v>
      </c>
      <c r="E324" t="s">
        <v>3222</v>
      </c>
      <c r="F324" t="s">
        <v>3226</v>
      </c>
      <c r="G324" s="4">
        <v>27039.27</v>
      </c>
      <c r="H324" s="4">
        <v>17049.89</v>
      </c>
      <c r="I324" s="3" t="s">
        <v>3734</v>
      </c>
      <c r="J324">
        <v>2</v>
      </c>
      <c r="K324" s="4">
        <f>Table3[[#This Row],[Sales]]-Table3[[#This Row],[Cost]]</f>
        <v>9989.380000000001</v>
      </c>
      <c r="L324" s="6">
        <f>Table3[[#This Row],[Profit]]/Table3[[#This Row],[Sales]]</f>
        <v>0.36943970750689648</v>
      </c>
    </row>
    <row r="325" spans="1:12" x14ac:dyDescent="0.25">
      <c r="A325" t="s">
        <v>3279</v>
      </c>
      <c r="B325" s="2">
        <v>44941</v>
      </c>
      <c r="C325" s="2" t="str">
        <f>TEXT(Table3[[#This Row],[Order Date]],"mmmm")</f>
        <v>January</v>
      </c>
      <c r="D325" t="s">
        <v>3730</v>
      </c>
      <c r="E325" t="s">
        <v>3223</v>
      </c>
      <c r="F325" t="s">
        <v>3226</v>
      </c>
      <c r="G325" s="4">
        <v>27426.11</v>
      </c>
      <c r="H325" s="4">
        <v>20640.78</v>
      </c>
      <c r="I325" s="3" t="s">
        <v>3734</v>
      </c>
      <c r="J325">
        <v>3</v>
      </c>
      <c r="K325" s="4">
        <f>Table3[[#This Row],[Sales]]-Table3[[#This Row],[Cost]]</f>
        <v>6785.3300000000017</v>
      </c>
      <c r="L325" s="6">
        <f>Table3[[#This Row],[Profit]]/Table3[[#This Row],[Sales]]</f>
        <v>0.24740402485077181</v>
      </c>
    </row>
    <row r="326" spans="1:12" x14ac:dyDescent="0.25">
      <c r="A326" t="s">
        <v>345</v>
      </c>
      <c r="B326" s="2">
        <v>44941</v>
      </c>
      <c r="C326" s="2" t="str">
        <f>TEXT(Table3[[#This Row],[Order Date]],"mmmm")</f>
        <v>January</v>
      </c>
      <c r="D326" t="s">
        <v>3730</v>
      </c>
      <c r="E326" t="s">
        <v>3222</v>
      </c>
      <c r="F326" t="s">
        <v>3226</v>
      </c>
      <c r="G326" s="4">
        <v>24803.68</v>
      </c>
      <c r="H326" s="4">
        <v>21386.75</v>
      </c>
      <c r="I326" s="3" t="s">
        <v>3734</v>
      </c>
      <c r="J326">
        <v>2</v>
      </c>
      <c r="K326" s="4">
        <f>Table3[[#This Row],[Sales]]-Table3[[#This Row],[Cost]]</f>
        <v>3416.9300000000003</v>
      </c>
      <c r="L326" s="6">
        <f>Table3[[#This Row],[Profit]]/Table3[[#This Row],[Sales]]</f>
        <v>0.13775899382672249</v>
      </c>
    </row>
    <row r="327" spans="1:12" x14ac:dyDescent="0.25">
      <c r="A327" t="s">
        <v>346</v>
      </c>
      <c r="B327" s="2">
        <v>45005</v>
      </c>
      <c r="C327" s="2" t="str">
        <f>TEXT(Table3[[#This Row],[Order Date]],"mmmm")</f>
        <v>March</v>
      </c>
      <c r="D327" t="s">
        <v>3220</v>
      </c>
      <c r="E327" t="s">
        <v>3225</v>
      </c>
      <c r="F327" t="s">
        <v>3226</v>
      </c>
      <c r="G327" s="4">
        <v>40213.89</v>
      </c>
      <c r="H327" s="4">
        <v>30724.52</v>
      </c>
      <c r="I327" s="3" t="s">
        <v>3734</v>
      </c>
      <c r="J327" t="s">
        <v>3732</v>
      </c>
      <c r="K327" s="4">
        <f>Table3[[#This Row],[Sales]]-Table3[[#This Row],[Cost]]</f>
        <v>9489.369999999999</v>
      </c>
      <c r="L327" s="6">
        <f>Table3[[#This Row],[Profit]]/Table3[[#This Row],[Sales]]</f>
        <v>0.23597244633632805</v>
      </c>
    </row>
    <row r="328" spans="1:12" x14ac:dyDescent="0.25">
      <c r="A328" t="s">
        <v>347</v>
      </c>
      <c r="B328" s="2">
        <v>44941</v>
      </c>
      <c r="C328" s="2" t="str">
        <f>TEXT(Table3[[#This Row],[Order Date]],"mmmm")</f>
        <v>January</v>
      </c>
      <c r="D328" t="s">
        <v>3220</v>
      </c>
      <c r="E328" t="s">
        <v>3223</v>
      </c>
      <c r="F328" t="s">
        <v>3226</v>
      </c>
      <c r="G328" s="4">
        <v>28433.78</v>
      </c>
      <c r="H328" s="4">
        <v>18087.93</v>
      </c>
      <c r="I328" s="3" t="s">
        <v>3734</v>
      </c>
      <c r="J328">
        <v>3</v>
      </c>
      <c r="K328" s="4">
        <f>Table3[[#This Row],[Sales]]-Table3[[#This Row],[Cost]]</f>
        <v>10345.849999999999</v>
      </c>
      <c r="L328" s="6">
        <f>Table3[[#This Row],[Profit]]/Table3[[#This Row],[Sales]]</f>
        <v>0.3638577072763452</v>
      </c>
    </row>
    <row r="329" spans="1:12" x14ac:dyDescent="0.25">
      <c r="A329" t="s">
        <v>348</v>
      </c>
      <c r="B329" s="2">
        <v>45102</v>
      </c>
      <c r="C329" s="2" t="str">
        <f>TEXT(Table3[[#This Row],[Order Date]],"mmmm")</f>
        <v>June</v>
      </c>
      <c r="D329" t="s">
        <v>3220</v>
      </c>
      <c r="E329" t="s">
        <v>3223</v>
      </c>
      <c r="F329" t="s">
        <v>3226</v>
      </c>
      <c r="G329" s="4">
        <v>33525.949999999997</v>
      </c>
      <c r="H329" s="4">
        <v>26820.76</v>
      </c>
      <c r="I329" s="3" t="s">
        <v>3735</v>
      </c>
      <c r="J329">
        <v>4</v>
      </c>
      <c r="K329" s="4">
        <f>Table3[[#This Row],[Sales]]-Table3[[#This Row],[Cost]]</f>
        <v>6705.1899999999987</v>
      </c>
      <c r="L329" s="6">
        <f>Table3[[#This Row],[Profit]]/Table3[[#This Row],[Sales]]</f>
        <v>0.19999999999999998</v>
      </c>
    </row>
    <row r="330" spans="1:12" x14ac:dyDescent="0.25">
      <c r="A330" t="s">
        <v>3230</v>
      </c>
      <c r="B330" s="2" t="s">
        <v>3729</v>
      </c>
      <c r="C330" s="2" t="str">
        <f>TEXT(Table3[[#This Row],[Order Date]],"mmmm")</f>
        <v>Not Mentioned</v>
      </c>
      <c r="D330" t="s">
        <v>3730</v>
      </c>
      <c r="E330" t="s">
        <v>3222</v>
      </c>
      <c r="F330" t="s">
        <v>3226</v>
      </c>
      <c r="G330" s="4">
        <v>33102.019999999997</v>
      </c>
      <c r="H330" s="4">
        <v>17073.14</v>
      </c>
      <c r="I330" s="3" t="s">
        <v>3734</v>
      </c>
      <c r="J330">
        <v>2</v>
      </c>
      <c r="K330" s="4">
        <f>Table3[[#This Row],[Sales]]-Table3[[#This Row],[Cost]]</f>
        <v>16028.879999999997</v>
      </c>
      <c r="L330" s="6">
        <f>Table3[[#This Row],[Profit]]/Table3[[#This Row],[Sales]]</f>
        <v>0.48422664236200685</v>
      </c>
    </row>
    <row r="331" spans="1:12" x14ac:dyDescent="0.25">
      <c r="A331" t="s">
        <v>349</v>
      </c>
      <c r="B331" s="2">
        <v>44972</v>
      </c>
      <c r="C331" s="2" t="str">
        <f>TEXT(Table3[[#This Row],[Order Date]],"mmmm")</f>
        <v>February</v>
      </c>
      <c r="D331" t="s">
        <v>3216</v>
      </c>
      <c r="E331" t="s">
        <v>3225</v>
      </c>
      <c r="F331" t="s">
        <v>3226</v>
      </c>
      <c r="G331" s="4">
        <v>18065.849999999999</v>
      </c>
      <c r="H331" s="4">
        <v>14018.94</v>
      </c>
      <c r="I331" s="3" t="s">
        <v>3734</v>
      </c>
      <c r="J331">
        <v>1</v>
      </c>
      <c r="K331" s="4">
        <f>Table3[[#This Row],[Sales]]-Table3[[#This Row],[Cost]]</f>
        <v>4046.909999999998</v>
      </c>
      <c r="L331" s="6">
        <f>Table3[[#This Row],[Profit]]/Table3[[#This Row],[Sales]]</f>
        <v>0.22400883434767799</v>
      </c>
    </row>
    <row r="332" spans="1:12" x14ac:dyDescent="0.25">
      <c r="A332" t="s">
        <v>350</v>
      </c>
      <c r="B332" s="2" t="s">
        <v>3729</v>
      </c>
      <c r="C332" s="2" t="str">
        <f>TEXT(Table3[[#This Row],[Order Date]],"mmmm")</f>
        <v>Not Mentioned</v>
      </c>
      <c r="D332" t="s">
        <v>3216</v>
      </c>
      <c r="E332" t="s">
        <v>3225</v>
      </c>
      <c r="F332" t="s">
        <v>3226</v>
      </c>
      <c r="G332" s="4">
        <v>108655.88</v>
      </c>
      <c r="H332" s="4">
        <v>64241.5</v>
      </c>
      <c r="I332" s="3" t="s">
        <v>3734</v>
      </c>
      <c r="J332">
        <v>5</v>
      </c>
      <c r="K332" s="4">
        <f>Table3[[#This Row],[Sales]]-Table3[[#This Row],[Cost]]</f>
        <v>44414.380000000005</v>
      </c>
      <c r="L332" s="6">
        <f>Table3[[#This Row],[Profit]]/Table3[[#This Row],[Sales]]</f>
        <v>0.40876186360093908</v>
      </c>
    </row>
    <row r="333" spans="1:12" x14ac:dyDescent="0.25">
      <c r="A333" t="s">
        <v>351</v>
      </c>
      <c r="B333" s="2">
        <v>44941</v>
      </c>
      <c r="C333" s="2" t="str">
        <f>TEXT(Table3[[#This Row],[Order Date]],"mmmm")</f>
        <v>January</v>
      </c>
      <c r="D333" t="s">
        <v>3220</v>
      </c>
      <c r="E333" t="s">
        <v>3225</v>
      </c>
      <c r="F333" t="s">
        <v>3226</v>
      </c>
      <c r="G333" s="4">
        <v>87864.11</v>
      </c>
      <c r="H333" s="4">
        <v>55410.98</v>
      </c>
      <c r="I333" s="3" t="s">
        <v>3734</v>
      </c>
      <c r="J333">
        <v>4</v>
      </c>
      <c r="K333" s="4">
        <f>Table3[[#This Row],[Sales]]-Table3[[#This Row],[Cost]]</f>
        <v>32453.129999999997</v>
      </c>
      <c r="L333" s="6">
        <f>Table3[[#This Row],[Profit]]/Table3[[#This Row],[Sales]]</f>
        <v>0.36935592928671329</v>
      </c>
    </row>
    <row r="334" spans="1:12" x14ac:dyDescent="0.25">
      <c r="A334" t="s">
        <v>352</v>
      </c>
      <c r="B334" s="2" t="s">
        <v>3729</v>
      </c>
      <c r="C334" s="2" t="str">
        <f>TEXT(Table3[[#This Row],[Order Date]],"mmmm")</f>
        <v>Not Mentioned</v>
      </c>
      <c r="D334" t="s">
        <v>3730</v>
      </c>
      <c r="E334" t="s">
        <v>3225</v>
      </c>
      <c r="F334" t="s">
        <v>3226</v>
      </c>
      <c r="G334" s="4">
        <v>18112.5</v>
      </c>
      <c r="H334" s="4">
        <v>15186.74</v>
      </c>
      <c r="I334" s="3" t="s">
        <v>3734</v>
      </c>
      <c r="J334">
        <v>1</v>
      </c>
      <c r="K334" s="4">
        <f>Table3[[#This Row],[Sales]]-Table3[[#This Row],[Cost]]</f>
        <v>2925.76</v>
      </c>
      <c r="L334" s="6">
        <f>Table3[[#This Row],[Profit]]/Table3[[#This Row],[Sales]]</f>
        <v>0.16153264320220842</v>
      </c>
    </row>
    <row r="335" spans="1:12" x14ac:dyDescent="0.25">
      <c r="A335" t="s">
        <v>353</v>
      </c>
      <c r="B335" s="2">
        <v>44972</v>
      </c>
      <c r="C335" s="2" t="str">
        <f>TEXT(Table3[[#This Row],[Order Date]],"mmmm")</f>
        <v>February</v>
      </c>
      <c r="D335" t="s">
        <v>3730</v>
      </c>
      <c r="E335" t="s">
        <v>3222</v>
      </c>
      <c r="F335" t="s">
        <v>3226</v>
      </c>
      <c r="G335" s="4">
        <v>67770.42</v>
      </c>
      <c r="H335" s="4">
        <v>34631.4</v>
      </c>
      <c r="I335" s="3" t="s">
        <v>3734</v>
      </c>
      <c r="J335">
        <v>4</v>
      </c>
      <c r="K335" s="4">
        <f>Table3[[#This Row],[Sales]]-Table3[[#This Row],[Cost]]</f>
        <v>33139.019999999997</v>
      </c>
      <c r="L335" s="6">
        <f>Table3[[#This Row],[Profit]]/Table3[[#This Row],[Sales]]</f>
        <v>0.48898944406719036</v>
      </c>
    </row>
    <row r="336" spans="1:12" x14ac:dyDescent="0.25">
      <c r="A336" t="s">
        <v>354</v>
      </c>
      <c r="B336" s="2">
        <v>45102</v>
      </c>
      <c r="C336" s="2" t="str">
        <f>TEXT(Table3[[#This Row],[Order Date]],"mmmm")</f>
        <v>June</v>
      </c>
      <c r="D336" t="s">
        <v>3216</v>
      </c>
      <c r="E336" t="s">
        <v>3223</v>
      </c>
      <c r="F336" t="s">
        <v>3226</v>
      </c>
      <c r="G336" s="4">
        <v>34409.730000000003</v>
      </c>
      <c r="H336" s="4">
        <v>25320.62</v>
      </c>
      <c r="I336" s="3" t="s">
        <v>3734</v>
      </c>
      <c r="J336">
        <v>4</v>
      </c>
      <c r="K336" s="4">
        <f>Table3[[#This Row],[Sales]]-Table3[[#This Row],[Cost]]</f>
        <v>9089.1100000000042</v>
      </c>
      <c r="L336" s="6">
        <f>Table3[[#This Row],[Profit]]/Table3[[#This Row],[Sales]]</f>
        <v>0.26414360124302061</v>
      </c>
    </row>
    <row r="337" spans="1:12" x14ac:dyDescent="0.25">
      <c r="A337" t="s">
        <v>355</v>
      </c>
      <c r="B337" s="2">
        <v>44972</v>
      </c>
      <c r="C337" s="2" t="str">
        <f>TEXT(Table3[[#This Row],[Order Date]],"mmmm")</f>
        <v>February</v>
      </c>
      <c r="D337" t="s">
        <v>3731</v>
      </c>
      <c r="E337" t="s">
        <v>3223</v>
      </c>
      <c r="F337" t="s">
        <v>3226</v>
      </c>
      <c r="G337" s="4">
        <v>22270.18</v>
      </c>
      <c r="H337" s="4">
        <v>13401.45</v>
      </c>
      <c r="I337" s="3" t="s">
        <v>3734</v>
      </c>
      <c r="J337">
        <v>2</v>
      </c>
      <c r="K337" s="4">
        <f>Table3[[#This Row],[Sales]]-Table3[[#This Row],[Cost]]</f>
        <v>8868.73</v>
      </c>
      <c r="L337" s="6">
        <f>Table3[[#This Row],[Profit]]/Table3[[#This Row],[Sales]]</f>
        <v>0.39823342245100846</v>
      </c>
    </row>
    <row r="338" spans="1:12" x14ac:dyDescent="0.25">
      <c r="A338" t="s">
        <v>356</v>
      </c>
      <c r="B338" s="2">
        <v>45005</v>
      </c>
      <c r="C338" s="2" t="str">
        <f>TEXT(Table3[[#This Row],[Order Date]],"mmmm")</f>
        <v>March</v>
      </c>
      <c r="D338" t="s">
        <v>3730</v>
      </c>
      <c r="E338" t="s">
        <v>3224</v>
      </c>
      <c r="F338" t="s">
        <v>3226</v>
      </c>
      <c r="G338" s="4">
        <v>248070.71</v>
      </c>
      <c r="H338" s="4">
        <v>196589.13</v>
      </c>
      <c r="I338" s="3" t="s">
        <v>3734</v>
      </c>
      <c r="J338">
        <v>5</v>
      </c>
      <c r="K338" s="4">
        <f>Table3[[#This Row],[Sales]]-Table3[[#This Row],[Cost]]</f>
        <v>51481.579999999987</v>
      </c>
      <c r="L338" s="6">
        <f>Table3[[#This Row],[Profit]]/Table3[[#This Row],[Sales]]</f>
        <v>0.20752784558886453</v>
      </c>
    </row>
    <row r="339" spans="1:12" x14ac:dyDescent="0.25">
      <c r="A339" t="s">
        <v>357</v>
      </c>
      <c r="B339" s="2">
        <v>45005</v>
      </c>
      <c r="C339" s="2" t="str">
        <f>TEXT(Table3[[#This Row],[Order Date]],"mmmm")</f>
        <v>March</v>
      </c>
      <c r="D339" t="s">
        <v>3220</v>
      </c>
      <c r="E339" t="s">
        <v>3222</v>
      </c>
      <c r="F339" t="s">
        <v>3226</v>
      </c>
      <c r="G339" s="4">
        <v>46280.92</v>
      </c>
      <c r="H339" s="4">
        <v>27780.23</v>
      </c>
      <c r="I339" s="3" t="s">
        <v>3734</v>
      </c>
      <c r="J339">
        <v>3</v>
      </c>
      <c r="K339" s="4">
        <f>Table3[[#This Row],[Sales]]-Table3[[#This Row],[Cost]]</f>
        <v>18500.689999999999</v>
      </c>
      <c r="L339" s="6">
        <f>Table3[[#This Row],[Profit]]/Table3[[#This Row],[Sales]]</f>
        <v>0.39974767139460493</v>
      </c>
    </row>
    <row r="340" spans="1:12" x14ac:dyDescent="0.25">
      <c r="A340" t="s">
        <v>358</v>
      </c>
      <c r="B340" s="2">
        <v>45005</v>
      </c>
      <c r="C340" s="2" t="str">
        <f>TEXT(Table3[[#This Row],[Order Date]],"mmmm")</f>
        <v>March</v>
      </c>
      <c r="D340" t="s">
        <v>3730</v>
      </c>
      <c r="E340" t="s">
        <v>3222</v>
      </c>
      <c r="F340" t="s">
        <v>3226</v>
      </c>
      <c r="G340" s="4">
        <v>63704.21</v>
      </c>
      <c r="H340" s="4">
        <v>50963.368000000002</v>
      </c>
      <c r="I340" s="3" t="s">
        <v>3735</v>
      </c>
      <c r="J340">
        <v>4</v>
      </c>
      <c r="K340" s="4">
        <f>Table3[[#This Row],[Sales]]-Table3[[#This Row],[Cost]]</f>
        <v>12740.841999999997</v>
      </c>
      <c r="L340" s="6">
        <f>Table3[[#This Row],[Profit]]/Table3[[#This Row],[Sales]]</f>
        <v>0.19999999999999996</v>
      </c>
    </row>
    <row r="341" spans="1:12" x14ac:dyDescent="0.25">
      <c r="A341" t="s">
        <v>359</v>
      </c>
      <c r="B341" s="2">
        <v>44972</v>
      </c>
      <c r="C341" s="2" t="str">
        <f>TEXT(Table3[[#This Row],[Order Date]],"mmmm")</f>
        <v>February</v>
      </c>
      <c r="D341" t="s">
        <v>3730</v>
      </c>
      <c r="E341" t="s">
        <v>3222</v>
      </c>
      <c r="F341" t="s">
        <v>3226</v>
      </c>
      <c r="G341" s="4">
        <v>47243.05</v>
      </c>
      <c r="H341" s="4">
        <v>31983.25</v>
      </c>
      <c r="I341" s="3" t="s">
        <v>3734</v>
      </c>
      <c r="J341">
        <v>3</v>
      </c>
      <c r="K341" s="4">
        <f>Table3[[#This Row],[Sales]]-Table3[[#This Row],[Cost]]</f>
        <v>15259.800000000003</v>
      </c>
      <c r="L341" s="6">
        <f>Table3[[#This Row],[Profit]]/Table3[[#This Row],[Sales]]</f>
        <v>0.32300624112964771</v>
      </c>
    </row>
    <row r="342" spans="1:12" x14ac:dyDescent="0.25">
      <c r="A342" t="s">
        <v>360</v>
      </c>
      <c r="B342" s="2">
        <v>45005</v>
      </c>
      <c r="C342" s="2" t="str">
        <f>TEXT(Table3[[#This Row],[Order Date]],"mmmm")</f>
        <v>March</v>
      </c>
      <c r="D342" t="s">
        <v>3730</v>
      </c>
      <c r="E342" t="s">
        <v>3224</v>
      </c>
      <c r="F342" t="s">
        <v>3226</v>
      </c>
      <c r="G342" s="4">
        <v>185676.49</v>
      </c>
      <c r="H342" s="4">
        <v>133970.1</v>
      </c>
      <c r="I342" s="3" t="s">
        <v>3734</v>
      </c>
      <c r="J342">
        <v>3</v>
      </c>
      <c r="K342" s="4">
        <f>Table3[[#This Row],[Sales]]-Table3[[#This Row],[Cost]]</f>
        <v>51706.389999999985</v>
      </c>
      <c r="L342" s="6">
        <f>Table3[[#This Row],[Profit]]/Table3[[#This Row],[Sales]]</f>
        <v>0.27847569716553772</v>
      </c>
    </row>
    <row r="343" spans="1:12" x14ac:dyDescent="0.25">
      <c r="A343" t="s">
        <v>361</v>
      </c>
      <c r="B343" s="2">
        <v>44972</v>
      </c>
      <c r="C343" s="2" t="str">
        <f>TEXT(Table3[[#This Row],[Order Date]],"mmmm")</f>
        <v>February</v>
      </c>
      <c r="D343" t="s">
        <v>3731</v>
      </c>
      <c r="E343" t="s">
        <v>3222</v>
      </c>
      <c r="F343" t="s">
        <v>3226</v>
      </c>
      <c r="G343" s="4">
        <v>89433.54</v>
      </c>
      <c r="H343" s="4">
        <v>50618.86</v>
      </c>
      <c r="I343" s="3" t="s">
        <v>3734</v>
      </c>
      <c r="J343">
        <v>5</v>
      </c>
      <c r="K343" s="4">
        <f>Table3[[#This Row],[Sales]]-Table3[[#This Row],[Cost]]</f>
        <v>38814.679999999993</v>
      </c>
      <c r="L343" s="6">
        <f>Table3[[#This Row],[Profit]]/Table3[[#This Row],[Sales]]</f>
        <v>0.43400585507405831</v>
      </c>
    </row>
    <row r="344" spans="1:12" x14ac:dyDescent="0.25">
      <c r="A344" t="s">
        <v>362</v>
      </c>
      <c r="B344" s="2">
        <v>44972</v>
      </c>
      <c r="C344" s="2" t="str">
        <f>TEXT(Table3[[#This Row],[Order Date]],"mmmm")</f>
        <v>February</v>
      </c>
      <c r="D344" t="s">
        <v>3220</v>
      </c>
      <c r="E344" t="s">
        <v>3222</v>
      </c>
      <c r="F344" t="s">
        <v>3226</v>
      </c>
      <c r="G344" s="4">
        <v>25320.76</v>
      </c>
      <c r="H344" s="4">
        <v>21625.24</v>
      </c>
      <c r="I344" s="3" t="s">
        <v>3734</v>
      </c>
      <c r="J344">
        <v>2</v>
      </c>
      <c r="K344" s="4">
        <f>Table3[[#This Row],[Sales]]-Table3[[#This Row],[Cost]]</f>
        <v>3695.5199999999968</v>
      </c>
      <c r="L344" s="6">
        <f>Table3[[#This Row],[Profit]]/Table3[[#This Row],[Sales]]</f>
        <v>0.14594822588263531</v>
      </c>
    </row>
    <row r="345" spans="1:12" x14ac:dyDescent="0.25">
      <c r="A345" t="s">
        <v>363</v>
      </c>
      <c r="B345" s="2" t="s">
        <v>3729</v>
      </c>
      <c r="C345" s="2" t="str">
        <f>TEXT(Table3[[#This Row],[Order Date]],"mmmm")</f>
        <v>Not Mentioned</v>
      </c>
      <c r="D345" t="s">
        <v>3220</v>
      </c>
      <c r="E345" t="s">
        <v>3222</v>
      </c>
      <c r="F345" t="s">
        <v>3226</v>
      </c>
      <c r="G345" s="4">
        <v>15815.64</v>
      </c>
      <c r="H345" s="4">
        <v>9998.26</v>
      </c>
      <c r="I345" s="3" t="s">
        <v>3734</v>
      </c>
      <c r="J345">
        <v>1</v>
      </c>
      <c r="K345" s="4">
        <f>Table3[[#This Row],[Sales]]-Table3[[#This Row],[Cost]]</f>
        <v>5817.3799999999992</v>
      </c>
      <c r="L345" s="6">
        <f>Table3[[#This Row],[Profit]]/Table3[[#This Row],[Sales]]</f>
        <v>0.36782450789218768</v>
      </c>
    </row>
    <row r="346" spans="1:12" x14ac:dyDescent="0.25">
      <c r="A346" t="s">
        <v>364</v>
      </c>
      <c r="B346" s="2">
        <v>45005</v>
      </c>
      <c r="C346" s="2" t="str">
        <f>TEXT(Table3[[#This Row],[Order Date]],"mmmm")</f>
        <v>March</v>
      </c>
      <c r="D346" t="s">
        <v>3216</v>
      </c>
      <c r="E346" t="s">
        <v>3225</v>
      </c>
      <c r="F346" t="s">
        <v>3226</v>
      </c>
      <c r="G346" s="4">
        <v>85932.65</v>
      </c>
      <c r="H346" s="4">
        <v>47949.53</v>
      </c>
      <c r="I346" s="3" t="s">
        <v>3734</v>
      </c>
      <c r="J346">
        <v>4</v>
      </c>
      <c r="K346" s="4">
        <f>Table3[[#This Row],[Sales]]-Table3[[#This Row],[Cost]]</f>
        <v>37983.119999999995</v>
      </c>
      <c r="L346" s="6">
        <f>Table3[[#This Row],[Profit]]/Table3[[#This Row],[Sales]]</f>
        <v>0.4420103418200183</v>
      </c>
    </row>
    <row r="347" spans="1:12" x14ac:dyDescent="0.25">
      <c r="A347" t="s">
        <v>3280</v>
      </c>
      <c r="B347" s="2" t="s">
        <v>3729</v>
      </c>
      <c r="C347" s="2" t="str">
        <f>TEXT(Table3[[#This Row],[Order Date]],"mmmm")</f>
        <v>Not Mentioned</v>
      </c>
      <c r="D347" t="s">
        <v>3216</v>
      </c>
      <c r="E347" t="s">
        <v>3223</v>
      </c>
      <c r="F347" t="s">
        <v>3226</v>
      </c>
      <c r="G347" s="4">
        <v>19215.099999999999</v>
      </c>
      <c r="H347" s="4">
        <v>12437.92</v>
      </c>
      <c r="I347" s="3" t="s">
        <v>3734</v>
      </c>
      <c r="J347">
        <v>2</v>
      </c>
      <c r="K347" s="4">
        <f>Table3[[#This Row],[Sales]]-Table3[[#This Row],[Cost]]</f>
        <v>6777.1799999999985</v>
      </c>
      <c r="L347" s="6">
        <f>Table3[[#This Row],[Profit]]/Table3[[#This Row],[Sales]]</f>
        <v>0.352700740563411</v>
      </c>
    </row>
    <row r="348" spans="1:12" x14ac:dyDescent="0.25">
      <c r="A348" t="s">
        <v>366</v>
      </c>
      <c r="B348" s="2">
        <v>45102</v>
      </c>
      <c r="C348" s="2" t="str">
        <f>TEXT(Table3[[#This Row],[Order Date]],"mmmm")</f>
        <v>June</v>
      </c>
      <c r="D348" t="s">
        <v>3731</v>
      </c>
      <c r="E348" t="s">
        <v>3223</v>
      </c>
      <c r="F348" t="s">
        <v>3226</v>
      </c>
      <c r="G348" s="4">
        <v>48466.7</v>
      </c>
      <c r="H348" s="4">
        <v>30489.95</v>
      </c>
      <c r="I348" s="3" t="s">
        <v>3734</v>
      </c>
      <c r="J348">
        <v>5</v>
      </c>
      <c r="K348" s="4">
        <f>Table3[[#This Row],[Sales]]-Table3[[#This Row],[Cost]]</f>
        <v>17976.749999999996</v>
      </c>
      <c r="L348" s="6">
        <f>Table3[[#This Row],[Profit]]/Table3[[#This Row],[Sales]]</f>
        <v>0.37090930473913009</v>
      </c>
    </row>
    <row r="349" spans="1:12" x14ac:dyDescent="0.25">
      <c r="A349" t="s">
        <v>367</v>
      </c>
      <c r="B349" s="2">
        <v>44941</v>
      </c>
      <c r="C349" s="2" t="str">
        <f>TEXT(Table3[[#This Row],[Order Date]],"mmmm")</f>
        <v>January</v>
      </c>
      <c r="D349" t="s">
        <v>3730</v>
      </c>
      <c r="E349" t="s">
        <v>3222</v>
      </c>
      <c r="F349" t="s">
        <v>3226</v>
      </c>
      <c r="G349" s="4">
        <v>49273.67</v>
      </c>
      <c r="H349" s="4">
        <v>27648.9</v>
      </c>
      <c r="I349" s="3" t="s">
        <v>3734</v>
      </c>
      <c r="J349" t="s">
        <v>3732</v>
      </c>
      <c r="K349" s="4">
        <f>Table3[[#This Row],[Sales]]-Table3[[#This Row],[Cost]]</f>
        <v>21624.769999999997</v>
      </c>
      <c r="L349" s="6">
        <f>Table3[[#This Row],[Profit]]/Table3[[#This Row],[Sales]]</f>
        <v>0.43887069909750986</v>
      </c>
    </row>
    <row r="350" spans="1:12" x14ac:dyDescent="0.25">
      <c r="A350" t="s">
        <v>368</v>
      </c>
      <c r="B350" s="2">
        <v>44972</v>
      </c>
      <c r="C350" s="2" t="str">
        <f>TEXT(Table3[[#This Row],[Order Date]],"mmmm")</f>
        <v>February</v>
      </c>
      <c r="D350" t="s">
        <v>3730</v>
      </c>
      <c r="E350" t="s">
        <v>3225</v>
      </c>
      <c r="F350" t="s">
        <v>3226</v>
      </c>
      <c r="G350" s="4">
        <v>75120.23</v>
      </c>
      <c r="H350" s="4">
        <v>53695.51</v>
      </c>
      <c r="I350" s="3" t="s">
        <v>3734</v>
      </c>
      <c r="J350">
        <v>4</v>
      </c>
      <c r="K350" s="4">
        <f>Table3[[#This Row],[Sales]]-Table3[[#This Row],[Cost]]</f>
        <v>21424.719999999994</v>
      </c>
      <c r="L350" s="6">
        <f>Table3[[#This Row],[Profit]]/Table3[[#This Row],[Sales]]</f>
        <v>0.28520572953517309</v>
      </c>
    </row>
    <row r="351" spans="1:12" x14ac:dyDescent="0.25">
      <c r="A351" t="s">
        <v>369</v>
      </c>
      <c r="B351" s="2">
        <v>45102</v>
      </c>
      <c r="C351" s="2" t="str">
        <f>TEXT(Table3[[#This Row],[Order Date]],"mmmm")</f>
        <v>June</v>
      </c>
      <c r="D351" t="s">
        <v>3220</v>
      </c>
      <c r="E351" t="s">
        <v>3222</v>
      </c>
      <c r="F351" t="s">
        <v>3226</v>
      </c>
      <c r="G351" s="4">
        <v>52034.84</v>
      </c>
      <c r="H351" s="4">
        <v>41627.872000000003</v>
      </c>
      <c r="I351" s="3" t="s">
        <v>3735</v>
      </c>
      <c r="J351">
        <v>4</v>
      </c>
      <c r="K351" s="4">
        <f>Table3[[#This Row],[Sales]]-Table3[[#This Row],[Cost]]</f>
        <v>10406.967999999993</v>
      </c>
      <c r="L351" s="6">
        <f>Table3[[#This Row],[Profit]]/Table3[[#This Row],[Sales]]</f>
        <v>0.1999999999999999</v>
      </c>
    </row>
    <row r="352" spans="1:12" x14ac:dyDescent="0.25">
      <c r="A352" t="s">
        <v>370</v>
      </c>
      <c r="B352" s="2">
        <v>44941</v>
      </c>
      <c r="C352" s="2" t="str">
        <f>TEXT(Table3[[#This Row],[Order Date]],"mmmm")</f>
        <v>January</v>
      </c>
      <c r="D352" t="s">
        <v>3216</v>
      </c>
      <c r="E352" t="s">
        <v>3224</v>
      </c>
      <c r="F352" t="s">
        <v>3226</v>
      </c>
      <c r="G352" s="4">
        <v>218723.37</v>
      </c>
      <c r="H352" s="4">
        <v>188923.19</v>
      </c>
      <c r="I352" s="3" t="s">
        <v>3734</v>
      </c>
      <c r="J352">
        <v>4</v>
      </c>
      <c r="K352" s="4">
        <f>Table3[[#This Row],[Sales]]-Table3[[#This Row],[Cost]]</f>
        <v>29800.179999999993</v>
      </c>
      <c r="L352" s="6">
        <f>Table3[[#This Row],[Profit]]/Table3[[#This Row],[Sales]]</f>
        <v>0.13624598048210393</v>
      </c>
    </row>
    <row r="353" spans="1:12" x14ac:dyDescent="0.25">
      <c r="A353" t="s">
        <v>371</v>
      </c>
      <c r="B353" s="2" t="s">
        <v>3729</v>
      </c>
      <c r="C353" s="2" t="str">
        <f>TEXT(Table3[[#This Row],[Order Date]],"mmmm")</f>
        <v>Not Mentioned</v>
      </c>
      <c r="D353" t="s">
        <v>3730</v>
      </c>
      <c r="E353" t="s">
        <v>3224</v>
      </c>
      <c r="F353" t="s">
        <v>3226</v>
      </c>
      <c r="G353" s="4">
        <v>247507.78</v>
      </c>
      <c r="H353" s="4">
        <v>203091.02</v>
      </c>
      <c r="I353" s="3" t="s">
        <v>3734</v>
      </c>
      <c r="J353">
        <v>5</v>
      </c>
      <c r="K353" s="4">
        <f>Table3[[#This Row],[Sales]]-Table3[[#This Row],[Cost]]</f>
        <v>44416.760000000009</v>
      </c>
      <c r="L353" s="6">
        <f>Table3[[#This Row],[Profit]]/Table3[[#This Row],[Sales]]</f>
        <v>0.17945601548363455</v>
      </c>
    </row>
    <row r="354" spans="1:12" x14ac:dyDescent="0.25">
      <c r="A354" t="s">
        <v>200</v>
      </c>
      <c r="B354" s="2">
        <v>45021</v>
      </c>
      <c r="C354" s="2" t="str">
        <f>TEXT(Table3[[#This Row],[Order Date]],"mmmm")</f>
        <v>April</v>
      </c>
      <c r="D354" t="s">
        <v>3216</v>
      </c>
      <c r="E354" t="s">
        <v>3222</v>
      </c>
      <c r="F354" t="s">
        <v>3226</v>
      </c>
      <c r="G354" s="4">
        <v>46141.35</v>
      </c>
      <c r="H354" s="4">
        <v>31528.54</v>
      </c>
      <c r="I354" s="3" t="s">
        <v>3734</v>
      </c>
      <c r="J354">
        <v>3</v>
      </c>
      <c r="K354" s="4">
        <f>Table3[[#This Row],[Sales]]-Table3[[#This Row],[Cost]]</f>
        <v>14612.809999999998</v>
      </c>
      <c r="L354" s="6">
        <f>Table3[[#This Row],[Profit]]/Table3[[#This Row],[Sales]]</f>
        <v>0.31669662894562034</v>
      </c>
    </row>
    <row r="355" spans="1:12" x14ac:dyDescent="0.25">
      <c r="A355" t="s">
        <v>372</v>
      </c>
      <c r="B355" s="2">
        <v>45102</v>
      </c>
      <c r="C355" s="2" t="str">
        <f>TEXT(Table3[[#This Row],[Order Date]],"mmmm")</f>
        <v>June</v>
      </c>
      <c r="D355" t="s">
        <v>3220</v>
      </c>
      <c r="E355" t="s">
        <v>3225</v>
      </c>
      <c r="F355" t="s">
        <v>3226</v>
      </c>
      <c r="G355" s="4">
        <v>19533.97</v>
      </c>
      <c r="H355" s="4">
        <v>15344.82</v>
      </c>
      <c r="I355" s="3" t="s">
        <v>3734</v>
      </c>
      <c r="J355">
        <v>1</v>
      </c>
      <c r="K355" s="4">
        <f>Table3[[#This Row],[Sales]]-Table3[[#This Row],[Cost]]</f>
        <v>4189.1500000000015</v>
      </c>
      <c r="L355" s="6">
        <f>Table3[[#This Row],[Profit]]/Table3[[#This Row],[Sales]]</f>
        <v>0.21445461419260914</v>
      </c>
    </row>
    <row r="356" spans="1:12" x14ac:dyDescent="0.25">
      <c r="A356" t="s">
        <v>373</v>
      </c>
      <c r="B356" s="2">
        <v>44941</v>
      </c>
      <c r="C356" s="2" t="str">
        <f>TEXT(Table3[[#This Row],[Order Date]],"mmmm")</f>
        <v>January</v>
      </c>
      <c r="D356" t="s">
        <v>3216</v>
      </c>
      <c r="E356" t="s">
        <v>3223</v>
      </c>
      <c r="F356" t="s">
        <v>3226</v>
      </c>
      <c r="G356" s="4">
        <v>21337.7</v>
      </c>
      <c r="H356" s="4">
        <v>14619.67</v>
      </c>
      <c r="I356" s="3" t="s">
        <v>3734</v>
      </c>
      <c r="J356">
        <v>2</v>
      </c>
      <c r="K356" s="4">
        <f>Table3[[#This Row],[Sales]]-Table3[[#This Row],[Cost]]</f>
        <v>6718.0300000000007</v>
      </c>
      <c r="L356" s="6">
        <f>Table3[[#This Row],[Profit]]/Table3[[#This Row],[Sales]]</f>
        <v>0.31484321178008878</v>
      </c>
    </row>
    <row r="357" spans="1:12" x14ac:dyDescent="0.25">
      <c r="A357" t="s">
        <v>374</v>
      </c>
      <c r="B357" s="2">
        <v>45005</v>
      </c>
      <c r="C357" s="2" t="str">
        <f>TEXT(Table3[[#This Row],[Order Date]],"mmmm")</f>
        <v>March</v>
      </c>
      <c r="D357" t="s">
        <v>3730</v>
      </c>
      <c r="E357" t="s">
        <v>3225</v>
      </c>
      <c r="F357" t="s">
        <v>3226</v>
      </c>
      <c r="G357" s="4">
        <v>60546.239999999998</v>
      </c>
      <c r="H357" s="4">
        <v>40644.11</v>
      </c>
      <c r="I357" s="3" t="s">
        <v>3734</v>
      </c>
      <c r="J357">
        <v>3</v>
      </c>
      <c r="K357" s="4">
        <f>Table3[[#This Row],[Sales]]-Table3[[#This Row],[Cost]]</f>
        <v>19902.129999999997</v>
      </c>
      <c r="L357" s="6">
        <f>Table3[[#This Row],[Profit]]/Table3[[#This Row],[Sales]]</f>
        <v>0.32870959451817316</v>
      </c>
    </row>
    <row r="358" spans="1:12" x14ac:dyDescent="0.25">
      <c r="A358" t="s">
        <v>375</v>
      </c>
      <c r="B358" s="2">
        <v>44941</v>
      </c>
      <c r="C358" s="2" t="str">
        <f>TEXT(Table3[[#This Row],[Order Date]],"mmmm")</f>
        <v>January</v>
      </c>
      <c r="D358" t="s">
        <v>3216</v>
      </c>
      <c r="E358" t="s">
        <v>3223</v>
      </c>
      <c r="F358" t="s">
        <v>3226</v>
      </c>
      <c r="G358" s="4">
        <v>38658.33</v>
      </c>
      <c r="H358" s="4">
        <v>27396.959999999999</v>
      </c>
      <c r="I358" s="3" t="s">
        <v>3734</v>
      </c>
      <c r="J358">
        <v>4</v>
      </c>
      <c r="K358" s="4">
        <f>Table3[[#This Row],[Sales]]-Table3[[#This Row],[Cost]]</f>
        <v>11261.370000000003</v>
      </c>
      <c r="L358" s="6">
        <f>Table3[[#This Row],[Profit]]/Table3[[#This Row],[Sales]]</f>
        <v>0.291305133977593</v>
      </c>
    </row>
    <row r="359" spans="1:12" x14ac:dyDescent="0.25">
      <c r="A359" t="s">
        <v>3281</v>
      </c>
      <c r="B359" s="2">
        <v>45005</v>
      </c>
      <c r="C359" s="2" t="str">
        <f>TEXT(Table3[[#This Row],[Order Date]],"mmmm")</f>
        <v>March</v>
      </c>
      <c r="D359" t="s">
        <v>3216</v>
      </c>
      <c r="E359" t="s">
        <v>3225</v>
      </c>
      <c r="F359" t="s">
        <v>3226</v>
      </c>
      <c r="G359" s="4">
        <v>95047.53</v>
      </c>
      <c r="H359" s="4">
        <v>60652.52</v>
      </c>
      <c r="I359" s="3" t="s">
        <v>3734</v>
      </c>
      <c r="J359">
        <v>4</v>
      </c>
      <c r="K359" s="4">
        <f>Table3[[#This Row],[Sales]]-Table3[[#This Row],[Cost]]</f>
        <v>34395.01</v>
      </c>
      <c r="L359" s="6">
        <f>Table3[[#This Row],[Profit]]/Table3[[#This Row],[Sales]]</f>
        <v>0.36187168672347408</v>
      </c>
    </row>
    <row r="360" spans="1:12" x14ac:dyDescent="0.25">
      <c r="A360" t="s">
        <v>377</v>
      </c>
      <c r="B360" s="2">
        <v>45021</v>
      </c>
      <c r="C360" s="2" t="str">
        <f>TEXT(Table3[[#This Row],[Order Date]],"mmmm")</f>
        <v>April</v>
      </c>
      <c r="D360" t="s">
        <v>3220</v>
      </c>
      <c r="E360" t="s">
        <v>3222</v>
      </c>
      <c r="F360" t="s">
        <v>3226</v>
      </c>
      <c r="G360" s="4">
        <v>72196.7</v>
      </c>
      <c r="H360" s="4">
        <v>53789.88</v>
      </c>
      <c r="I360" s="3" t="s">
        <v>3734</v>
      </c>
      <c r="J360">
        <v>5</v>
      </c>
      <c r="K360" s="4">
        <f>Table3[[#This Row],[Sales]]-Table3[[#This Row],[Cost]]</f>
        <v>18406.82</v>
      </c>
      <c r="L360" s="6">
        <f>Table3[[#This Row],[Profit]]/Table3[[#This Row],[Sales]]</f>
        <v>0.25495375827427014</v>
      </c>
    </row>
    <row r="361" spans="1:12" x14ac:dyDescent="0.25">
      <c r="A361" t="s">
        <v>378</v>
      </c>
      <c r="B361" s="2">
        <v>45021</v>
      </c>
      <c r="C361" s="2" t="str">
        <f>TEXT(Table3[[#This Row],[Order Date]],"mmmm")</f>
        <v>April</v>
      </c>
      <c r="D361" t="s">
        <v>3730</v>
      </c>
      <c r="E361" t="s">
        <v>3222</v>
      </c>
      <c r="F361" t="s">
        <v>3226</v>
      </c>
      <c r="G361" s="4">
        <v>83877.789999999994</v>
      </c>
      <c r="H361" s="4">
        <v>44689.04</v>
      </c>
      <c r="I361" s="3" t="s">
        <v>3734</v>
      </c>
      <c r="J361">
        <v>5</v>
      </c>
      <c r="K361" s="4">
        <f>Table3[[#This Row],[Sales]]-Table3[[#This Row],[Cost]]</f>
        <v>39188.749999999993</v>
      </c>
      <c r="L361" s="6">
        <f>Table3[[#This Row],[Profit]]/Table3[[#This Row],[Sales]]</f>
        <v>0.46721247662819915</v>
      </c>
    </row>
    <row r="362" spans="1:12" x14ac:dyDescent="0.25">
      <c r="A362" t="s">
        <v>3282</v>
      </c>
      <c r="B362" s="2">
        <v>44972</v>
      </c>
      <c r="C362" s="2" t="str">
        <f>TEXT(Table3[[#This Row],[Order Date]],"mmmm")</f>
        <v>February</v>
      </c>
      <c r="D362" t="s">
        <v>3731</v>
      </c>
      <c r="E362" t="s">
        <v>3224</v>
      </c>
      <c r="F362" t="s">
        <v>3226</v>
      </c>
      <c r="G362" s="4">
        <v>134044.54999999999</v>
      </c>
      <c r="H362" s="4">
        <v>90614.9</v>
      </c>
      <c r="I362" s="3" t="s">
        <v>3734</v>
      </c>
      <c r="J362">
        <v>2</v>
      </c>
      <c r="K362" s="4">
        <f>Table3[[#This Row],[Sales]]-Table3[[#This Row],[Cost]]</f>
        <v>43429.649999999994</v>
      </c>
      <c r="L362" s="6">
        <f>Table3[[#This Row],[Profit]]/Table3[[#This Row],[Sales]]</f>
        <v>0.32399414970619839</v>
      </c>
    </row>
    <row r="363" spans="1:12" x14ac:dyDescent="0.25">
      <c r="A363" t="s">
        <v>41</v>
      </c>
      <c r="B363" s="2" t="s">
        <v>3729</v>
      </c>
      <c r="C363" s="2" t="str">
        <f>TEXT(Table3[[#This Row],[Order Date]],"mmmm")</f>
        <v>Not Mentioned</v>
      </c>
      <c r="D363" t="s">
        <v>3730</v>
      </c>
      <c r="E363" t="s">
        <v>3224</v>
      </c>
      <c r="F363" t="s">
        <v>3226</v>
      </c>
      <c r="G363" s="4">
        <v>161146.56</v>
      </c>
      <c r="H363" s="4">
        <v>145409.67000000001</v>
      </c>
      <c r="I363" s="3" t="s">
        <v>3734</v>
      </c>
      <c r="J363">
        <v>3</v>
      </c>
      <c r="K363" s="4">
        <f>Table3[[#This Row],[Sales]]-Table3[[#This Row],[Cost]]</f>
        <v>15736.889999999985</v>
      </c>
      <c r="L363" s="6">
        <f>Table3[[#This Row],[Profit]]/Table3[[#This Row],[Sales]]</f>
        <v>9.7655761314420761E-2</v>
      </c>
    </row>
    <row r="364" spans="1:12" x14ac:dyDescent="0.25">
      <c r="A364" t="s">
        <v>380</v>
      </c>
      <c r="B364" s="2">
        <v>45005</v>
      </c>
      <c r="C364" s="2" t="str">
        <f>TEXT(Table3[[#This Row],[Order Date]],"mmmm")</f>
        <v>March</v>
      </c>
      <c r="D364" t="s">
        <v>3216</v>
      </c>
      <c r="E364" t="s">
        <v>3222</v>
      </c>
      <c r="F364" t="s">
        <v>3226</v>
      </c>
      <c r="G364" s="4">
        <v>16224.5</v>
      </c>
      <c r="H364" s="4">
        <v>10837.93</v>
      </c>
      <c r="I364" s="3" t="s">
        <v>3734</v>
      </c>
      <c r="J364">
        <v>1</v>
      </c>
      <c r="K364" s="4">
        <f>Table3[[#This Row],[Sales]]-Table3[[#This Row],[Cost]]</f>
        <v>5386.57</v>
      </c>
      <c r="L364" s="6">
        <f>Table3[[#This Row],[Profit]]/Table3[[#This Row],[Sales]]</f>
        <v>0.33200221886652898</v>
      </c>
    </row>
    <row r="365" spans="1:12" x14ac:dyDescent="0.25">
      <c r="A365" t="s">
        <v>381</v>
      </c>
      <c r="B365" s="2" t="s">
        <v>3729</v>
      </c>
      <c r="C365" s="2" t="str">
        <f>TEXT(Table3[[#This Row],[Order Date]],"mmmm")</f>
        <v>Not Mentioned</v>
      </c>
      <c r="D365" t="s">
        <v>3220</v>
      </c>
      <c r="E365" t="s">
        <v>3222</v>
      </c>
      <c r="F365" t="s">
        <v>3226</v>
      </c>
      <c r="G365" s="4">
        <v>14809.98</v>
      </c>
      <c r="H365" s="4">
        <v>10433.879999999999</v>
      </c>
      <c r="I365" s="3" t="s">
        <v>3734</v>
      </c>
      <c r="J365">
        <v>1</v>
      </c>
      <c r="K365" s="4">
        <f>Table3[[#This Row],[Sales]]-Table3[[#This Row],[Cost]]</f>
        <v>4376.1000000000004</v>
      </c>
      <c r="L365" s="6">
        <f>Table3[[#This Row],[Profit]]/Table3[[#This Row],[Sales]]</f>
        <v>0.29548318093609854</v>
      </c>
    </row>
    <row r="366" spans="1:12" x14ac:dyDescent="0.25">
      <c r="A366" t="s">
        <v>3283</v>
      </c>
      <c r="B366" s="2" t="s">
        <v>3729</v>
      </c>
      <c r="C366" s="2" t="str">
        <f>TEXT(Table3[[#This Row],[Order Date]],"mmmm")</f>
        <v>Not Mentioned</v>
      </c>
      <c r="D366" t="s">
        <v>3216</v>
      </c>
      <c r="E366" t="s">
        <v>3223</v>
      </c>
      <c r="F366" t="s">
        <v>3226</v>
      </c>
      <c r="G366" s="4">
        <v>33044.81</v>
      </c>
      <c r="H366" s="4">
        <v>18981.38</v>
      </c>
      <c r="I366" s="3" t="s">
        <v>3734</v>
      </c>
      <c r="J366">
        <v>3</v>
      </c>
      <c r="K366" s="4">
        <f>Table3[[#This Row],[Sales]]-Table3[[#This Row],[Cost]]</f>
        <v>14063.429999999997</v>
      </c>
      <c r="L366" s="6">
        <f>Table3[[#This Row],[Profit]]/Table3[[#This Row],[Sales]]</f>
        <v>0.42558665036960414</v>
      </c>
    </row>
    <row r="367" spans="1:12" x14ac:dyDescent="0.25">
      <c r="A367" t="s">
        <v>383</v>
      </c>
      <c r="B367" s="2" t="s">
        <v>3729</v>
      </c>
      <c r="C367" s="2" t="str">
        <f>TEXT(Table3[[#This Row],[Order Date]],"mmmm")</f>
        <v>Not Mentioned</v>
      </c>
      <c r="D367" t="s">
        <v>3220</v>
      </c>
      <c r="E367" t="s">
        <v>3224</v>
      </c>
      <c r="F367" t="s">
        <v>3226</v>
      </c>
      <c r="G367" s="4">
        <v>201704.1</v>
      </c>
      <c r="H367" s="4">
        <v>127983.16</v>
      </c>
      <c r="I367" s="3" t="s">
        <v>3734</v>
      </c>
      <c r="J367">
        <v>3</v>
      </c>
      <c r="K367" s="4">
        <f>Table3[[#This Row],[Sales]]-Table3[[#This Row],[Cost]]</f>
        <v>73720.94</v>
      </c>
      <c r="L367" s="6">
        <f>Table3[[#This Row],[Profit]]/Table3[[#This Row],[Sales]]</f>
        <v>0.36549053787206109</v>
      </c>
    </row>
    <row r="368" spans="1:12" x14ac:dyDescent="0.25">
      <c r="A368" t="s">
        <v>3284</v>
      </c>
      <c r="B368" s="2">
        <v>44972</v>
      </c>
      <c r="C368" s="2" t="str">
        <f>TEXT(Table3[[#This Row],[Order Date]],"mmmm")</f>
        <v>February</v>
      </c>
      <c r="D368" t="s">
        <v>3731</v>
      </c>
      <c r="E368" t="s">
        <v>3225</v>
      </c>
      <c r="F368" t="s">
        <v>3226</v>
      </c>
      <c r="G368" s="4">
        <v>109977.04</v>
      </c>
      <c r="H368" s="4">
        <v>87981.631999999998</v>
      </c>
      <c r="I368" s="3" t="s">
        <v>3735</v>
      </c>
      <c r="J368">
        <v>5</v>
      </c>
      <c r="K368" s="4">
        <f>Table3[[#This Row],[Sales]]-Table3[[#This Row],[Cost]]</f>
        <v>21995.407999999996</v>
      </c>
      <c r="L368" s="6">
        <f>Table3[[#This Row],[Profit]]/Table3[[#This Row],[Sales]]</f>
        <v>0.19999999999999998</v>
      </c>
    </row>
    <row r="369" spans="1:12" x14ac:dyDescent="0.25">
      <c r="A369" t="s">
        <v>385</v>
      </c>
      <c r="B369" s="2" t="s">
        <v>3729</v>
      </c>
      <c r="C369" s="2" t="str">
        <f>TEXT(Table3[[#This Row],[Order Date]],"mmmm")</f>
        <v>Not Mentioned</v>
      </c>
      <c r="D369" t="s">
        <v>3730</v>
      </c>
      <c r="E369" t="s">
        <v>3222</v>
      </c>
      <c r="F369" t="s">
        <v>3226</v>
      </c>
      <c r="G369" s="4">
        <v>62335.02</v>
      </c>
      <c r="H369" s="4">
        <v>40533.83</v>
      </c>
      <c r="I369" s="3" t="s">
        <v>3734</v>
      </c>
      <c r="J369">
        <v>4</v>
      </c>
      <c r="K369" s="4">
        <f>Table3[[#This Row],[Sales]]-Table3[[#This Row],[Cost]]</f>
        <v>21801.189999999995</v>
      </c>
      <c r="L369" s="6">
        <f>Table3[[#This Row],[Profit]]/Table3[[#This Row],[Sales]]</f>
        <v>0.34974224761618744</v>
      </c>
    </row>
    <row r="370" spans="1:12" x14ac:dyDescent="0.25">
      <c r="A370" t="s">
        <v>386</v>
      </c>
      <c r="B370" s="2">
        <v>45021</v>
      </c>
      <c r="C370" s="2" t="str">
        <f>TEXT(Table3[[#This Row],[Order Date]],"mmmm")</f>
        <v>April</v>
      </c>
      <c r="D370" t="s">
        <v>3731</v>
      </c>
      <c r="E370" t="s">
        <v>3224</v>
      </c>
      <c r="F370" t="s">
        <v>3226</v>
      </c>
      <c r="G370" s="4">
        <v>168463.46</v>
      </c>
      <c r="H370" s="4">
        <v>130127.15</v>
      </c>
      <c r="I370" s="3" t="s">
        <v>3734</v>
      </c>
      <c r="J370">
        <v>3</v>
      </c>
      <c r="K370" s="4">
        <f>Table3[[#This Row],[Sales]]-Table3[[#This Row],[Cost]]</f>
        <v>38336.31</v>
      </c>
      <c r="L370" s="6">
        <f>Table3[[#This Row],[Profit]]/Table3[[#This Row],[Sales]]</f>
        <v>0.2275645412957801</v>
      </c>
    </row>
    <row r="371" spans="1:12" x14ac:dyDescent="0.25">
      <c r="A371" t="s">
        <v>387</v>
      </c>
      <c r="B371" s="2">
        <v>45021</v>
      </c>
      <c r="C371" s="2" t="str">
        <f>TEXT(Table3[[#This Row],[Order Date]],"mmmm")</f>
        <v>April</v>
      </c>
      <c r="D371" t="s">
        <v>3220</v>
      </c>
      <c r="E371" t="s">
        <v>3225</v>
      </c>
      <c r="F371" t="s">
        <v>3226</v>
      </c>
      <c r="G371" s="4">
        <v>68388.820000000007</v>
      </c>
      <c r="H371" s="4">
        <v>36634.39</v>
      </c>
      <c r="I371" s="3" t="s">
        <v>3734</v>
      </c>
      <c r="J371">
        <v>3</v>
      </c>
      <c r="K371" s="4">
        <f>Table3[[#This Row],[Sales]]-Table3[[#This Row],[Cost]]</f>
        <v>31754.430000000008</v>
      </c>
      <c r="L371" s="6">
        <f>Table3[[#This Row],[Profit]]/Table3[[#This Row],[Sales]]</f>
        <v>0.46432194618945033</v>
      </c>
    </row>
    <row r="372" spans="1:12" x14ac:dyDescent="0.25">
      <c r="A372" t="s">
        <v>388</v>
      </c>
      <c r="B372" s="2">
        <v>45005</v>
      </c>
      <c r="C372" s="2" t="str">
        <f>TEXT(Table3[[#This Row],[Order Date]],"mmmm")</f>
        <v>March</v>
      </c>
      <c r="D372" t="s">
        <v>3730</v>
      </c>
      <c r="E372" t="s">
        <v>3223</v>
      </c>
      <c r="F372" t="s">
        <v>3226</v>
      </c>
      <c r="G372" s="4">
        <v>25108.33</v>
      </c>
      <c r="H372" s="4">
        <v>18704.650000000001</v>
      </c>
      <c r="I372" s="3" t="s">
        <v>3734</v>
      </c>
      <c r="J372">
        <v>3</v>
      </c>
      <c r="K372" s="4">
        <f>Table3[[#This Row],[Sales]]-Table3[[#This Row],[Cost]]</f>
        <v>6403.68</v>
      </c>
      <c r="L372" s="6">
        <f>Table3[[#This Row],[Profit]]/Table3[[#This Row],[Sales]]</f>
        <v>0.25504205178122158</v>
      </c>
    </row>
    <row r="373" spans="1:12" x14ac:dyDescent="0.25">
      <c r="A373" t="s">
        <v>389</v>
      </c>
      <c r="B373" s="2">
        <v>44941</v>
      </c>
      <c r="C373" s="2" t="str">
        <f>TEXT(Table3[[#This Row],[Order Date]],"mmmm")</f>
        <v>January</v>
      </c>
      <c r="D373" t="s">
        <v>3731</v>
      </c>
      <c r="E373" t="s">
        <v>3223</v>
      </c>
      <c r="F373" t="s">
        <v>3226</v>
      </c>
      <c r="G373" s="4">
        <v>23238.13</v>
      </c>
      <c r="H373" s="4">
        <v>14166.31</v>
      </c>
      <c r="I373" s="3" t="s">
        <v>3734</v>
      </c>
      <c r="J373">
        <v>2</v>
      </c>
      <c r="K373" s="4">
        <f>Table3[[#This Row],[Sales]]-Table3[[#This Row],[Cost]]</f>
        <v>9071.8200000000015</v>
      </c>
      <c r="L373" s="6">
        <f>Table3[[#This Row],[Profit]]/Table3[[#This Row],[Sales]]</f>
        <v>0.3903851127435814</v>
      </c>
    </row>
    <row r="374" spans="1:12" x14ac:dyDescent="0.25">
      <c r="A374" t="s">
        <v>390</v>
      </c>
      <c r="B374" s="2">
        <v>44941</v>
      </c>
      <c r="C374" s="2" t="str">
        <f>TEXT(Table3[[#This Row],[Order Date]],"mmmm")</f>
        <v>January</v>
      </c>
      <c r="D374" t="s">
        <v>3220</v>
      </c>
      <c r="E374" t="s">
        <v>3223</v>
      </c>
      <c r="F374" t="s">
        <v>3226</v>
      </c>
      <c r="G374" s="4">
        <v>10654.09</v>
      </c>
      <c r="H374" s="4">
        <v>6669.6</v>
      </c>
      <c r="I374" s="3" t="s">
        <v>3734</v>
      </c>
      <c r="J374">
        <v>1</v>
      </c>
      <c r="K374" s="4">
        <f>Table3[[#This Row],[Sales]]-Table3[[#This Row],[Cost]]</f>
        <v>3984.49</v>
      </c>
      <c r="L374" s="6">
        <f>Table3[[#This Row],[Profit]]/Table3[[#This Row],[Sales]]</f>
        <v>0.37398689141916386</v>
      </c>
    </row>
    <row r="375" spans="1:12" x14ac:dyDescent="0.25">
      <c r="A375" t="s">
        <v>391</v>
      </c>
      <c r="B375" s="2">
        <v>45021</v>
      </c>
      <c r="C375" s="2" t="str">
        <f>TEXT(Table3[[#This Row],[Order Date]],"mmmm")</f>
        <v>April</v>
      </c>
      <c r="D375" t="s">
        <v>3220</v>
      </c>
      <c r="E375" t="s">
        <v>3224</v>
      </c>
      <c r="F375" t="s">
        <v>3226</v>
      </c>
      <c r="G375" s="4">
        <v>104862.36</v>
      </c>
      <c r="H375" s="4">
        <v>84197.42</v>
      </c>
      <c r="I375" s="3" t="s">
        <v>3734</v>
      </c>
      <c r="J375">
        <v>2</v>
      </c>
      <c r="K375" s="4">
        <f>Table3[[#This Row],[Sales]]-Table3[[#This Row],[Cost]]</f>
        <v>20664.940000000002</v>
      </c>
      <c r="L375" s="6">
        <f>Table3[[#This Row],[Profit]]/Table3[[#This Row],[Sales]]</f>
        <v>0.19706727943181904</v>
      </c>
    </row>
    <row r="376" spans="1:12" x14ac:dyDescent="0.25">
      <c r="A376" t="s">
        <v>3285</v>
      </c>
      <c r="B376" s="2">
        <v>45021</v>
      </c>
      <c r="C376" s="2" t="str">
        <f>TEXT(Table3[[#This Row],[Order Date]],"mmmm")</f>
        <v>April</v>
      </c>
      <c r="D376" t="s">
        <v>3731</v>
      </c>
      <c r="E376" t="s">
        <v>3224</v>
      </c>
      <c r="F376" t="s">
        <v>3226</v>
      </c>
      <c r="G376" s="4">
        <v>110397.22</v>
      </c>
      <c r="H376" s="4">
        <v>89911.84</v>
      </c>
      <c r="I376" s="3" t="s">
        <v>3734</v>
      </c>
      <c r="J376">
        <v>2</v>
      </c>
      <c r="K376" s="4">
        <f>Table3[[#This Row],[Sales]]-Table3[[#This Row],[Cost]]</f>
        <v>20485.380000000005</v>
      </c>
      <c r="L376" s="6">
        <f>Table3[[#This Row],[Profit]]/Table3[[#This Row],[Sales]]</f>
        <v>0.18556065089320187</v>
      </c>
    </row>
    <row r="377" spans="1:12" x14ac:dyDescent="0.25">
      <c r="A377" t="s">
        <v>393</v>
      </c>
      <c r="B377" s="2">
        <v>45005</v>
      </c>
      <c r="C377" s="2" t="str">
        <f>TEXT(Table3[[#This Row],[Order Date]],"mmmm")</f>
        <v>March</v>
      </c>
      <c r="D377" t="s">
        <v>3730</v>
      </c>
      <c r="E377" t="s">
        <v>3225</v>
      </c>
      <c r="F377" t="s">
        <v>3226</v>
      </c>
      <c r="G377" s="4">
        <v>112839.24</v>
      </c>
      <c r="H377" s="4">
        <v>69415.59</v>
      </c>
      <c r="I377" s="3" t="s">
        <v>3734</v>
      </c>
      <c r="J377">
        <v>5</v>
      </c>
      <c r="K377" s="4">
        <f>Table3[[#This Row],[Sales]]-Table3[[#This Row],[Cost]]</f>
        <v>43423.650000000009</v>
      </c>
      <c r="L377" s="6">
        <f>Table3[[#This Row],[Profit]]/Table3[[#This Row],[Sales]]</f>
        <v>0.38482756530441015</v>
      </c>
    </row>
    <row r="378" spans="1:12" x14ac:dyDescent="0.25">
      <c r="A378" t="s">
        <v>394</v>
      </c>
      <c r="B378" s="2">
        <v>44972</v>
      </c>
      <c r="C378" s="2" t="str">
        <f>TEXT(Table3[[#This Row],[Order Date]],"mmmm")</f>
        <v>February</v>
      </c>
      <c r="D378" t="s">
        <v>3220</v>
      </c>
      <c r="E378" t="s">
        <v>3223</v>
      </c>
      <c r="F378" t="s">
        <v>3226</v>
      </c>
      <c r="G378" s="4">
        <v>41974.74</v>
      </c>
      <c r="H378" s="4">
        <v>30412.03</v>
      </c>
      <c r="I378" s="3" t="s">
        <v>3734</v>
      </c>
      <c r="J378">
        <v>5</v>
      </c>
      <c r="K378" s="4">
        <f>Table3[[#This Row],[Sales]]-Table3[[#This Row],[Cost]]</f>
        <v>11562.71</v>
      </c>
      <c r="L378" s="6">
        <f>Table3[[#This Row],[Profit]]/Table3[[#This Row],[Sales]]</f>
        <v>0.27546829354988261</v>
      </c>
    </row>
    <row r="379" spans="1:12" x14ac:dyDescent="0.25">
      <c r="A379" t="s">
        <v>395</v>
      </c>
      <c r="B379" s="2">
        <v>45102</v>
      </c>
      <c r="C379" s="2" t="str">
        <f>TEXT(Table3[[#This Row],[Order Date]],"mmmm")</f>
        <v>June</v>
      </c>
      <c r="D379" t="s">
        <v>3220</v>
      </c>
      <c r="E379" t="s">
        <v>3223</v>
      </c>
      <c r="F379" t="s">
        <v>3226</v>
      </c>
      <c r="G379" s="4">
        <v>41871.1</v>
      </c>
      <c r="H379" s="4">
        <v>29844.26</v>
      </c>
      <c r="I379" s="3" t="s">
        <v>3734</v>
      </c>
      <c r="J379">
        <v>4</v>
      </c>
      <c r="K379" s="4">
        <f>Table3[[#This Row],[Sales]]-Table3[[#This Row],[Cost]]</f>
        <v>12026.84</v>
      </c>
      <c r="L379" s="6">
        <f>Table3[[#This Row],[Profit]]/Table3[[#This Row],[Sales]]</f>
        <v>0.2872348708297609</v>
      </c>
    </row>
    <row r="380" spans="1:12" x14ac:dyDescent="0.25">
      <c r="A380" t="s">
        <v>3286</v>
      </c>
      <c r="B380" s="2">
        <v>44941</v>
      </c>
      <c r="C380" s="2" t="str">
        <f>TEXT(Table3[[#This Row],[Order Date]],"mmmm")</f>
        <v>January</v>
      </c>
      <c r="D380" t="s">
        <v>3220</v>
      </c>
      <c r="E380" t="s">
        <v>3223</v>
      </c>
      <c r="F380" t="s">
        <v>3226</v>
      </c>
      <c r="G380" s="4">
        <v>22348.57</v>
      </c>
      <c r="H380" s="4">
        <v>12011.22</v>
      </c>
      <c r="I380" s="3" t="s">
        <v>3734</v>
      </c>
      <c r="J380">
        <v>2</v>
      </c>
      <c r="K380" s="4">
        <f>Table3[[#This Row],[Sales]]-Table3[[#This Row],[Cost]]</f>
        <v>10337.35</v>
      </c>
      <c r="L380" s="6">
        <f>Table3[[#This Row],[Profit]]/Table3[[#This Row],[Sales]]</f>
        <v>0.46255084777236311</v>
      </c>
    </row>
    <row r="381" spans="1:12" x14ac:dyDescent="0.25">
      <c r="A381" t="s">
        <v>397</v>
      </c>
      <c r="B381" s="2">
        <v>45102</v>
      </c>
      <c r="C381" s="2" t="str">
        <f>TEXT(Table3[[#This Row],[Order Date]],"mmmm")</f>
        <v>June</v>
      </c>
      <c r="D381" t="s">
        <v>3220</v>
      </c>
      <c r="E381" t="s">
        <v>3223</v>
      </c>
      <c r="F381" t="s">
        <v>3226</v>
      </c>
      <c r="G381" s="4">
        <v>52279.41</v>
      </c>
      <c r="H381" s="4">
        <v>31962.51</v>
      </c>
      <c r="I381" s="3" t="s">
        <v>3734</v>
      </c>
      <c r="J381">
        <v>5</v>
      </c>
      <c r="K381" s="4">
        <f>Table3[[#This Row],[Sales]]-Table3[[#This Row],[Cost]]</f>
        <v>20316.900000000005</v>
      </c>
      <c r="L381" s="6">
        <f>Table3[[#This Row],[Profit]]/Table3[[#This Row],[Sales]]</f>
        <v>0.38862144771717977</v>
      </c>
    </row>
    <row r="382" spans="1:12" x14ac:dyDescent="0.25">
      <c r="A382" t="s">
        <v>398</v>
      </c>
      <c r="B382" s="2" t="s">
        <v>3729</v>
      </c>
      <c r="C382" s="2" t="str">
        <f>TEXT(Table3[[#This Row],[Order Date]],"mmmm")</f>
        <v>Not Mentioned</v>
      </c>
      <c r="D382" t="s">
        <v>3730</v>
      </c>
      <c r="E382" t="s">
        <v>3222</v>
      </c>
      <c r="F382" t="s">
        <v>3226</v>
      </c>
      <c r="G382" s="4">
        <v>13969.08</v>
      </c>
      <c r="H382" s="4">
        <v>11175.264000000001</v>
      </c>
      <c r="I382" s="3" t="s">
        <v>3735</v>
      </c>
      <c r="J382">
        <v>1</v>
      </c>
      <c r="K382" s="4">
        <f>Table3[[#This Row],[Sales]]-Table3[[#This Row],[Cost]]</f>
        <v>2793.8159999999989</v>
      </c>
      <c r="L382" s="6">
        <f>Table3[[#This Row],[Profit]]/Table3[[#This Row],[Sales]]</f>
        <v>0.19999999999999993</v>
      </c>
    </row>
    <row r="383" spans="1:12" x14ac:dyDescent="0.25">
      <c r="A383" t="s">
        <v>399</v>
      </c>
      <c r="B383" s="2">
        <v>44972</v>
      </c>
      <c r="C383" s="2" t="str">
        <f>TEXT(Table3[[#This Row],[Order Date]],"mmmm")</f>
        <v>February</v>
      </c>
      <c r="D383" t="s">
        <v>3730</v>
      </c>
      <c r="E383" t="s">
        <v>3222</v>
      </c>
      <c r="F383" t="s">
        <v>3226</v>
      </c>
      <c r="G383" s="4">
        <v>71538.33</v>
      </c>
      <c r="H383" s="4">
        <v>48239.05</v>
      </c>
      <c r="I383" s="3" t="s">
        <v>3734</v>
      </c>
      <c r="J383">
        <v>5</v>
      </c>
      <c r="K383" s="4">
        <f>Table3[[#This Row],[Sales]]-Table3[[#This Row],[Cost]]</f>
        <v>23299.279999999999</v>
      </c>
      <c r="L383" s="6">
        <f>Table3[[#This Row],[Profit]]/Table3[[#This Row],[Sales]]</f>
        <v>0.32568945906341396</v>
      </c>
    </row>
    <row r="384" spans="1:12" x14ac:dyDescent="0.25">
      <c r="A384" t="s">
        <v>400</v>
      </c>
      <c r="B384" s="2">
        <v>45102</v>
      </c>
      <c r="C384" s="2" t="str">
        <f>TEXT(Table3[[#This Row],[Order Date]],"mmmm")</f>
        <v>June</v>
      </c>
      <c r="D384" t="s">
        <v>3216</v>
      </c>
      <c r="E384" t="s">
        <v>3222</v>
      </c>
      <c r="F384" t="s">
        <v>3226</v>
      </c>
      <c r="G384" s="4">
        <v>69354.06</v>
      </c>
      <c r="H384" s="4">
        <v>45622.15</v>
      </c>
      <c r="I384" s="3" t="s">
        <v>3734</v>
      </c>
      <c r="J384">
        <v>5</v>
      </c>
      <c r="K384" s="4">
        <f>Table3[[#This Row],[Sales]]-Table3[[#This Row],[Cost]]</f>
        <v>23731.909999999996</v>
      </c>
      <c r="L384" s="6">
        <f>Table3[[#This Row],[Profit]]/Table3[[#This Row],[Sales]]</f>
        <v>0.34218486992686509</v>
      </c>
    </row>
    <row r="385" spans="1:12" x14ac:dyDescent="0.25">
      <c r="A385" t="s">
        <v>401</v>
      </c>
      <c r="B385" s="2">
        <v>45021</v>
      </c>
      <c r="C385" s="2" t="str">
        <f>TEXT(Table3[[#This Row],[Order Date]],"mmmm")</f>
        <v>April</v>
      </c>
      <c r="D385" t="s">
        <v>3730</v>
      </c>
      <c r="E385" t="s">
        <v>3222</v>
      </c>
      <c r="F385" t="s">
        <v>3226</v>
      </c>
      <c r="G385" s="4">
        <v>49924.3</v>
      </c>
      <c r="H385" s="4">
        <v>25830.3</v>
      </c>
      <c r="I385" s="3" t="s">
        <v>3734</v>
      </c>
      <c r="J385">
        <v>3</v>
      </c>
      <c r="K385" s="4">
        <f>Table3[[#This Row],[Sales]]-Table3[[#This Row],[Cost]]</f>
        <v>24094.000000000004</v>
      </c>
      <c r="L385" s="6">
        <f>Table3[[#This Row],[Profit]]/Table3[[#This Row],[Sales]]</f>
        <v>0.48261067255825324</v>
      </c>
    </row>
    <row r="386" spans="1:12" x14ac:dyDescent="0.25">
      <c r="A386" t="s">
        <v>3287</v>
      </c>
      <c r="B386" s="2" t="s">
        <v>3729</v>
      </c>
      <c r="C386" s="2" t="str">
        <f>TEXT(Table3[[#This Row],[Order Date]],"mmmm")</f>
        <v>Not Mentioned</v>
      </c>
      <c r="D386" t="s">
        <v>3216</v>
      </c>
      <c r="E386" t="s">
        <v>3224</v>
      </c>
      <c r="F386" t="s">
        <v>3226</v>
      </c>
      <c r="G386" s="4">
        <v>69582.25</v>
      </c>
      <c r="H386" s="4">
        <v>49075.44</v>
      </c>
      <c r="I386" s="3" t="s">
        <v>3734</v>
      </c>
      <c r="J386">
        <v>1</v>
      </c>
      <c r="K386" s="4">
        <f>Table3[[#This Row],[Sales]]-Table3[[#This Row],[Cost]]</f>
        <v>20506.809999999998</v>
      </c>
      <c r="L386" s="6">
        <f>Table3[[#This Row],[Profit]]/Table3[[#This Row],[Sales]]</f>
        <v>0.29471323505635416</v>
      </c>
    </row>
    <row r="387" spans="1:12" x14ac:dyDescent="0.25">
      <c r="A387" t="s">
        <v>403</v>
      </c>
      <c r="B387" s="2" t="s">
        <v>3729</v>
      </c>
      <c r="C387" s="2" t="str">
        <f>TEXT(Table3[[#This Row],[Order Date]],"mmmm")</f>
        <v>Not Mentioned</v>
      </c>
      <c r="D387" t="s">
        <v>3731</v>
      </c>
      <c r="E387" t="s">
        <v>3223</v>
      </c>
      <c r="F387" t="s">
        <v>3226</v>
      </c>
      <c r="G387" s="4">
        <v>24349.86</v>
      </c>
      <c r="H387" s="4">
        <v>22613.06</v>
      </c>
      <c r="I387" s="3" t="s">
        <v>3734</v>
      </c>
      <c r="J387">
        <v>3</v>
      </c>
      <c r="K387" s="4">
        <f>Table3[[#This Row],[Sales]]-Table3[[#This Row],[Cost]]</f>
        <v>1736.7999999999993</v>
      </c>
      <c r="L387" s="6">
        <f>Table3[[#This Row],[Profit]]/Table3[[#This Row],[Sales]]</f>
        <v>7.1326898799418115E-2</v>
      </c>
    </row>
    <row r="388" spans="1:12" x14ac:dyDescent="0.25">
      <c r="A388" t="s">
        <v>404</v>
      </c>
      <c r="B388" s="2">
        <v>45005</v>
      </c>
      <c r="C388" s="2" t="str">
        <f>TEXT(Table3[[#This Row],[Order Date]],"mmmm")</f>
        <v>March</v>
      </c>
      <c r="D388" t="s">
        <v>3220</v>
      </c>
      <c r="E388" t="s">
        <v>3222</v>
      </c>
      <c r="F388" t="s">
        <v>3226</v>
      </c>
      <c r="G388" s="4">
        <v>13878.3</v>
      </c>
      <c r="H388" s="4">
        <v>11102.64</v>
      </c>
      <c r="I388" s="3" t="s">
        <v>3735</v>
      </c>
      <c r="J388">
        <v>1</v>
      </c>
      <c r="K388" s="4">
        <f>Table3[[#This Row],[Sales]]-Table3[[#This Row],[Cost]]</f>
        <v>2775.66</v>
      </c>
      <c r="L388" s="6">
        <f>Table3[[#This Row],[Profit]]/Table3[[#This Row],[Sales]]</f>
        <v>0.2</v>
      </c>
    </row>
    <row r="389" spans="1:12" x14ac:dyDescent="0.25">
      <c r="A389" t="s">
        <v>405</v>
      </c>
      <c r="B389" s="2" t="s">
        <v>3729</v>
      </c>
      <c r="C389" s="2" t="str">
        <f>TEXT(Table3[[#This Row],[Order Date]],"mmmm")</f>
        <v>Not Mentioned</v>
      </c>
      <c r="D389" t="s">
        <v>3730</v>
      </c>
      <c r="E389" t="s">
        <v>3225</v>
      </c>
      <c r="F389" t="s">
        <v>3226</v>
      </c>
      <c r="G389" s="4">
        <v>32688.84</v>
      </c>
      <c r="H389" s="4">
        <v>29266.75</v>
      </c>
      <c r="I389" s="3" t="s">
        <v>3734</v>
      </c>
      <c r="J389">
        <v>2</v>
      </c>
      <c r="K389" s="4">
        <f>Table3[[#This Row],[Sales]]-Table3[[#This Row],[Cost]]</f>
        <v>3422.09</v>
      </c>
      <c r="L389" s="6">
        <f>Table3[[#This Row],[Profit]]/Table3[[#This Row],[Sales]]</f>
        <v>0.10468679830792406</v>
      </c>
    </row>
    <row r="390" spans="1:12" x14ac:dyDescent="0.25">
      <c r="A390" t="s">
        <v>406</v>
      </c>
      <c r="B390" s="2">
        <v>44972</v>
      </c>
      <c r="C390" s="2" t="str">
        <f>TEXT(Table3[[#This Row],[Order Date]],"mmmm")</f>
        <v>February</v>
      </c>
      <c r="D390" t="s">
        <v>3216</v>
      </c>
      <c r="E390" t="s">
        <v>3224</v>
      </c>
      <c r="F390" t="s">
        <v>3226</v>
      </c>
      <c r="G390" s="4">
        <v>228387.89</v>
      </c>
      <c r="H390" s="4">
        <v>194177.73</v>
      </c>
      <c r="I390" s="3" t="s">
        <v>3734</v>
      </c>
      <c r="J390">
        <v>4</v>
      </c>
      <c r="K390" s="4">
        <f>Table3[[#This Row],[Sales]]-Table3[[#This Row],[Cost]]</f>
        <v>34210.160000000003</v>
      </c>
      <c r="L390" s="6">
        <f>Table3[[#This Row],[Profit]]/Table3[[#This Row],[Sales]]</f>
        <v>0.14978972834330226</v>
      </c>
    </row>
    <row r="391" spans="1:12" x14ac:dyDescent="0.25">
      <c r="A391" t="s">
        <v>407</v>
      </c>
      <c r="B391" s="2" t="s">
        <v>3729</v>
      </c>
      <c r="C391" s="2" t="str">
        <f>TEXT(Table3[[#This Row],[Order Date]],"mmmm")</f>
        <v>Not Mentioned</v>
      </c>
      <c r="D391" t="s">
        <v>3220</v>
      </c>
      <c r="E391" t="s">
        <v>3225</v>
      </c>
      <c r="F391" t="s">
        <v>3226</v>
      </c>
      <c r="G391" s="4">
        <v>61425.73</v>
      </c>
      <c r="H391" s="4">
        <v>44399.13</v>
      </c>
      <c r="I391" s="3" t="s">
        <v>3734</v>
      </c>
      <c r="J391">
        <v>3</v>
      </c>
      <c r="K391" s="4">
        <f>Table3[[#This Row],[Sales]]-Table3[[#This Row],[Cost]]</f>
        <v>17026.600000000006</v>
      </c>
      <c r="L391" s="6">
        <f>Table3[[#This Row],[Profit]]/Table3[[#This Row],[Sales]]</f>
        <v>0.27719003095282718</v>
      </c>
    </row>
    <row r="392" spans="1:12" x14ac:dyDescent="0.25">
      <c r="A392" t="s">
        <v>3288</v>
      </c>
      <c r="B392" s="2">
        <v>44941</v>
      </c>
      <c r="C392" s="2" t="str">
        <f>TEXT(Table3[[#This Row],[Order Date]],"mmmm")</f>
        <v>January</v>
      </c>
      <c r="D392" t="s">
        <v>3730</v>
      </c>
      <c r="E392" t="s">
        <v>3222</v>
      </c>
      <c r="F392" t="s">
        <v>3226</v>
      </c>
      <c r="G392" s="4">
        <v>14401.27</v>
      </c>
      <c r="H392" s="4">
        <v>10458.24</v>
      </c>
      <c r="I392" s="3" t="s">
        <v>3734</v>
      </c>
      <c r="J392" t="s">
        <v>3732</v>
      </c>
      <c r="K392" s="4">
        <f>Table3[[#This Row],[Sales]]-Table3[[#This Row],[Cost]]</f>
        <v>3943.0300000000007</v>
      </c>
      <c r="L392" s="6">
        <f>Table3[[#This Row],[Profit]]/Table3[[#This Row],[Sales]]</f>
        <v>0.27379738036992574</v>
      </c>
    </row>
    <row r="393" spans="1:12" x14ac:dyDescent="0.25">
      <c r="A393" t="s">
        <v>3289</v>
      </c>
      <c r="B393" s="2">
        <v>44941</v>
      </c>
      <c r="C393" s="2" t="str">
        <f>TEXT(Table3[[#This Row],[Order Date]],"mmmm")</f>
        <v>January</v>
      </c>
      <c r="D393" t="s">
        <v>3730</v>
      </c>
      <c r="E393" t="s">
        <v>3224</v>
      </c>
      <c r="F393" t="s">
        <v>3226</v>
      </c>
      <c r="G393" s="4">
        <v>211574.14</v>
      </c>
      <c r="H393" s="4">
        <v>120864.94</v>
      </c>
      <c r="I393" s="3" t="s">
        <v>3734</v>
      </c>
      <c r="J393">
        <v>3</v>
      </c>
      <c r="K393" s="4">
        <f>Table3[[#This Row],[Sales]]-Table3[[#This Row],[Cost]]</f>
        <v>90709.200000000012</v>
      </c>
      <c r="L393" s="6">
        <f>Table3[[#This Row],[Profit]]/Table3[[#This Row],[Sales]]</f>
        <v>0.42873481607912955</v>
      </c>
    </row>
    <row r="394" spans="1:12" x14ac:dyDescent="0.25">
      <c r="A394" t="s">
        <v>411</v>
      </c>
      <c r="B394" s="2">
        <v>44972</v>
      </c>
      <c r="C394" s="2" t="str">
        <f>TEXT(Table3[[#This Row],[Order Date]],"mmmm")</f>
        <v>February</v>
      </c>
      <c r="D394" t="s">
        <v>3730</v>
      </c>
      <c r="E394" t="s">
        <v>3222</v>
      </c>
      <c r="F394" t="s">
        <v>3226</v>
      </c>
      <c r="G394" s="4">
        <v>50942.720000000001</v>
      </c>
      <c r="H394" s="4">
        <v>32611.89</v>
      </c>
      <c r="I394" s="3" t="s">
        <v>3734</v>
      </c>
      <c r="J394">
        <v>3</v>
      </c>
      <c r="K394" s="4">
        <f>Table3[[#This Row],[Sales]]-Table3[[#This Row],[Cost]]</f>
        <v>18330.830000000002</v>
      </c>
      <c r="L394" s="6">
        <f>Table3[[#This Row],[Profit]]/Table3[[#This Row],[Sales]]</f>
        <v>0.35983218014271717</v>
      </c>
    </row>
    <row r="395" spans="1:12" x14ac:dyDescent="0.25">
      <c r="A395" t="s">
        <v>413</v>
      </c>
      <c r="B395" s="2">
        <v>45021</v>
      </c>
      <c r="C395" s="2" t="str">
        <f>TEXT(Table3[[#This Row],[Order Date]],"mmmm")</f>
        <v>April</v>
      </c>
      <c r="D395" t="s">
        <v>3216</v>
      </c>
      <c r="E395" t="s">
        <v>3223</v>
      </c>
      <c r="F395" t="s">
        <v>3226</v>
      </c>
      <c r="G395" s="4">
        <v>51324.3</v>
      </c>
      <c r="H395" s="4">
        <v>41059.440000000002</v>
      </c>
      <c r="I395" s="3" t="s">
        <v>3735</v>
      </c>
      <c r="J395">
        <v>5</v>
      </c>
      <c r="K395" s="4">
        <f>Table3[[#This Row],[Sales]]-Table3[[#This Row],[Cost]]</f>
        <v>10264.86</v>
      </c>
      <c r="L395" s="6">
        <f>Table3[[#This Row],[Profit]]/Table3[[#This Row],[Sales]]</f>
        <v>0.2</v>
      </c>
    </row>
    <row r="396" spans="1:12" x14ac:dyDescent="0.25">
      <c r="A396" t="s">
        <v>3290</v>
      </c>
      <c r="B396" s="2">
        <v>45102</v>
      </c>
      <c r="C396" s="2" t="str">
        <f>TEXT(Table3[[#This Row],[Order Date]],"mmmm")</f>
        <v>June</v>
      </c>
      <c r="D396" t="s">
        <v>3216</v>
      </c>
      <c r="E396" t="s">
        <v>3224</v>
      </c>
      <c r="F396" t="s">
        <v>3226</v>
      </c>
      <c r="G396" s="4">
        <v>202006.71</v>
      </c>
      <c r="H396" s="4">
        <v>122320.75</v>
      </c>
      <c r="I396" s="3" t="s">
        <v>3734</v>
      </c>
      <c r="J396">
        <v>3</v>
      </c>
      <c r="K396" s="4">
        <f>Table3[[#This Row],[Sales]]-Table3[[#This Row],[Cost]]</f>
        <v>79685.959999999992</v>
      </c>
      <c r="L396" s="6">
        <f>Table3[[#This Row],[Profit]]/Table3[[#This Row],[Sales]]</f>
        <v>0.39447184699953775</v>
      </c>
    </row>
    <row r="397" spans="1:12" x14ac:dyDescent="0.25">
      <c r="A397" t="s">
        <v>3291</v>
      </c>
      <c r="B397" s="2">
        <v>45102</v>
      </c>
      <c r="C397" s="2" t="str">
        <f>TEXT(Table3[[#This Row],[Order Date]],"mmmm")</f>
        <v>June</v>
      </c>
      <c r="D397" t="s">
        <v>3730</v>
      </c>
      <c r="E397" t="s">
        <v>3224</v>
      </c>
      <c r="F397" t="s">
        <v>3226</v>
      </c>
      <c r="G397" s="4">
        <v>127814.22</v>
      </c>
      <c r="H397" s="4">
        <v>96089.26</v>
      </c>
      <c r="I397" s="3" t="s">
        <v>3734</v>
      </c>
      <c r="J397">
        <v>2</v>
      </c>
      <c r="K397" s="4">
        <f>Table3[[#This Row],[Sales]]-Table3[[#This Row],[Cost]]</f>
        <v>31724.960000000006</v>
      </c>
      <c r="L397" s="6">
        <f>Table3[[#This Row],[Profit]]/Table3[[#This Row],[Sales]]</f>
        <v>0.24821150573073955</v>
      </c>
    </row>
    <row r="398" spans="1:12" x14ac:dyDescent="0.25">
      <c r="A398" t="s">
        <v>416</v>
      </c>
      <c r="B398" s="2" t="s">
        <v>3729</v>
      </c>
      <c r="C398" s="2" t="str">
        <f>TEXT(Table3[[#This Row],[Order Date]],"mmmm")</f>
        <v>Not Mentioned</v>
      </c>
      <c r="D398" t="s">
        <v>3730</v>
      </c>
      <c r="E398" t="s">
        <v>3222</v>
      </c>
      <c r="F398" t="s">
        <v>3226</v>
      </c>
      <c r="G398" s="4">
        <v>61137.96</v>
      </c>
      <c r="H398" s="4">
        <v>41339.050000000003</v>
      </c>
      <c r="I398" s="3" t="s">
        <v>3734</v>
      </c>
      <c r="J398">
        <v>4</v>
      </c>
      <c r="K398" s="4">
        <f>Table3[[#This Row],[Sales]]-Table3[[#This Row],[Cost]]</f>
        <v>19798.909999999996</v>
      </c>
      <c r="L398" s="6">
        <f>Table3[[#This Row],[Profit]]/Table3[[#This Row],[Sales]]</f>
        <v>0.32383988605442504</v>
      </c>
    </row>
    <row r="399" spans="1:12" x14ac:dyDescent="0.25">
      <c r="A399" t="s">
        <v>3292</v>
      </c>
      <c r="B399" s="2" t="s">
        <v>3729</v>
      </c>
      <c r="C399" s="2" t="str">
        <f>TEXT(Table3[[#This Row],[Order Date]],"mmmm")</f>
        <v>Not Mentioned</v>
      </c>
      <c r="D399" t="s">
        <v>3216</v>
      </c>
      <c r="E399" t="s">
        <v>3222</v>
      </c>
      <c r="F399" t="s">
        <v>3226</v>
      </c>
      <c r="G399" s="4">
        <v>26321.22</v>
      </c>
      <c r="H399" s="4">
        <v>20207.52</v>
      </c>
      <c r="I399" s="3" t="s">
        <v>3734</v>
      </c>
      <c r="J399">
        <v>2</v>
      </c>
      <c r="K399" s="4">
        <f>Table3[[#This Row],[Sales]]-Table3[[#This Row],[Cost]]</f>
        <v>6113.7000000000007</v>
      </c>
      <c r="L399" s="6">
        <f>Table3[[#This Row],[Profit]]/Table3[[#This Row],[Sales]]</f>
        <v>0.23227266821218776</v>
      </c>
    </row>
    <row r="400" spans="1:12" x14ac:dyDescent="0.25">
      <c r="A400" t="s">
        <v>419</v>
      </c>
      <c r="B400" s="2">
        <v>45102</v>
      </c>
      <c r="C400" s="2" t="str">
        <f>TEXT(Table3[[#This Row],[Order Date]],"mmmm")</f>
        <v>June</v>
      </c>
      <c r="D400" t="s">
        <v>3730</v>
      </c>
      <c r="E400" t="s">
        <v>3225</v>
      </c>
      <c r="F400" t="s">
        <v>3226</v>
      </c>
      <c r="G400" s="4">
        <v>119703.27</v>
      </c>
      <c r="H400" s="4">
        <v>62233.53</v>
      </c>
      <c r="I400" s="3" t="s">
        <v>3734</v>
      </c>
      <c r="J400">
        <v>5</v>
      </c>
      <c r="K400" s="4">
        <f>Table3[[#This Row],[Sales]]-Table3[[#This Row],[Cost]]</f>
        <v>57469.740000000005</v>
      </c>
      <c r="L400" s="6">
        <f>Table3[[#This Row],[Profit]]/Table3[[#This Row],[Sales]]</f>
        <v>0.48010167140797411</v>
      </c>
    </row>
    <row r="401" spans="1:12" x14ac:dyDescent="0.25">
      <c r="A401" t="s">
        <v>420</v>
      </c>
      <c r="B401" s="2">
        <v>44941</v>
      </c>
      <c r="C401" s="2" t="str">
        <f>TEXT(Table3[[#This Row],[Order Date]],"mmmm")</f>
        <v>January</v>
      </c>
      <c r="D401" t="s">
        <v>3731</v>
      </c>
      <c r="E401" t="s">
        <v>3222</v>
      </c>
      <c r="F401" t="s">
        <v>3226</v>
      </c>
      <c r="G401" s="4">
        <v>58714.61</v>
      </c>
      <c r="H401" s="4">
        <v>40187.72</v>
      </c>
      <c r="I401" s="3" t="s">
        <v>3734</v>
      </c>
      <c r="J401">
        <v>4</v>
      </c>
      <c r="K401" s="4">
        <f>Table3[[#This Row],[Sales]]-Table3[[#This Row],[Cost]]</f>
        <v>18526.89</v>
      </c>
      <c r="L401" s="6">
        <f>Table3[[#This Row],[Profit]]/Table3[[#This Row],[Sales]]</f>
        <v>0.31554139591491792</v>
      </c>
    </row>
    <row r="402" spans="1:12" x14ac:dyDescent="0.25">
      <c r="A402" t="s">
        <v>422</v>
      </c>
      <c r="B402" s="2">
        <v>45021</v>
      </c>
      <c r="C402" s="2" t="str">
        <f>TEXT(Table3[[#This Row],[Order Date]],"mmmm")</f>
        <v>April</v>
      </c>
      <c r="D402" t="s">
        <v>3731</v>
      </c>
      <c r="E402" t="s">
        <v>3225</v>
      </c>
      <c r="F402" t="s">
        <v>3226</v>
      </c>
      <c r="G402" s="4">
        <v>41639.519999999997</v>
      </c>
      <c r="H402" s="4">
        <v>33311.616000000002</v>
      </c>
      <c r="I402" s="3" t="s">
        <v>3735</v>
      </c>
      <c r="J402">
        <v>2</v>
      </c>
      <c r="K402" s="4">
        <f>Table3[[#This Row],[Sales]]-Table3[[#This Row],[Cost]]</f>
        <v>8327.903999999995</v>
      </c>
      <c r="L402" s="6">
        <f>Table3[[#This Row],[Profit]]/Table3[[#This Row],[Sales]]</f>
        <v>0.1999999999999999</v>
      </c>
    </row>
    <row r="403" spans="1:12" x14ac:dyDescent="0.25">
      <c r="A403" t="s">
        <v>3294</v>
      </c>
      <c r="B403" s="2">
        <v>45102</v>
      </c>
      <c r="C403" s="2" t="str">
        <f>TEXT(Table3[[#This Row],[Order Date]],"mmmm")</f>
        <v>June</v>
      </c>
      <c r="D403" t="s">
        <v>3730</v>
      </c>
      <c r="E403" t="s">
        <v>3225</v>
      </c>
      <c r="F403" t="s">
        <v>3226</v>
      </c>
      <c r="G403" s="4">
        <v>62261.8</v>
      </c>
      <c r="H403" s="4">
        <v>42033.08</v>
      </c>
      <c r="I403" s="3" t="s">
        <v>3734</v>
      </c>
      <c r="J403">
        <v>3</v>
      </c>
      <c r="K403" s="4">
        <f>Table3[[#This Row],[Sales]]-Table3[[#This Row],[Cost]]</f>
        <v>20228.72</v>
      </c>
      <c r="L403" s="6">
        <f>Table3[[#This Row],[Profit]]/Table3[[#This Row],[Sales]]</f>
        <v>0.32489777038248174</v>
      </c>
    </row>
    <row r="404" spans="1:12" x14ac:dyDescent="0.25">
      <c r="A404" t="s">
        <v>424</v>
      </c>
      <c r="B404" s="2">
        <v>45021</v>
      </c>
      <c r="C404" s="2" t="str">
        <f>TEXT(Table3[[#This Row],[Order Date]],"mmmm")</f>
        <v>April</v>
      </c>
      <c r="D404" t="s">
        <v>3730</v>
      </c>
      <c r="E404" t="s">
        <v>3223</v>
      </c>
      <c r="F404" t="s">
        <v>3226</v>
      </c>
      <c r="G404" s="4">
        <v>17866.66</v>
      </c>
      <c r="H404" s="4">
        <v>14088.66</v>
      </c>
      <c r="I404" s="3" t="s">
        <v>3734</v>
      </c>
      <c r="J404">
        <v>2</v>
      </c>
      <c r="K404" s="4">
        <f>Table3[[#This Row],[Sales]]-Table3[[#This Row],[Cost]]</f>
        <v>3778</v>
      </c>
      <c r="L404" s="6">
        <f>Table3[[#This Row],[Profit]]/Table3[[#This Row],[Sales]]</f>
        <v>0.21145530278182939</v>
      </c>
    </row>
    <row r="405" spans="1:12" x14ac:dyDescent="0.25">
      <c r="A405" t="s">
        <v>3295</v>
      </c>
      <c r="B405" s="2">
        <v>44941</v>
      </c>
      <c r="C405" s="2" t="str">
        <f>TEXT(Table3[[#This Row],[Order Date]],"mmmm")</f>
        <v>January</v>
      </c>
      <c r="D405" t="s">
        <v>3730</v>
      </c>
      <c r="E405" t="s">
        <v>3222</v>
      </c>
      <c r="F405" t="s">
        <v>3226</v>
      </c>
      <c r="G405" s="4">
        <v>49214.720000000001</v>
      </c>
      <c r="H405" s="4">
        <v>28059.89</v>
      </c>
      <c r="I405" s="3" t="s">
        <v>3734</v>
      </c>
      <c r="J405">
        <v>3</v>
      </c>
      <c r="K405" s="4">
        <f>Table3[[#This Row],[Sales]]-Table3[[#This Row],[Cost]]</f>
        <v>21154.83</v>
      </c>
      <c r="L405" s="6">
        <f>Table3[[#This Row],[Profit]]/Table3[[#This Row],[Sales]]</f>
        <v>0.42984761469739136</v>
      </c>
    </row>
    <row r="406" spans="1:12" x14ac:dyDescent="0.25">
      <c r="A406" t="s">
        <v>426</v>
      </c>
      <c r="B406" s="2" t="s">
        <v>3729</v>
      </c>
      <c r="C406" s="2" t="str">
        <f>TEXT(Table3[[#This Row],[Order Date]],"mmmm")</f>
        <v>Not Mentioned</v>
      </c>
      <c r="D406" t="s">
        <v>3730</v>
      </c>
      <c r="E406" t="s">
        <v>3223</v>
      </c>
      <c r="F406" t="s">
        <v>3226</v>
      </c>
      <c r="G406" s="4">
        <v>39723.42</v>
      </c>
      <c r="H406" s="4">
        <v>29242.19</v>
      </c>
      <c r="I406" s="3" t="s">
        <v>3734</v>
      </c>
      <c r="J406">
        <v>4</v>
      </c>
      <c r="K406" s="4">
        <f>Table3[[#This Row],[Sales]]-Table3[[#This Row],[Cost]]</f>
        <v>10481.23</v>
      </c>
      <c r="L406" s="6">
        <f>Table3[[#This Row],[Profit]]/Table3[[#This Row],[Sales]]</f>
        <v>0.2638551766187302</v>
      </c>
    </row>
    <row r="407" spans="1:12" x14ac:dyDescent="0.25">
      <c r="A407" t="s">
        <v>3296</v>
      </c>
      <c r="B407" s="2">
        <v>44972</v>
      </c>
      <c r="C407" s="2" t="str">
        <f>TEXT(Table3[[#This Row],[Order Date]],"mmmm")</f>
        <v>February</v>
      </c>
      <c r="D407" t="s">
        <v>3216</v>
      </c>
      <c r="E407" t="s">
        <v>3224</v>
      </c>
      <c r="F407" t="s">
        <v>3226</v>
      </c>
      <c r="G407" s="4">
        <v>248833.62</v>
      </c>
      <c r="H407" s="4">
        <v>199066.89600000001</v>
      </c>
      <c r="I407" s="3" t="s">
        <v>3735</v>
      </c>
      <c r="J407">
        <v>4</v>
      </c>
      <c r="K407" s="4">
        <f>Table3[[#This Row],[Sales]]-Table3[[#This Row],[Cost]]</f>
        <v>49766.723999999987</v>
      </c>
      <c r="L407" s="6">
        <f>Table3[[#This Row],[Profit]]/Table3[[#This Row],[Sales]]</f>
        <v>0.19999999999999996</v>
      </c>
    </row>
    <row r="408" spans="1:12" x14ac:dyDescent="0.25">
      <c r="A408" t="s">
        <v>428</v>
      </c>
      <c r="B408" s="2">
        <v>45102</v>
      </c>
      <c r="C408" s="2" t="str">
        <f>TEXT(Table3[[#This Row],[Order Date]],"mmmm")</f>
        <v>June</v>
      </c>
      <c r="D408" t="s">
        <v>3731</v>
      </c>
      <c r="E408" t="s">
        <v>3225</v>
      </c>
      <c r="F408" t="s">
        <v>3226</v>
      </c>
      <c r="G408" s="4">
        <v>95726.51</v>
      </c>
      <c r="H408" s="4">
        <v>57775.74</v>
      </c>
      <c r="I408" s="3" t="s">
        <v>3734</v>
      </c>
      <c r="J408">
        <v>4</v>
      </c>
      <c r="K408" s="4">
        <f>Table3[[#This Row],[Sales]]-Table3[[#This Row],[Cost]]</f>
        <v>37950.769999999997</v>
      </c>
      <c r="L408" s="6">
        <f>Table3[[#This Row],[Profit]]/Table3[[#This Row],[Sales]]</f>
        <v>0.39644994892219509</v>
      </c>
    </row>
    <row r="409" spans="1:12" x14ac:dyDescent="0.25">
      <c r="A409" t="s">
        <v>429</v>
      </c>
      <c r="B409" s="2">
        <v>45102</v>
      </c>
      <c r="C409" s="2" t="str">
        <f>TEXT(Table3[[#This Row],[Order Date]],"mmmm")</f>
        <v>June</v>
      </c>
      <c r="D409" t="s">
        <v>3220</v>
      </c>
      <c r="E409" t="s">
        <v>3223</v>
      </c>
      <c r="F409" t="s">
        <v>3226</v>
      </c>
      <c r="G409" s="4">
        <v>35091.440000000002</v>
      </c>
      <c r="H409" s="4">
        <v>19560.57</v>
      </c>
      <c r="I409" s="3" t="s">
        <v>3734</v>
      </c>
      <c r="J409" t="s">
        <v>3732</v>
      </c>
      <c r="K409" s="4">
        <f>Table3[[#This Row],[Sales]]-Table3[[#This Row],[Cost]]</f>
        <v>15530.870000000003</v>
      </c>
      <c r="L409" s="6">
        <f>Table3[[#This Row],[Profit]]/Table3[[#This Row],[Sales]]</f>
        <v>0.44258286351315312</v>
      </c>
    </row>
    <row r="410" spans="1:12" x14ac:dyDescent="0.25">
      <c r="A410" t="s">
        <v>430</v>
      </c>
      <c r="B410" s="2">
        <v>45005</v>
      </c>
      <c r="C410" s="2" t="str">
        <f>TEXT(Table3[[#This Row],[Order Date]],"mmmm")</f>
        <v>March</v>
      </c>
      <c r="D410" t="s">
        <v>3220</v>
      </c>
      <c r="E410" t="s">
        <v>3223</v>
      </c>
      <c r="F410" t="s">
        <v>3226</v>
      </c>
      <c r="G410" s="4">
        <v>46788.07</v>
      </c>
      <c r="H410" s="4">
        <v>27024.69</v>
      </c>
      <c r="I410" s="3" t="s">
        <v>3734</v>
      </c>
      <c r="J410">
        <v>4</v>
      </c>
      <c r="K410" s="4">
        <f>Table3[[#This Row],[Sales]]-Table3[[#This Row],[Cost]]</f>
        <v>19763.38</v>
      </c>
      <c r="L410" s="6">
        <f>Table3[[#This Row],[Profit]]/Table3[[#This Row],[Sales]]</f>
        <v>0.42240212088252416</v>
      </c>
    </row>
    <row r="411" spans="1:12" x14ac:dyDescent="0.25">
      <c r="A411" t="s">
        <v>431</v>
      </c>
      <c r="B411" s="2">
        <v>45102</v>
      </c>
      <c r="C411" s="2" t="str">
        <f>TEXT(Table3[[#This Row],[Order Date]],"mmmm")</f>
        <v>June</v>
      </c>
      <c r="D411" t="s">
        <v>3731</v>
      </c>
      <c r="E411" t="s">
        <v>3222</v>
      </c>
      <c r="F411" t="s">
        <v>3226</v>
      </c>
      <c r="G411" s="4">
        <v>36000.550000000003</v>
      </c>
      <c r="H411" s="4">
        <v>30841.03</v>
      </c>
      <c r="I411" s="3" t="s">
        <v>3734</v>
      </c>
      <c r="J411" t="s">
        <v>3732</v>
      </c>
      <c r="K411" s="4">
        <f>Table3[[#This Row],[Sales]]-Table3[[#This Row],[Cost]]</f>
        <v>5159.5200000000041</v>
      </c>
      <c r="L411" s="6">
        <f>Table3[[#This Row],[Profit]]/Table3[[#This Row],[Sales]]</f>
        <v>0.14331781042234087</v>
      </c>
    </row>
    <row r="412" spans="1:12" x14ac:dyDescent="0.25">
      <c r="A412" t="s">
        <v>432</v>
      </c>
      <c r="B412" s="2">
        <v>44941</v>
      </c>
      <c r="C412" s="2" t="str">
        <f>TEXT(Table3[[#This Row],[Order Date]],"mmmm")</f>
        <v>January</v>
      </c>
      <c r="D412" t="s">
        <v>3220</v>
      </c>
      <c r="E412" t="s">
        <v>3223</v>
      </c>
      <c r="F412" t="s">
        <v>3226</v>
      </c>
      <c r="G412" s="4">
        <v>34785.449999999997</v>
      </c>
      <c r="H412" s="4">
        <v>20753.84</v>
      </c>
      <c r="I412" s="3" t="s">
        <v>3734</v>
      </c>
      <c r="J412">
        <v>3</v>
      </c>
      <c r="K412" s="4">
        <f>Table3[[#This Row],[Sales]]-Table3[[#This Row],[Cost]]</f>
        <v>14031.609999999997</v>
      </c>
      <c r="L412" s="6">
        <f>Table3[[#This Row],[Profit]]/Table3[[#This Row],[Sales]]</f>
        <v>0.40337583673633653</v>
      </c>
    </row>
    <row r="413" spans="1:12" x14ac:dyDescent="0.25">
      <c r="A413" t="s">
        <v>433</v>
      </c>
      <c r="B413" s="2" t="s">
        <v>3729</v>
      </c>
      <c r="C413" s="2" t="str">
        <f>TEXT(Table3[[#This Row],[Order Date]],"mmmm")</f>
        <v>Not Mentioned</v>
      </c>
      <c r="D413" t="s">
        <v>3731</v>
      </c>
      <c r="E413" t="s">
        <v>3223</v>
      </c>
      <c r="F413" t="s">
        <v>3226</v>
      </c>
      <c r="G413" s="4">
        <v>33546.32</v>
      </c>
      <c r="H413" s="4">
        <v>25038.28</v>
      </c>
      <c r="I413" s="3" t="s">
        <v>3734</v>
      </c>
      <c r="J413">
        <v>4</v>
      </c>
      <c r="K413" s="4">
        <f>Table3[[#This Row],[Sales]]-Table3[[#This Row],[Cost]]</f>
        <v>8508.0400000000009</v>
      </c>
      <c r="L413" s="6">
        <f>Table3[[#This Row],[Profit]]/Table3[[#This Row],[Sales]]</f>
        <v>0.25362066539638328</v>
      </c>
    </row>
    <row r="414" spans="1:12" x14ac:dyDescent="0.25">
      <c r="A414" t="s">
        <v>3297</v>
      </c>
      <c r="B414" s="2">
        <v>45021</v>
      </c>
      <c r="C414" s="2" t="str">
        <f>TEXT(Table3[[#This Row],[Order Date]],"mmmm")</f>
        <v>April</v>
      </c>
      <c r="D414" t="s">
        <v>3731</v>
      </c>
      <c r="E414" t="s">
        <v>3224</v>
      </c>
      <c r="F414" t="s">
        <v>3226</v>
      </c>
      <c r="G414" s="4">
        <v>118870.14</v>
      </c>
      <c r="H414" s="4">
        <v>83661.84</v>
      </c>
      <c r="I414" s="3" t="s">
        <v>3734</v>
      </c>
      <c r="J414">
        <v>2</v>
      </c>
      <c r="K414" s="4">
        <f>Table3[[#This Row],[Sales]]-Table3[[#This Row],[Cost]]</f>
        <v>35208.300000000003</v>
      </c>
      <c r="L414" s="6">
        <f>Table3[[#This Row],[Profit]]/Table3[[#This Row],[Sales]]</f>
        <v>0.29619128908235492</v>
      </c>
    </row>
    <row r="415" spans="1:12" x14ac:dyDescent="0.25">
      <c r="A415" t="s">
        <v>435</v>
      </c>
      <c r="B415" s="2">
        <v>45102</v>
      </c>
      <c r="C415" s="2" t="str">
        <f>TEXT(Table3[[#This Row],[Order Date]],"mmmm")</f>
        <v>June</v>
      </c>
      <c r="D415" t="s">
        <v>3731</v>
      </c>
      <c r="E415" t="s">
        <v>3224</v>
      </c>
      <c r="F415" t="s">
        <v>3226</v>
      </c>
      <c r="G415" s="4">
        <v>152608.46</v>
      </c>
      <c r="H415" s="4">
        <v>134076.70000000001</v>
      </c>
      <c r="I415" s="3" t="s">
        <v>3734</v>
      </c>
      <c r="J415">
        <v>3</v>
      </c>
      <c r="K415" s="4">
        <f>Table3[[#This Row],[Sales]]-Table3[[#This Row],[Cost]]</f>
        <v>18531.75999999998</v>
      </c>
      <c r="L415" s="6">
        <f>Table3[[#This Row],[Profit]]/Table3[[#This Row],[Sales]]</f>
        <v>0.12143337269768649</v>
      </c>
    </row>
    <row r="416" spans="1:12" x14ac:dyDescent="0.25">
      <c r="A416" t="s">
        <v>3298</v>
      </c>
      <c r="B416" s="2">
        <v>44972</v>
      </c>
      <c r="C416" s="2" t="str">
        <f>TEXT(Table3[[#This Row],[Order Date]],"mmmm")</f>
        <v>February</v>
      </c>
      <c r="D416" t="s">
        <v>3731</v>
      </c>
      <c r="E416" t="s">
        <v>3224</v>
      </c>
      <c r="F416" t="s">
        <v>3226</v>
      </c>
      <c r="G416" s="4">
        <v>243082.76</v>
      </c>
      <c r="H416" s="4">
        <v>207255.45</v>
      </c>
      <c r="I416" s="3" t="s">
        <v>3734</v>
      </c>
      <c r="J416">
        <v>5</v>
      </c>
      <c r="K416" s="4">
        <f>Table3[[#This Row],[Sales]]-Table3[[#This Row],[Cost]]</f>
        <v>35827.31</v>
      </c>
      <c r="L416" s="6">
        <f>Table3[[#This Row],[Profit]]/Table3[[#This Row],[Sales]]</f>
        <v>0.14738729311778423</v>
      </c>
    </row>
    <row r="417" spans="1:12" x14ac:dyDescent="0.25">
      <c r="A417" t="s">
        <v>437</v>
      </c>
      <c r="B417" s="2" t="s">
        <v>3729</v>
      </c>
      <c r="C417" s="2" t="str">
        <f>TEXT(Table3[[#This Row],[Order Date]],"mmmm")</f>
        <v>Not Mentioned</v>
      </c>
      <c r="D417" t="s">
        <v>3731</v>
      </c>
      <c r="E417" t="s">
        <v>3225</v>
      </c>
      <c r="F417" t="s">
        <v>3226</v>
      </c>
      <c r="G417" s="4">
        <v>54668.28</v>
      </c>
      <c r="H417" s="4">
        <v>43800.88</v>
      </c>
      <c r="I417" s="3" t="s">
        <v>3734</v>
      </c>
      <c r="J417">
        <v>3</v>
      </c>
      <c r="K417" s="4">
        <f>Table3[[#This Row],[Sales]]-Table3[[#This Row],[Cost]]</f>
        <v>10867.400000000001</v>
      </c>
      <c r="L417" s="6">
        <f>Table3[[#This Row],[Profit]]/Table3[[#This Row],[Sales]]</f>
        <v>0.19878803576772494</v>
      </c>
    </row>
    <row r="418" spans="1:12" x14ac:dyDescent="0.25">
      <c r="A418" t="s">
        <v>189</v>
      </c>
      <c r="B418" s="2">
        <v>45021</v>
      </c>
      <c r="C418" s="2" t="str">
        <f>TEXT(Table3[[#This Row],[Order Date]],"mmmm")</f>
        <v>April</v>
      </c>
      <c r="D418" t="s">
        <v>3220</v>
      </c>
      <c r="E418" t="s">
        <v>3225</v>
      </c>
      <c r="F418" t="s">
        <v>3226</v>
      </c>
      <c r="G418" s="4">
        <v>45121.08</v>
      </c>
      <c r="H418" s="4">
        <v>24091.05</v>
      </c>
      <c r="I418" s="3" t="s">
        <v>3734</v>
      </c>
      <c r="J418">
        <v>2</v>
      </c>
      <c r="K418" s="4">
        <f>Table3[[#This Row],[Sales]]-Table3[[#This Row],[Cost]]</f>
        <v>21030.030000000002</v>
      </c>
      <c r="L418" s="6">
        <f>Table3[[#This Row],[Profit]]/Table3[[#This Row],[Sales]]</f>
        <v>0.46607993425689281</v>
      </c>
    </row>
    <row r="419" spans="1:12" x14ac:dyDescent="0.25">
      <c r="A419" t="s">
        <v>438</v>
      </c>
      <c r="B419" s="2">
        <v>45021</v>
      </c>
      <c r="C419" s="2" t="str">
        <f>TEXT(Table3[[#This Row],[Order Date]],"mmmm")</f>
        <v>April</v>
      </c>
      <c r="D419" t="s">
        <v>3731</v>
      </c>
      <c r="E419" t="s">
        <v>3222</v>
      </c>
      <c r="F419" t="s">
        <v>3226</v>
      </c>
      <c r="G419" s="4">
        <v>38442.39</v>
      </c>
      <c r="H419" s="4">
        <v>30753.912</v>
      </c>
      <c r="I419" s="3" t="s">
        <v>3735</v>
      </c>
      <c r="J419">
        <v>3</v>
      </c>
      <c r="K419" s="4">
        <f>Table3[[#This Row],[Sales]]-Table3[[#This Row],[Cost]]</f>
        <v>7688.4779999999992</v>
      </c>
      <c r="L419" s="6">
        <f>Table3[[#This Row],[Profit]]/Table3[[#This Row],[Sales]]</f>
        <v>0.19999999999999998</v>
      </c>
    </row>
    <row r="420" spans="1:12" x14ac:dyDescent="0.25">
      <c r="A420" t="s">
        <v>439</v>
      </c>
      <c r="B420" s="2" t="s">
        <v>3729</v>
      </c>
      <c r="C420" s="2" t="str">
        <f>TEXT(Table3[[#This Row],[Order Date]],"mmmm")</f>
        <v>Not Mentioned</v>
      </c>
      <c r="D420" t="s">
        <v>3216</v>
      </c>
      <c r="E420" t="s">
        <v>3222</v>
      </c>
      <c r="F420" t="s">
        <v>3226</v>
      </c>
      <c r="G420" s="4">
        <v>75891.42</v>
      </c>
      <c r="H420" s="4">
        <v>51654.86</v>
      </c>
      <c r="I420" s="3" t="s">
        <v>3734</v>
      </c>
      <c r="J420">
        <v>5</v>
      </c>
      <c r="K420" s="4">
        <f>Table3[[#This Row],[Sales]]-Table3[[#This Row],[Cost]]</f>
        <v>24236.559999999998</v>
      </c>
      <c r="L420" s="6">
        <f>Table3[[#This Row],[Profit]]/Table3[[#This Row],[Sales]]</f>
        <v>0.31935836752033364</v>
      </c>
    </row>
    <row r="421" spans="1:12" x14ac:dyDescent="0.25">
      <c r="A421" t="s">
        <v>440</v>
      </c>
      <c r="B421" s="2">
        <v>44941</v>
      </c>
      <c r="C421" s="2" t="str">
        <f>TEXT(Table3[[#This Row],[Order Date]],"mmmm")</f>
        <v>January</v>
      </c>
      <c r="D421" t="s">
        <v>3730</v>
      </c>
      <c r="E421" t="s">
        <v>3222</v>
      </c>
      <c r="F421" t="s">
        <v>3226</v>
      </c>
      <c r="G421" s="4">
        <v>16056.63</v>
      </c>
      <c r="H421" s="4">
        <v>9268.1</v>
      </c>
      <c r="I421" s="3" t="s">
        <v>3734</v>
      </c>
      <c r="J421">
        <v>1</v>
      </c>
      <c r="K421" s="4">
        <f>Table3[[#This Row],[Sales]]-Table3[[#This Row],[Cost]]</f>
        <v>6788.5299999999988</v>
      </c>
      <c r="L421" s="6">
        <f>Table3[[#This Row],[Profit]]/Table3[[#This Row],[Sales]]</f>
        <v>0.42278672423790042</v>
      </c>
    </row>
    <row r="422" spans="1:12" x14ac:dyDescent="0.25">
      <c r="A422" t="s">
        <v>441</v>
      </c>
      <c r="B422" s="2">
        <v>45102</v>
      </c>
      <c r="C422" s="2" t="str">
        <f>TEXT(Table3[[#This Row],[Order Date]],"mmmm")</f>
        <v>June</v>
      </c>
      <c r="D422" t="s">
        <v>3730</v>
      </c>
      <c r="E422" t="s">
        <v>3224</v>
      </c>
      <c r="F422" t="s">
        <v>3226</v>
      </c>
      <c r="G422" s="4">
        <v>280716.63</v>
      </c>
      <c r="H422" s="4">
        <v>219708.66</v>
      </c>
      <c r="I422" s="3" t="s">
        <v>3734</v>
      </c>
      <c r="J422">
        <v>5</v>
      </c>
      <c r="K422" s="4">
        <f>Table3[[#This Row],[Sales]]-Table3[[#This Row],[Cost]]</f>
        <v>61007.97</v>
      </c>
      <c r="L422" s="6">
        <f>Table3[[#This Row],[Profit]]/Table3[[#This Row],[Sales]]</f>
        <v>0.21732937589055554</v>
      </c>
    </row>
    <row r="423" spans="1:12" x14ac:dyDescent="0.25">
      <c r="A423" t="s">
        <v>442</v>
      </c>
      <c r="B423" s="2" t="s">
        <v>3729</v>
      </c>
      <c r="C423" s="2" t="str">
        <f>TEXT(Table3[[#This Row],[Order Date]],"mmmm")</f>
        <v>Not Mentioned</v>
      </c>
      <c r="D423" t="s">
        <v>3220</v>
      </c>
      <c r="E423" t="s">
        <v>3222</v>
      </c>
      <c r="F423" t="s">
        <v>3226</v>
      </c>
      <c r="G423" s="4">
        <v>14488.95</v>
      </c>
      <c r="H423" s="4">
        <v>9468.19</v>
      </c>
      <c r="I423" s="3" t="s">
        <v>3734</v>
      </c>
      <c r="J423">
        <v>1</v>
      </c>
      <c r="K423" s="4">
        <f>Table3[[#This Row],[Sales]]-Table3[[#This Row],[Cost]]</f>
        <v>5020.76</v>
      </c>
      <c r="L423" s="6">
        <f>Table3[[#This Row],[Profit]]/Table3[[#This Row],[Sales]]</f>
        <v>0.34652338506240965</v>
      </c>
    </row>
    <row r="424" spans="1:12" x14ac:dyDescent="0.25">
      <c r="A424" t="s">
        <v>3299</v>
      </c>
      <c r="B424" s="2">
        <v>44972</v>
      </c>
      <c r="C424" s="2" t="str">
        <f>TEXT(Table3[[#This Row],[Order Date]],"mmmm")</f>
        <v>February</v>
      </c>
      <c r="D424" t="s">
        <v>3216</v>
      </c>
      <c r="E424" t="s">
        <v>3225</v>
      </c>
      <c r="F424" t="s">
        <v>3226</v>
      </c>
      <c r="G424" s="4">
        <v>17211.46</v>
      </c>
      <c r="H424" s="4">
        <v>13570.96</v>
      </c>
      <c r="I424" s="3" t="s">
        <v>3734</v>
      </c>
      <c r="J424">
        <v>1</v>
      </c>
      <c r="K424" s="4">
        <f>Table3[[#This Row],[Sales]]-Table3[[#This Row],[Cost]]</f>
        <v>3640.5</v>
      </c>
      <c r="L424" s="6">
        <f>Table3[[#This Row],[Profit]]/Table3[[#This Row],[Sales]]</f>
        <v>0.21151604802846477</v>
      </c>
    </row>
    <row r="425" spans="1:12" x14ac:dyDescent="0.25">
      <c r="A425" t="s">
        <v>3300</v>
      </c>
      <c r="B425" s="2">
        <v>44972</v>
      </c>
      <c r="C425" s="2" t="str">
        <f>TEXT(Table3[[#This Row],[Order Date]],"mmmm")</f>
        <v>February</v>
      </c>
      <c r="D425" t="s">
        <v>3216</v>
      </c>
      <c r="E425" t="s">
        <v>3224</v>
      </c>
      <c r="F425" t="s">
        <v>3226</v>
      </c>
      <c r="G425" s="4">
        <v>212047.77</v>
      </c>
      <c r="H425" s="4">
        <v>155635.44</v>
      </c>
      <c r="I425" s="3" t="s">
        <v>3734</v>
      </c>
      <c r="J425">
        <v>4</v>
      </c>
      <c r="K425" s="4">
        <f>Table3[[#This Row],[Sales]]-Table3[[#This Row],[Cost]]</f>
        <v>56412.329999999987</v>
      </c>
      <c r="L425" s="6">
        <f>Table3[[#This Row],[Profit]]/Table3[[#This Row],[Sales]]</f>
        <v>0.2660359502955395</v>
      </c>
    </row>
    <row r="426" spans="1:12" x14ac:dyDescent="0.25">
      <c r="A426" t="s">
        <v>445</v>
      </c>
      <c r="B426" s="2">
        <v>45021</v>
      </c>
      <c r="C426" s="2" t="str">
        <f>TEXT(Table3[[#This Row],[Order Date]],"mmmm")</f>
        <v>April</v>
      </c>
      <c r="D426" t="s">
        <v>3730</v>
      </c>
      <c r="E426" t="s">
        <v>3222</v>
      </c>
      <c r="F426" t="s">
        <v>3226</v>
      </c>
      <c r="G426" s="4">
        <v>46185.31</v>
      </c>
      <c r="H426" s="4">
        <v>32310.14</v>
      </c>
      <c r="I426" s="3" t="s">
        <v>3734</v>
      </c>
      <c r="J426">
        <v>3</v>
      </c>
      <c r="K426" s="4">
        <f>Table3[[#This Row],[Sales]]-Table3[[#This Row],[Cost]]</f>
        <v>13875.169999999998</v>
      </c>
      <c r="L426" s="6">
        <f>Table3[[#This Row],[Profit]]/Table3[[#This Row],[Sales]]</f>
        <v>0.30042387936770371</v>
      </c>
    </row>
    <row r="427" spans="1:12" x14ac:dyDescent="0.25">
      <c r="A427" t="s">
        <v>446</v>
      </c>
      <c r="B427" s="2">
        <v>44972</v>
      </c>
      <c r="C427" s="2" t="str">
        <f>TEXT(Table3[[#This Row],[Order Date]],"mmmm")</f>
        <v>February</v>
      </c>
      <c r="D427" t="s">
        <v>3730</v>
      </c>
      <c r="E427" t="s">
        <v>3224</v>
      </c>
      <c r="F427" t="s">
        <v>3226</v>
      </c>
      <c r="G427" s="4">
        <v>118555.94</v>
      </c>
      <c r="H427" s="4">
        <v>87806.04</v>
      </c>
      <c r="I427" s="3" t="s">
        <v>3734</v>
      </c>
      <c r="J427">
        <v>2</v>
      </c>
      <c r="K427" s="4">
        <f>Table3[[#This Row],[Sales]]-Table3[[#This Row],[Cost]]</f>
        <v>30749.900000000009</v>
      </c>
      <c r="L427" s="6">
        <f>Table3[[#This Row],[Profit]]/Table3[[#This Row],[Sales]]</f>
        <v>0.25937038667147344</v>
      </c>
    </row>
    <row r="428" spans="1:12" x14ac:dyDescent="0.25">
      <c r="A428" t="s">
        <v>294</v>
      </c>
      <c r="B428" s="2">
        <v>44972</v>
      </c>
      <c r="C428" s="2" t="str">
        <f>TEXT(Table3[[#This Row],[Order Date]],"mmmm")</f>
        <v>February</v>
      </c>
      <c r="D428" t="s">
        <v>3220</v>
      </c>
      <c r="E428" t="s">
        <v>3224</v>
      </c>
      <c r="F428" t="s">
        <v>3226</v>
      </c>
      <c r="G428" s="4">
        <v>254921.5</v>
      </c>
      <c r="H428" s="4">
        <v>240476.27</v>
      </c>
      <c r="I428" s="3" t="s">
        <v>3734</v>
      </c>
      <c r="J428">
        <v>5</v>
      </c>
      <c r="K428" s="4">
        <f>Table3[[#This Row],[Sales]]-Table3[[#This Row],[Cost]]</f>
        <v>14445.23000000001</v>
      </c>
      <c r="L428" s="6">
        <f>Table3[[#This Row],[Profit]]/Table3[[#This Row],[Sales]]</f>
        <v>5.6665404840313627E-2</v>
      </c>
    </row>
    <row r="429" spans="1:12" x14ac:dyDescent="0.25">
      <c r="A429" t="s">
        <v>3301</v>
      </c>
      <c r="B429" s="2">
        <v>45102</v>
      </c>
      <c r="C429" s="2" t="str">
        <f>TEXT(Table3[[#This Row],[Order Date]],"mmmm")</f>
        <v>June</v>
      </c>
      <c r="D429" t="s">
        <v>3220</v>
      </c>
      <c r="E429" t="s">
        <v>3224</v>
      </c>
      <c r="F429" t="s">
        <v>3226</v>
      </c>
      <c r="G429" s="4">
        <v>69481.570000000007</v>
      </c>
      <c r="H429" s="4">
        <v>39927.83</v>
      </c>
      <c r="I429" s="3" t="s">
        <v>3734</v>
      </c>
      <c r="J429">
        <v>1</v>
      </c>
      <c r="K429" s="4">
        <f>Table3[[#This Row],[Sales]]-Table3[[#This Row],[Cost]]</f>
        <v>29553.740000000005</v>
      </c>
      <c r="L429" s="6">
        <f>Table3[[#This Row],[Profit]]/Table3[[#This Row],[Sales]]</f>
        <v>0.42534646237844081</v>
      </c>
    </row>
    <row r="430" spans="1:12" x14ac:dyDescent="0.25">
      <c r="A430" t="s">
        <v>448</v>
      </c>
      <c r="B430" s="2">
        <v>44941</v>
      </c>
      <c r="C430" s="2" t="str">
        <f>TEXT(Table3[[#This Row],[Order Date]],"mmmm")</f>
        <v>January</v>
      </c>
      <c r="D430" t="s">
        <v>3216</v>
      </c>
      <c r="E430" t="s">
        <v>3222</v>
      </c>
      <c r="F430" t="s">
        <v>3226</v>
      </c>
      <c r="G430" s="4">
        <v>73195.67</v>
      </c>
      <c r="H430" s="4">
        <v>50549.46</v>
      </c>
      <c r="I430" s="3" t="s">
        <v>3734</v>
      </c>
      <c r="J430">
        <v>5</v>
      </c>
      <c r="K430" s="4">
        <f>Table3[[#This Row],[Sales]]-Table3[[#This Row],[Cost]]</f>
        <v>22646.21</v>
      </c>
      <c r="L430" s="6">
        <f>Table3[[#This Row],[Profit]]/Table3[[#This Row],[Sales]]</f>
        <v>0.30939275506324349</v>
      </c>
    </row>
    <row r="431" spans="1:12" x14ac:dyDescent="0.25">
      <c r="A431" t="s">
        <v>449</v>
      </c>
      <c r="B431" s="2" t="s">
        <v>3729</v>
      </c>
      <c r="C431" s="2" t="str">
        <f>TEXT(Table3[[#This Row],[Order Date]],"mmmm")</f>
        <v>Not Mentioned</v>
      </c>
      <c r="D431" t="s">
        <v>3730</v>
      </c>
      <c r="E431" t="s">
        <v>3222</v>
      </c>
      <c r="F431" t="s">
        <v>3226</v>
      </c>
      <c r="G431" s="4">
        <v>29293.81</v>
      </c>
      <c r="H431" s="4">
        <v>17997.060000000001</v>
      </c>
      <c r="I431" s="3" t="s">
        <v>3734</v>
      </c>
      <c r="J431">
        <v>2</v>
      </c>
      <c r="K431" s="4">
        <f>Table3[[#This Row],[Sales]]-Table3[[#This Row],[Cost]]</f>
        <v>11296.75</v>
      </c>
      <c r="L431" s="6">
        <f>Table3[[#This Row],[Profit]]/Table3[[#This Row],[Sales]]</f>
        <v>0.3856360780656391</v>
      </c>
    </row>
    <row r="432" spans="1:12" x14ac:dyDescent="0.25">
      <c r="A432" t="s">
        <v>3302</v>
      </c>
      <c r="B432" s="2">
        <v>45102</v>
      </c>
      <c r="C432" s="2" t="str">
        <f>TEXT(Table3[[#This Row],[Order Date]],"mmmm")</f>
        <v>June</v>
      </c>
      <c r="D432" t="s">
        <v>3730</v>
      </c>
      <c r="E432" t="s">
        <v>3224</v>
      </c>
      <c r="F432" t="s">
        <v>3226</v>
      </c>
      <c r="G432" s="4">
        <v>48349.61</v>
      </c>
      <c r="H432" s="4">
        <v>41033.25</v>
      </c>
      <c r="I432" s="3" t="s">
        <v>3734</v>
      </c>
      <c r="J432">
        <v>1</v>
      </c>
      <c r="K432" s="4">
        <f>Table3[[#This Row],[Sales]]-Table3[[#This Row],[Cost]]</f>
        <v>7316.3600000000006</v>
      </c>
      <c r="L432" s="6">
        <f>Table3[[#This Row],[Profit]]/Table3[[#This Row],[Sales]]</f>
        <v>0.15132200652704336</v>
      </c>
    </row>
    <row r="433" spans="1:12" x14ac:dyDescent="0.25">
      <c r="A433" t="s">
        <v>3303</v>
      </c>
      <c r="B433" s="2">
        <v>45102</v>
      </c>
      <c r="C433" s="2" t="str">
        <f>TEXT(Table3[[#This Row],[Order Date]],"mmmm")</f>
        <v>June</v>
      </c>
      <c r="D433" t="s">
        <v>3731</v>
      </c>
      <c r="E433" t="s">
        <v>3225</v>
      </c>
      <c r="F433" t="s">
        <v>3226</v>
      </c>
      <c r="G433" s="4">
        <v>100936.05</v>
      </c>
      <c r="H433" s="4">
        <v>63468.52</v>
      </c>
      <c r="I433" s="3" t="s">
        <v>3734</v>
      </c>
      <c r="J433">
        <v>5</v>
      </c>
      <c r="K433" s="4">
        <f>Table3[[#This Row],[Sales]]-Table3[[#This Row],[Cost]]</f>
        <v>37467.530000000006</v>
      </c>
      <c r="L433" s="6">
        <f>Table3[[#This Row],[Profit]]/Table3[[#This Row],[Sales]]</f>
        <v>0.37120067607163154</v>
      </c>
    </row>
    <row r="434" spans="1:12" x14ac:dyDescent="0.25">
      <c r="A434" t="s">
        <v>452</v>
      </c>
      <c r="B434" s="2">
        <v>45005</v>
      </c>
      <c r="C434" s="2" t="str">
        <f>TEXT(Table3[[#This Row],[Order Date]],"mmmm")</f>
        <v>March</v>
      </c>
      <c r="D434" t="s">
        <v>3730</v>
      </c>
      <c r="E434" t="s">
        <v>3225</v>
      </c>
      <c r="F434" t="s">
        <v>3226</v>
      </c>
      <c r="G434" s="4">
        <v>76729.39</v>
      </c>
      <c r="H434" s="4">
        <v>54763.9</v>
      </c>
      <c r="I434" s="3" t="s">
        <v>3734</v>
      </c>
      <c r="J434">
        <v>4</v>
      </c>
      <c r="K434" s="4">
        <f>Table3[[#This Row],[Sales]]-Table3[[#This Row],[Cost]]</f>
        <v>21965.489999999998</v>
      </c>
      <c r="L434" s="6">
        <f>Table3[[#This Row],[Profit]]/Table3[[#This Row],[Sales]]</f>
        <v>0.28627218331854326</v>
      </c>
    </row>
    <row r="435" spans="1:12" x14ac:dyDescent="0.25">
      <c r="A435" t="s">
        <v>453</v>
      </c>
      <c r="B435" s="2" t="s">
        <v>3729</v>
      </c>
      <c r="C435" s="2" t="str">
        <f>TEXT(Table3[[#This Row],[Order Date]],"mmmm")</f>
        <v>Not Mentioned</v>
      </c>
      <c r="D435" t="s">
        <v>3730</v>
      </c>
      <c r="E435" t="s">
        <v>3222</v>
      </c>
      <c r="F435" t="s">
        <v>3226</v>
      </c>
      <c r="G435" s="4">
        <v>76598.720000000001</v>
      </c>
      <c r="H435" s="4">
        <v>49005.62</v>
      </c>
      <c r="I435" s="3" t="s">
        <v>3734</v>
      </c>
      <c r="J435">
        <v>5</v>
      </c>
      <c r="K435" s="4">
        <f>Table3[[#This Row],[Sales]]-Table3[[#This Row],[Cost]]</f>
        <v>27593.1</v>
      </c>
      <c r="L435" s="6">
        <f>Table3[[#This Row],[Profit]]/Table3[[#This Row],[Sales]]</f>
        <v>0.36022925709463549</v>
      </c>
    </row>
    <row r="436" spans="1:12" x14ac:dyDescent="0.25">
      <c r="A436" t="s">
        <v>454</v>
      </c>
      <c r="B436" s="2">
        <v>44941</v>
      </c>
      <c r="C436" s="2" t="str">
        <f>TEXT(Table3[[#This Row],[Order Date]],"mmmm")</f>
        <v>January</v>
      </c>
      <c r="D436" t="s">
        <v>3220</v>
      </c>
      <c r="E436" t="s">
        <v>3224</v>
      </c>
      <c r="F436" t="s">
        <v>3226</v>
      </c>
      <c r="G436" s="4">
        <v>63493.73</v>
      </c>
      <c r="H436" s="4">
        <v>38762.83</v>
      </c>
      <c r="I436" s="3" t="s">
        <v>3734</v>
      </c>
      <c r="J436">
        <v>1</v>
      </c>
      <c r="K436" s="4">
        <f>Table3[[#This Row],[Sales]]-Table3[[#This Row],[Cost]]</f>
        <v>24730.9</v>
      </c>
      <c r="L436" s="6">
        <f>Table3[[#This Row],[Profit]]/Table3[[#This Row],[Sales]]</f>
        <v>0.38950145156065019</v>
      </c>
    </row>
    <row r="437" spans="1:12" x14ac:dyDescent="0.25">
      <c r="A437" t="s">
        <v>455</v>
      </c>
      <c r="B437" s="2">
        <v>45005</v>
      </c>
      <c r="C437" s="2" t="str">
        <f>TEXT(Table3[[#This Row],[Order Date]],"mmmm")</f>
        <v>March</v>
      </c>
      <c r="D437" t="s">
        <v>3220</v>
      </c>
      <c r="E437" t="s">
        <v>3223</v>
      </c>
      <c r="F437" t="s">
        <v>3226</v>
      </c>
      <c r="G437" s="4">
        <v>22054.06</v>
      </c>
      <c r="H437" s="4">
        <v>14281.95</v>
      </c>
      <c r="I437" s="3" t="s">
        <v>3734</v>
      </c>
      <c r="J437">
        <v>2</v>
      </c>
      <c r="K437" s="4">
        <f>Table3[[#This Row],[Sales]]-Table3[[#This Row],[Cost]]</f>
        <v>7772.1100000000006</v>
      </c>
      <c r="L437" s="6">
        <f>Table3[[#This Row],[Profit]]/Table3[[#This Row],[Sales]]</f>
        <v>0.35241175547722281</v>
      </c>
    </row>
    <row r="438" spans="1:12" x14ac:dyDescent="0.25">
      <c r="A438" t="s">
        <v>456</v>
      </c>
      <c r="B438" s="2">
        <v>45021</v>
      </c>
      <c r="C438" s="2" t="str">
        <f>TEXT(Table3[[#This Row],[Order Date]],"mmmm")</f>
        <v>April</v>
      </c>
      <c r="D438" t="s">
        <v>3216</v>
      </c>
      <c r="E438" t="s">
        <v>3223</v>
      </c>
      <c r="F438" t="s">
        <v>3226</v>
      </c>
      <c r="G438" s="4">
        <v>21379.119999999999</v>
      </c>
      <c r="H438" s="4">
        <v>17103.295999999998</v>
      </c>
      <c r="I438" s="3" t="s">
        <v>3735</v>
      </c>
      <c r="J438">
        <v>2</v>
      </c>
      <c r="K438" s="4">
        <f>Table3[[#This Row],[Sales]]-Table3[[#This Row],[Cost]]</f>
        <v>4275.8240000000005</v>
      </c>
      <c r="L438" s="6">
        <f>Table3[[#This Row],[Profit]]/Table3[[#This Row],[Sales]]</f>
        <v>0.20000000000000004</v>
      </c>
    </row>
    <row r="439" spans="1:12" x14ac:dyDescent="0.25">
      <c r="A439" t="s">
        <v>457</v>
      </c>
      <c r="B439" s="2">
        <v>45102</v>
      </c>
      <c r="C439" s="2" t="str">
        <f>TEXT(Table3[[#This Row],[Order Date]],"mmmm")</f>
        <v>June</v>
      </c>
      <c r="D439" t="s">
        <v>3220</v>
      </c>
      <c r="E439" t="s">
        <v>3224</v>
      </c>
      <c r="F439" t="s">
        <v>3226</v>
      </c>
      <c r="G439" s="4">
        <v>208999.9</v>
      </c>
      <c r="H439" s="4">
        <v>157429.09</v>
      </c>
      <c r="I439" s="3" t="s">
        <v>3734</v>
      </c>
      <c r="J439">
        <v>4</v>
      </c>
      <c r="K439" s="4">
        <f>Table3[[#This Row],[Sales]]-Table3[[#This Row],[Cost]]</f>
        <v>51570.81</v>
      </c>
      <c r="L439" s="6">
        <f>Table3[[#This Row],[Profit]]/Table3[[#This Row],[Sales]]</f>
        <v>0.2467504051437345</v>
      </c>
    </row>
    <row r="440" spans="1:12" x14ac:dyDescent="0.25">
      <c r="A440" t="s">
        <v>458</v>
      </c>
      <c r="B440" s="2">
        <v>44941</v>
      </c>
      <c r="C440" s="2" t="str">
        <f>TEXT(Table3[[#This Row],[Order Date]],"mmmm")</f>
        <v>January</v>
      </c>
      <c r="D440" t="s">
        <v>3731</v>
      </c>
      <c r="E440" t="s">
        <v>3223</v>
      </c>
      <c r="F440" t="s">
        <v>3226</v>
      </c>
      <c r="G440" s="4">
        <v>22380.11</v>
      </c>
      <c r="H440" s="4">
        <v>14271.41</v>
      </c>
      <c r="I440" s="3" t="s">
        <v>3734</v>
      </c>
      <c r="J440">
        <v>2</v>
      </c>
      <c r="K440" s="4">
        <f>Table3[[#This Row],[Sales]]-Table3[[#This Row],[Cost]]</f>
        <v>8108.7000000000007</v>
      </c>
      <c r="L440" s="6">
        <f>Table3[[#This Row],[Profit]]/Table3[[#This Row],[Sales]]</f>
        <v>0.36231725402600795</v>
      </c>
    </row>
    <row r="441" spans="1:12" x14ac:dyDescent="0.25">
      <c r="A441" t="s">
        <v>459</v>
      </c>
      <c r="B441" s="2" t="s">
        <v>3729</v>
      </c>
      <c r="C441" s="2" t="str">
        <f>TEXT(Table3[[#This Row],[Order Date]],"mmmm")</f>
        <v>Not Mentioned</v>
      </c>
      <c r="D441" t="s">
        <v>3220</v>
      </c>
      <c r="E441" t="s">
        <v>3222</v>
      </c>
      <c r="F441" t="s">
        <v>3226</v>
      </c>
      <c r="G441" s="4">
        <v>41848.61</v>
      </c>
      <c r="H441" s="4">
        <v>30654.720000000001</v>
      </c>
      <c r="I441" s="3" t="s">
        <v>3734</v>
      </c>
      <c r="J441">
        <v>3</v>
      </c>
      <c r="K441" s="4">
        <f>Table3[[#This Row],[Sales]]-Table3[[#This Row],[Cost]]</f>
        <v>11193.89</v>
      </c>
      <c r="L441" s="6">
        <f>Table3[[#This Row],[Profit]]/Table3[[#This Row],[Sales]]</f>
        <v>0.26748534778096572</v>
      </c>
    </row>
    <row r="442" spans="1:12" x14ac:dyDescent="0.25">
      <c r="A442" t="s">
        <v>3304</v>
      </c>
      <c r="B442" s="2">
        <v>45005</v>
      </c>
      <c r="C442" s="2" t="str">
        <f>TEXT(Table3[[#This Row],[Order Date]],"mmmm")</f>
        <v>March</v>
      </c>
      <c r="D442" t="s">
        <v>3730</v>
      </c>
      <c r="E442" t="s">
        <v>3222</v>
      </c>
      <c r="F442" t="s">
        <v>3226</v>
      </c>
      <c r="G442" s="4">
        <v>33725.620000000003</v>
      </c>
      <c r="H442" s="4">
        <v>18363.25</v>
      </c>
      <c r="I442" s="3" t="s">
        <v>3734</v>
      </c>
      <c r="J442">
        <v>2</v>
      </c>
      <c r="K442" s="4">
        <f>Table3[[#This Row],[Sales]]-Table3[[#This Row],[Cost]]</f>
        <v>15362.370000000003</v>
      </c>
      <c r="L442" s="6">
        <f>Table3[[#This Row],[Profit]]/Table3[[#This Row],[Sales]]</f>
        <v>0.45551038053562842</v>
      </c>
    </row>
    <row r="443" spans="1:12" x14ac:dyDescent="0.25">
      <c r="A443" t="s">
        <v>461</v>
      </c>
      <c r="B443" s="2">
        <v>45021</v>
      </c>
      <c r="C443" s="2" t="str">
        <f>TEXT(Table3[[#This Row],[Order Date]],"mmmm")</f>
        <v>April</v>
      </c>
      <c r="D443" t="s">
        <v>3730</v>
      </c>
      <c r="E443" t="s">
        <v>3222</v>
      </c>
      <c r="F443" t="s">
        <v>3226</v>
      </c>
      <c r="G443" s="4">
        <v>44273.599999999999</v>
      </c>
      <c r="H443" s="4">
        <v>30568.21</v>
      </c>
      <c r="I443" s="3" t="s">
        <v>3734</v>
      </c>
      <c r="J443">
        <v>3</v>
      </c>
      <c r="K443" s="4">
        <f>Table3[[#This Row],[Sales]]-Table3[[#This Row],[Cost]]</f>
        <v>13705.39</v>
      </c>
      <c r="L443" s="6">
        <f>Table3[[#This Row],[Profit]]/Table3[[#This Row],[Sales]]</f>
        <v>0.30956122836182287</v>
      </c>
    </row>
    <row r="444" spans="1:12" x14ac:dyDescent="0.25">
      <c r="A444" t="s">
        <v>462</v>
      </c>
      <c r="B444" s="2">
        <v>45005</v>
      </c>
      <c r="C444" s="2" t="str">
        <f>TEXT(Table3[[#This Row],[Order Date]],"mmmm")</f>
        <v>March</v>
      </c>
      <c r="D444" t="s">
        <v>3731</v>
      </c>
      <c r="E444" t="s">
        <v>3225</v>
      </c>
      <c r="F444" t="s">
        <v>3226</v>
      </c>
      <c r="G444" s="4">
        <v>87365.55</v>
      </c>
      <c r="H444" s="4">
        <v>55605.05</v>
      </c>
      <c r="I444" s="3" t="s">
        <v>3734</v>
      </c>
      <c r="J444">
        <v>4</v>
      </c>
      <c r="K444" s="4">
        <f>Table3[[#This Row],[Sales]]-Table3[[#This Row],[Cost]]</f>
        <v>31760.5</v>
      </c>
      <c r="L444" s="6">
        <f>Table3[[#This Row],[Profit]]/Table3[[#This Row],[Sales]]</f>
        <v>0.3635357414907821</v>
      </c>
    </row>
    <row r="445" spans="1:12" x14ac:dyDescent="0.25">
      <c r="A445" t="s">
        <v>463</v>
      </c>
      <c r="B445" s="2">
        <v>45005</v>
      </c>
      <c r="C445" s="2" t="str">
        <f>TEXT(Table3[[#This Row],[Order Date]],"mmmm")</f>
        <v>March</v>
      </c>
      <c r="D445" t="s">
        <v>3731</v>
      </c>
      <c r="E445" t="s">
        <v>3222</v>
      </c>
      <c r="F445" t="s">
        <v>3226</v>
      </c>
      <c r="G445" s="4">
        <v>77813.42</v>
      </c>
      <c r="H445" s="4">
        <v>49694.92</v>
      </c>
      <c r="I445" s="3" t="s">
        <v>3734</v>
      </c>
      <c r="J445">
        <v>5</v>
      </c>
      <c r="K445" s="4">
        <f>Table3[[#This Row],[Sales]]-Table3[[#This Row],[Cost]]</f>
        <v>28118.5</v>
      </c>
      <c r="L445" s="6">
        <f>Table3[[#This Row],[Profit]]/Table3[[#This Row],[Sales]]</f>
        <v>0.36135797655468682</v>
      </c>
    </row>
    <row r="446" spans="1:12" x14ac:dyDescent="0.25">
      <c r="A446" t="s">
        <v>464</v>
      </c>
      <c r="B446" s="2">
        <v>45102</v>
      </c>
      <c r="C446" s="2" t="str">
        <f>TEXT(Table3[[#This Row],[Order Date]],"mmmm")</f>
        <v>June</v>
      </c>
      <c r="D446" t="s">
        <v>3730</v>
      </c>
      <c r="E446" t="s">
        <v>3225</v>
      </c>
      <c r="F446" t="s">
        <v>3226</v>
      </c>
      <c r="G446" s="4">
        <v>32693.040000000001</v>
      </c>
      <c r="H446" s="4">
        <v>28695.38</v>
      </c>
      <c r="I446" s="3" t="s">
        <v>3734</v>
      </c>
      <c r="J446">
        <v>2</v>
      </c>
      <c r="K446" s="4">
        <f>Table3[[#This Row],[Sales]]-Table3[[#This Row],[Cost]]</f>
        <v>3997.66</v>
      </c>
      <c r="L446" s="6">
        <f>Table3[[#This Row],[Profit]]/Table3[[#This Row],[Sales]]</f>
        <v>0.12227862566466746</v>
      </c>
    </row>
    <row r="447" spans="1:12" x14ac:dyDescent="0.25">
      <c r="A447" t="s">
        <v>465</v>
      </c>
      <c r="B447" s="2">
        <v>44941</v>
      </c>
      <c r="C447" s="2" t="str">
        <f>TEXT(Table3[[#This Row],[Order Date]],"mmmm")</f>
        <v>January</v>
      </c>
      <c r="D447" t="s">
        <v>3730</v>
      </c>
      <c r="E447" t="s">
        <v>3224</v>
      </c>
      <c r="F447" t="s">
        <v>3226</v>
      </c>
      <c r="G447" s="4">
        <v>217087.97</v>
      </c>
      <c r="H447" s="4">
        <v>171859.48</v>
      </c>
      <c r="I447" s="3" t="s">
        <v>3734</v>
      </c>
      <c r="J447">
        <v>4</v>
      </c>
      <c r="K447" s="4">
        <f>Table3[[#This Row],[Sales]]-Table3[[#This Row],[Cost]]</f>
        <v>45228.489999999991</v>
      </c>
      <c r="L447" s="6">
        <f>Table3[[#This Row],[Profit]]/Table3[[#This Row],[Sales]]</f>
        <v>0.20834176117635625</v>
      </c>
    </row>
    <row r="448" spans="1:12" x14ac:dyDescent="0.25">
      <c r="A448" t="s">
        <v>466</v>
      </c>
      <c r="B448" s="2">
        <v>44941</v>
      </c>
      <c r="C448" s="2" t="str">
        <f>TEXT(Table3[[#This Row],[Order Date]],"mmmm")</f>
        <v>January</v>
      </c>
      <c r="D448" t="s">
        <v>3216</v>
      </c>
      <c r="E448" t="s">
        <v>3225</v>
      </c>
      <c r="F448" t="s">
        <v>3226</v>
      </c>
      <c r="G448" s="4">
        <v>92747.58</v>
      </c>
      <c r="H448" s="4">
        <v>61331.83</v>
      </c>
      <c r="I448" s="3" t="s">
        <v>3734</v>
      </c>
      <c r="J448">
        <v>5</v>
      </c>
      <c r="K448" s="4">
        <f>Table3[[#This Row],[Sales]]-Table3[[#This Row],[Cost]]</f>
        <v>31415.75</v>
      </c>
      <c r="L448" s="6">
        <f>Table3[[#This Row],[Profit]]/Table3[[#This Row],[Sales]]</f>
        <v>0.33872312355750955</v>
      </c>
    </row>
    <row r="449" spans="1:12" x14ac:dyDescent="0.25">
      <c r="A449" t="s">
        <v>467</v>
      </c>
      <c r="B449" s="2">
        <v>44972</v>
      </c>
      <c r="C449" s="2" t="str">
        <f>TEXT(Table3[[#This Row],[Order Date]],"mmmm")</f>
        <v>February</v>
      </c>
      <c r="D449" t="s">
        <v>3730</v>
      </c>
      <c r="E449" t="s">
        <v>3224</v>
      </c>
      <c r="F449" t="s">
        <v>3226</v>
      </c>
      <c r="G449" s="4">
        <v>270433.53000000003</v>
      </c>
      <c r="H449" s="4">
        <v>227367.37</v>
      </c>
      <c r="I449" s="3" t="s">
        <v>3734</v>
      </c>
      <c r="J449">
        <v>5</v>
      </c>
      <c r="K449" s="4">
        <f>Table3[[#This Row],[Sales]]-Table3[[#This Row],[Cost]]</f>
        <v>43066.160000000033</v>
      </c>
      <c r="L449" s="6">
        <f>Table3[[#This Row],[Profit]]/Table3[[#This Row],[Sales]]</f>
        <v>0.15924859613377093</v>
      </c>
    </row>
    <row r="450" spans="1:12" x14ac:dyDescent="0.25">
      <c r="A450" t="s">
        <v>3305</v>
      </c>
      <c r="B450" s="2">
        <v>44972</v>
      </c>
      <c r="C450" s="2" t="str">
        <f>TEXT(Table3[[#This Row],[Order Date]],"mmmm")</f>
        <v>February</v>
      </c>
      <c r="D450" t="s">
        <v>3730</v>
      </c>
      <c r="E450" t="s">
        <v>3222</v>
      </c>
      <c r="F450" t="s">
        <v>3226</v>
      </c>
      <c r="G450" s="4">
        <v>47009.64</v>
      </c>
      <c r="H450" s="4">
        <v>27718.11</v>
      </c>
      <c r="I450" s="3" t="s">
        <v>3734</v>
      </c>
      <c r="J450">
        <v>3</v>
      </c>
      <c r="K450" s="4">
        <f>Table3[[#This Row],[Sales]]-Table3[[#This Row],[Cost]]</f>
        <v>19291.53</v>
      </c>
      <c r="L450" s="6">
        <f>Table3[[#This Row],[Profit]]/Table3[[#This Row],[Sales]]</f>
        <v>0.4103739147970501</v>
      </c>
    </row>
    <row r="451" spans="1:12" x14ac:dyDescent="0.25">
      <c r="A451" t="s">
        <v>469</v>
      </c>
      <c r="B451" s="2">
        <v>44941</v>
      </c>
      <c r="C451" s="2" t="str">
        <f>TEXT(Table3[[#This Row],[Order Date]],"mmmm")</f>
        <v>January</v>
      </c>
      <c r="D451" t="s">
        <v>3216</v>
      </c>
      <c r="E451" t="s">
        <v>3224</v>
      </c>
      <c r="F451" t="s">
        <v>3226</v>
      </c>
      <c r="G451" s="4">
        <v>311285.94</v>
      </c>
      <c r="H451" s="4">
        <v>249028.75200000001</v>
      </c>
      <c r="I451" s="3" t="s">
        <v>3735</v>
      </c>
      <c r="J451">
        <v>5</v>
      </c>
      <c r="K451" s="4">
        <f>Table3[[#This Row],[Sales]]-Table3[[#This Row],[Cost]]</f>
        <v>62257.187999999995</v>
      </c>
      <c r="L451" s="6">
        <f>Table3[[#This Row],[Profit]]/Table3[[#This Row],[Sales]]</f>
        <v>0.19999999999999998</v>
      </c>
    </row>
    <row r="452" spans="1:12" x14ac:dyDescent="0.25">
      <c r="A452" t="s">
        <v>470</v>
      </c>
      <c r="B452" s="2">
        <v>45005</v>
      </c>
      <c r="C452" s="2" t="str">
        <f>TEXT(Table3[[#This Row],[Order Date]],"mmmm")</f>
        <v>March</v>
      </c>
      <c r="D452" t="s">
        <v>3220</v>
      </c>
      <c r="E452" t="s">
        <v>3225</v>
      </c>
      <c r="F452" t="s">
        <v>3226</v>
      </c>
      <c r="G452" s="4">
        <v>64467.49</v>
      </c>
      <c r="H452" s="4">
        <v>52645.26</v>
      </c>
      <c r="I452" s="3" t="s">
        <v>3734</v>
      </c>
      <c r="J452">
        <v>4</v>
      </c>
      <c r="K452" s="4">
        <f>Table3[[#This Row],[Sales]]-Table3[[#This Row],[Cost]]</f>
        <v>11822.229999999996</v>
      </c>
      <c r="L452" s="6">
        <f>Table3[[#This Row],[Profit]]/Table3[[#This Row],[Sales]]</f>
        <v>0.18338281822357277</v>
      </c>
    </row>
    <row r="453" spans="1:12" x14ac:dyDescent="0.25">
      <c r="A453" t="s">
        <v>471</v>
      </c>
      <c r="B453" s="2">
        <v>45102</v>
      </c>
      <c r="C453" s="2" t="str">
        <f>TEXT(Table3[[#This Row],[Order Date]],"mmmm")</f>
        <v>June</v>
      </c>
      <c r="D453" t="s">
        <v>3220</v>
      </c>
      <c r="E453" t="s">
        <v>3223</v>
      </c>
      <c r="F453" t="s">
        <v>3226</v>
      </c>
      <c r="G453" s="4">
        <v>49170.37</v>
      </c>
      <c r="H453" s="4">
        <v>34690.17</v>
      </c>
      <c r="I453" s="3" t="s">
        <v>3734</v>
      </c>
      <c r="J453">
        <v>5</v>
      </c>
      <c r="K453" s="4">
        <f>Table3[[#This Row],[Sales]]-Table3[[#This Row],[Cost]]</f>
        <v>14480.200000000004</v>
      </c>
      <c r="L453" s="6">
        <f>Table3[[#This Row],[Profit]]/Table3[[#This Row],[Sales]]</f>
        <v>0.29449036075994556</v>
      </c>
    </row>
    <row r="454" spans="1:12" x14ac:dyDescent="0.25">
      <c r="A454" t="s">
        <v>472</v>
      </c>
      <c r="B454" s="2">
        <v>45102</v>
      </c>
      <c r="C454" s="2" t="str">
        <f>TEXT(Table3[[#This Row],[Order Date]],"mmmm")</f>
        <v>June</v>
      </c>
      <c r="D454" t="s">
        <v>3216</v>
      </c>
      <c r="E454" t="s">
        <v>3223</v>
      </c>
      <c r="F454" t="s">
        <v>3226</v>
      </c>
      <c r="G454" s="4">
        <v>24590.65</v>
      </c>
      <c r="H454" s="4">
        <v>19063.169999999998</v>
      </c>
      <c r="I454" s="3" t="s">
        <v>3734</v>
      </c>
      <c r="J454">
        <v>3</v>
      </c>
      <c r="K454" s="4">
        <f>Table3[[#This Row],[Sales]]-Table3[[#This Row],[Cost]]</f>
        <v>5527.4800000000032</v>
      </c>
      <c r="L454" s="6">
        <f>Table3[[#This Row],[Profit]]/Table3[[#This Row],[Sales]]</f>
        <v>0.2247797435204032</v>
      </c>
    </row>
    <row r="455" spans="1:12" x14ac:dyDescent="0.25">
      <c r="A455" t="s">
        <v>473</v>
      </c>
      <c r="B455" s="2">
        <v>44972</v>
      </c>
      <c r="C455" s="2" t="str">
        <f>TEXT(Table3[[#This Row],[Order Date]],"mmmm")</f>
        <v>February</v>
      </c>
      <c r="D455" t="s">
        <v>3731</v>
      </c>
      <c r="E455" t="s">
        <v>3224</v>
      </c>
      <c r="F455" t="s">
        <v>3226</v>
      </c>
      <c r="G455" s="4">
        <v>139762.84</v>
      </c>
      <c r="H455" s="4">
        <v>77406.5</v>
      </c>
      <c r="I455" s="3" t="s">
        <v>3734</v>
      </c>
      <c r="J455">
        <v>2</v>
      </c>
      <c r="K455" s="4">
        <f>Table3[[#This Row],[Sales]]-Table3[[#This Row],[Cost]]</f>
        <v>62356.34</v>
      </c>
      <c r="L455" s="6">
        <f>Table3[[#This Row],[Profit]]/Table3[[#This Row],[Sales]]</f>
        <v>0.44615822059712007</v>
      </c>
    </row>
    <row r="456" spans="1:12" x14ac:dyDescent="0.25">
      <c r="A456" t="s">
        <v>474</v>
      </c>
      <c r="B456" s="2" t="s">
        <v>3729</v>
      </c>
      <c r="C456" s="2" t="str">
        <f>TEXT(Table3[[#This Row],[Order Date]],"mmmm")</f>
        <v>Not Mentioned</v>
      </c>
      <c r="D456" t="s">
        <v>3731</v>
      </c>
      <c r="E456" t="s">
        <v>3224</v>
      </c>
      <c r="F456" t="s">
        <v>3226</v>
      </c>
      <c r="G456" s="4">
        <v>51645.27</v>
      </c>
      <c r="H456" s="4">
        <v>41316.216</v>
      </c>
      <c r="I456" s="3" t="s">
        <v>3735</v>
      </c>
      <c r="J456">
        <v>1</v>
      </c>
      <c r="K456" s="4">
        <f>Table3[[#This Row],[Sales]]-Table3[[#This Row],[Cost]]</f>
        <v>10329.053999999996</v>
      </c>
      <c r="L456" s="6">
        <f>Table3[[#This Row],[Profit]]/Table3[[#This Row],[Sales]]</f>
        <v>0.19999999999999996</v>
      </c>
    </row>
    <row r="457" spans="1:12" x14ac:dyDescent="0.25">
      <c r="A457" t="s">
        <v>475</v>
      </c>
      <c r="B457" s="2" t="s">
        <v>3729</v>
      </c>
      <c r="C457" s="2" t="str">
        <f>TEXT(Table3[[#This Row],[Order Date]],"mmmm")</f>
        <v>Not Mentioned</v>
      </c>
      <c r="D457" t="s">
        <v>3220</v>
      </c>
      <c r="E457" t="s">
        <v>3225</v>
      </c>
      <c r="F457" t="s">
        <v>3226</v>
      </c>
      <c r="G457" s="4">
        <v>58259.199999999997</v>
      </c>
      <c r="H457" s="4">
        <v>42474.8</v>
      </c>
      <c r="I457" s="3" t="s">
        <v>3734</v>
      </c>
      <c r="J457">
        <v>3</v>
      </c>
      <c r="K457" s="4">
        <f>Table3[[#This Row],[Sales]]-Table3[[#This Row],[Cost]]</f>
        <v>15784.399999999994</v>
      </c>
      <c r="L457" s="6">
        <f>Table3[[#This Row],[Profit]]/Table3[[#This Row],[Sales]]</f>
        <v>0.27093403273646044</v>
      </c>
    </row>
    <row r="458" spans="1:12" x14ac:dyDescent="0.25">
      <c r="A458" t="s">
        <v>51</v>
      </c>
      <c r="B458" s="2">
        <v>45005</v>
      </c>
      <c r="C458" s="2" t="str">
        <f>TEXT(Table3[[#This Row],[Order Date]],"mmmm")</f>
        <v>March</v>
      </c>
      <c r="D458" t="s">
        <v>3730</v>
      </c>
      <c r="E458" t="s">
        <v>3223</v>
      </c>
      <c r="F458" t="s">
        <v>3226</v>
      </c>
      <c r="G458" s="4">
        <v>9294.92</v>
      </c>
      <c r="H458" s="4">
        <v>7289.09</v>
      </c>
      <c r="I458" s="3" t="s">
        <v>3734</v>
      </c>
      <c r="J458">
        <v>1</v>
      </c>
      <c r="K458" s="4">
        <f>Table3[[#This Row],[Sales]]-Table3[[#This Row],[Cost]]</f>
        <v>2005.83</v>
      </c>
      <c r="L458" s="6">
        <f>Table3[[#This Row],[Profit]]/Table3[[#This Row],[Sales]]</f>
        <v>0.21579852220352622</v>
      </c>
    </row>
    <row r="459" spans="1:12" x14ac:dyDescent="0.25">
      <c r="A459" t="s">
        <v>3306</v>
      </c>
      <c r="B459" s="2" t="s">
        <v>3729</v>
      </c>
      <c r="C459" s="2" t="str">
        <f>TEXT(Table3[[#This Row],[Order Date]],"mmmm")</f>
        <v>Not Mentioned</v>
      </c>
      <c r="D459" t="s">
        <v>3730</v>
      </c>
      <c r="E459" t="s">
        <v>3223</v>
      </c>
      <c r="F459" t="s">
        <v>3226</v>
      </c>
      <c r="G459" s="4">
        <v>39770.35</v>
      </c>
      <c r="H459" s="4">
        <v>27621.46</v>
      </c>
      <c r="I459" s="3" t="s">
        <v>3734</v>
      </c>
      <c r="J459">
        <v>4</v>
      </c>
      <c r="K459" s="4">
        <f>Table3[[#This Row],[Sales]]-Table3[[#This Row],[Cost]]</f>
        <v>12148.89</v>
      </c>
      <c r="L459" s="6">
        <f>Table3[[#This Row],[Profit]]/Table3[[#This Row],[Sales]]</f>
        <v>0.30547606445505254</v>
      </c>
    </row>
    <row r="460" spans="1:12" x14ac:dyDescent="0.25">
      <c r="A460" t="s">
        <v>3307</v>
      </c>
      <c r="B460" s="2" t="s">
        <v>3729</v>
      </c>
      <c r="C460" s="2" t="str">
        <f>TEXT(Table3[[#This Row],[Order Date]],"mmmm")</f>
        <v>Not Mentioned</v>
      </c>
      <c r="D460" t="s">
        <v>3731</v>
      </c>
      <c r="E460" t="s">
        <v>3225</v>
      </c>
      <c r="F460" t="s">
        <v>3226</v>
      </c>
      <c r="G460" s="4">
        <v>16430.18</v>
      </c>
      <c r="H460" s="4">
        <v>14242.75</v>
      </c>
      <c r="I460" s="3" t="s">
        <v>3734</v>
      </c>
      <c r="J460">
        <v>1</v>
      </c>
      <c r="K460" s="4">
        <f>Table3[[#This Row],[Sales]]-Table3[[#This Row],[Cost]]</f>
        <v>2187.4300000000003</v>
      </c>
      <c r="L460" s="6">
        <f>Table3[[#This Row],[Profit]]/Table3[[#This Row],[Sales]]</f>
        <v>0.13313487740243871</v>
      </c>
    </row>
    <row r="461" spans="1:12" x14ac:dyDescent="0.25">
      <c r="A461" t="s">
        <v>478</v>
      </c>
      <c r="B461" s="2">
        <v>44941</v>
      </c>
      <c r="C461" s="2" t="str">
        <f>TEXT(Table3[[#This Row],[Order Date]],"mmmm")</f>
        <v>January</v>
      </c>
      <c r="D461" t="s">
        <v>3730</v>
      </c>
      <c r="E461" t="s">
        <v>3225</v>
      </c>
      <c r="F461" t="s">
        <v>3226</v>
      </c>
      <c r="G461" s="4">
        <v>107306.1</v>
      </c>
      <c r="H461" s="4">
        <v>63623.4</v>
      </c>
      <c r="I461" s="3" t="s">
        <v>3734</v>
      </c>
      <c r="J461">
        <v>5</v>
      </c>
      <c r="K461" s="4">
        <f>Table3[[#This Row],[Sales]]-Table3[[#This Row],[Cost]]</f>
        <v>43682.700000000004</v>
      </c>
      <c r="L461" s="6">
        <f>Table3[[#This Row],[Profit]]/Table3[[#This Row],[Sales]]</f>
        <v>0.40708496534679761</v>
      </c>
    </row>
    <row r="462" spans="1:12" x14ac:dyDescent="0.25">
      <c r="A462" t="s">
        <v>479</v>
      </c>
      <c r="B462" s="2">
        <v>44941</v>
      </c>
      <c r="C462" s="2" t="str">
        <f>TEXT(Table3[[#This Row],[Order Date]],"mmmm")</f>
        <v>January</v>
      </c>
      <c r="D462" t="s">
        <v>3731</v>
      </c>
      <c r="E462" t="s">
        <v>3224</v>
      </c>
      <c r="F462" t="s">
        <v>3226</v>
      </c>
      <c r="G462" s="4">
        <v>329037.33</v>
      </c>
      <c r="H462" s="4">
        <v>229371.93</v>
      </c>
      <c r="I462" s="3" t="s">
        <v>3734</v>
      </c>
      <c r="J462">
        <v>5</v>
      </c>
      <c r="K462" s="4">
        <f>Table3[[#This Row],[Sales]]-Table3[[#This Row],[Cost]]</f>
        <v>99665.400000000023</v>
      </c>
      <c r="L462" s="6">
        <f>Table3[[#This Row],[Profit]]/Table3[[#This Row],[Sales]]</f>
        <v>0.30289997794475182</v>
      </c>
    </row>
    <row r="463" spans="1:12" x14ac:dyDescent="0.25">
      <c r="A463" t="s">
        <v>480</v>
      </c>
      <c r="B463" s="2">
        <v>44941</v>
      </c>
      <c r="C463" s="2" t="str">
        <f>TEXT(Table3[[#This Row],[Order Date]],"mmmm")</f>
        <v>January</v>
      </c>
      <c r="D463" t="s">
        <v>3731</v>
      </c>
      <c r="E463" t="s">
        <v>3223</v>
      </c>
      <c r="F463" t="s">
        <v>3226</v>
      </c>
      <c r="G463" s="4">
        <v>35112.559999999998</v>
      </c>
      <c r="H463" s="4">
        <v>29543.86</v>
      </c>
      <c r="I463" s="3" t="s">
        <v>3734</v>
      </c>
      <c r="J463">
        <v>4</v>
      </c>
      <c r="K463" s="4">
        <f>Table3[[#This Row],[Sales]]-Table3[[#This Row],[Cost]]</f>
        <v>5568.6999999999971</v>
      </c>
      <c r="L463" s="6">
        <f>Table3[[#This Row],[Profit]]/Table3[[#This Row],[Sales]]</f>
        <v>0.15859567060903557</v>
      </c>
    </row>
    <row r="464" spans="1:12" x14ac:dyDescent="0.25">
      <c r="A464" t="s">
        <v>481</v>
      </c>
      <c r="B464" s="2">
        <v>44941</v>
      </c>
      <c r="C464" s="2" t="str">
        <f>TEXT(Table3[[#This Row],[Order Date]],"mmmm")</f>
        <v>January</v>
      </c>
      <c r="D464" t="s">
        <v>3216</v>
      </c>
      <c r="E464" t="s">
        <v>3223</v>
      </c>
      <c r="F464" t="s">
        <v>3226</v>
      </c>
      <c r="G464" s="4">
        <v>59624.83</v>
      </c>
      <c r="H464" s="4">
        <v>37909.279999999999</v>
      </c>
      <c r="I464" s="3" t="s">
        <v>3734</v>
      </c>
      <c r="J464">
        <v>5</v>
      </c>
      <c r="K464" s="4">
        <f>Table3[[#This Row],[Sales]]-Table3[[#This Row],[Cost]]</f>
        <v>21715.550000000003</v>
      </c>
      <c r="L464" s="6">
        <f>Table3[[#This Row],[Profit]]/Table3[[#This Row],[Sales]]</f>
        <v>0.36420313483493372</v>
      </c>
    </row>
    <row r="465" spans="1:12" x14ac:dyDescent="0.25">
      <c r="A465" t="s">
        <v>161</v>
      </c>
      <c r="B465" s="2" t="s">
        <v>3729</v>
      </c>
      <c r="C465" s="2" t="str">
        <f>TEXT(Table3[[#This Row],[Order Date]],"mmmm")</f>
        <v>Not Mentioned</v>
      </c>
      <c r="D465" t="s">
        <v>3216</v>
      </c>
      <c r="E465" t="s">
        <v>3222</v>
      </c>
      <c r="F465" t="s">
        <v>3226</v>
      </c>
      <c r="G465" s="4">
        <v>68948.17</v>
      </c>
      <c r="H465" s="4">
        <v>52193.82</v>
      </c>
      <c r="I465" s="3" t="s">
        <v>3734</v>
      </c>
      <c r="J465" t="s">
        <v>3732</v>
      </c>
      <c r="K465" s="4">
        <f>Table3[[#This Row],[Sales]]-Table3[[#This Row],[Cost]]</f>
        <v>16754.349999999999</v>
      </c>
      <c r="L465" s="6">
        <f>Table3[[#This Row],[Profit]]/Table3[[#This Row],[Sales]]</f>
        <v>0.24299919780321941</v>
      </c>
    </row>
    <row r="466" spans="1:12" x14ac:dyDescent="0.25">
      <c r="A466" t="s">
        <v>484</v>
      </c>
      <c r="B466" s="2">
        <v>44941</v>
      </c>
      <c r="C466" s="2" t="str">
        <f>TEXT(Table3[[#This Row],[Order Date]],"mmmm")</f>
        <v>January</v>
      </c>
      <c r="D466" t="s">
        <v>3731</v>
      </c>
      <c r="E466" t="s">
        <v>3224</v>
      </c>
      <c r="F466" t="s">
        <v>3226</v>
      </c>
      <c r="G466" s="4">
        <v>319577.55</v>
      </c>
      <c r="H466" s="4">
        <v>224739.36</v>
      </c>
      <c r="I466" s="3" t="s">
        <v>3734</v>
      </c>
      <c r="J466">
        <v>5</v>
      </c>
      <c r="K466" s="4">
        <f>Table3[[#This Row],[Sales]]-Table3[[#This Row],[Cost]]</f>
        <v>94838.19</v>
      </c>
      <c r="L466" s="6">
        <f>Table3[[#This Row],[Profit]]/Table3[[#This Row],[Sales]]</f>
        <v>0.29676111479044759</v>
      </c>
    </row>
    <row r="467" spans="1:12" x14ac:dyDescent="0.25">
      <c r="A467" t="s">
        <v>485</v>
      </c>
      <c r="B467" s="2">
        <v>45005</v>
      </c>
      <c r="C467" s="2" t="str">
        <f>TEXT(Table3[[#This Row],[Order Date]],"mmmm")</f>
        <v>March</v>
      </c>
      <c r="D467" t="s">
        <v>3220</v>
      </c>
      <c r="E467" t="s">
        <v>3224</v>
      </c>
      <c r="F467" t="s">
        <v>3226</v>
      </c>
      <c r="G467" s="4">
        <v>98211.03</v>
      </c>
      <c r="H467" s="4">
        <v>97443.54</v>
      </c>
      <c r="I467" s="3" t="s">
        <v>3734</v>
      </c>
      <c r="J467">
        <v>2</v>
      </c>
      <c r="K467" s="4">
        <f>Table3[[#This Row],[Sales]]-Table3[[#This Row],[Cost]]</f>
        <v>767.49000000000524</v>
      </c>
      <c r="L467" s="6">
        <f>Table3[[#This Row],[Profit]]/Table3[[#This Row],[Sales]]</f>
        <v>7.8147026866534769E-3</v>
      </c>
    </row>
    <row r="468" spans="1:12" x14ac:dyDescent="0.25">
      <c r="A468" t="s">
        <v>486</v>
      </c>
      <c r="B468" s="2">
        <v>45102</v>
      </c>
      <c r="C468" s="2" t="str">
        <f>TEXT(Table3[[#This Row],[Order Date]],"mmmm")</f>
        <v>June</v>
      </c>
      <c r="D468" t="s">
        <v>3220</v>
      </c>
      <c r="E468" t="s">
        <v>3224</v>
      </c>
      <c r="F468" t="s">
        <v>3226</v>
      </c>
      <c r="G468" s="4">
        <v>58048.68</v>
      </c>
      <c r="H468" s="4">
        <v>46438.944000000003</v>
      </c>
      <c r="I468" s="3" t="s">
        <v>3735</v>
      </c>
      <c r="J468">
        <v>1</v>
      </c>
      <c r="K468" s="4">
        <f>Table3[[#This Row],[Sales]]-Table3[[#This Row],[Cost]]</f>
        <v>11609.735999999997</v>
      </c>
      <c r="L468" s="6">
        <f>Table3[[#This Row],[Profit]]/Table3[[#This Row],[Sales]]</f>
        <v>0.19999999999999996</v>
      </c>
    </row>
    <row r="469" spans="1:12" x14ac:dyDescent="0.25">
      <c r="A469" t="s">
        <v>3309</v>
      </c>
      <c r="B469" s="2">
        <v>44941</v>
      </c>
      <c r="C469" s="2" t="str">
        <f>TEXT(Table3[[#This Row],[Order Date]],"mmmm")</f>
        <v>January</v>
      </c>
      <c r="D469" t="s">
        <v>3216</v>
      </c>
      <c r="E469" t="s">
        <v>3222</v>
      </c>
      <c r="F469" t="s">
        <v>3226</v>
      </c>
      <c r="G469" s="4">
        <v>16344.18</v>
      </c>
      <c r="H469" s="4">
        <v>10822.02</v>
      </c>
      <c r="I469" s="3" t="s">
        <v>3734</v>
      </c>
      <c r="J469">
        <v>1</v>
      </c>
      <c r="K469" s="4">
        <f>Table3[[#This Row],[Sales]]-Table3[[#This Row],[Cost]]</f>
        <v>5522.16</v>
      </c>
      <c r="L469" s="6">
        <f>Table3[[#This Row],[Profit]]/Table3[[#This Row],[Sales]]</f>
        <v>0.33786705726442073</v>
      </c>
    </row>
    <row r="470" spans="1:12" x14ac:dyDescent="0.25">
      <c r="A470" t="s">
        <v>3310</v>
      </c>
      <c r="B470" s="2">
        <v>44972</v>
      </c>
      <c r="C470" s="2" t="str">
        <f>TEXT(Table3[[#This Row],[Order Date]],"mmmm")</f>
        <v>February</v>
      </c>
      <c r="D470" t="s">
        <v>3220</v>
      </c>
      <c r="E470" t="s">
        <v>3225</v>
      </c>
      <c r="F470" t="s">
        <v>3226</v>
      </c>
      <c r="G470" s="4">
        <v>21995.03</v>
      </c>
      <c r="H470" s="4">
        <v>15112.44</v>
      </c>
      <c r="I470" s="3" t="s">
        <v>3734</v>
      </c>
      <c r="J470">
        <v>1</v>
      </c>
      <c r="K470" s="4">
        <f>Table3[[#This Row],[Sales]]-Table3[[#This Row],[Cost]]</f>
        <v>6882.5899999999983</v>
      </c>
      <c r="L470" s="6">
        <f>Table3[[#This Row],[Profit]]/Table3[[#This Row],[Sales]]</f>
        <v>0.31291569049917178</v>
      </c>
    </row>
    <row r="471" spans="1:12" x14ac:dyDescent="0.25">
      <c r="A471" t="s">
        <v>3311</v>
      </c>
      <c r="B471" s="2">
        <v>44972</v>
      </c>
      <c r="C471" s="2" t="str">
        <f>TEXT(Table3[[#This Row],[Order Date]],"mmmm")</f>
        <v>February</v>
      </c>
      <c r="D471" t="s">
        <v>3216</v>
      </c>
      <c r="E471" t="s">
        <v>3224</v>
      </c>
      <c r="F471" t="s">
        <v>3226</v>
      </c>
      <c r="G471" s="4">
        <v>58660.4</v>
      </c>
      <c r="H471" s="4">
        <v>45850.35</v>
      </c>
      <c r="I471" s="3" t="s">
        <v>3734</v>
      </c>
      <c r="J471">
        <v>1</v>
      </c>
      <c r="K471" s="4">
        <f>Table3[[#This Row],[Sales]]-Table3[[#This Row],[Cost]]</f>
        <v>12810.050000000003</v>
      </c>
      <c r="L471" s="6">
        <f>Table3[[#This Row],[Profit]]/Table3[[#This Row],[Sales]]</f>
        <v>0.21837645157550925</v>
      </c>
    </row>
    <row r="472" spans="1:12" x14ac:dyDescent="0.25">
      <c r="A472" t="s">
        <v>490</v>
      </c>
      <c r="B472" s="2">
        <v>45102</v>
      </c>
      <c r="C472" s="2" t="str">
        <f>TEXT(Table3[[#This Row],[Order Date]],"mmmm")</f>
        <v>June</v>
      </c>
      <c r="D472" t="s">
        <v>3730</v>
      </c>
      <c r="E472" t="s">
        <v>3222</v>
      </c>
      <c r="F472" t="s">
        <v>3226</v>
      </c>
      <c r="G472" s="4">
        <v>35842.75</v>
      </c>
      <c r="H472" s="4">
        <v>20772.849999999999</v>
      </c>
      <c r="I472" s="3" t="s">
        <v>3734</v>
      </c>
      <c r="J472">
        <v>2</v>
      </c>
      <c r="K472" s="4">
        <f>Table3[[#This Row],[Sales]]-Table3[[#This Row],[Cost]]</f>
        <v>15069.900000000001</v>
      </c>
      <c r="L472" s="6">
        <f>Table3[[#This Row],[Profit]]/Table3[[#This Row],[Sales]]</f>
        <v>0.42044485983915858</v>
      </c>
    </row>
    <row r="473" spans="1:12" x14ac:dyDescent="0.25">
      <c r="A473" t="s">
        <v>3312</v>
      </c>
      <c r="B473" s="2">
        <v>44941</v>
      </c>
      <c r="C473" s="2" t="str">
        <f>TEXT(Table3[[#This Row],[Order Date]],"mmmm")</f>
        <v>January</v>
      </c>
      <c r="D473" t="s">
        <v>3220</v>
      </c>
      <c r="E473" t="s">
        <v>3225</v>
      </c>
      <c r="F473" t="s">
        <v>3226</v>
      </c>
      <c r="G473" s="4">
        <v>16055.86</v>
      </c>
      <c r="H473" s="4">
        <v>13312.18</v>
      </c>
      <c r="I473" s="3" t="s">
        <v>3734</v>
      </c>
      <c r="J473">
        <v>1</v>
      </c>
      <c r="K473" s="4">
        <f>Table3[[#This Row],[Sales]]-Table3[[#This Row],[Cost]]</f>
        <v>2743.6800000000003</v>
      </c>
      <c r="L473" s="6">
        <f>Table3[[#This Row],[Profit]]/Table3[[#This Row],[Sales]]</f>
        <v>0.17088340331816546</v>
      </c>
    </row>
    <row r="474" spans="1:12" x14ac:dyDescent="0.25">
      <c r="A474" t="s">
        <v>492</v>
      </c>
      <c r="B474" s="2">
        <v>45102</v>
      </c>
      <c r="C474" s="2" t="str">
        <f>TEXT(Table3[[#This Row],[Order Date]],"mmmm")</f>
        <v>June</v>
      </c>
      <c r="D474" t="s">
        <v>3220</v>
      </c>
      <c r="E474" t="s">
        <v>3224</v>
      </c>
      <c r="F474" t="s">
        <v>3226</v>
      </c>
      <c r="G474" s="4">
        <v>53605.62</v>
      </c>
      <c r="H474" s="4">
        <v>39017.1</v>
      </c>
      <c r="I474" s="3" t="s">
        <v>3734</v>
      </c>
      <c r="J474">
        <v>1</v>
      </c>
      <c r="K474" s="4">
        <f>Table3[[#This Row],[Sales]]-Table3[[#This Row],[Cost]]</f>
        <v>14588.520000000004</v>
      </c>
      <c r="L474" s="6">
        <f>Table3[[#This Row],[Profit]]/Table3[[#This Row],[Sales]]</f>
        <v>0.27214534595439815</v>
      </c>
    </row>
    <row r="475" spans="1:12" x14ac:dyDescent="0.25">
      <c r="A475" t="s">
        <v>493</v>
      </c>
      <c r="B475" s="2" t="s">
        <v>3729</v>
      </c>
      <c r="C475" s="2" t="str">
        <f>TEXT(Table3[[#This Row],[Order Date]],"mmmm")</f>
        <v>Not Mentioned</v>
      </c>
      <c r="D475" t="s">
        <v>3220</v>
      </c>
      <c r="E475" t="s">
        <v>3222</v>
      </c>
      <c r="F475" t="s">
        <v>3226</v>
      </c>
      <c r="G475" s="4">
        <v>67388.78</v>
      </c>
      <c r="H475" s="4">
        <v>41374.1</v>
      </c>
      <c r="I475" s="3" t="s">
        <v>3734</v>
      </c>
      <c r="J475">
        <v>4</v>
      </c>
      <c r="K475" s="4">
        <f>Table3[[#This Row],[Sales]]-Table3[[#This Row],[Cost]]</f>
        <v>26014.68</v>
      </c>
      <c r="L475" s="6">
        <f>Table3[[#This Row],[Profit]]/Table3[[#This Row],[Sales]]</f>
        <v>0.38603874413515127</v>
      </c>
    </row>
    <row r="476" spans="1:12" x14ac:dyDescent="0.25">
      <c r="A476" t="s">
        <v>494</v>
      </c>
      <c r="B476" s="2">
        <v>44941</v>
      </c>
      <c r="C476" s="2" t="str">
        <f>TEXT(Table3[[#This Row],[Order Date]],"mmmm")</f>
        <v>January</v>
      </c>
      <c r="D476" t="s">
        <v>3216</v>
      </c>
      <c r="E476" t="s">
        <v>3222</v>
      </c>
      <c r="F476" t="s">
        <v>3226</v>
      </c>
      <c r="G476" s="4">
        <v>17065.89</v>
      </c>
      <c r="H476" s="4">
        <v>10789.52</v>
      </c>
      <c r="I476" s="3" t="s">
        <v>3734</v>
      </c>
      <c r="J476">
        <v>1</v>
      </c>
      <c r="K476" s="4">
        <f>Table3[[#This Row],[Sales]]-Table3[[#This Row],[Cost]]</f>
        <v>6276.369999999999</v>
      </c>
      <c r="L476" s="6">
        <f>Table3[[#This Row],[Profit]]/Table3[[#This Row],[Sales]]</f>
        <v>0.36777279122272549</v>
      </c>
    </row>
    <row r="477" spans="1:12" x14ac:dyDescent="0.25">
      <c r="A477" t="s">
        <v>495</v>
      </c>
      <c r="B477" s="2">
        <v>44972</v>
      </c>
      <c r="C477" s="2" t="str">
        <f>TEXT(Table3[[#This Row],[Order Date]],"mmmm")</f>
        <v>February</v>
      </c>
      <c r="D477" t="s">
        <v>3216</v>
      </c>
      <c r="E477" t="s">
        <v>3224</v>
      </c>
      <c r="F477" t="s">
        <v>3226</v>
      </c>
      <c r="G477" s="4">
        <v>254239.27</v>
      </c>
      <c r="H477" s="4">
        <v>200918.05</v>
      </c>
      <c r="I477" s="3" t="s">
        <v>3734</v>
      </c>
      <c r="J477">
        <v>5</v>
      </c>
      <c r="K477" s="4">
        <f>Table3[[#This Row],[Sales]]-Table3[[#This Row],[Cost]]</f>
        <v>53321.22</v>
      </c>
      <c r="L477" s="6">
        <f>Table3[[#This Row],[Profit]]/Table3[[#This Row],[Sales]]</f>
        <v>0.20972849709645563</v>
      </c>
    </row>
    <row r="478" spans="1:12" x14ac:dyDescent="0.25">
      <c r="A478" t="s">
        <v>496</v>
      </c>
      <c r="B478" s="2">
        <v>44972</v>
      </c>
      <c r="C478" s="2" t="str">
        <f>TEXT(Table3[[#This Row],[Order Date]],"mmmm")</f>
        <v>February</v>
      </c>
      <c r="D478" t="s">
        <v>3220</v>
      </c>
      <c r="E478" t="s">
        <v>3224</v>
      </c>
      <c r="F478" t="s">
        <v>3226</v>
      </c>
      <c r="G478" s="4">
        <v>281740.37</v>
      </c>
      <c r="H478" s="4">
        <v>193914.1</v>
      </c>
      <c r="I478" s="3" t="s">
        <v>3734</v>
      </c>
      <c r="J478">
        <v>4</v>
      </c>
      <c r="K478" s="4">
        <f>Table3[[#This Row],[Sales]]-Table3[[#This Row],[Cost]]</f>
        <v>87826.26999999999</v>
      </c>
      <c r="L478" s="6">
        <f>Table3[[#This Row],[Profit]]/Table3[[#This Row],[Sales]]</f>
        <v>0.31172767324753636</v>
      </c>
    </row>
    <row r="479" spans="1:12" x14ac:dyDescent="0.25">
      <c r="A479" t="s">
        <v>497</v>
      </c>
      <c r="B479" s="2" t="s">
        <v>3729</v>
      </c>
      <c r="C479" s="2" t="str">
        <f>TEXT(Table3[[#This Row],[Order Date]],"mmmm")</f>
        <v>Not Mentioned</v>
      </c>
      <c r="D479" t="s">
        <v>3220</v>
      </c>
      <c r="E479" t="s">
        <v>3224</v>
      </c>
      <c r="F479" t="s">
        <v>3226</v>
      </c>
      <c r="G479" s="4">
        <v>264435.53999999998</v>
      </c>
      <c r="H479" s="4">
        <v>173045.38</v>
      </c>
      <c r="I479" s="3" t="s">
        <v>3734</v>
      </c>
      <c r="J479">
        <v>4</v>
      </c>
      <c r="K479" s="4">
        <f>Table3[[#This Row],[Sales]]-Table3[[#This Row],[Cost]]</f>
        <v>91390.159999999974</v>
      </c>
      <c r="L479" s="6">
        <f>Table3[[#This Row],[Profit]]/Table3[[#This Row],[Sales]]</f>
        <v>0.34560467931050409</v>
      </c>
    </row>
    <row r="480" spans="1:12" x14ac:dyDescent="0.25">
      <c r="A480" t="s">
        <v>498</v>
      </c>
      <c r="B480" s="2">
        <v>45102</v>
      </c>
      <c r="C480" s="2" t="str">
        <f>TEXT(Table3[[#This Row],[Order Date]],"mmmm")</f>
        <v>June</v>
      </c>
      <c r="D480" t="s">
        <v>3216</v>
      </c>
      <c r="E480" t="s">
        <v>3223</v>
      </c>
      <c r="F480" t="s">
        <v>3226</v>
      </c>
      <c r="G480" s="4">
        <v>10582.14</v>
      </c>
      <c r="H480" s="4">
        <v>6222.6</v>
      </c>
      <c r="I480" s="3" t="s">
        <v>3734</v>
      </c>
      <c r="J480">
        <v>1</v>
      </c>
      <c r="K480" s="4">
        <f>Table3[[#This Row],[Sales]]-Table3[[#This Row],[Cost]]</f>
        <v>4359.5399999999991</v>
      </c>
      <c r="L480" s="6">
        <f>Table3[[#This Row],[Profit]]/Table3[[#This Row],[Sales]]</f>
        <v>0.41197149158865781</v>
      </c>
    </row>
    <row r="481" spans="1:12" x14ac:dyDescent="0.25">
      <c r="A481" t="s">
        <v>499</v>
      </c>
      <c r="B481" s="2" t="s">
        <v>3729</v>
      </c>
      <c r="C481" s="2" t="str">
        <f>TEXT(Table3[[#This Row],[Order Date]],"mmmm")</f>
        <v>Not Mentioned</v>
      </c>
      <c r="D481" t="s">
        <v>3220</v>
      </c>
      <c r="E481" t="s">
        <v>3222</v>
      </c>
      <c r="F481" t="s">
        <v>3226</v>
      </c>
      <c r="G481" s="4">
        <v>32816.5</v>
      </c>
      <c r="H481" s="4">
        <v>20497.98</v>
      </c>
      <c r="I481" s="3" t="s">
        <v>3734</v>
      </c>
      <c r="J481">
        <v>2</v>
      </c>
      <c r="K481" s="4">
        <f>Table3[[#This Row],[Sales]]-Table3[[#This Row],[Cost]]</f>
        <v>12318.52</v>
      </c>
      <c r="L481" s="6">
        <f>Table3[[#This Row],[Profit]]/Table3[[#This Row],[Sales]]</f>
        <v>0.37537580180701785</v>
      </c>
    </row>
    <row r="482" spans="1:12" x14ac:dyDescent="0.25">
      <c r="A482" t="s">
        <v>500</v>
      </c>
      <c r="B482" s="2">
        <v>44972</v>
      </c>
      <c r="C482" s="2" t="str">
        <f>TEXT(Table3[[#This Row],[Order Date]],"mmmm")</f>
        <v>February</v>
      </c>
      <c r="D482" t="s">
        <v>3731</v>
      </c>
      <c r="E482" t="s">
        <v>3224</v>
      </c>
      <c r="F482" t="s">
        <v>3226</v>
      </c>
      <c r="G482" s="4">
        <v>132862.56</v>
      </c>
      <c r="H482" s="4">
        <v>90642.74</v>
      </c>
      <c r="I482" s="3" t="s">
        <v>3734</v>
      </c>
      <c r="J482">
        <v>2</v>
      </c>
      <c r="K482" s="4">
        <f>Table3[[#This Row],[Sales]]-Table3[[#This Row],[Cost]]</f>
        <v>42219.819999999992</v>
      </c>
      <c r="L482" s="6">
        <f>Table3[[#This Row],[Profit]]/Table3[[#This Row],[Sales]]</f>
        <v>0.31777063455649202</v>
      </c>
    </row>
    <row r="483" spans="1:12" x14ac:dyDescent="0.25">
      <c r="A483" t="s">
        <v>501</v>
      </c>
      <c r="B483" s="2">
        <v>45102</v>
      </c>
      <c r="C483" s="2" t="str">
        <f>TEXT(Table3[[#This Row],[Order Date]],"mmmm")</f>
        <v>June</v>
      </c>
      <c r="D483" t="s">
        <v>3220</v>
      </c>
      <c r="E483" t="s">
        <v>3222</v>
      </c>
      <c r="F483" t="s">
        <v>3226</v>
      </c>
      <c r="G483" s="4">
        <v>14008.73</v>
      </c>
      <c r="H483" s="4">
        <v>9284.26</v>
      </c>
      <c r="I483" s="3" t="s">
        <v>3734</v>
      </c>
      <c r="J483">
        <v>1</v>
      </c>
      <c r="K483" s="4">
        <f>Table3[[#This Row],[Sales]]-Table3[[#This Row],[Cost]]</f>
        <v>4724.4699999999993</v>
      </c>
      <c r="L483" s="6">
        <f>Table3[[#This Row],[Profit]]/Table3[[#This Row],[Sales]]</f>
        <v>0.33725184224408633</v>
      </c>
    </row>
    <row r="484" spans="1:12" x14ac:dyDescent="0.25">
      <c r="A484" t="s">
        <v>502</v>
      </c>
      <c r="B484" s="2" t="s">
        <v>3729</v>
      </c>
      <c r="C484" s="2" t="str">
        <f>TEXT(Table3[[#This Row],[Order Date]],"mmmm")</f>
        <v>Not Mentioned</v>
      </c>
      <c r="D484" t="s">
        <v>3731</v>
      </c>
      <c r="E484" t="s">
        <v>3223</v>
      </c>
      <c r="F484" t="s">
        <v>3226</v>
      </c>
      <c r="G484" s="4">
        <v>9703.99</v>
      </c>
      <c r="H484" s="4">
        <v>7643.55</v>
      </c>
      <c r="I484" s="3" t="s">
        <v>3734</v>
      </c>
      <c r="J484">
        <v>1</v>
      </c>
      <c r="K484" s="4">
        <f>Table3[[#This Row],[Sales]]-Table3[[#This Row],[Cost]]</f>
        <v>2060.4399999999996</v>
      </c>
      <c r="L484" s="6">
        <f>Table3[[#This Row],[Profit]]/Table3[[#This Row],[Sales]]</f>
        <v>0.21232915532682944</v>
      </c>
    </row>
    <row r="485" spans="1:12" x14ac:dyDescent="0.25">
      <c r="A485" t="s">
        <v>503</v>
      </c>
      <c r="B485" s="2" t="s">
        <v>3729</v>
      </c>
      <c r="C485" s="2" t="str">
        <f>TEXT(Table3[[#This Row],[Order Date]],"mmmm")</f>
        <v>Not Mentioned</v>
      </c>
      <c r="D485" t="s">
        <v>3730</v>
      </c>
      <c r="E485" t="s">
        <v>3223</v>
      </c>
      <c r="F485" t="s">
        <v>3226</v>
      </c>
      <c r="G485" s="4">
        <v>8772.64</v>
      </c>
      <c r="H485" s="4">
        <v>6774.79</v>
      </c>
      <c r="I485" s="3" t="s">
        <v>3734</v>
      </c>
      <c r="J485">
        <v>1</v>
      </c>
      <c r="K485" s="4">
        <f>Table3[[#This Row],[Sales]]-Table3[[#This Row],[Cost]]</f>
        <v>1997.8499999999995</v>
      </c>
      <c r="L485" s="6">
        <f>Table3[[#This Row],[Profit]]/Table3[[#This Row],[Sales]]</f>
        <v>0.22773646245599952</v>
      </c>
    </row>
    <row r="486" spans="1:12" x14ac:dyDescent="0.25">
      <c r="A486" t="s">
        <v>3313</v>
      </c>
      <c r="B486" s="2">
        <v>44941</v>
      </c>
      <c r="C486" s="2" t="str">
        <f>TEXT(Table3[[#This Row],[Order Date]],"mmmm")</f>
        <v>January</v>
      </c>
      <c r="D486" t="s">
        <v>3730</v>
      </c>
      <c r="E486" t="s">
        <v>3224</v>
      </c>
      <c r="F486" t="s">
        <v>3226</v>
      </c>
      <c r="G486" s="4">
        <v>148013.34</v>
      </c>
      <c r="H486" s="4">
        <v>135331.18</v>
      </c>
      <c r="I486" s="3" t="s">
        <v>3734</v>
      </c>
      <c r="J486">
        <v>3</v>
      </c>
      <c r="K486" s="4">
        <f>Table3[[#This Row],[Sales]]-Table3[[#This Row],[Cost]]</f>
        <v>12682.160000000003</v>
      </c>
      <c r="L486" s="6">
        <f>Table3[[#This Row],[Profit]]/Table3[[#This Row],[Sales]]</f>
        <v>8.5682547262294087E-2</v>
      </c>
    </row>
    <row r="487" spans="1:12" x14ac:dyDescent="0.25">
      <c r="A487" t="s">
        <v>505</v>
      </c>
      <c r="B487" s="2">
        <v>45102</v>
      </c>
      <c r="C487" s="2" t="str">
        <f>TEXT(Table3[[#This Row],[Order Date]],"mmmm")</f>
        <v>June</v>
      </c>
      <c r="D487" t="s">
        <v>3730</v>
      </c>
      <c r="E487" t="s">
        <v>3223</v>
      </c>
      <c r="F487" t="s">
        <v>3226</v>
      </c>
      <c r="G487" s="4">
        <v>8982.2000000000007</v>
      </c>
      <c r="H487" s="4">
        <v>7371.57</v>
      </c>
      <c r="I487" s="3" t="s">
        <v>3734</v>
      </c>
      <c r="J487">
        <v>1</v>
      </c>
      <c r="K487" s="4">
        <f>Table3[[#This Row],[Sales]]-Table3[[#This Row],[Cost]]</f>
        <v>1610.630000000001</v>
      </c>
      <c r="L487" s="6">
        <f>Table3[[#This Row],[Profit]]/Table3[[#This Row],[Sales]]</f>
        <v>0.17931353120616339</v>
      </c>
    </row>
    <row r="488" spans="1:12" x14ac:dyDescent="0.25">
      <c r="A488" t="s">
        <v>506</v>
      </c>
      <c r="B488" s="2">
        <v>44941</v>
      </c>
      <c r="C488" s="2" t="str">
        <f>TEXT(Table3[[#This Row],[Order Date]],"mmmm")</f>
        <v>January</v>
      </c>
      <c r="D488" t="s">
        <v>3730</v>
      </c>
      <c r="E488" t="s">
        <v>3222</v>
      </c>
      <c r="F488" t="s">
        <v>3226</v>
      </c>
      <c r="G488" s="4">
        <v>76619.8</v>
      </c>
      <c r="H488" s="4">
        <v>49181.99</v>
      </c>
      <c r="I488" s="3" t="s">
        <v>3734</v>
      </c>
      <c r="J488">
        <v>5</v>
      </c>
      <c r="K488" s="4">
        <f>Table3[[#This Row],[Sales]]-Table3[[#This Row],[Cost]]</f>
        <v>27437.810000000005</v>
      </c>
      <c r="L488" s="6">
        <f>Table3[[#This Row],[Profit]]/Table3[[#This Row],[Sales]]</f>
        <v>0.35810338841918149</v>
      </c>
    </row>
    <row r="489" spans="1:12" x14ac:dyDescent="0.25">
      <c r="A489" t="s">
        <v>507</v>
      </c>
      <c r="B489" s="2">
        <v>45021</v>
      </c>
      <c r="C489" s="2" t="str">
        <f>TEXT(Table3[[#This Row],[Order Date]],"mmmm")</f>
        <v>April</v>
      </c>
      <c r="D489" t="s">
        <v>3730</v>
      </c>
      <c r="E489" t="s">
        <v>3222</v>
      </c>
      <c r="F489" t="s">
        <v>3226</v>
      </c>
      <c r="G489" s="4">
        <v>70849.5</v>
      </c>
      <c r="H489" s="4">
        <v>41379.279999999999</v>
      </c>
      <c r="I489" s="3" t="s">
        <v>3734</v>
      </c>
      <c r="J489" t="s">
        <v>3732</v>
      </c>
      <c r="K489" s="4">
        <f>Table3[[#This Row],[Sales]]-Table3[[#This Row],[Cost]]</f>
        <v>29470.22</v>
      </c>
      <c r="L489" s="6">
        <f>Table3[[#This Row],[Profit]]/Table3[[#This Row],[Sales]]</f>
        <v>0.41595522904184223</v>
      </c>
    </row>
    <row r="490" spans="1:12" x14ac:dyDescent="0.25">
      <c r="A490" t="s">
        <v>508</v>
      </c>
      <c r="B490" s="2">
        <v>44972</v>
      </c>
      <c r="C490" s="2" t="str">
        <f>TEXT(Table3[[#This Row],[Order Date]],"mmmm")</f>
        <v>February</v>
      </c>
      <c r="D490" t="s">
        <v>3220</v>
      </c>
      <c r="E490" t="s">
        <v>3222</v>
      </c>
      <c r="F490" t="s">
        <v>3226</v>
      </c>
      <c r="G490" s="4">
        <v>37567.97</v>
      </c>
      <c r="H490" s="4">
        <v>29155.38</v>
      </c>
      <c r="I490" s="3" t="s">
        <v>3734</v>
      </c>
      <c r="J490">
        <v>3</v>
      </c>
      <c r="K490" s="4">
        <f>Table3[[#This Row],[Sales]]-Table3[[#This Row],[Cost]]</f>
        <v>8412.59</v>
      </c>
      <c r="L490" s="6">
        <f>Table3[[#This Row],[Profit]]/Table3[[#This Row],[Sales]]</f>
        <v>0.22392985301042351</v>
      </c>
    </row>
    <row r="491" spans="1:12" x14ac:dyDescent="0.25">
      <c r="A491" t="s">
        <v>509</v>
      </c>
      <c r="B491" s="2">
        <v>45021</v>
      </c>
      <c r="C491" s="2" t="str">
        <f>TEXT(Table3[[#This Row],[Order Date]],"mmmm")</f>
        <v>April</v>
      </c>
      <c r="D491" t="s">
        <v>3216</v>
      </c>
      <c r="E491" t="s">
        <v>3225</v>
      </c>
      <c r="F491" t="s">
        <v>3226</v>
      </c>
      <c r="G491" s="4">
        <v>61654.93</v>
      </c>
      <c r="H491" s="4">
        <v>43702.83</v>
      </c>
      <c r="I491" s="3" t="s">
        <v>3734</v>
      </c>
      <c r="J491">
        <v>3</v>
      </c>
      <c r="K491" s="4">
        <f>Table3[[#This Row],[Sales]]-Table3[[#This Row],[Cost]]</f>
        <v>17952.099999999999</v>
      </c>
      <c r="L491" s="6">
        <f>Table3[[#This Row],[Profit]]/Table3[[#This Row],[Sales]]</f>
        <v>0.29117055197370262</v>
      </c>
    </row>
    <row r="492" spans="1:12" x14ac:dyDescent="0.25">
      <c r="A492" t="s">
        <v>510</v>
      </c>
      <c r="B492" s="2">
        <v>45102</v>
      </c>
      <c r="C492" s="2" t="str">
        <f>TEXT(Table3[[#This Row],[Order Date]],"mmmm")</f>
        <v>June</v>
      </c>
      <c r="D492" t="s">
        <v>3216</v>
      </c>
      <c r="E492" t="s">
        <v>3224</v>
      </c>
      <c r="F492" t="s">
        <v>3226</v>
      </c>
      <c r="G492" s="4">
        <v>269289.34000000003</v>
      </c>
      <c r="H492" s="4">
        <v>191026.78</v>
      </c>
      <c r="I492" s="3" t="s">
        <v>3734</v>
      </c>
      <c r="J492">
        <v>4</v>
      </c>
      <c r="K492" s="4">
        <f>Table3[[#This Row],[Sales]]-Table3[[#This Row],[Cost]]</f>
        <v>78262.560000000027</v>
      </c>
      <c r="L492" s="6">
        <f>Table3[[#This Row],[Profit]]/Table3[[#This Row],[Sales]]</f>
        <v>0.2906262832386905</v>
      </c>
    </row>
    <row r="493" spans="1:12" x14ac:dyDescent="0.25">
      <c r="A493" t="s">
        <v>3314</v>
      </c>
      <c r="B493" s="2">
        <v>45005</v>
      </c>
      <c r="C493" s="2" t="str">
        <f>TEXT(Table3[[#This Row],[Order Date]],"mmmm")</f>
        <v>March</v>
      </c>
      <c r="D493" t="s">
        <v>3216</v>
      </c>
      <c r="E493" t="s">
        <v>3225</v>
      </c>
      <c r="F493" t="s">
        <v>3226</v>
      </c>
      <c r="G493" s="4">
        <v>69965.429999999993</v>
      </c>
      <c r="H493" s="4">
        <v>58091.17</v>
      </c>
      <c r="I493" s="3" t="s">
        <v>3734</v>
      </c>
      <c r="J493">
        <v>4</v>
      </c>
      <c r="K493" s="4">
        <f>Table3[[#This Row],[Sales]]-Table3[[#This Row],[Cost]]</f>
        <v>11874.259999999995</v>
      </c>
      <c r="L493" s="6">
        <f>Table3[[#This Row],[Profit]]/Table3[[#This Row],[Sales]]</f>
        <v>0.16971610122313258</v>
      </c>
    </row>
    <row r="494" spans="1:12" x14ac:dyDescent="0.25">
      <c r="A494" t="s">
        <v>248</v>
      </c>
      <c r="B494" s="2" t="s">
        <v>3729</v>
      </c>
      <c r="C494" s="2" t="str">
        <f>TEXT(Table3[[#This Row],[Order Date]],"mmmm")</f>
        <v>Not Mentioned</v>
      </c>
      <c r="D494" t="s">
        <v>3730</v>
      </c>
      <c r="E494" t="s">
        <v>3223</v>
      </c>
      <c r="F494" t="s">
        <v>3226</v>
      </c>
      <c r="G494" s="4">
        <v>47915.55</v>
      </c>
      <c r="H494" s="4">
        <v>35115.08</v>
      </c>
      <c r="I494" s="3" t="s">
        <v>3734</v>
      </c>
      <c r="J494">
        <v>5</v>
      </c>
      <c r="K494" s="4">
        <f>Table3[[#This Row],[Sales]]-Table3[[#This Row],[Cost]]</f>
        <v>12800.470000000001</v>
      </c>
      <c r="L494" s="6">
        <f>Table3[[#This Row],[Profit]]/Table3[[#This Row],[Sales]]</f>
        <v>0.26714646915249851</v>
      </c>
    </row>
    <row r="495" spans="1:12" x14ac:dyDescent="0.25">
      <c r="A495" t="s">
        <v>513</v>
      </c>
      <c r="B495" s="2">
        <v>44972</v>
      </c>
      <c r="C495" s="2" t="str">
        <f>TEXT(Table3[[#This Row],[Order Date]],"mmmm")</f>
        <v>February</v>
      </c>
      <c r="D495" t="s">
        <v>3216</v>
      </c>
      <c r="E495" t="s">
        <v>3225</v>
      </c>
      <c r="F495" t="s">
        <v>3226</v>
      </c>
      <c r="G495" s="4">
        <v>91422.86</v>
      </c>
      <c r="H495" s="4">
        <v>60742</v>
      </c>
      <c r="I495" s="3" t="s">
        <v>3734</v>
      </c>
      <c r="J495">
        <v>4</v>
      </c>
      <c r="K495" s="4">
        <f>Table3[[#This Row],[Sales]]-Table3[[#This Row],[Cost]]</f>
        <v>30680.86</v>
      </c>
      <c r="L495" s="6">
        <f>Table3[[#This Row],[Profit]]/Table3[[#This Row],[Sales]]</f>
        <v>0.33559287031711765</v>
      </c>
    </row>
    <row r="496" spans="1:12" x14ac:dyDescent="0.25">
      <c r="A496" t="s">
        <v>3315</v>
      </c>
      <c r="B496" s="2">
        <v>45005</v>
      </c>
      <c r="C496" s="2" t="str">
        <f>TEXT(Table3[[#This Row],[Order Date]],"mmmm")</f>
        <v>March</v>
      </c>
      <c r="D496" t="s">
        <v>3220</v>
      </c>
      <c r="E496" t="s">
        <v>3224</v>
      </c>
      <c r="F496" t="s">
        <v>3226</v>
      </c>
      <c r="G496" s="4">
        <v>347687.67999999999</v>
      </c>
      <c r="H496" s="4">
        <v>197965.18</v>
      </c>
      <c r="I496" s="3" t="s">
        <v>3734</v>
      </c>
      <c r="J496">
        <v>5</v>
      </c>
      <c r="K496" s="4">
        <f>Table3[[#This Row],[Sales]]-Table3[[#This Row],[Cost]]</f>
        <v>149722.5</v>
      </c>
      <c r="L496" s="6">
        <f>Table3[[#This Row],[Profit]]/Table3[[#This Row],[Sales]]</f>
        <v>0.43062354121952207</v>
      </c>
    </row>
    <row r="497" spans="1:12" x14ac:dyDescent="0.25">
      <c r="A497" t="s">
        <v>3316</v>
      </c>
      <c r="B497" s="2">
        <v>45102</v>
      </c>
      <c r="C497" s="2" t="str">
        <f>TEXT(Table3[[#This Row],[Order Date]],"mmmm")</f>
        <v>June</v>
      </c>
      <c r="D497" t="s">
        <v>3730</v>
      </c>
      <c r="E497" t="s">
        <v>3223</v>
      </c>
      <c r="F497" t="s">
        <v>3226</v>
      </c>
      <c r="G497" s="4">
        <v>34216.870000000003</v>
      </c>
      <c r="H497" s="4">
        <v>18292.39</v>
      </c>
      <c r="I497" s="3" t="s">
        <v>3734</v>
      </c>
      <c r="J497">
        <v>3</v>
      </c>
      <c r="K497" s="4">
        <f>Table3[[#This Row],[Sales]]-Table3[[#This Row],[Cost]]</f>
        <v>15924.480000000003</v>
      </c>
      <c r="L497" s="6">
        <f>Table3[[#This Row],[Profit]]/Table3[[#This Row],[Sales]]</f>
        <v>0.46539850079799822</v>
      </c>
    </row>
    <row r="498" spans="1:12" x14ac:dyDescent="0.25">
      <c r="A498" t="s">
        <v>516</v>
      </c>
      <c r="B498" s="2">
        <v>45102</v>
      </c>
      <c r="C498" s="2" t="str">
        <f>TEXT(Table3[[#This Row],[Order Date]],"mmmm")</f>
        <v>June</v>
      </c>
      <c r="D498" t="s">
        <v>3731</v>
      </c>
      <c r="E498" t="s">
        <v>3224</v>
      </c>
      <c r="F498" t="s">
        <v>3226</v>
      </c>
      <c r="G498" s="4">
        <v>158147.06</v>
      </c>
      <c r="H498" s="4">
        <v>126517.648</v>
      </c>
      <c r="I498" s="3" t="s">
        <v>3735</v>
      </c>
      <c r="J498">
        <v>3</v>
      </c>
      <c r="K498" s="4">
        <f>Table3[[#This Row],[Sales]]-Table3[[#This Row],[Cost]]</f>
        <v>31629.411999999997</v>
      </c>
      <c r="L498" s="6">
        <f>Table3[[#This Row],[Profit]]/Table3[[#This Row],[Sales]]</f>
        <v>0.19999999999999998</v>
      </c>
    </row>
    <row r="499" spans="1:12" x14ac:dyDescent="0.25">
      <c r="A499" t="s">
        <v>517</v>
      </c>
      <c r="B499" s="2">
        <v>45021</v>
      </c>
      <c r="C499" s="2" t="str">
        <f>TEXT(Table3[[#This Row],[Order Date]],"mmmm")</f>
        <v>April</v>
      </c>
      <c r="D499" t="s">
        <v>3730</v>
      </c>
      <c r="E499" t="s">
        <v>3222</v>
      </c>
      <c r="F499" t="s">
        <v>3226</v>
      </c>
      <c r="G499" s="4">
        <v>35161.980000000003</v>
      </c>
      <c r="H499" s="4">
        <v>19637.939999999999</v>
      </c>
      <c r="I499" s="3" t="s">
        <v>3734</v>
      </c>
      <c r="J499">
        <v>2</v>
      </c>
      <c r="K499" s="4">
        <f>Table3[[#This Row],[Sales]]-Table3[[#This Row],[Cost]]</f>
        <v>15524.040000000005</v>
      </c>
      <c r="L499" s="6">
        <f>Table3[[#This Row],[Profit]]/Table3[[#This Row],[Sales]]</f>
        <v>0.44150073460027006</v>
      </c>
    </row>
    <row r="500" spans="1:12" x14ac:dyDescent="0.25">
      <c r="A500" t="s">
        <v>518</v>
      </c>
      <c r="B500" s="2" t="s">
        <v>3729</v>
      </c>
      <c r="C500" s="2" t="str">
        <f>TEXT(Table3[[#This Row],[Order Date]],"mmmm")</f>
        <v>Not Mentioned</v>
      </c>
      <c r="D500" t="s">
        <v>3730</v>
      </c>
      <c r="E500" t="s">
        <v>3224</v>
      </c>
      <c r="F500" t="s">
        <v>3226</v>
      </c>
      <c r="G500" s="4">
        <v>114227.4</v>
      </c>
      <c r="H500" s="4">
        <v>90386.87</v>
      </c>
      <c r="I500" s="3" t="s">
        <v>3734</v>
      </c>
      <c r="J500">
        <v>2</v>
      </c>
      <c r="K500" s="4">
        <f>Table3[[#This Row],[Sales]]-Table3[[#This Row],[Cost]]</f>
        <v>23840.53</v>
      </c>
      <c r="L500" s="6">
        <f>Table3[[#This Row],[Profit]]/Table3[[#This Row],[Sales]]</f>
        <v>0.2087111323552843</v>
      </c>
    </row>
    <row r="501" spans="1:12" x14ac:dyDescent="0.25">
      <c r="A501" t="s">
        <v>3317</v>
      </c>
      <c r="B501" s="2">
        <v>45021</v>
      </c>
      <c r="C501" s="2" t="str">
        <f>TEXT(Table3[[#This Row],[Order Date]],"mmmm")</f>
        <v>April</v>
      </c>
      <c r="D501" t="s">
        <v>3730</v>
      </c>
      <c r="E501" t="s">
        <v>3222</v>
      </c>
      <c r="F501" t="s">
        <v>3226</v>
      </c>
      <c r="G501" s="4">
        <v>47220.83</v>
      </c>
      <c r="H501" s="4">
        <v>30018.52</v>
      </c>
      <c r="I501" s="3" t="s">
        <v>3734</v>
      </c>
      <c r="J501">
        <v>3</v>
      </c>
      <c r="K501" s="4">
        <f>Table3[[#This Row],[Sales]]-Table3[[#This Row],[Cost]]</f>
        <v>17202.310000000001</v>
      </c>
      <c r="L501" s="6">
        <f>Table3[[#This Row],[Profit]]/Table3[[#This Row],[Sales]]</f>
        <v>0.36429495203705653</v>
      </c>
    </row>
    <row r="502" spans="1:12" x14ac:dyDescent="0.25">
      <c r="A502" t="s">
        <v>520</v>
      </c>
      <c r="B502" s="2">
        <v>44941</v>
      </c>
      <c r="C502" s="2" t="str">
        <f>TEXT(Table3[[#This Row],[Order Date]],"mmmm")</f>
        <v>January</v>
      </c>
      <c r="D502" t="s">
        <v>3220</v>
      </c>
      <c r="E502" t="s">
        <v>3225</v>
      </c>
      <c r="F502" t="s">
        <v>3226</v>
      </c>
      <c r="G502" s="4">
        <v>80213.95</v>
      </c>
      <c r="H502" s="4">
        <v>59584.02</v>
      </c>
      <c r="I502" s="3" t="s">
        <v>3734</v>
      </c>
      <c r="J502">
        <v>4</v>
      </c>
      <c r="K502" s="4">
        <f>Table3[[#This Row],[Sales]]-Table3[[#This Row],[Cost]]</f>
        <v>20629.93</v>
      </c>
      <c r="L502" s="6">
        <f>Table3[[#This Row],[Profit]]/Table3[[#This Row],[Sales]]</f>
        <v>0.25718631235589323</v>
      </c>
    </row>
    <row r="503" spans="1:12" x14ac:dyDescent="0.25">
      <c r="A503" t="s">
        <v>521</v>
      </c>
      <c r="B503" s="2">
        <v>44972</v>
      </c>
      <c r="C503" s="2" t="str">
        <f>TEXT(Table3[[#This Row],[Order Date]],"mmmm")</f>
        <v>February</v>
      </c>
      <c r="D503" t="s">
        <v>3731</v>
      </c>
      <c r="E503" t="s">
        <v>3223</v>
      </c>
      <c r="F503" t="s">
        <v>3226</v>
      </c>
      <c r="G503" s="4">
        <v>45627.01</v>
      </c>
      <c r="H503" s="4">
        <v>33753.78</v>
      </c>
      <c r="I503" s="3" t="s">
        <v>3734</v>
      </c>
      <c r="J503">
        <v>5</v>
      </c>
      <c r="K503" s="4">
        <f>Table3[[#This Row],[Sales]]-Table3[[#This Row],[Cost]]</f>
        <v>11873.230000000003</v>
      </c>
      <c r="L503" s="6">
        <f>Table3[[#This Row],[Profit]]/Table3[[#This Row],[Sales]]</f>
        <v>0.26022371397994309</v>
      </c>
    </row>
    <row r="504" spans="1:12" x14ac:dyDescent="0.25">
      <c r="A504" t="s">
        <v>522</v>
      </c>
      <c r="B504" s="2">
        <v>45102</v>
      </c>
      <c r="C504" s="2" t="str">
        <f>TEXT(Table3[[#This Row],[Order Date]],"mmmm")</f>
        <v>June</v>
      </c>
      <c r="D504" t="s">
        <v>3220</v>
      </c>
      <c r="E504" t="s">
        <v>3225</v>
      </c>
      <c r="F504" t="s">
        <v>3226</v>
      </c>
      <c r="G504" s="4">
        <v>22149.98</v>
      </c>
      <c r="H504" s="4">
        <v>12116.81</v>
      </c>
      <c r="I504" s="3" t="s">
        <v>3734</v>
      </c>
      <c r="J504" t="s">
        <v>3732</v>
      </c>
      <c r="K504" s="4">
        <f>Table3[[#This Row],[Sales]]-Table3[[#This Row],[Cost]]</f>
        <v>10033.17</v>
      </c>
      <c r="L504" s="6">
        <f>Table3[[#This Row],[Profit]]/Table3[[#This Row],[Sales]]</f>
        <v>0.45296519455096573</v>
      </c>
    </row>
    <row r="505" spans="1:12" x14ac:dyDescent="0.25">
      <c r="A505" t="s">
        <v>523</v>
      </c>
      <c r="B505" s="2">
        <v>45102</v>
      </c>
      <c r="C505" s="2" t="str">
        <f>TEXT(Table3[[#This Row],[Order Date]],"mmmm")</f>
        <v>June</v>
      </c>
      <c r="D505" t="s">
        <v>3220</v>
      </c>
      <c r="E505" t="s">
        <v>3224</v>
      </c>
      <c r="F505" t="s">
        <v>3226</v>
      </c>
      <c r="G505" s="4">
        <v>108595.6</v>
      </c>
      <c r="H505" s="4">
        <v>86876.48000000001</v>
      </c>
      <c r="I505" s="3" t="s">
        <v>3735</v>
      </c>
      <c r="J505">
        <v>2</v>
      </c>
      <c r="K505" s="4">
        <f>Table3[[#This Row],[Sales]]-Table3[[#This Row],[Cost]]</f>
        <v>21719.119999999995</v>
      </c>
      <c r="L505" s="6">
        <f>Table3[[#This Row],[Profit]]/Table3[[#This Row],[Sales]]</f>
        <v>0.19999999999999996</v>
      </c>
    </row>
    <row r="506" spans="1:12" x14ac:dyDescent="0.25">
      <c r="A506" t="s">
        <v>524</v>
      </c>
      <c r="B506" s="2">
        <v>44941</v>
      </c>
      <c r="C506" s="2" t="str">
        <f>TEXT(Table3[[#This Row],[Order Date]],"mmmm")</f>
        <v>January</v>
      </c>
      <c r="D506" t="s">
        <v>3216</v>
      </c>
      <c r="E506" t="s">
        <v>3223</v>
      </c>
      <c r="F506" t="s">
        <v>3226</v>
      </c>
      <c r="G506" s="4">
        <v>41989.89</v>
      </c>
      <c r="H506" s="4">
        <v>36457.71</v>
      </c>
      <c r="I506" s="3" t="s">
        <v>3734</v>
      </c>
      <c r="J506">
        <v>5</v>
      </c>
      <c r="K506" s="4">
        <f>Table3[[#This Row],[Sales]]-Table3[[#This Row],[Cost]]</f>
        <v>5532.18</v>
      </c>
      <c r="L506" s="6">
        <f>Table3[[#This Row],[Profit]]/Table3[[#This Row],[Sales]]</f>
        <v>0.13175028560446336</v>
      </c>
    </row>
    <row r="507" spans="1:12" x14ac:dyDescent="0.25">
      <c r="A507" t="s">
        <v>525</v>
      </c>
      <c r="B507" s="2">
        <v>44941</v>
      </c>
      <c r="C507" s="2" t="str">
        <f>TEXT(Table3[[#This Row],[Order Date]],"mmmm")</f>
        <v>January</v>
      </c>
      <c r="D507" t="s">
        <v>3730</v>
      </c>
      <c r="E507" t="s">
        <v>3225</v>
      </c>
      <c r="F507" t="s">
        <v>3226</v>
      </c>
      <c r="G507" s="4">
        <v>64444.19</v>
      </c>
      <c r="H507" s="4">
        <v>38745.46</v>
      </c>
      <c r="I507" s="3" t="s">
        <v>3734</v>
      </c>
      <c r="J507">
        <v>3</v>
      </c>
      <c r="K507" s="4">
        <f>Table3[[#This Row],[Sales]]-Table3[[#This Row],[Cost]]</f>
        <v>25698.730000000003</v>
      </c>
      <c r="L507" s="6">
        <f>Table3[[#This Row],[Profit]]/Table3[[#This Row],[Sales]]</f>
        <v>0.39877497102531667</v>
      </c>
    </row>
    <row r="508" spans="1:12" x14ac:dyDescent="0.25">
      <c r="A508" t="s">
        <v>3248</v>
      </c>
      <c r="B508" s="2">
        <v>45021</v>
      </c>
      <c r="C508" s="2" t="str">
        <f>TEXT(Table3[[#This Row],[Order Date]],"mmmm")</f>
        <v>April</v>
      </c>
      <c r="D508" t="s">
        <v>3730</v>
      </c>
      <c r="E508" t="s">
        <v>3224</v>
      </c>
      <c r="F508" t="s">
        <v>3226</v>
      </c>
      <c r="G508" s="4">
        <v>259751.91</v>
      </c>
      <c r="H508" s="4">
        <v>194843.24</v>
      </c>
      <c r="I508" s="3" t="s">
        <v>3734</v>
      </c>
      <c r="J508">
        <v>5</v>
      </c>
      <c r="K508" s="4">
        <f>Table3[[#This Row],[Sales]]-Table3[[#This Row],[Cost]]</f>
        <v>64908.670000000013</v>
      </c>
      <c r="L508" s="6">
        <f>Table3[[#This Row],[Profit]]/Table3[[#This Row],[Sales]]</f>
        <v>0.24988717118576725</v>
      </c>
    </row>
    <row r="509" spans="1:12" x14ac:dyDescent="0.25">
      <c r="A509" t="s">
        <v>3318</v>
      </c>
      <c r="B509" s="2">
        <v>45021</v>
      </c>
      <c r="C509" s="2" t="str">
        <f>TEXT(Table3[[#This Row],[Order Date]],"mmmm")</f>
        <v>April</v>
      </c>
      <c r="D509" t="s">
        <v>3220</v>
      </c>
      <c r="E509" t="s">
        <v>3224</v>
      </c>
      <c r="F509" t="s">
        <v>3226</v>
      </c>
      <c r="G509" s="4">
        <v>312385.57</v>
      </c>
      <c r="H509" s="4">
        <v>195733.97</v>
      </c>
      <c r="I509" s="3" t="s">
        <v>3734</v>
      </c>
      <c r="J509">
        <v>5</v>
      </c>
      <c r="K509" s="4">
        <f>Table3[[#This Row],[Sales]]-Table3[[#This Row],[Cost]]</f>
        <v>116651.6</v>
      </c>
      <c r="L509" s="6">
        <f>Table3[[#This Row],[Profit]]/Table3[[#This Row],[Sales]]</f>
        <v>0.37342185812231982</v>
      </c>
    </row>
    <row r="510" spans="1:12" x14ac:dyDescent="0.25">
      <c r="A510" t="s">
        <v>527</v>
      </c>
      <c r="B510" s="2">
        <v>45021</v>
      </c>
      <c r="C510" s="2" t="str">
        <f>TEXT(Table3[[#This Row],[Order Date]],"mmmm")</f>
        <v>April</v>
      </c>
      <c r="D510" t="s">
        <v>3731</v>
      </c>
      <c r="E510" t="s">
        <v>3223</v>
      </c>
      <c r="F510" t="s">
        <v>3226</v>
      </c>
      <c r="G510" s="4">
        <v>50746.81</v>
      </c>
      <c r="H510" s="4">
        <v>31429.61</v>
      </c>
      <c r="I510" s="3" t="s">
        <v>3734</v>
      </c>
      <c r="J510">
        <v>5</v>
      </c>
      <c r="K510" s="4">
        <f>Table3[[#This Row],[Sales]]-Table3[[#This Row],[Cost]]</f>
        <v>19317.199999999997</v>
      </c>
      <c r="L510" s="6">
        <f>Table3[[#This Row],[Profit]]/Table3[[#This Row],[Sales]]</f>
        <v>0.38065840985866889</v>
      </c>
    </row>
    <row r="511" spans="1:12" x14ac:dyDescent="0.25">
      <c r="A511" t="s">
        <v>528</v>
      </c>
      <c r="B511" s="2">
        <v>45102</v>
      </c>
      <c r="C511" s="2" t="str">
        <f>TEXT(Table3[[#This Row],[Order Date]],"mmmm")</f>
        <v>June</v>
      </c>
      <c r="D511" t="s">
        <v>3220</v>
      </c>
      <c r="E511" t="s">
        <v>3222</v>
      </c>
      <c r="F511" t="s">
        <v>3226</v>
      </c>
      <c r="G511" s="4">
        <v>66154.83</v>
      </c>
      <c r="H511" s="4">
        <v>38741.58</v>
      </c>
      <c r="I511" s="3" t="s">
        <v>3734</v>
      </c>
      <c r="J511" t="s">
        <v>3732</v>
      </c>
      <c r="K511" s="4">
        <f>Table3[[#This Row],[Sales]]-Table3[[#This Row],[Cost]]</f>
        <v>27413.25</v>
      </c>
      <c r="L511" s="6">
        <f>Table3[[#This Row],[Profit]]/Table3[[#This Row],[Sales]]</f>
        <v>0.41438017450880005</v>
      </c>
    </row>
    <row r="512" spans="1:12" x14ac:dyDescent="0.25">
      <c r="A512" t="s">
        <v>529</v>
      </c>
      <c r="B512" s="2">
        <v>45021</v>
      </c>
      <c r="C512" s="2" t="str">
        <f>TEXT(Table3[[#This Row],[Order Date]],"mmmm")</f>
        <v>April</v>
      </c>
      <c r="D512" t="s">
        <v>3216</v>
      </c>
      <c r="E512" t="s">
        <v>3222</v>
      </c>
      <c r="F512" t="s">
        <v>3226</v>
      </c>
      <c r="G512" s="4">
        <v>63910.59</v>
      </c>
      <c r="H512" s="4">
        <v>45044.19</v>
      </c>
      <c r="I512" s="3" t="s">
        <v>3734</v>
      </c>
      <c r="J512">
        <v>5</v>
      </c>
      <c r="K512" s="4">
        <f>Table3[[#This Row],[Sales]]-Table3[[#This Row],[Cost]]</f>
        <v>18866.399999999994</v>
      </c>
      <c r="L512" s="6">
        <f>Table3[[#This Row],[Profit]]/Table3[[#This Row],[Sales]]</f>
        <v>0.29519990349017267</v>
      </c>
    </row>
    <row r="513" spans="1:12" x14ac:dyDescent="0.25">
      <c r="A513" t="s">
        <v>530</v>
      </c>
      <c r="B513" s="2">
        <v>45102</v>
      </c>
      <c r="C513" s="2" t="str">
        <f>TEXT(Table3[[#This Row],[Order Date]],"mmmm")</f>
        <v>June</v>
      </c>
      <c r="D513" t="s">
        <v>3730</v>
      </c>
      <c r="E513" t="s">
        <v>3225</v>
      </c>
      <c r="F513" t="s">
        <v>3226</v>
      </c>
      <c r="G513" s="4">
        <v>92072.37</v>
      </c>
      <c r="H513" s="4">
        <v>60154.45</v>
      </c>
      <c r="I513" s="3" t="s">
        <v>3734</v>
      </c>
      <c r="J513">
        <v>5</v>
      </c>
      <c r="K513" s="4">
        <f>Table3[[#This Row],[Sales]]-Table3[[#This Row],[Cost]]</f>
        <v>31917.919999999998</v>
      </c>
      <c r="L513" s="6">
        <f>Table3[[#This Row],[Profit]]/Table3[[#This Row],[Sales]]</f>
        <v>0.34666121877822847</v>
      </c>
    </row>
    <row r="514" spans="1:12" x14ac:dyDescent="0.25">
      <c r="A514" t="s">
        <v>531</v>
      </c>
      <c r="B514" s="2">
        <v>44941</v>
      </c>
      <c r="C514" s="2" t="str">
        <f>TEXT(Table3[[#This Row],[Order Date]],"mmmm")</f>
        <v>January</v>
      </c>
      <c r="D514" t="s">
        <v>3730</v>
      </c>
      <c r="E514" t="s">
        <v>3225</v>
      </c>
      <c r="F514" t="s">
        <v>3226</v>
      </c>
      <c r="G514" s="4">
        <v>44022.77</v>
      </c>
      <c r="H514" s="4">
        <v>30389.34</v>
      </c>
      <c r="I514" s="3" t="s">
        <v>3734</v>
      </c>
      <c r="J514">
        <v>2</v>
      </c>
      <c r="K514" s="4">
        <f>Table3[[#This Row],[Sales]]-Table3[[#This Row],[Cost]]</f>
        <v>13633.429999999997</v>
      </c>
      <c r="L514" s="6">
        <f>Table3[[#This Row],[Profit]]/Table3[[#This Row],[Sales]]</f>
        <v>0.3096904170273701</v>
      </c>
    </row>
    <row r="515" spans="1:12" x14ac:dyDescent="0.25">
      <c r="A515" t="s">
        <v>532</v>
      </c>
      <c r="B515" s="2" t="s">
        <v>3729</v>
      </c>
      <c r="C515" s="2" t="str">
        <f>TEXT(Table3[[#This Row],[Order Date]],"mmmm")</f>
        <v>Not Mentioned</v>
      </c>
      <c r="D515" t="s">
        <v>3216</v>
      </c>
      <c r="E515" t="s">
        <v>3223</v>
      </c>
      <c r="F515" t="s">
        <v>3226</v>
      </c>
      <c r="G515" s="4">
        <v>26457.63</v>
      </c>
      <c r="H515" s="4">
        <v>22039.49</v>
      </c>
      <c r="I515" s="3" t="s">
        <v>3734</v>
      </c>
      <c r="J515">
        <v>3</v>
      </c>
      <c r="K515" s="4">
        <f>Table3[[#This Row],[Sales]]-Table3[[#This Row],[Cost]]</f>
        <v>4418.1399999999994</v>
      </c>
      <c r="L515" s="6">
        <f>Table3[[#This Row],[Profit]]/Table3[[#This Row],[Sales]]</f>
        <v>0.1669892579191711</v>
      </c>
    </row>
    <row r="516" spans="1:12" x14ac:dyDescent="0.25">
      <c r="A516" t="s">
        <v>533</v>
      </c>
      <c r="B516" s="2">
        <v>45005</v>
      </c>
      <c r="C516" s="2" t="str">
        <f>TEXT(Table3[[#This Row],[Order Date]],"mmmm")</f>
        <v>March</v>
      </c>
      <c r="D516" t="s">
        <v>3731</v>
      </c>
      <c r="E516" t="s">
        <v>3222</v>
      </c>
      <c r="F516" t="s">
        <v>3226</v>
      </c>
      <c r="G516" s="4">
        <v>24563.91</v>
      </c>
      <c r="H516" s="4">
        <v>18694.07</v>
      </c>
      <c r="I516" s="3" t="s">
        <v>3734</v>
      </c>
      <c r="J516">
        <v>2</v>
      </c>
      <c r="K516" s="4">
        <f>Table3[[#This Row],[Sales]]-Table3[[#This Row],[Cost]]</f>
        <v>5869.84</v>
      </c>
      <c r="L516" s="6">
        <f>Table3[[#This Row],[Profit]]/Table3[[#This Row],[Sales]]</f>
        <v>0.23896195678945251</v>
      </c>
    </row>
    <row r="517" spans="1:12" x14ac:dyDescent="0.25">
      <c r="A517" t="s">
        <v>3319</v>
      </c>
      <c r="B517" s="2">
        <v>44972</v>
      </c>
      <c r="C517" s="2" t="str">
        <f>TEXT(Table3[[#This Row],[Order Date]],"mmmm")</f>
        <v>February</v>
      </c>
      <c r="D517" t="s">
        <v>3730</v>
      </c>
      <c r="E517" t="s">
        <v>3225</v>
      </c>
      <c r="F517" t="s">
        <v>3226</v>
      </c>
      <c r="G517" s="4">
        <v>18609.759999999998</v>
      </c>
      <c r="H517" s="4">
        <v>14546.67</v>
      </c>
      <c r="I517" s="3" t="s">
        <v>3734</v>
      </c>
      <c r="J517">
        <v>1</v>
      </c>
      <c r="K517" s="4">
        <f>Table3[[#This Row],[Sales]]-Table3[[#This Row],[Cost]]</f>
        <v>4063.0899999999983</v>
      </c>
      <c r="L517" s="6">
        <f>Table3[[#This Row],[Profit]]/Table3[[#This Row],[Sales]]</f>
        <v>0.21833113377066651</v>
      </c>
    </row>
    <row r="518" spans="1:12" x14ac:dyDescent="0.25">
      <c r="A518" t="s">
        <v>535</v>
      </c>
      <c r="B518" s="2" t="s">
        <v>3729</v>
      </c>
      <c r="C518" s="2" t="str">
        <f>TEXT(Table3[[#This Row],[Order Date]],"mmmm")</f>
        <v>Not Mentioned</v>
      </c>
      <c r="D518" t="s">
        <v>3220</v>
      </c>
      <c r="E518" t="s">
        <v>3224</v>
      </c>
      <c r="F518" t="s">
        <v>3226</v>
      </c>
      <c r="G518" s="4">
        <v>101675.44</v>
      </c>
      <c r="H518" s="4">
        <v>97963.77</v>
      </c>
      <c r="I518" s="3" t="s">
        <v>3734</v>
      </c>
      <c r="J518">
        <v>2</v>
      </c>
      <c r="K518" s="4">
        <f>Table3[[#This Row],[Sales]]-Table3[[#This Row],[Cost]]</f>
        <v>3711.6699999999983</v>
      </c>
      <c r="L518" s="6">
        <f>Table3[[#This Row],[Profit]]/Table3[[#This Row],[Sales]]</f>
        <v>3.6505079299386345E-2</v>
      </c>
    </row>
    <row r="519" spans="1:12" x14ac:dyDescent="0.25">
      <c r="A519" t="s">
        <v>3320</v>
      </c>
      <c r="B519" s="2">
        <v>45005</v>
      </c>
      <c r="C519" s="2" t="str">
        <f>TEXT(Table3[[#This Row],[Order Date]],"mmmm")</f>
        <v>March</v>
      </c>
      <c r="D519" t="s">
        <v>3731</v>
      </c>
      <c r="E519" t="s">
        <v>3223</v>
      </c>
      <c r="F519" t="s">
        <v>3226</v>
      </c>
      <c r="G519" s="4">
        <v>9129.26</v>
      </c>
      <c r="H519" s="4">
        <v>6974.27</v>
      </c>
      <c r="I519" s="3" t="s">
        <v>3734</v>
      </c>
      <c r="J519">
        <v>1</v>
      </c>
      <c r="K519" s="4">
        <f>Table3[[#This Row],[Sales]]-Table3[[#This Row],[Cost]]</f>
        <v>2154.9899999999998</v>
      </c>
      <c r="L519" s="6">
        <f>Table3[[#This Row],[Profit]]/Table3[[#This Row],[Sales]]</f>
        <v>0.2360530864495041</v>
      </c>
    </row>
    <row r="520" spans="1:12" x14ac:dyDescent="0.25">
      <c r="A520" t="s">
        <v>537</v>
      </c>
      <c r="B520" s="2">
        <v>45021</v>
      </c>
      <c r="C520" s="2" t="str">
        <f>TEXT(Table3[[#This Row],[Order Date]],"mmmm")</f>
        <v>April</v>
      </c>
      <c r="D520" t="s">
        <v>3731</v>
      </c>
      <c r="E520" t="s">
        <v>3225</v>
      </c>
      <c r="F520" t="s">
        <v>3226</v>
      </c>
      <c r="G520" s="4">
        <v>21738.1</v>
      </c>
      <c r="H520" s="4">
        <v>13937.25</v>
      </c>
      <c r="I520" s="3" t="s">
        <v>3734</v>
      </c>
      <c r="J520">
        <v>1</v>
      </c>
      <c r="K520" s="4">
        <f>Table3[[#This Row],[Sales]]-Table3[[#This Row],[Cost]]</f>
        <v>7800.8499999999985</v>
      </c>
      <c r="L520" s="6">
        <f>Table3[[#This Row],[Profit]]/Table3[[#This Row],[Sales]]</f>
        <v>0.35885610977960353</v>
      </c>
    </row>
    <row r="521" spans="1:12" x14ac:dyDescent="0.25">
      <c r="A521" t="s">
        <v>538</v>
      </c>
      <c r="B521" s="2">
        <v>45021</v>
      </c>
      <c r="C521" s="2" t="str">
        <f>TEXT(Table3[[#This Row],[Order Date]],"mmmm")</f>
        <v>April</v>
      </c>
      <c r="D521" t="s">
        <v>3730</v>
      </c>
      <c r="E521" t="s">
        <v>3225</v>
      </c>
      <c r="F521" t="s">
        <v>3226</v>
      </c>
      <c r="G521" s="4">
        <v>16665.78</v>
      </c>
      <c r="H521" s="4">
        <v>14920.36</v>
      </c>
      <c r="I521" s="3" t="s">
        <v>3734</v>
      </c>
      <c r="J521">
        <v>1</v>
      </c>
      <c r="K521" s="4">
        <f>Table3[[#This Row],[Sales]]-Table3[[#This Row],[Cost]]</f>
        <v>1745.4199999999983</v>
      </c>
      <c r="L521" s="6">
        <f>Table3[[#This Row],[Profit]]/Table3[[#This Row],[Sales]]</f>
        <v>0.10473077167705312</v>
      </c>
    </row>
    <row r="522" spans="1:12" x14ac:dyDescent="0.25">
      <c r="A522" t="s">
        <v>539</v>
      </c>
      <c r="B522" s="2">
        <v>45102</v>
      </c>
      <c r="C522" s="2" t="str">
        <f>TEXT(Table3[[#This Row],[Order Date]],"mmmm")</f>
        <v>June</v>
      </c>
      <c r="D522" t="s">
        <v>3730</v>
      </c>
      <c r="E522" t="s">
        <v>3222</v>
      </c>
      <c r="F522" t="s">
        <v>3226</v>
      </c>
      <c r="G522" s="4">
        <v>61866.15</v>
      </c>
      <c r="H522" s="4">
        <v>52783.79</v>
      </c>
      <c r="I522" s="3" t="s">
        <v>3734</v>
      </c>
      <c r="J522">
        <v>5</v>
      </c>
      <c r="K522" s="4">
        <f>Table3[[#This Row],[Sales]]-Table3[[#This Row],[Cost]]</f>
        <v>9082.36</v>
      </c>
      <c r="L522" s="6">
        <f>Table3[[#This Row],[Profit]]/Table3[[#This Row],[Sales]]</f>
        <v>0.14680661395609715</v>
      </c>
    </row>
    <row r="523" spans="1:12" x14ac:dyDescent="0.25">
      <c r="A523" t="s">
        <v>540</v>
      </c>
      <c r="B523" s="2">
        <v>44972</v>
      </c>
      <c r="C523" s="2" t="str">
        <f>TEXT(Table3[[#This Row],[Order Date]],"mmmm")</f>
        <v>February</v>
      </c>
      <c r="D523" t="s">
        <v>3730</v>
      </c>
      <c r="E523" t="s">
        <v>3225</v>
      </c>
      <c r="F523" t="s">
        <v>3226</v>
      </c>
      <c r="G523" s="4">
        <v>73531.5</v>
      </c>
      <c r="H523" s="4">
        <v>58520.67</v>
      </c>
      <c r="I523" s="3" t="s">
        <v>3734</v>
      </c>
      <c r="J523">
        <v>4</v>
      </c>
      <c r="K523" s="4">
        <f>Table3[[#This Row],[Sales]]-Table3[[#This Row],[Cost]]</f>
        <v>15010.830000000002</v>
      </c>
      <c r="L523" s="6">
        <f>Table3[[#This Row],[Profit]]/Table3[[#This Row],[Sales]]</f>
        <v>0.20414149038167317</v>
      </c>
    </row>
    <row r="524" spans="1:12" x14ac:dyDescent="0.25">
      <c r="A524" t="s">
        <v>541</v>
      </c>
      <c r="B524" s="2">
        <v>45005</v>
      </c>
      <c r="C524" s="2" t="str">
        <f>TEXT(Table3[[#This Row],[Order Date]],"mmmm")</f>
        <v>March</v>
      </c>
      <c r="D524" t="s">
        <v>3730</v>
      </c>
      <c r="E524" t="s">
        <v>3222</v>
      </c>
      <c r="F524" t="s">
        <v>3226</v>
      </c>
      <c r="G524" s="4">
        <v>29480.77</v>
      </c>
      <c r="H524" s="4">
        <v>23584.616000000002</v>
      </c>
      <c r="I524" s="3" t="s">
        <v>3735</v>
      </c>
      <c r="J524">
        <v>2</v>
      </c>
      <c r="K524" s="4">
        <f>Table3[[#This Row],[Sales]]-Table3[[#This Row],[Cost]]</f>
        <v>5896.1539999999986</v>
      </c>
      <c r="L524" s="6">
        <f>Table3[[#This Row],[Profit]]/Table3[[#This Row],[Sales]]</f>
        <v>0.19999999999999996</v>
      </c>
    </row>
    <row r="525" spans="1:12" x14ac:dyDescent="0.25">
      <c r="A525" t="s">
        <v>543</v>
      </c>
      <c r="B525" s="2">
        <v>45021</v>
      </c>
      <c r="C525" s="2" t="str">
        <f>TEXT(Table3[[#This Row],[Order Date]],"mmmm")</f>
        <v>April</v>
      </c>
      <c r="D525" t="s">
        <v>3730</v>
      </c>
      <c r="E525" t="s">
        <v>3223</v>
      </c>
      <c r="F525" t="s">
        <v>3226</v>
      </c>
      <c r="G525" s="4">
        <v>24325.279999999999</v>
      </c>
      <c r="H525" s="4">
        <v>19460.223999999998</v>
      </c>
      <c r="I525" s="3" t="s">
        <v>3735</v>
      </c>
      <c r="J525">
        <v>3</v>
      </c>
      <c r="K525" s="4">
        <f>Table3[[#This Row],[Sales]]-Table3[[#This Row],[Cost]]</f>
        <v>4865.0560000000005</v>
      </c>
      <c r="L525" s="6">
        <f>Table3[[#This Row],[Profit]]/Table3[[#This Row],[Sales]]</f>
        <v>0.20000000000000004</v>
      </c>
    </row>
    <row r="526" spans="1:12" x14ac:dyDescent="0.25">
      <c r="A526" t="s">
        <v>57</v>
      </c>
      <c r="B526" s="2">
        <v>45021</v>
      </c>
      <c r="C526" s="2" t="str">
        <f>TEXT(Table3[[#This Row],[Order Date]],"mmmm")</f>
        <v>April</v>
      </c>
      <c r="D526" t="s">
        <v>3216</v>
      </c>
      <c r="E526" t="s">
        <v>3223</v>
      </c>
      <c r="F526" t="s">
        <v>3226</v>
      </c>
      <c r="G526" s="4">
        <v>20077.25</v>
      </c>
      <c r="H526" s="4">
        <v>15081.03</v>
      </c>
      <c r="I526" s="3" t="s">
        <v>3734</v>
      </c>
      <c r="J526">
        <v>2</v>
      </c>
      <c r="K526" s="4">
        <f>Table3[[#This Row],[Sales]]-Table3[[#This Row],[Cost]]</f>
        <v>4996.2199999999993</v>
      </c>
      <c r="L526" s="6">
        <f>Table3[[#This Row],[Profit]]/Table3[[#This Row],[Sales]]</f>
        <v>0.24884981757959876</v>
      </c>
    </row>
    <row r="527" spans="1:12" x14ac:dyDescent="0.25">
      <c r="A527" t="s">
        <v>544</v>
      </c>
      <c r="B527" s="2">
        <v>45102</v>
      </c>
      <c r="C527" s="2" t="str">
        <f>TEXT(Table3[[#This Row],[Order Date]],"mmmm")</f>
        <v>June</v>
      </c>
      <c r="D527" t="s">
        <v>3731</v>
      </c>
      <c r="E527" t="s">
        <v>3225</v>
      </c>
      <c r="F527" t="s">
        <v>3226</v>
      </c>
      <c r="G527" s="4">
        <v>23670.97</v>
      </c>
      <c r="H527" s="4">
        <v>12399.85</v>
      </c>
      <c r="I527" s="3" t="s">
        <v>3734</v>
      </c>
      <c r="J527">
        <v>1</v>
      </c>
      <c r="K527" s="4">
        <f>Table3[[#This Row],[Sales]]-Table3[[#This Row],[Cost]]</f>
        <v>11271.12</v>
      </c>
      <c r="L527" s="6">
        <f>Table3[[#This Row],[Profit]]/Table3[[#This Row],[Sales]]</f>
        <v>0.47615792677697621</v>
      </c>
    </row>
    <row r="528" spans="1:12" x14ac:dyDescent="0.25">
      <c r="A528" t="s">
        <v>178</v>
      </c>
      <c r="B528" s="2">
        <v>45102</v>
      </c>
      <c r="C528" s="2" t="str">
        <f>TEXT(Table3[[#This Row],[Order Date]],"mmmm")</f>
        <v>June</v>
      </c>
      <c r="D528" t="s">
        <v>3730</v>
      </c>
      <c r="E528" t="s">
        <v>3225</v>
      </c>
      <c r="F528" t="s">
        <v>3226</v>
      </c>
      <c r="G528" s="4">
        <v>95690.68</v>
      </c>
      <c r="H528" s="4">
        <v>67332.160000000003</v>
      </c>
      <c r="I528" s="3" t="s">
        <v>3734</v>
      </c>
      <c r="J528">
        <v>5</v>
      </c>
      <c r="K528" s="4">
        <f>Table3[[#This Row],[Sales]]-Table3[[#This Row],[Cost]]</f>
        <v>28358.51999999999</v>
      </c>
      <c r="L528" s="6">
        <f>Table3[[#This Row],[Profit]]/Table3[[#This Row],[Sales]]</f>
        <v>0.29635613416060991</v>
      </c>
    </row>
    <row r="529" spans="1:12" x14ac:dyDescent="0.25">
      <c r="A529" t="s">
        <v>3322</v>
      </c>
      <c r="B529" s="2">
        <v>44972</v>
      </c>
      <c r="C529" s="2" t="str">
        <f>TEXT(Table3[[#This Row],[Order Date]],"mmmm")</f>
        <v>February</v>
      </c>
      <c r="D529" t="s">
        <v>3730</v>
      </c>
      <c r="E529" t="s">
        <v>3224</v>
      </c>
      <c r="F529" t="s">
        <v>3226</v>
      </c>
      <c r="G529" s="4">
        <v>162627.19</v>
      </c>
      <c r="H529" s="4">
        <v>126467.74</v>
      </c>
      <c r="I529" s="3" t="s">
        <v>3734</v>
      </c>
      <c r="J529">
        <v>3</v>
      </c>
      <c r="K529" s="4">
        <f>Table3[[#This Row],[Sales]]-Table3[[#This Row],[Cost]]</f>
        <v>36159.449999999997</v>
      </c>
      <c r="L529" s="6">
        <f>Table3[[#This Row],[Profit]]/Table3[[#This Row],[Sales]]</f>
        <v>0.22234566064875128</v>
      </c>
    </row>
    <row r="530" spans="1:12" x14ac:dyDescent="0.25">
      <c r="A530" t="s">
        <v>546</v>
      </c>
      <c r="B530" s="2">
        <v>45005</v>
      </c>
      <c r="C530" s="2" t="str">
        <f>TEXT(Table3[[#This Row],[Order Date]],"mmmm")</f>
        <v>March</v>
      </c>
      <c r="D530" t="s">
        <v>3220</v>
      </c>
      <c r="E530" t="s">
        <v>3222</v>
      </c>
      <c r="F530" t="s">
        <v>3226</v>
      </c>
      <c r="G530" s="4">
        <v>66916.820000000007</v>
      </c>
      <c r="H530" s="4">
        <v>34240.410000000003</v>
      </c>
      <c r="I530" s="3" t="s">
        <v>3734</v>
      </c>
      <c r="J530">
        <v>4</v>
      </c>
      <c r="K530" s="4">
        <f>Table3[[#This Row],[Sales]]-Table3[[#This Row],[Cost]]</f>
        <v>32676.410000000003</v>
      </c>
      <c r="L530" s="6">
        <f>Table3[[#This Row],[Profit]]/Table3[[#This Row],[Sales]]</f>
        <v>0.48831384994086691</v>
      </c>
    </row>
    <row r="531" spans="1:12" x14ac:dyDescent="0.25">
      <c r="A531" t="s">
        <v>547</v>
      </c>
      <c r="B531" s="2" t="s">
        <v>3729</v>
      </c>
      <c r="C531" s="2" t="str">
        <f>TEXT(Table3[[#This Row],[Order Date]],"mmmm")</f>
        <v>Not Mentioned</v>
      </c>
      <c r="D531" t="s">
        <v>3730</v>
      </c>
      <c r="E531" t="s">
        <v>3222</v>
      </c>
      <c r="F531" t="s">
        <v>3226</v>
      </c>
      <c r="G531" s="4">
        <v>50327.49</v>
      </c>
      <c r="H531" s="4">
        <v>34557.07</v>
      </c>
      <c r="I531" s="3" t="s">
        <v>3734</v>
      </c>
      <c r="J531">
        <v>4</v>
      </c>
      <c r="K531" s="4">
        <f>Table3[[#This Row],[Sales]]-Table3[[#This Row],[Cost]]</f>
        <v>15770.419999999998</v>
      </c>
      <c r="L531" s="6">
        <f>Table3[[#This Row],[Profit]]/Table3[[#This Row],[Sales]]</f>
        <v>0.31335598099567452</v>
      </c>
    </row>
    <row r="532" spans="1:12" x14ac:dyDescent="0.25">
      <c r="A532" t="s">
        <v>548</v>
      </c>
      <c r="B532" s="2">
        <v>45021</v>
      </c>
      <c r="C532" s="2" t="str">
        <f>TEXT(Table3[[#This Row],[Order Date]],"mmmm")</f>
        <v>April</v>
      </c>
      <c r="D532" t="s">
        <v>3220</v>
      </c>
      <c r="E532" t="s">
        <v>3225</v>
      </c>
      <c r="F532" t="s">
        <v>3226</v>
      </c>
      <c r="G532" s="4">
        <v>47844.56</v>
      </c>
      <c r="H532" s="4">
        <v>28079.39</v>
      </c>
      <c r="I532" s="3" t="s">
        <v>3734</v>
      </c>
      <c r="J532">
        <v>2</v>
      </c>
      <c r="K532" s="4">
        <f>Table3[[#This Row],[Sales]]-Table3[[#This Row],[Cost]]</f>
        <v>19765.169999999998</v>
      </c>
      <c r="L532" s="6">
        <f>Table3[[#This Row],[Profit]]/Table3[[#This Row],[Sales]]</f>
        <v>0.41311216991022592</v>
      </c>
    </row>
    <row r="533" spans="1:12" x14ac:dyDescent="0.25">
      <c r="A533" t="s">
        <v>3258</v>
      </c>
      <c r="B533" s="2">
        <v>44941</v>
      </c>
      <c r="C533" s="2" t="str">
        <f>TEXT(Table3[[#This Row],[Order Date]],"mmmm")</f>
        <v>January</v>
      </c>
      <c r="D533" t="s">
        <v>3730</v>
      </c>
      <c r="E533" t="s">
        <v>3222</v>
      </c>
      <c r="F533" t="s">
        <v>3226</v>
      </c>
      <c r="G533" s="4">
        <v>59620.15</v>
      </c>
      <c r="H533" s="4">
        <v>41940.14</v>
      </c>
      <c r="I533" s="3" t="s">
        <v>3734</v>
      </c>
      <c r="J533">
        <v>4</v>
      </c>
      <c r="K533" s="4">
        <f>Table3[[#This Row],[Sales]]-Table3[[#This Row],[Cost]]</f>
        <v>17680.010000000002</v>
      </c>
      <c r="L533" s="6">
        <f>Table3[[#This Row],[Profit]]/Table3[[#This Row],[Sales]]</f>
        <v>0.29654420527288178</v>
      </c>
    </row>
    <row r="534" spans="1:12" x14ac:dyDescent="0.25">
      <c r="A534" t="s">
        <v>549</v>
      </c>
      <c r="B534" s="2">
        <v>45005</v>
      </c>
      <c r="C534" s="2" t="str">
        <f>TEXT(Table3[[#This Row],[Order Date]],"mmmm")</f>
        <v>March</v>
      </c>
      <c r="D534" t="s">
        <v>3220</v>
      </c>
      <c r="E534" t="s">
        <v>3222</v>
      </c>
      <c r="F534" t="s">
        <v>3226</v>
      </c>
      <c r="G534" s="4">
        <v>36163.57</v>
      </c>
      <c r="H534" s="4">
        <v>30362.23</v>
      </c>
      <c r="I534" s="3" t="s">
        <v>3734</v>
      </c>
      <c r="J534">
        <v>3</v>
      </c>
      <c r="K534" s="4">
        <f>Table3[[#This Row],[Sales]]-Table3[[#This Row],[Cost]]</f>
        <v>5801.34</v>
      </c>
      <c r="L534" s="6">
        <f>Table3[[#This Row],[Profit]]/Table3[[#This Row],[Sales]]</f>
        <v>0.16041944973906061</v>
      </c>
    </row>
    <row r="535" spans="1:12" x14ac:dyDescent="0.25">
      <c r="A535" t="s">
        <v>550</v>
      </c>
      <c r="B535" s="2">
        <v>44941</v>
      </c>
      <c r="C535" s="2" t="str">
        <f>TEXT(Table3[[#This Row],[Order Date]],"mmmm")</f>
        <v>January</v>
      </c>
      <c r="D535" t="s">
        <v>3220</v>
      </c>
      <c r="E535" t="s">
        <v>3224</v>
      </c>
      <c r="F535" t="s">
        <v>3226</v>
      </c>
      <c r="G535" s="4">
        <v>137663.01999999999</v>
      </c>
      <c r="H535" s="4">
        <v>89619.88</v>
      </c>
      <c r="I535" s="3" t="s">
        <v>3734</v>
      </c>
      <c r="J535">
        <v>2</v>
      </c>
      <c r="K535" s="4">
        <f>Table3[[#This Row],[Sales]]-Table3[[#This Row],[Cost]]</f>
        <v>48043.139999999985</v>
      </c>
      <c r="L535" s="6">
        <f>Table3[[#This Row],[Profit]]/Table3[[#This Row],[Sales]]</f>
        <v>0.3489908909451499</v>
      </c>
    </row>
    <row r="536" spans="1:12" x14ac:dyDescent="0.25">
      <c r="A536" t="s">
        <v>551</v>
      </c>
      <c r="B536" s="2">
        <v>45005</v>
      </c>
      <c r="C536" s="2" t="str">
        <f>TEXT(Table3[[#This Row],[Order Date]],"mmmm")</f>
        <v>March</v>
      </c>
      <c r="D536" t="s">
        <v>3220</v>
      </c>
      <c r="E536" t="s">
        <v>3223</v>
      </c>
      <c r="F536" t="s">
        <v>3226</v>
      </c>
      <c r="G536" s="4">
        <v>35497.660000000003</v>
      </c>
      <c r="H536" s="4">
        <v>19150.07</v>
      </c>
      <c r="I536" s="3" t="s">
        <v>3734</v>
      </c>
      <c r="J536">
        <v>3</v>
      </c>
      <c r="K536" s="4">
        <f>Table3[[#This Row],[Sales]]-Table3[[#This Row],[Cost]]</f>
        <v>16347.590000000004</v>
      </c>
      <c r="L536" s="6">
        <f>Table3[[#This Row],[Profit]]/Table3[[#This Row],[Sales]]</f>
        <v>0.46052584874608643</v>
      </c>
    </row>
    <row r="537" spans="1:12" x14ac:dyDescent="0.25">
      <c r="A537" t="s">
        <v>552</v>
      </c>
      <c r="B537" s="2">
        <v>45102</v>
      </c>
      <c r="C537" s="2" t="str">
        <f>TEXT(Table3[[#This Row],[Order Date]],"mmmm")</f>
        <v>June</v>
      </c>
      <c r="D537" t="s">
        <v>3216</v>
      </c>
      <c r="E537" t="s">
        <v>3225</v>
      </c>
      <c r="F537" t="s">
        <v>3226</v>
      </c>
      <c r="G537" s="4">
        <v>71370.22</v>
      </c>
      <c r="H537" s="4">
        <v>49089.760000000002</v>
      </c>
      <c r="I537" s="3" t="s">
        <v>3734</v>
      </c>
      <c r="J537">
        <v>4</v>
      </c>
      <c r="K537" s="4">
        <f>Table3[[#This Row],[Sales]]-Table3[[#This Row],[Cost]]</f>
        <v>22280.46</v>
      </c>
      <c r="L537" s="6">
        <f>Table3[[#This Row],[Profit]]/Table3[[#This Row],[Sales]]</f>
        <v>0.31218146728425383</v>
      </c>
    </row>
    <row r="538" spans="1:12" x14ac:dyDescent="0.25">
      <c r="A538" t="s">
        <v>553</v>
      </c>
      <c r="B538" s="2" t="s">
        <v>3729</v>
      </c>
      <c r="C538" s="2" t="str">
        <f>TEXT(Table3[[#This Row],[Order Date]],"mmmm")</f>
        <v>Not Mentioned</v>
      </c>
      <c r="D538" t="s">
        <v>3220</v>
      </c>
      <c r="E538" t="s">
        <v>3225</v>
      </c>
      <c r="F538" t="s">
        <v>3226</v>
      </c>
      <c r="G538" s="4">
        <v>36951.51</v>
      </c>
      <c r="H538" s="4">
        <v>30624.33</v>
      </c>
      <c r="I538" s="3" t="s">
        <v>3734</v>
      </c>
      <c r="J538">
        <v>2</v>
      </c>
      <c r="K538" s="4">
        <f>Table3[[#This Row],[Sales]]-Table3[[#This Row],[Cost]]</f>
        <v>6327.18</v>
      </c>
      <c r="L538" s="6">
        <f>Table3[[#This Row],[Profit]]/Table3[[#This Row],[Sales]]</f>
        <v>0.17122926776199404</v>
      </c>
    </row>
    <row r="539" spans="1:12" x14ac:dyDescent="0.25">
      <c r="A539" t="s">
        <v>554</v>
      </c>
      <c r="B539" s="2">
        <v>45021</v>
      </c>
      <c r="C539" s="2" t="str">
        <f>TEXT(Table3[[#This Row],[Order Date]],"mmmm")</f>
        <v>April</v>
      </c>
      <c r="D539" t="s">
        <v>3220</v>
      </c>
      <c r="E539" t="s">
        <v>3222</v>
      </c>
      <c r="F539" t="s">
        <v>3226</v>
      </c>
      <c r="G539" s="4">
        <v>46931.839999999997</v>
      </c>
      <c r="H539" s="4">
        <v>26164.34</v>
      </c>
      <c r="I539" s="3" t="s">
        <v>3734</v>
      </c>
      <c r="J539">
        <v>3</v>
      </c>
      <c r="K539" s="4">
        <f>Table3[[#This Row],[Sales]]-Table3[[#This Row],[Cost]]</f>
        <v>20767.499999999996</v>
      </c>
      <c r="L539" s="6">
        <f>Table3[[#This Row],[Profit]]/Table3[[#This Row],[Sales]]</f>
        <v>0.44250342624538047</v>
      </c>
    </row>
    <row r="540" spans="1:12" x14ac:dyDescent="0.25">
      <c r="A540" t="s">
        <v>3323</v>
      </c>
      <c r="B540" s="2">
        <v>44941</v>
      </c>
      <c r="C540" s="2" t="str">
        <f>TEXT(Table3[[#This Row],[Order Date]],"mmmm")</f>
        <v>January</v>
      </c>
      <c r="D540" t="s">
        <v>3730</v>
      </c>
      <c r="E540" t="s">
        <v>3225</v>
      </c>
      <c r="F540" t="s">
        <v>3226</v>
      </c>
      <c r="G540" s="4">
        <v>38678.269999999997</v>
      </c>
      <c r="H540" s="4">
        <v>25967.68</v>
      </c>
      <c r="I540" s="3" t="s">
        <v>3734</v>
      </c>
      <c r="J540">
        <v>2</v>
      </c>
      <c r="K540" s="4">
        <f>Table3[[#This Row],[Sales]]-Table3[[#This Row],[Cost]]</f>
        <v>12710.589999999997</v>
      </c>
      <c r="L540" s="6">
        <f>Table3[[#This Row],[Profit]]/Table3[[#This Row],[Sales]]</f>
        <v>0.32862353978086395</v>
      </c>
    </row>
    <row r="541" spans="1:12" x14ac:dyDescent="0.25">
      <c r="A541" t="s">
        <v>556</v>
      </c>
      <c r="B541" s="2">
        <v>45005</v>
      </c>
      <c r="C541" s="2" t="str">
        <f>TEXT(Table3[[#This Row],[Order Date]],"mmmm")</f>
        <v>March</v>
      </c>
      <c r="D541" t="s">
        <v>3731</v>
      </c>
      <c r="E541" t="s">
        <v>3223</v>
      </c>
      <c r="F541" t="s">
        <v>3226</v>
      </c>
      <c r="G541" s="4">
        <v>17005.150000000001</v>
      </c>
      <c r="H541" s="4">
        <v>12914.05</v>
      </c>
      <c r="I541" s="3" t="s">
        <v>3734</v>
      </c>
      <c r="J541">
        <v>2</v>
      </c>
      <c r="K541" s="4">
        <f>Table3[[#This Row],[Sales]]-Table3[[#This Row],[Cost]]</f>
        <v>4091.1000000000022</v>
      </c>
      <c r="L541" s="6">
        <f>Table3[[#This Row],[Profit]]/Table3[[#This Row],[Sales]]</f>
        <v>0.24058005957018913</v>
      </c>
    </row>
    <row r="542" spans="1:12" x14ac:dyDescent="0.25">
      <c r="A542" t="s">
        <v>557</v>
      </c>
      <c r="B542" s="2">
        <v>45102</v>
      </c>
      <c r="C542" s="2" t="str">
        <f>TEXT(Table3[[#This Row],[Order Date]],"mmmm")</f>
        <v>June</v>
      </c>
      <c r="D542" t="s">
        <v>3731</v>
      </c>
      <c r="E542" t="s">
        <v>3222</v>
      </c>
      <c r="F542" t="s">
        <v>3226</v>
      </c>
      <c r="G542" s="4">
        <v>53799.81</v>
      </c>
      <c r="H542" s="4">
        <v>34680.370000000003</v>
      </c>
      <c r="I542" s="3" t="s">
        <v>3734</v>
      </c>
      <c r="J542">
        <v>4</v>
      </c>
      <c r="K542" s="4">
        <f>Table3[[#This Row],[Sales]]-Table3[[#This Row],[Cost]]</f>
        <v>19119.439999999995</v>
      </c>
      <c r="L542" s="6">
        <f>Table3[[#This Row],[Profit]]/Table3[[#This Row],[Sales]]</f>
        <v>0.35538118071420688</v>
      </c>
    </row>
    <row r="543" spans="1:12" x14ac:dyDescent="0.25">
      <c r="A543" t="s">
        <v>558</v>
      </c>
      <c r="B543" s="2">
        <v>45005</v>
      </c>
      <c r="C543" s="2" t="str">
        <f>TEXT(Table3[[#This Row],[Order Date]],"mmmm")</f>
        <v>March</v>
      </c>
      <c r="D543" t="s">
        <v>3731</v>
      </c>
      <c r="E543" t="s">
        <v>3225</v>
      </c>
      <c r="F543" t="s">
        <v>3226</v>
      </c>
      <c r="G543" s="4">
        <v>17462.919999999998</v>
      </c>
      <c r="H543" s="4">
        <v>12713.41</v>
      </c>
      <c r="I543" s="3" t="s">
        <v>3734</v>
      </c>
      <c r="J543">
        <v>1</v>
      </c>
      <c r="K543" s="4">
        <f>Table3[[#This Row],[Sales]]-Table3[[#This Row],[Cost]]</f>
        <v>4749.5099999999984</v>
      </c>
      <c r="L543" s="6">
        <f>Table3[[#This Row],[Profit]]/Table3[[#This Row],[Sales]]</f>
        <v>0.27197685152311291</v>
      </c>
    </row>
    <row r="544" spans="1:12" x14ac:dyDescent="0.25">
      <c r="A544" t="s">
        <v>559</v>
      </c>
      <c r="B544" s="2">
        <v>45102</v>
      </c>
      <c r="C544" s="2" t="str">
        <f>TEXT(Table3[[#This Row],[Order Date]],"mmmm")</f>
        <v>June</v>
      </c>
      <c r="D544" t="s">
        <v>3730</v>
      </c>
      <c r="E544" t="s">
        <v>3225</v>
      </c>
      <c r="F544" t="s">
        <v>3226</v>
      </c>
      <c r="G544" s="4">
        <v>67479.05</v>
      </c>
      <c r="H544" s="4">
        <v>38786.129999999997</v>
      </c>
      <c r="I544" s="3" t="s">
        <v>3734</v>
      </c>
      <c r="J544">
        <v>3</v>
      </c>
      <c r="K544" s="4">
        <f>Table3[[#This Row],[Sales]]-Table3[[#This Row],[Cost]]</f>
        <v>28692.920000000006</v>
      </c>
      <c r="L544" s="6">
        <f>Table3[[#This Row],[Profit]]/Table3[[#This Row],[Sales]]</f>
        <v>0.42521226958589375</v>
      </c>
    </row>
    <row r="545" spans="1:12" x14ac:dyDescent="0.25">
      <c r="A545" t="s">
        <v>560</v>
      </c>
      <c r="B545" s="2">
        <v>44972</v>
      </c>
      <c r="C545" s="2" t="str">
        <f>TEXT(Table3[[#This Row],[Order Date]],"mmmm")</f>
        <v>February</v>
      </c>
      <c r="D545" t="s">
        <v>3731</v>
      </c>
      <c r="E545" t="s">
        <v>3223</v>
      </c>
      <c r="F545" t="s">
        <v>3226</v>
      </c>
      <c r="G545" s="4">
        <v>58301.97</v>
      </c>
      <c r="H545" s="4">
        <v>31118.17</v>
      </c>
      <c r="I545" s="3" t="s">
        <v>3734</v>
      </c>
      <c r="J545">
        <v>5</v>
      </c>
      <c r="K545" s="4">
        <f>Table3[[#This Row],[Sales]]-Table3[[#This Row],[Cost]]</f>
        <v>27183.800000000003</v>
      </c>
      <c r="L545" s="6">
        <f>Table3[[#This Row],[Profit]]/Table3[[#This Row],[Sales]]</f>
        <v>0.46625868731365344</v>
      </c>
    </row>
    <row r="546" spans="1:12" x14ac:dyDescent="0.25">
      <c r="A546" t="s">
        <v>561</v>
      </c>
      <c r="B546" s="2" t="s">
        <v>3729</v>
      </c>
      <c r="C546" s="2" t="str">
        <f>TEXT(Table3[[#This Row],[Order Date]],"mmmm")</f>
        <v>Not Mentioned</v>
      </c>
      <c r="D546" t="s">
        <v>3220</v>
      </c>
      <c r="E546" t="s">
        <v>3225</v>
      </c>
      <c r="F546" t="s">
        <v>3226</v>
      </c>
      <c r="G546" s="4">
        <v>102772.2</v>
      </c>
      <c r="H546" s="4">
        <v>70555.14</v>
      </c>
      <c r="I546" s="3" t="s">
        <v>3734</v>
      </c>
      <c r="J546">
        <v>5</v>
      </c>
      <c r="K546" s="4">
        <f>Table3[[#This Row],[Sales]]-Table3[[#This Row],[Cost]]</f>
        <v>32217.059999999998</v>
      </c>
      <c r="L546" s="6">
        <f>Table3[[#This Row],[Profit]]/Table3[[#This Row],[Sales]]</f>
        <v>0.31348029914704562</v>
      </c>
    </row>
    <row r="547" spans="1:12" x14ac:dyDescent="0.25">
      <c r="A547" t="s">
        <v>562</v>
      </c>
      <c r="B547" s="2" t="s">
        <v>3729</v>
      </c>
      <c r="C547" s="2" t="str">
        <f>TEXT(Table3[[#This Row],[Order Date]],"mmmm")</f>
        <v>Not Mentioned</v>
      </c>
      <c r="D547" t="s">
        <v>3220</v>
      </c>
      <c r="E547" t="s">
        <v>3222</v>
      </c>
      <c r="F547" t="s">
        <v>3226</v>
      </c>
      <c r="G547" s="4">
        <v>55747.44</v>
      </c>
      <c r="H547" s="4">
        <v>36581.08</v>
      </c>
      <c r="I547" s="3" t="s">
        <v>3734</v>
      </c>
      <c r="J547">
        <v>4</v>
      </c>
      <c r="K547" s="4">
        <f>Table3[[#This Row],[Sales]]-Table3[[#This Row],[Cost]]</f>
        <v>19166.36</v>
      </c>
      <c r="L547" s="6">
        <f>Table3[[#This Row],[Profit]]/Table3[[#This Row],[Sales]]</f>
        <v>0.34380699813300841</v>
      </c>
    </row>
    <row r="548" spans="1:12" x14ac:dyDescent="0.25">
      <c r="A548" t="s">
        <v>564</v>
      </c>
      <c r="B548" s="2">
        <v>45021</v>
      </c>
      <c r="C548" s="2" t="str">
        <f>TEXT(Table3[[#This Row],[Order Date]],"mmmm")</f>
        <v>April</v>
      </c>
      <c r="D548" t="s">
        <v>3730</v>
      </c>
      <c r="E548" t="s">
        <v>3222</v>
      </c>
      <c r="F548" t="s">
        <v>3226</v>
      </c>
      <c r="G548" s="4">
        <v>61031.31</v>
      </c>
      <c r="H548" s="4">
        <v>48825.048000000003</v>
      </c>
      <c r="I548" s="3" t="s">
        <v>3735</v>
      </c>
      <c r="J548">
        <v>5</v>
      </c>
      <c r="K548" s="4">
        <f>Table3[[#This Row],[Sales]]-Table3[[#This Row],[Cost]]</f>
        <v>12206.261999999995</v>
      </c>
      <c r="L548" s="6">
        <f>Table3[[#This Row],[Profit]]/Table3[[#This Row],[Sales]]</f>
        <v>0.19999999999999993</v>
      </c>
    </row>
    <row r="549" spans="1:12" x14ac:dyDescent="0.25">
      <c r="A549" t="s">
        <v>3324</v>
      </c>
      <c r="B549" s="2">
        <v>45021</v>
      </c>
      <c r="C549" s="2" t="str">
        <f>TEXT(Table3[[#This Row],[Order Date]],"mmmm")</f>
        <v>April</v>
      </c>
      <c r="D549" t="s">
        <v>3730</v>
      </c>
      <c r="E549" t="s">
        <v>3222</v>
      </c>
      <c r="F549" t="s">
        <v>3226</v>
      </c>
      <c r="G549" s="4">
        <v>12619.3</v>
      </c>
      <c r="H549" s="4">
        <v>9962.59</v>
      </c>
      <c r="I549" s="3" t="s">
        <v>3734</v>
      </c>
      <c r="J549">
        <v>1</v>
      </c>
      <c r="K549" s="4">
        <f>Table3[[#This Row],[Sales]]-Table3[[#This Row],[Cost]]</f>
        <v>2656.7099999999991</v>
      </c>
      <c r="L549" s="6">
        <f>Table3[[#This Row],[Profit]]/Table3[[#This Row],[Sales]]</f>
        <v>0.21052752529855057</v>
      </c>
    </row>
    <row r="550" spans="1:12" x14ac:dyDescent="0.25">
      <c r="A550" t="s">
        <v>3325</v>
      </c>
      <c r="B550" s="2">
        <v>45021</v>
      </c>
      <c r="C550" s="2" t="str">
        <f>TEXT(Table3[[#This Row],[Order Date]],"mmmm")</f>
        <v>April</v>
      </c>
      <c r="D550" t="s">
        <v>3730</v>
      </c>
      <c r="E550" t="s">
        <v>3222</v>
      </c>
      <c r="F550" t="s">
        <v>3226</v>
      </c>
      <c r="G550" s="4">
        <v>82268.960000000006</v>
      </c>
      <c r="H550" s="4">
        <v>50538.8</v>
      </c>
      <c r="I550" s="3" t="s">
        <v>3734</v>
      </c>
      <c r="J550">
        <v>5</v>
      </c>
      <c r="K550" s="4">
        <f>Table3[[#This Row],[Sales]]-Table3[[#This Row],[Cost]]</f>
        <v>31730.160000000003</v>
      </c>
      <c r="L550" s="6">
        <f>Table3[[#This Row],[Profit]]/Table3[[#This Row],[Sales]]</f>
        <v>0.38568811371870998</v>
      </c>
    </row>
    <row r="551" spans="1:12" x14ac:dyDescent="0.25">
      <c r="A551" t="s">
        <v>567</v>
      </c>
      <c r="B551" s="2">
        <v>45005</v>
      </c>
      <c r="C551" s="2" t="str">
        <f>TEXT(Table3[[#This Row],[Order Date]],"mmmm")</f>
        <v>March</v>
      </c>
      <c r="D551" t="s">
        <v>3730</v>
      </c>
      <c r="E551" t="s">
        <v>3224</v>
      </c>
      <c r="F551" t="s">
        <v>3226</v>
      </c>
      <c r="G551" s="4">
        <v>120335.98</v>
      </c>
      <c r="H551" s="4">
        <v>89373.87</v>
      </c>
      <c r="I551" s="3" t="s">
        <v>3734</v>
      </c>
      <c r="J551">
        <v>2</v>
      </c>
      <c r="K551" s="4">
        <f>Table3[[#This Row],[Sales]]-Table3[[#This Row],[Cost]]</f>
        <v>30962.11</v>
      </c>
      <c r="L551" s="6">
        <f>Table3[[#This Row],[Profit]]/Table3[[#This Row],[Sales]]</f>
        <v>0.25729719407279522</v>
      </c>
    </row>
    <row r="552" spans="1:12" x14ac:dyDescent="0.25">
      <c r="A552" t="s">
        <v>3326</v>
      </c>
      <c r="B552" s="2">
        <v>45005</v>
      </c>
      <c r="C552" s="2" t="str">
        <f>TEXT(Table3[[#This Row],[Order Date]],"mmmm")</f>
        <v>March</v>
      </c>
      <c r="D552" t="s">
        <v>3730</v>
      </c>
      <c r="E552" t="s">
        <v>3223</v>
      </c>
      <c r="F552" t="s">
        <v>3226</v>
      </c>
      <c r="G552" s="4">
        <v>24295.73</v>
      </c>
      <c r="H552" s="4">
        <v>21507.62</v>
      </c>
      <c r="I552" s="3" t="s">
        <v>3734</v>
      </c>
      <c r="J552">
        <v>3</v>
      </c>
      <c r="K552" s="4">
        <f>Table3[[#This Row],[Sales]]-Table3[[#This Row],[Cost]]</f>
        <v>2788.1100000000006</v>
      </c>
      <c r="L552" s="6">
        <f>Table3[[#This Row],[Profit]]/Table3[[#This Row],[Sales]]</f>
        <v>0.11475720219149622</v>
      </c>
    </row>
    <row r="553" spans="1:12" x14ac:dyDescent="0.25">
      <c r="A553" t="s">
        <v>3231</v>
      </c>
      <c r="B553" s="2">
        <v>44972</v>
      </c>
      <c r="C553" s="2" t="str">
        <f>TEXT(Table3[[#This Row],[Order Date]],"mmmm")</f>
        <v>February</v>
      </c>
      <c r="D553" t="s">
        <v>3730</v>
      </c>
      <c r="E553" t="s">
        <v>3222</v>
      </c>
      <c r="F553" t="s">
        <v>3226</v>
      </c>
      <c r="G553" s="4">
        <v>15085.36</v>
      </c>
      <c r="H553" s="4">
        <v>9847.98</v>
      </c>
      <c r="I553" s="3" t="s">
        <v>3734</v>
      </c>
      <c r="J553">
        <v>1</v>
      </c>
      <c r="K553" s="4">
        <f>Table3[[#This Row],[Sales]]-Table3[[#This Row],[Cost]]</f>
        <v>5237.380000000001</v>
      </c>
      <c r="L553" s="6">
        <f>Table3[[#This Row],[Profit]]/Table3[[#This Row],[Sales]]</f>
        <v>0.34718296414537014</v>
      </c>
    </row>
    <row r="554" spans="1:12" x14ac:dyDescent="0.25">
      <c r="A554" t="s">
        <v>569</v>
      </c>
      <c r="B554" s="2" t="s">
        <v>3729</v>
      </c>
      <c r="C554" s="2" t="str">
        <f>TEXT(Table3[[#This Row],[Order Date]],"mmmm")</f>
        <v>Not Mentioned</v>
      </c>
      <c r="D554" t="s">
        <v>3730</v>
      </c>
      <c r="E554" t="s">
        <v>3225</v>
      </c>
      <c r="F554" t="s">
        <v>3226</v>
      </c>
      <c r="G554" s="4">
        <v>82966.27</v>
      </c>
      <c r="H554" s="4">
        <v>59150.49</v>
      </c>
      <c r="I554" s="3" t="s">
        <v>3734</v>
      </c>
      <c r="J554">
        <v>4</v>
      </c>
      <c r="K554" s="4">
        <f>Table3[[#This Row],[Sales]]-Table3[[#This Row],[Cost]]</f>
        <v>23815.780000000006</v>
      </c>
      <c r="L554" s="6">
        <f>Table3[[#This Row],[Profit]]/Table3[[#This Row],[Sales]]</f>
        <v>0.28705376293281604</v>
      </c>
    </row>
    <row r="555" spans="1:12" x14ac:dyDescent="0.25">
      <c r="A555" t="s">
        <v>570</v>
      </c>
      <c r="B555" s="2">
        <v>45102</v>
      </c>
      <c r="C555" s="2" t="str">
        <f>TEXT(Table3[[#This Row],[Order Date]],"mmmm")</f>
        <v>June</v>
      </c>
      <c r="D555" t="s">
        <v>3220</v>
      </c>
      <c r="E555" t="s">
        <v>3224</v>
      </c>
      <c r="F555" t="s">
        <v>3226</v>
      </c>
      <c r="G555" s="4">
        <v>71545.08</v>
      </c>
      <c r="H555" s="4">
        <v>45695.37</v>
      </c>
      <c r="I555" s="3" t="s">
        <v>3734</v>
      </c>
      <c r="J555">
        <v>1</v>
      </c>
      <c r="K555" s="4">
        <f>Table3[[#This Row],[Sales]]-Table3[[#This Row],[Cost]]</f>
        <v>25849.71</v>
      </c>
      <c r="L555" s="6">
        <f>Table3[[#This Row],[Profit]]/Table3[[#This Row],[Sales]]</f>
        <v>0.36130660556952343</v>
      </c>
    </row>
    <row r="556" spans="1:12" x14ac:dyDescent="0.25">
      <c r="A556" t="s">
        <v>571</v>
      </c>
      <c r="B556" s="2">
        <v>45102</v>
      </c>
      <c r="C556" s="2" t="str">
        <f>TEXT(Table3[[#This Row],[Order Date]],"mmmm")</f>
        <v>June</v>
      </c>
      <c r="D556" t="s">
        <v>3730</v>
      </c>
      <c r="E556" t="s">
        <v>3222</v>
      </c>
      <c r="F556" t="s">
        <v>3226</v>
      </c>
      <c r="G556" s="4">
        <v>37845.53</v>
      </c>
      <c r="H556" s="4">
        <v>25589.38</v>
      </c>
      <c r="I556" s="3" t="s">
        <v>3734</v>
      </c>
      <c r="J556">
        <v>3</v>
      </c>
      <c r="K556" s="4">
        <f>Table3[[#This Row],[Sales]]-Table3[[#This Row],[Cost]]</f>
        <v>12256.149999999998</v>
      </c>
      <c r="L556" s="6">
        <f>Table3[[#This Row],[Profit]]/Table3[[#This Row],[Sales]]</f>
        <v>0.32384669999336774</v>
      </c>
    </row>
    <row r="557" spans="1:12" x14ac:dyDescent="0.25">
      <c r="A557" t="s">
        <v>572</v>
      </c>
      <c r="B557" s="2" t="s">
        <v>3729</v>
      </c>
      <c r="C557" s="2" t="str">
        <f>TEXT(Table3[[#This Row],[Order Date]],"mmmm")</f>
        <v>Not Mentioned</v>
      </c>
      <c r="D557" t="s">
        <v>3730</v>
      </c>
      <c r="E557" t="s">
        <v>3225</v>
      </c>
      <c r="F557" t="s">
        <v>3226</v>
      </c>
      <c r="G557" s="4">
        <v>67710.23</v>
      </c>
      <c r="H557" s="4">
        <v>38268.879999999997</v>
      </c>
      <c r="I557" s="3" t="s">
        <v>3734</v>
      </c>
      <c r="J557">
        <v>3</v>
      </c>
      <c r="K557" s="4">
        <f>Table3[[#This Row],[Sales]]-Table3[[#This Row],[Cost]]</f>
        <v>29441.35</v>
      </c>
      <c r="L557" s="6">
        <f>Table3[[#This Row],[Profit]]/Table3[[#This Row],[Sales]]</f>
        <v>0.43481391216659582</v>
      </c>
    </row>
    <row r="558" spans="1:12" x14ac:dyDescent="0.25">
      <c r="A558" t="s">
        <v>573</v>
      </c>
      <c r="B558" s="2" t="s">
        <v>3729</v>
      </c>
      <c r="C558" s="2" t="str">
        <f>TEXT(Table3[[#This Row],[Order Date]],"mmmm")</f>
        <v>Not Mentioned</v>
      </c>
      <c r="D558" t="s">
        <v>3730</v>
      </c>
      <c r="E558" t="s">
        <v>3223</v>
      </c>
      <c r="F558" t="s">
        <v>3226</v>
      </c>
      <c r="G558" s="4">
        <v>31572.59</v>
      </c>
      <c r="H558" s="4">
        <v>17981.169999999998</v>
      </c>
      <c r="I558" s="3" t="s">
        <v>3734</v>
      </c>
      <c r="J558">
        <v>3</v>
      </c>
      <c r="K558" s="4">
        <f>Table3[[#This Row],[Sales]]-Table3[[#This Row],[Cost]]</f>
        <v>13591.420000000002</v>
      </c>
      <c r="L558" s="6">
        <f>Table3[[#This Row],[Profit]]/Table3[[#This Row],[Sales]]</f>
        <v>0.43048162979343796</v>
      </c>
    </row>
    <row r="559" spans="1:12" x14ac:dyDescent="0.25">
      <c r="A559" t="s">
        <v>3327</v>
      </c>
      <c r="B559" s="2">
        <v>45021</v>
      </c>
      <c r="C559" s="2" t="str">
        <f>TEXT(Table3[[#This Row],[Order Date]],"mmmm")</f>
        <v>April</v>
      </c>
      <c r="D559" t="s">
        <v>3220</v>
      </c>
      <c r="E559" t="s">
        <v>3225</v>
      </c>
      <c r="F559" t="s">
        <v>3226</v>
      </c>
      <c r="G559" s="4">
        <v>109098.1</v>
      </c>
      <c r="H559" s="4">
        <v>74718.289999999994</v>
      </c>
      <c r="I559" s="3" t="s">
        <v>3734</v>
      </c>
      <c r="J559">
        <v>5</v>
      </c>
      <c r="K559" s="4">
        <f>Table3[[#This Row],[Sales]]-Table3[[#This Row],[Cost]]</f>
        <v>34379.810000000012</v>
      </c>
      <c r="L559" s="6">
        <f>Table3[[#This Row],[Profit]]/Table3[[#This Row],[Sales]]</f>
        <v>0.31512748617986941</v>
      </c>
    </row>
    <row r="560" spans="1:12" x14ac:dyDescent="0.25">
      <c r="A560" t="s">
        <v>575</v>
      </c>
      <c r="B560" s="2">
        <v>45021</v>
      </c>
      <c r="C560" s="2" t="str">
        <f>TEXT(Table3[[#This Row],[Order Date]],"mmmm")</f>
        <v>April</v>
      </c>
      <c r="D560" t="s">
        <v>3730</v>
      </c>
      <c r="E560" t="s">
        <v>3222</v>
      </c>
      <c r="F560" t="s">
        <v>3226</v>
      </c>
      <c r="G560" s="4">
        <v>69802.17</v>
      </c>
      <c r="H560" s="4">
        <v>46870.18</v>
      </c>
      <c r="I560" s="3" t="s">
        <v>3734</v>
      </c>
      <c r="J560" t="s">
        <v>3732</v>
      </c>
      <c r="K560" s="4">
        <f>Table3[[#This Row],[Sales]]-Table3[[#This Row],[Cost]]</f>
        <v>22931.989999999998</v>
      </c>
      <c r="L560" s="6">
        <f>Table3[[#This Row],[Profit]]/Table3[[#This Row],[Sales]]</f>
        <v>0.32852832512227054</v>
      </c>
    </row>
    <row r="561" spans="1:12" x14ac:dyDescent="0.25">
      <c r="A561" t="s">
        <v>576</v>
      </c>
      <c r="B561" s="2">
        <v>44972</v>
      </c>
      <c r="C561" s="2" t="str">
        <f>TEXT(Table3[[#This Row],[Order Date]],"mmmm")</f>
        <v>February</v>
      </c>
      <c r="D561" t="s">
        <v>3730</v>
      </c>
      <c r="E561" t="s">
        <v>3224</v>
      </c>
      <c r="F561" t="s">
        <v>3226</v>
      </c>
      <c r="G561" s="4">
        <v>105882.34</v>
      </c>
      <c r="H561" s="4">
        <v>84430.82</v>
      </c>
      <c r="I561" s="3" t="s">
        <v>3734</v>
      </c>
      <c r="J561">
        <v>2</v>
      </c>
      <c r="K561" s="4">
        <f>Table3[[#This Row],[Sales]]-Table3[[#This Row],[Cost]]</f>
        <v>21451.51999999999</v>
      </c>
      <c r="L561" s="6">
        <f>Table3[[#This Row],[Profit]]/Table3[[#This Row],[Sales]]</f>
        <v>0.20259771365083157</v>
      </c>
    </row>
    <row r="562" spans="1:12" x14ac:dyDescent="0.25">
      <c r="A562" t="s">
        <v>577</v>
      </c>
      <c r="B562" s="2" t="s">
        <v>3729</v>
      </c>
      <c r="C562" s="2" t="str">
        <f>TEXT(Table3[[#This Row],[Order Date]],"mmmm")</f>
        <v>Not Mentioned</v>
      </c>
      <c r="D562" t="s">
        <v>3730</v>
      </c>
      <c r="E562" t="s">
        <v>3223</v>
      </c>
      <c r="F562" t="s">
        <v>3226</v>
      </c>
      <c r="G562" s="4">
        <v>8422.6</v>
      </c>
      <c r="H562" s="4">
        <v>7372.49</v>
      </c>
      <c r="I562" s="3" t="s">
        <v>3734</v>
      </c>
      <c r="J562">
        <v>1</v>
      </c>
      <c r="K562" s="4">
        <f>Table3[[#This Row],[Sales]]-Table3[[#This Row],[Cost]]</f>
        <v>1050.1100000000006</v>
      </c>
      <c r="L562" s="6">
        <f>Table3[[#This Row],[Profit]]/Table3[[#This Row],[Sales]]</f>
        <v>0.12467765298126475</v>
      </c>
    </row>
    <row r="563" spans="1:12" x14ac:dyDescent="0.25">
      <c r="A563" t="s">
        <v>579</v>
      </c>
      <c r="B563" s="2">
        <v>45005</v>
      </c>
      <c r="C563" s="2" t="str">
        <f>TEXT(Table3[[#This Row],[Order Date]],"mmmm")</f>
        <v>March</v>
      </c>
      <c r="D563" t="s">
        <v>3220</v>
      </c>
      <c r="E563" t="s">
        <v>3223</v>
      </c>
      <c r="F563" t="s">
        <v>3226</v>
      </c>
      <c r="G563" s="4">
        <v>32769.26</v>
      </c>
      <c r="H563" s="4">
        <v>26215.408000000003</v>
      </c>
      <c r="I563" s="3" t="s">
        <v>3735</v>
      </c>
      <c r="J563">
        <v>4</v>
      </c>
      <c r="K563" s="4">
        <f>Table3[[#This Row],[Sales]]-Table3[[#This Row],[Cost]]</f>
        <v>6553.851999999999</v>
      </c>
      <c r="L563" s="6">
        <f>Table3[[#This Row],[Profit]]/Table3[[#This Row],[Sales]]</f>
        <v>0.19999999999999996</v>
      </c>
    </row>
    <row r="564" spans="1:12" x14ac:dyDescent="0.25">
      <c r="A564" t="s">
        <v>3328</v>
      </c>
      <c r="B564" s="2">
        <v>44941</v>
      </c>
      <c r="C564" s="2" t="str">
        <f>TEXT(Table3[[#This Row],[Order Date]],"mmmm")</f>
        <v>January</v>
      </c>
      <c r="D564" t="s">
        <v>3730</v>
      </c>
      <c r="E564" t="s">
        <v>3222</v>
      </c>
      <c r="F564" t="s">
        <v>3226</v>
      </c>
      <c r="G564" s="4">
        <v>14104.67</v>
      </c>
      <c r="H564" s="4">
        <v>10581.73</v>
      </c>
      <c r="I564" s="3" t="s">
        <v>3734</v>
      </c>
      <c r="J564">
        <v>1</v>
      </c>
      <c r="K564" s="4">
        <f>Table3[[#This Row],[Sales]]-Table3[[#This Row],[Cost]]</f>
        <v>3522.9400000000005</v>
      </c>
      <c r="L564" s="6">
        <f>Table3[[#This Row],[Profit]]/Table3[[#This Row],[Sales]]</f>
        <v>0.24977117507889235</v>
      </c>
    </row>
    <row r="565" spans="1:12" x14ac:dyDescent="0.25">
      <c r="A565" t="s">
        <v>581</v>
      </c>
      <c r="B565" s="2">
        <v>45021</v>
      </c>
      <c r="C565" s="2" t="str">
        <f>TEXT(Table3[[#This Row],[Order Date]],"mmmm")</f>
        <v>April</v>
      </c>
      <c r="D565" t="s">
        <v>3216</v>
      </c>
      <c r="E565" t="s">
        <v>3225</v>
      </c>
      <c r="F565" t="s">
        <v>3226</v>
      </c>
      <c r="G565" s="4">
        <v>58987.32</v>
      </c>
      <c r="H565" s="4">
        <v>38419.1</v>
      </c>
      <c r="I565" s="3" t="s">
        <v>3734</v>
      </c>
      <c r="J565">
        <v>3</v>
      </c>
      <c r="K565" s="4">
        <f>Table3[[#This Row],[Sales]]-Table3[[#This Row],[Cost]]</f>
        <v>20568.22</v>
      </c>
      <c r="L565" s="6">
        <f>Table3[[#This Row],[Profit]]/Table3[[#This Row],[Sales]]</f>
        <v>0.34868883685510721</v>
      </c>
    </row>
    <row r="566" spans="1:12" x14ac:dyDescent="0.25">
      <c r="A566" t="s">
        <v>3329</v>
      </c>
      <c r="B566" s="2">
        <v>44972</v>
      </c>
      <c r="C566" s="2" t="str">
        <f>TEXT(Table3[[#This Row],[Order Date]],"mmmm")</f>
        <v>February</v>
      </c>
      <c r="D566" t="s">
        <v>3731</v>
      </c>
      <c r="E566" t="s">
        <v>3225</v>
      </c>
      <c r="F566" t="s">
        <v>3226</v>
      </c>
      <c r="G566" s="4">
        <v>117828.6</v>
      </c>
      <c r="H566" s="4">
        <v>71344.350000000006</v>
      </c>
      <c r="I566" s="3" t="s">
        <v>3734</v>
      </c>
      <c r="J566">
        <v>5</v>
      </c>
      <c r="K566" s="4">
        <f>Table3[[#This Row],[Sales]]-Table3[[#This Row],[Cost]]</f>
        <v>46484.25</v>
      </c>
      <c r="L566" s="6">
        <f>Table3[[#This Row],[Profit]]/Table3[[#This Row],[Sales]]</f>
        <v>0.3945073606917166</v>
      </c>
    </row>
    <row r="567" spans="1:12" x14ac:dyDescent="0.25">
      <c r="A567" t="s">
        <v>3330</v>
      </c>
      <c r="B567" s="2">
        <v>45102</v>
      </c>
      <c r="C567" s="2" t="str">
        <f>TEXT(Table3[[#This Row],[Order Date]],"mmmm")</f>
        <v>June</v>
      </c>
      <c r="D567" t="s">
        <v>3730</v>
      </c>
      <c r="E567" t="s">
        <v>3224</v>
      </c>
      <c r="F567" t="s">
        <v>3226</v>
      </c>
      <c r="G567" s="4">
        <v>256966.03</v>
      </c>
      <c r="H567" s="4">
        <v>198580.52</v>
      </c>
      <c r="I567" s="3" t="s">
        <v>3734</v>
      </c>
      <c r="J567">
        <v>5</v>
      </c>
      <c r="K567" s="4">
        <f>Table3[[#This Row],[Sales]]-Table3[[#This Row],[Cost]]</f>
        <v>58385.510000000009</v>
      </c>
      <c r="L567" s="6">
        <f>Table3[[#This Row],[Profit]]/Table3[[#This Row],[Sales]]</f>
        <v>0.22721100528346105</v>
      </c>
    </row>
    <row r="568" spans="1:12" x14ac:dyDescent="0.25">
      <c r="A568" t="s">
        <v>3331</v>
      </c>
      <c r="B568" s="2">
        <v>44941</v>
      </c>
      <c r="C568" s="2" t="str">
        <f>TEXT(Table3[[#This Row],[Order Date]],"mmmm")</f>
        <v>January</v>
      </c>
      <c r="D568" t="s">
        <v>3216</v>
      </c>
      <c r="E568" t="s">
        <v>3225</v>
      </c>
      <c r="F568" t="s">
        <v>3226</v>
      </c>
      <c r="G568" s="4">
        <v>18927.189999999999</v>
      </c>
      <c r="H568" s="4">
        <v>12702.88</v>
      </c>
      <c r="I568" s="3" t="s">
        <v>3734</v>
      </c>
      <c r="J568" t="s">
        <v>3732</v>
      </c>
      <c r="K568" s="4">
        <f>Table3[[#This Row],[Sales]]-Table3[[#This Row],[Cost]]</f>
        <v>6224.3099999999995</v>
      </c>
      <c r="L568" s="6">
        <f>Table3[[#This Row],[Profit]]/Table3[[#This Row],[Sales]]</f>
        <v>0.32885547194274478</v>
      </c>
    </row>
    <row r="569" spans="1:12" x14ac:dyDescent="0.25">
      <c r="A569" t="s">
        <v>585</v>
      </c>
      <c r="B569" s="2">
        <v>44972</v>
      </c>
      <c r="C569" s="2" t="str">
        <f>TEXT(Table3[[#This Row],[Order Date]],"mmmm")</f>
        <v>February</v>
      </c>
      <c r="D569" t="s">
        <v>3730</v>
      </c>
      <c r="E569" t="s">
        <v>3222</v>
      </c>
      <c r="F569" t="s">
        <v>3226</v>
      </c>
      <c r="G569" s="4">
        <v>50983.040000000001</v>
      </c>
      <c r="H569" s="4">
        <v>32937.18</v>
      </c>
      <c r="I569" s="3" t="s">
        <v>3734</v>
      </c>
      <c r="J569">
        <v>3</v>
      </c>
      <c r="K569" s="4">
        <f>Table3[[#This Row],[Sales]]-Table3[[#This Row],[Cost]]</f>
        <v>18045.86</v>
      </c>
      <c r="L569" s="6">
        <f>Table3[[#This Row],[Profit]]/Table3[[#This Row],[Sales]]</f>
        <v>0.35395810057619159</v>
      </c>
    </row>
    <row r="570" spans="1:12" x14ac:dyDescent="0.25">
      <c r="A570" t="s">
        <v>586</v>
      </c>
      <c r="B570" s="2" t="s">
        <v>3729</v>
      </c>
      <c r="C570" s="2" t="str">
        <f>TEXT(Table3[[#This Row],[Order Date]],"mmmm")</f>
        <v>Not Mentioned</v>
      </c>
      <c r="D570" t="s">
        <v>3216</v>
      </c>
      <c r="E570" t="s">
        <v>3222</v>
      </c>
      <c r="F570" t="s">
        <v>3226</v>
      </c>
      <c r="G570" s="4">
        <v>50374.01</v>
      </c>
      <c r="H570" s="4">
        <v>26302.720000000001</v>
      </c>
      <c r="I570" s="3" t="s">
        <v>3734</v>
      </c>
      <c r="J570">
        <v>3</v>
      </c>
      <c r="K570" s="4">
        <f>Table3[[#This Row],[Sales]]-Table3[[#This Row],[Cost]]</f>
        <v>24071.29</v>
      </c>
      <c r="L570" s="6">
        <f>Table3[[#This Row],[Profit]]/Table3[[#This Row],[Sales]]</f>
        <v>0.4778513761362258</v>
      </c>
    </row>
    <row r="571" spans="1:12" x14ac:dyDescent="0.25">
      <c r="A571" t="s">
        <v>587</v>
      </c>
      <c r="B571" s="2">
        <v>45021</v>
      </c>
      <c r="C571" s="2" t="str">
        <f>TEXT(Table3[[#This Row],[Order Date]],"mmmm")</f>
        <v>April</v>
      </c>
      <c r="D571" t="s">
        <v>3216</v>
      </c>
      <c r="E571" t="s">
        <v>3222</v>
      </c>
      <c r="F571" t="s">
        <v>3226</v>
      </c>
      <c r="G571" s="4">
        <v>82863.89</v>
      </c>
      <c r="H571" s="4">
        <v>54202.21</v>
      </c>
      <c r="I571" s="3" t="s">
        <v>3734</v>
      </c>
      <c r="J571">
        <v>5</v>
      </c>
      <c r="K571" s="4">
        <f>Table3[[#This Row],[Sales]]-Table3[[#This Row],[Cost]]</f>
        <v>28661.68</v>
      </c>
      <c r="L571" s="6">
        <f>Table3[[#This Row],[Profit]]/Table3[[#This Row],[Sales]]</f>
        <v>0.34588866151468389</v>
      </c>
    </row>
    <row r="572" spans="1:12" x14ac:dyDescent="0.25">
      <c r="A572" t="s">
        <v>3332</v>
      </c>
      <c r="B572" s="2">
        <v>45021</v>
      </c>
      <c r="C572" s="2" t="str">
        <f>TEXT(Table3[[#This Row],[Order Date]],"mmmm")</f>
        <v>April</v>
      </c>
      <c r="D572" t="s">
        <v>3730</v>
      </c>
      <c r="E572" t="s">
        <v>3225</v>
      </c>
      <c r="F572" t="s">
        <v>3226</v>
      </c>
      <c r="G572" s="4">
        <v>18171.45</v>
      </c>
      <c r="H572" s="4">
        <v>11912.96</v>
      </c>
      <c r="I572" s="3" t="s">
        <v>3734</v>
      </c>
      <c r="J572">
        <v>1</v>
      </c>
      <c r="K572" s="4">
        <f>Table3[[#This Row],[Sales]]-Table3[[#This Row],[Cost]]</f>
        <v>6258.4900000000016</v>
      </c>
      <c r="L572" s="6">
        <f>Table3[[#This Row],[Profit]]/Table3[[#This Row],[Sales]]</f>
        <v>0.34441335171381487</v>
      </c>
    </row>
    <row r="573" spans="1:12" x14ac:dyDescent="0.25">
      <c r="A573" t="s">
        <v>3333</v>
      </c>
      <c r="B573" s="2">
        <v>44972</v>
      </c>
      <c r="C573" s="2" t="str">
        <f>TEXT(Table3[[#This Row],[Order Date]],"mmmm")</f>
        <v>February</v>
      </c>
      <c r="D573" t="s">
        <v>3730</v>
      </c>
      <c r="E573" t="s">
        <v>3225</v>
      </c>
      <c r="F573" t="s">
        <v>3226</v>
      </c>
      <c r="G573" s="4">
        <v>16764.47</v>
      </c>
      <c r="H573" s="4">
        <v>15043.51</v>
      </c>
      <c r="I573" s="3" t="s">
        <v>3734</v>
      </c>
      <c r="J573">
        <v>1</v>
      </c>
      <c r="K573" s="4">
        <f>Table3[[#This Row],[Sales]]-Table3[[#This Row],[Cost]]</f>
        <v>1720.9600000000009</v>
      </c>
      <c r="L573" s="6">
        <f>Table3[[#This Row],[Profit]]/Table3[[#This Row],[Sales]]</f>
        <v>0.10265519876262123</v>
      </c>
    </row>
    <row r="574" spans="1:12" x14ac:dyDescent="0.25">
      <c r="A574" t="s">
        <v>590</v>
      </c>
      <c r="B574" s="2">
        <v>45021</v>
      </c>
      <c r="C574" s="2" t="str">
        <f>TEXT(Table3[[#This Row],[Order Date]],"mmmm")</f>
        <v>April</v>
      </c>
      <c r="D574" t="s">
        <v>3730</v>
      </c>
      <c r="E574" t="s">
        <v>3222</v>
      </c>
      <c r="F574" t="s">
        <v>3226</v>
      </c>
      <c r="G574" s="4">
        <v>67672.25</v>
      </c>
      <c r="H574" s="4">
        <v>43993.5</v>
      </c>
      <c r="I574" s="3" t="s">
        <v>3734</v>
      </c>
      <c r="J574">
        <v>4</v>
      </c>
      <c r="K574" s="4">
        <f>Table3[[#This Row],[Sales]]-Table3[[#This Row],[Cost]]</f>
        <v>23678.75</v>
      </c>
      <c r="L574" s="6">
        <f>Table3[[#This Row],[Profit]]/Table3[[#This Row],[Sales]]</f>
        <v>0.3499033946706368</v>
      </c>
    </row>
    <row r="575" spans="1:12" x14ac:dyDescent="0.25">
      <c r="A575" t="s">
        <v>591</v>
      </c>
      <c r="B575" s="2">
        <v>45102</v>
      </c>
      <c r="C575" s="2" t="str">
        <f>TEXT(Table3[[#This Row],[Order Date]],"mmmm")</f>
        <v>June</v>
      </c>
      <c r="D575" t="s">
        <v>3731</v>
      </c>
      <c r="E575" t="s">
        <v>3223</v>
      </c>
      <c r="F575" t="s">
        <v>3226</v>
      </c>
      <c r="G575" s="4">
        <v>42714.92</v>
      </c>
      <c r="H575" s="4">
        <v>38302.58</v>
      </c>
      <c r="I575" s="3" t="s">
        <v>3734</v>
      </c>
      <c r="J575">
        <v>5</v>
      </c>
      <c r="K575" s="4">
        <f>Table3[[#This Row],[Sales]]-Table3[[#This Row],[Cost]]</f>
        <v>4412.3399999999965</v>
      </c>
      <c r="L575" s="6">
        <f>Table3[[#This Row],[Profit]]/Table3[[#This Row],[Sales]]</f>
        <v>0.10329739585137926</v>
      </c>
    </row>
    <row r="576" spans="1:12" x14ac:dyDescent="0.25">
      <c r="A576" t="s">
        <v>592</v>
      </c>
      <c r="B576" s="2">
        <v>45005</v>
      </c>
      <c r="C576" s="2" t="str">
        <f>TEXT(Table3[[#This Row],[Order Date]],"mmmm")</f>
        <v>March</v>
      </c>
      <c r="D576" t="s">
        <v>3220</v>
      </c>
      <c r="E576" t="s">
        <v>3225</v>
      </c>
      <c r="F576" t="s">
        <v>3226</v>
      </c>
      <c r="G576" s="4">
        <v>18085.29</v>
      </c>
      <c r="H576" s="4">
        <v>12223.85</v>
      </c>
      <c r="I576" s="3" t="s">
        <v>3734</v>
      </c>
      <c r="J576">
        <v>1</v>
      </c>
      <c r="K576" s="4">
        <f>Table3[[#This Row],[Sales]]-Table3[[#This Row],[Cost]]</f>
        <v>5861.4400000000005</v>
      </c>
      <c r="L576" s="6">
        <f>Table3[[#This Row],[Profit]]/Table3[[#This Row],[Sales]]</f>
        <v>0.32409986237433852</v>
      </c>
    </row>
    <row r="577" spans="1:12" x14ac:dyDescent="0.25">
      <c r="A577" t="s">
        <v>593</v>
      </c>
      <c r="B577" s="2">
        <v>44972</v>
      </c>
      <c r="C577" s="2" t="str">
        <f>TEXT(Table3[[#This Row],[Order Date]],"mmmm")</f>
        <v>February</v>
      </c>
      <c r="D577" t="s">
        <v>3730</v>
      </c>
      <c r="E577" t="s">
        <v>3225</v>
      </c>
      <c r="F577" t="s">
        <v>3226</v>
      </c>
      <c r="G577" s="4">
        <v>85744.86</v>
      </c>
      <c r="H577" s="4">
        <v>71014.12</v>
      </c>
      <c r="I577" s="3" t="s">
        <v>3734</v>
      </c>
      <c r="J577">
        <v>5</v>
      </c>
      <c r="K577" s="4">
        <f>Table3[[#This Row],[Sales]]-Table3[[#This Row],[Cost]]</f>
        <v>14730.740000000005</v>
      </c>
      <c r="L577" s="6">
        <f>Table3[[#This Row],[Profit]]/Table3[[#This Row],[Sales]]</f>
        <v>0.17179735321744075</v>
      </c>
    </row>
    <row r="578" spans="1:12" x14ac:dyDescent="0.25">
      <c r="A578" t="s">
        <v>594</v>
      </c>
      <c r="B578" s="2">
        <v>45102</v>
      </c>
      <c r="C578" s="2" t="str">
        <f>TEXT(Table3[[#This Row],[Order Date]],"mmmm")</f>
        <v>June</v>
      </c>
      <c r="D578" t="s">
        <v>3731</v>
      </c>
      <c r="E578" t="s">
        <v>3223</v>
      </c>
      <c r="F578" t="s">
        <v>3226</v>
      </c>
      <c r="G578" s="4">
        <v>21854.98</v>
      </c>
      <c r="H578" s="4">
        <v>12508.87</v>
      </c>
      <c r="I578" s="3" t="s">
        <v>3734</v>
      </c>
      <c r="J578">
        <v>2</v>
      </c>
      <c r="K578" s="4">
        <f>Table3[[#This Row],[Sales]]-Table3[[#This Row],[Cost]]</f>
        <v>9346.1099999999988</v>
      </c>
      <c r="L578" s="6">
        <f>Table3[[#This Row],[Profit]]/Table3[[#This Row],[Sales]]</f>
        <v>0.42764212092621445</v>
      </c>
    </row>
    <row r="579" spans="1:12" x14ac:dyDescent="0.25">
      <c r="A579" t="s">
        <v>595</v>
      </c>
      <c r="B579" s="2">
        <v>45005</v>
      </c>
      <c r="C579" s="2" t="str">
        <f>TEXT(Table3[[#This Row],[Order Date]],"mmmm")</f>
        <v>March</v>
      </c>
      <c r="D579" t="s">
        <v>3730</v>
      </c>
      <c r="E579" t="s">
        <v>3225</v>
      </c>
      <c r="F579" t="s">
        <v>3226</v>
      </c>
      <c r="G579" s="4">
        <v>22528.45</v>
      </c>
      <c r="H579" s="4">
        <v>13412.24</v>
      </c>
      <c r="I579" s="3" t="s">
        <v>3734</v>
      </c>
      <c r="J579">
        <v>1</v>
      </c>
      <c r="K579" s="4">
        <f>Table3[[#This Row],[Sales]]-Table3[[#This Row],[Cost]]</f>
        <v>9116.2100000000009</v>
      </c>
      <c r="L579" s="6">
        <f>Table3[[#This Row],[Profit]]/Table3[[#This Row],[Sales]]</f>
        <v>0.40465322736362247</v>
      </c>
    </row>
    <row r="580" spans="1:12" x14ac:dyDescent="0.25">
      <c r="A580" t="s">
        <v>596</v>
      </c>
      <c r="B580" s="2">
        <v>45102</v>
      </c>
      <c r="C580" s="2" t="str">
        <f>TEXT(Table3[[#This Row],[Order Date]],"mmmm")</f>
        <v>June</v>
      </c>
      <c r="D580" t="s">
        <v>3216</v>
      </c>
      <c r="E580" t="s">
        <v>3225</v>
      </c>
      <c r="F580" t="s">
        <v>3226</v>
      </c>
      <c r="G580" s="4">
        <v>34308.99</v>
      </c>
      <c r="H580" s="4">
        <v>27447.191999999999</v>
      </c>
      <c r="I580" s="3" t="s">
        <v>3735</v>
      </c>
      <c r="J580">
        <v>2</v>
      </c>
      <c r="K580" s="4">
        <f>Table3[[#This Row],[Sales]]-Table3[[#This Row],[Cost]]</f>
        <v>6861.7979999999989</v>
      </c>
      <c r="L580" s="6">
        <f>Table3[[#This Row],[Profit]]/Table3[[#This Row],[Sales]]</f>
        <v>0.19999999999999998</v>
      </c>
    </row>
    <row r="581" spans="1:12" x14ac:dyDescent="0.25">
      <c r="A581" t="s">
        <v>3334</v>
      </c>
      <c r="B581" s="2">
        <v>45005</v>
      </c>
      <c r="C581" s="2" t="str">
        <f>TEXT(Table3[[#This Row],[Order Date]],"mmmm")</f>
        <v>March</v>
      </c>
      <c r="D581" t="s">
        <v>3730</v>
      </c>
      <c r="E581" t="s">
        <v>3225</v>
      </c>
      <c r="F581" t="s">
        <v>3226</v>
      </c>
      <c r="G581" s="4">
        <v>34600.18</v>
      </c>
      <c r="H581" s="4">
        <v>30518.22</v>
      </c>
      <c r="I581" s="3" t="s">
        <v>3734</v>
      </c>
      <c r="J581">
        <v>2</v>
      </c>
      <c r="K581" s="4">
        <f>Table3[[#This Row],[Sales]]-Table3[[#This Row],[Cost]]</f>
        <v>4081.9599999999991</v>
      </c>
      <c r="L581" s="6">
        <f>Table3[[#This Row],[Profit]]/Table3[[#This Row],[Sales]]</f>
        <v>0.117975108800012</v>
      </c>
    </row>
    <row r="582" spans="1:12" x14ac:dyDescent="0.25">
      <c r="A582" t="s">
        <v>598</v>
      </c>
      <c r="B582" s="2">
        <v>44972</v>
      </c>
      <c r="C582" s="2" t="str">
        <f>TEXT(Table3[[#This Row],[Order Date]],"mmmm")</f>
        <v>February</v>
      </c>
      <c r="D582" t="s">
        <v>3216</v>
      </c>
      <c r="E582" t="s">
        <v>3222</v>
      </c>
      <c r="F582" t="s">
        <v>3226</v>
      </c>
      <c r="G582" s="4">
        <v>45324.28</v>
      </c>
      <c r="H582" s="4">
        <v>25555.97</v>
      </c>
      <c r="I582" s="3" t="s">
        <v>3734</v>
      </c>
      <c r="J582">
        <v>3</v>
      </c>
      <c r="K582" s="4">
        <f>Table3[[#This Row],[Sales]]-Table3[[#This Row],[Cost]]</f>
        <v>19768.309999999998</v>
      </c>
      <c r="L582" s="6">
        <f>Table3[[#This Row],[Profit]]/Table3[[#This Row],[Sales]]</f>
        <v>0.43615276403728859</v>
      </c>
    </row>
    <row r="583" spans="1:12" x14ac:dyDescent="0.25">
      <c r="A583" t="s">
        <v>599</v>
      </c>
      <c r="B583" s="2">
        <v>45005</v>
      </c>
      <c r="C583" s="2" t="str">
        <f>TEXT(Table3[[#This Row],[Order Date]],"mmmm")</f>
        <v>March</v>
      </c>
      <c r="D583" t="s">
        <v>3730</v>
      </c>
      <c r="E583" t="s">
        <v>3223</v>
      </c>
      <c r="F583" t="s">
        <v>3226</v>
      </c>
      <c r="G583" s="4">
        <v>48803.61</v>
      </c>
      <c r="H583" s="4">
        <v>30356.44</v>
      </c>
      <c r="I583" s="3" t="s">
        <v>3734</v>
      </c>
      <c r="J583">
        <v>5</v>
      </c>
      <c r="K583" s="4">
        <f>Table3[[#This Row],[Sales]]-Table3[[#This Row],[Cost]]</f>
        <v>18447.170000000002</v>
      </c>
      <c r="L583" s="6">
        <f>Table3[[#This Row],[Profit]]/Table3[[#This Row],[Sales]]</f>
        <v>0.37798781688485755</v>
      </c>
    </row>
    <row r="584" spans="1:12" x14ac:dyDescent="0.25">
      <c r="A584" t="s">
        <v>600</v>
      </c>
      <c r="B584" s="2">
        <v>44972</v>
      </c>
      <c r="C584" s="2" t="str">
        <f>TEXT(Table3[[#This Row],[Order Date]],"mmmm")</f>
        <v>February</v>
      </c>
      <c r="D584" t="s">
        <v>3220</v>
      </c>
      <c r="E584" t="s">
        <v>3225</v>
      </c>
      <c r="F584" t="s">
        <v>3226</v>
      </c>
      <c r="G584" s="4">
        <v>105072.11</v>
      </c>
      <c r="H584" s="4">
        <v>65777.990000000005</v>
      </c>
      <c r="I584" s="3" t="s">
        <v>3734</v>
      </c>
      <c r="J584">
        <v>5</v>
      </c>
      <c r="K584" s="4">
        <f>Table3[[#This Row],[Sales]]-Table3[[#This Row],[Cost]]</f>
        <v>39294.119999999995</v>
      </c>
      <c r="L584" s="6">
        <f>Table3[[#This Row],[Profit]]/Table3[[#This Row],[Sales]]</f>
        <v>0.37397288395559958</v>
      </c>
    </row>
    <row r="585" spans="1:12" x14ac:dyDescent="0.25">
      <c r="A585" t="s">
        <v>601</v>
      </c>
      <c r="B585" s="2" t="s">
        <v>3729</v>
      </c>
      <c r="C585" s="2" t="str">
        <f>TEXT(Table3[[#This Row],[Order Date]],"mmmm")</f>
        <v>Not Mentioned</v>
      </c>
      <c r="D585" t="s">
        <v>3220</v>
      </c>
      <c r="E585" t="s">
        <v>3225</v>
      </c>
      <c r="F585" t="s">
        <v>3226</v>
      </c>
      <c r="G585" s="4">
        <v>41379.769999999997</v>
      </c>
      <c r="H585" s="4">
        <v>27246.57</v>
      </c>
      <c r="I585" s="3" t="s">
        <v>3734</v>
      </c>
      <c r="J585">
        <v>2</v>
      </c>
      <c r="K585" s="4">
        <f>Table3[[#This Row],[Sales]]-Table3[[#This Row],[Cost]]</f>
        <v>14133.199999999997</v>
      </c>
      <c r="L585" s="6">
        <f>Table3[[#This Row],[Profit]]/Table3[[#This Row],[Sales]]</f>
        <v>0.34154853929830925</v>
      </c>
    </row>
    <row r="586" spans="1:12" x14ac:dyDescent="0.25">
      <c r="A586" t="s">
        <v>3335</v>
      </c>
      <c r="B586" s="2">
        <v>45005</v>
      </c>
      <c r="C586" s="2" t="str">
        <f>TEXT(Table3[[#This Row],[Order Date]],"mmmm")</f>
        <v>March</v>
      </c>
      <c r="D586" t="s">
        <v>3220</v>
      </c>
      <c r="E586" t="s">
        <v>3225</v>
      </c>
      <c r="F586" t="s">
        <v>3226</v>
      </c>
      <c r="G586" s="4">
        <v>84209.42</v>
      </c>
      <c r="H586" s="4">
        <v>55201.17</v>
      </c>
      <c r="I586" s="3" t="s">
        <v>3734</v>
      </c>
      <c r="J586">
        <v>4</v>
      </c>
      <c r="K586" s="4">
        <f>Table3[[#This Row],[Sales]]-Table3[[#This Row],[Cost]]</f>
        <v>29008.25</v>
      </c>
      <c r="L586" s="6">
        <f>Table3[[#This Row],[Profit]]/Table3[[#This Row],[Sales]]</f>
        <v>0.34447749432308167</v>
      </c>
    </row>
    <row r="587" spans="1:12" x14ac:dyDescent="0.25">
      <c r="A587" t="s">
        <v>603</v>
      </c>
      <c r="B587" s="2">
        <v>44941</v>
      </c>
      <c r="C587" s="2" t="str">
        <f>TEXT(Table3[[#This Row],[Order Date]],"mmmm")</f>
        <v>January</v>
      </c>
      <c r="D587" t="s">
        <v>3731</v>
      </c>
      <c r="E587" t="s">
        <v>3222</v>
      </c>
      <c r="F587" t="s">
        <v>3226</v>
      </c>
      <c r="G587" s="4">
        <v>57751.97</v>
      </c>
      <c r="H587" s="4">
        <v>43265.85</v>
      </c>
      <c r="I587" s="3" t="s">
        <v>3734</v>
      </c>
      <c r="J587">
        <v>4</v>
      </c>
      <c r="K587" s="4">
        <f>Table3[[#This Row],[Sales]]-Table3[[#This Row],[Cost]]</f>
        <v>14486.120000000003</v>
      </c>
      <c r="L587" s="6">
        <f>Table3[[#This Row],[Profit]]/Table3[[#This Row],[Sales]]</f>
        <v>0.25083334819574127</v>
      </c>
    </row>
    <row r="588" spans="1:12" x14ac:dyDescent="0.25">
      <c r="A588" t="s">
        <v>604</v>
      </c>
      <c r="B588" s="2">
        <v>45021</v>
      </c>
      <c r="C588" s="2" t="str">
        <f>TEXT(Table3[[#This Row],[Order Date]],"mmmm")</f>
        <v>April</v>
      </c>
      <c r="D588" t="s">
        <v>3730</v>
      </c>
      <c r="E588" t="s">
        <v>3222</v>
      </c>
      <c r="F588" t="s">
        <v>3226</v>
      </c>
      <c r="G588" s="4">
        <v>35590.04</v>
      </c>
      <c r="H588" s="4">
        <v>17873.919999999998</v>
      </c>
      <c r="I588" s="3" t="s">
        <v>3734</v>
      </c>
      <c r="J588">
        <v>2</v>
      </c>
      <c r="K588" s="4">
        <f>Table3[[#This Row],[Sales]]-Table3[[#This Row],[Cost]]</f>
        <v>17716.120000000003</v>
      </c>
      <c r="L588" s="6">
        <f>Table3[[#This Row],[Profit]]/Table3[[#This Row],[Sales]]</f>
        <v>0.49778308762788698</v>
      </c>
    </row>
    <row r="589" spans="1:12" x14ac:dyDescent="0.25">
      <c r="A589" t="s">
        <v>605</v>
      </c>
      <c r="B589" s="2">
        <v>44972</v>
      </c>
      <c r="C589" s="2" t="str">
        <f>TEXT(Table3[[#This Row],[Order Date]],"mmmm")</f>
        <v>February</v>
      </c>
      <c r="D589" t="s">
        <v>3220</v>
      </c>
      <c r="E589" t="s">
        <v>3225</v>
      </c>
      <c r="F589" t="s">
        <v>3226</v>
      </c>
      <c r="G589" s="4">
        <v>66516.05</v>
      </c>
      <c r="H589" s="4">
        <v>52232.81</v>
      </c>
      <c r="I589" s="3" t="s">
        <v>3734</v>
      </c>
      <c r="J589">
        <v>4</v>
      </c>
      <c r="K589" s="4">
        <f>Table3[[#This Row],[Sales]]-Table3[[#This Row],[Cost]]</f>
        <v>14283.240000000005</v>
      </c>
      <c r="L589" s="6">
        <f>Table3[[#This Row],[Profit]]/Table3[[#This Row],[Sales]]</f>
        <v>0.21473373719575958</v>
      </c>
    </row>
    <row r="590" spans="1:12" x14ac:dyDescent="0.25">
      <c r="A590" t="s">
        <v>606</v>
      </c>
      <c r="B590" s="2">
        <v>44972</v>
      </c>
      <c r="C590" s="2" t="str">
        <f>TEXT(Table3[[#This Row],[Order Date]],"mmmm")</f>
        <v>February</v>
      </c>
      <c r="D590" t="s">
        <v>3730</v>
      </c>
      <c r="E590" t="s">
        <v>3224</v>
      </c>
      <c r="F590" t="s">
        <v>3226</v>
      </c>
      <c r="G590" s="4">
        <v>189739.08</v>
      </c>
      <c r="H590" s="4">
        <v>116152.64</v>
      </c>
      <c r="I590" s="3" t="s">
        <v>3734</v>
      </c>
      <c r="J590">
        <v>3</v>
      </c>
      <c r="K590" s="4">
        <f>Table3[[#This Row],[Sales]]-Table3[[#This Row],[Cost]]</f>
        <v>73586.439999999988</v>
      </c>
      <c r="L590" s="6">
        <f>Table3[[#This Row],[Profit]]/Table3[[#This Row],[Sales]]</f>
        <v>0.38782964479431437</v>
      </c>
    </row>
    <row r="591" spans="1:12" x14ac:dyDescent="0.25">
      <c r="A591" t="s">
        <v>607</v>
      </c>
      <c r="B591" s="2">
        <v>44972</v>
      </c>
      <c r="C591" s="2" t="str">
        <f>TEXT(Table3[[#This Row],[Order Date]],"mmmm")</f>
        <v>February</v>
      </c>
      <c r="D591" t="s">
        <v>3730</v>
      </c>
      <c r="E591" t="s">
        <v>3225</v>
      </c>
      <c r="F591" t="s">
        <v>3226</v>
      </c>
      <c r="G591" s="4">
        <v>57790.51</v>
      </c>
      <c r="H591" s="4">
        <v>45992.74</v>
      </c>
      <c r="I591" s="3" t="s">
        <v>3734</v>
      </c>
      <c r="J591" t="s">
        <v>3732</v>
      </c>
      <c r="K591" s="4">
        <f>Table3[[#This Row],[Sales]]-Table3[[#This Row],[Cost]]</f>
        <v>11797.770000000004</v>
      </c>
      <c r="L591" s="6">
        <f>Table3[[#This Row],[Profit]]/Table3[[#This Row],[Sales]]</f>
        <v>0.20414718610373925</v>
      </c>
    </row>
    <row r="592" spans="1:12" x14ac:dyDescent="0.25">
      <c r="A592" t="s">
        <v>3336</v>
      </c>
      <c r="B592" s="2">
        <v>45005</v>
      </c>
      <c r="C592" s="2" t="str">
        <f>TEXT(Table3[[#This Row],[Order Date]],"mmmm")</f>
        <v>March</v>
      </c>
      <c r="D592" t="s">
        <v>3730</v>
      </c>
      <c r="E592" t="s">
        <v>3224</v>
      </c>
      <c r="F592" t="s">
        <v>3226</v>
      </c>
      <c r="G592" s="4">
        <v>337312.22</v>
      </c>
      <c r="H592" s="4">
        <v>213770.06</v>
      </c>
      <c r="I592" s="3" t="s">
        <v>3734</v>
      </c>
      <c r="J592">
        <v>5</v>
      </c>
      <c r="K592" s="4">
        <f>Table3[[#This Row],[Sales]]-Table3[[#This Row],[Cost]]</f>
        <v>123542.15999999997</v>
      </c>
      <c r="L592" s="6">
        <f>Table3[[#This Row],[Profit]]/Table3[[#This Row],[Sales]]</f>
        <v>0.3662546230907377</v>
      </c>
    </row>
    <row r="593" spans="1:12" x14ac:dyDescent="0.25">
      <c r="A593" t="s">
        <v>609</v>
      </c>
      <c r="B593" s="2">
        <v>45102</v>
      </c>
      <c r="C593" s="2" t="str">
        <f>TEXT(Table3[[#This Row],[Order Date]],"mmmm")</f>
        <v>June</v>
      </c>
      <c r="D593" t="s">
        <v>3731</v>
      </c>
      <c r="E593" t="s">
        <v>3223</v>
      </c>
      <c r="F593" t="s">
        <v>3226</v>
      </c>
      <c r="G593" s="4">
        <v>33906.42</v>
      </c>
      <c r="H593" s="4">
        <v>22004.38</v>
      </c>
      <c r="I593" s="3" t="s">
        <v>3734</v>
      </c>
      <c r="J593">
        <v>3</v>
      </c>
      <c r="K593" s="4">
        <f>Table3[[#This Row],[Sales]]-Table3[[#This Row],[Cost]]</f>
        <v>11902.039999999997</v>
      </c>
      <c r="L593" s="6">
        <f>Table3[[#This Row],[Profit]]/Table3[[#This Row],[Sales]]</f>
        <v>0.35102614785046599</v>
      </c>
    </row>
    <row r="594" spans="1:12" x14ac:dyDescent="0.25">
      <c r="A594" t="s">
        <v>3337</v>
      </c>
      <c r="B594" s="2">
        <v>44941</v>
      </c>
      <c r="C594" s="2" t="str">
        <f>TEXT(Table3[[#This Row],[Order Date]],"mmmm")</f>
        <v>January</v>
      </c>
      <c r="D594" t="s">
        <v>3730</v>
      </c>
      <c r="E594" t="s">
        <v>3222</v>
      </c>
      <c r="F594" t="s">
        <v>3226</v>
      </c>
      <c r="G594" s="4">
        <v>14262.05</v>
      </c>
      <c r="H594" s="4">
        <v>10912.32</v>
      </c>
      <c r="I594" s="3" t="s">
        <v>3734</v>
      </c>
      <c r="J594">
        <v>1</v>
      </c>
      <c r="K594" s="4">
        <f>Table3[[#This Row],[Sales]]-Table3[[#This Row],[Cost]]</f>
        <v>3349.7299999999996</v>
      </c>
      <c r="L594" s="6">
        <f>Table3[[#This Row],[Profit]]/Table3[[#This Row],[Sales]]</f>
        <v>0.23487016242405542</v>
      </c>
    </row>
    <row r="595" spans="1:12" x14ac:dyDescent="0.25">
      <c r="A595" t="s">
        <v>611</v>
      </c>
      <c r="B595" s="2">
        <v>45102</v>
      </c>
      <c r="C595" s="2" t="str">
        <f>TEXT(Table3[[#This Row],[Order Date]],"mmmm")</f>
        <v>June</v>
      </c>
      <c r="D595" t="s">
        <v>3220</v>
      </c>
      <c r="E595" t="s">
        <v>3223</v>
      </c>
      <c r="F595" t="s">
        <v>3226</v>
      </c>
      <c r="G595" s="4">
        <v>8057.49</v>
      </c>
      <c r="H595" s="4">
        <v>6036.65</v>
      </c>
      <c r="I595" s="3" t="s">
        <v>3734</v>
      </c>
      <c r="J595">
        <v>1</v>
      </c>
      <c r="K595" s="4">
        <f>Table3[[#This Row],[Sales]]-Table3[[#This Row],[Cost]]</f>
        <v>2020.8400000000001</v>
      </c>
      <c r="L595" s="6">
        <f>Table3[[#This Row],[Profit]]/Table3[[#This Row],[Sales]]</f>
        <v>0.2508026693176163</v>
      </c>
    </row>
    <row r="596" spans="1:12" x14ac:dyDescent="0.25">
      <c r="A596" t="s">
        <v>612</v>
      </c>
      <c r="B596" s="2">
        <v>45005</v>
      </c>
      <c r="C596" s="2" t="str">
        <f>TEXT(Table3[[#This Row],[Order Date]],"mmmm")</f>
        <v>March</v>
      </c>
      <c r="D596" t="s">
        <v>3216</v>
      </c>
      <c r="E596" t="s">
        <v>3223</v>
      </c>
      <c r="F596" t="s">
        <v>3226</v>
      </c>
      <c r="G596" s="4">
        <v>17004.66</v>
      </c>
      <c r="H596" s="4">
        <v>14579.4</v>
      </c>
      <c r="I596" s="3" t="s">
        <v>3734</v>
      </c>
      <c r="J596">
        <v>2</v>
      </c>
      <c r="K596" s="4">
        <f>Table3[[#This Row],[Sales]]-Table3[[#This Row],[Cost]]</f>
        <v>2425.2600000000002</v>
      </c>
      <c r="L596" s="6">
        <f>Table3[[#This Row],[Profit]]/Table3[[#This Row],[Sales]]</f>
        <v>0.14262325738944504</v>
      </c>
    </row>
    <row r="597" spans="1:12" x14ac:dyDescent="0.25">
      <c r="A597" t="s">
        <v>613</v>
      </c>
      <c r="B597" s="2">
        <v>45005</v>
      </c>
      <c r="C597" s="2" t="str">
        <f>TEXT(Table3[[#This Row],[Order Date]],"mmmm")</f>
        <v>March</v>
      </c>
      <c r="D597" t="s">
        <v>3216</v>
      </c>
      <c r="E597" t="s">
        <v>3223</v>
      </c>
      <c r="F597" t="s">
        <v>3226</v>
      </c>
      <c r="G597" s="4">
        <v>8335.16</v>
      </c>
      <c r="H597" s="4">
        <v>7075.36</v>
      </c>
      <c r="I597" s="3" t="s">
        <v>3734</v>
      </c>
      <c r="J597">
        <v>1</v>
      </c>
      <c r="K597" s="4">
        <f>Table3[[#This Row],[Sales]]-Table3[[#This Row],[Cost]]</f>
        <v>1259.8000000000002</v>
      </c>
      <c r="L597" s="6">
        <f>Table3[[#This Row],[Profit]]/Table3[[#This Row],[Sales]]</f>
        <v>0.15114286948300934</v>
      </c>
    </row>
    <row r="598" spans="1:12" x14ac:dyDescent="0.25">
      <c r="A598" t="s">
        <v>614</v>
      </c>
      <c r="B598" s="2">
        <v>45021</v>
      </c>
      <c r="C598" s="2" t="str">
        <f>TEXT(Table3[[#This Row],[Order Date]],"mmmm")</f>
        <v>April</v>
      </c>
      <c r="D598" t="s">
        <v>3216</v>
      </c>
      <c r="E598" t="s">
        <v>3224</v>
      </c>
      <c r="F598" t="s">
        <v>3226</v>
      </c>
      <c r="G598" s="4">
        <v>240179.47</v>
      </c>
      <c r="H598" s="4">
        <v>173473.06</v>
      </c>
      <c r="I598" s="3" t="s">
        <v>3734</v>
      </c>
      <c r="J598">
        <v>4</v>
      </c>
      <c r="K598" s="4">
        <f>Table3[[#This Row],[Sales]]-Table3[[#This Row],[Cost]]</f>
        <v>66706.41</v>
      </c>
      <c r="L598" s="6">
        <f>Table3[[#This Row],[Profit]]/Table3[[#This Row],[Sales]]</f>
        <v>0.27773568656804848</v>
      </c>
    </row>
    <row r="599" spans="1:12" x14ac:dyDescent="0.25">
      <c r="A599" t="s">
        <v>3338</v>
      </c>
      <c r="B599" s="2">
        <v>44972</v>
      </c>
      <c r="C599" s="2" t="str">
        <f>TEXT(Table3[[#This Row],[Order Date]],"mmmm")</f>
        <v>February</v>
      </c>
      <c r="D599" t="s">
        <v>3730</v>
      </c>
      <c r="E599" t="s">
        <v>3224</v>
      </c>
      <c r="F599" t="s">
        <v>3226</v>
      </c>
      <c r="G599" s="4">
        <v>240075.3</v>
      </c>
      <c r="H599" s="4">
        <v>245424.04</v>
      </c>
      <c r="I599" s="3" t="s">
        <v>3734</v>
      </c>
      <c r="J599">
        <v>5</v>
      </c>
      <c r="K599" s="4">
        <f>Table3[[#This Row],[Sales]]-Table3[[#This Row],[Cost]]</f>
        <v>-5348.7400000000198</v>
      </c>
      <c r="L599" s="6">
        <f>Table3[[#This Row],[Profit]]/Table3[[#This Row],[Sales]]</f>
        <v>-2.227942649660344E-2</v>
      </c>
    </row>
    <row r="600" spans="1:12" x14ac:dyDescent="0.25">
      <c r="A600" t="s">
        <v>616</v>
      </c>
      <c r="B600" s="2">
        <v>44941</v>
      </c>
      <c r="C600" s="2" t="str">
        <f>TEXT(Table3[[#This Row],[Order Date]],"mmmm")</f>
        <v>January</v>
      </c>
      <c r="D600" t="s">
        <v>3730</v>
      </c>
      <c r="E600" t="s">
        <v>3223</v>
      </c>
      <c r="F600" t="s">
        <v>3226</v>
      </c>
      <c r="G600" s="4">
        <v>34834.42</v>
      </c>
      <c r="H600" s="4">
        <v>27867.536</v>
      </c>
      <c r="I600" s="3" t="s">
        <v>3735</v>
      </c>
      <c r="J600">
        <v>3</v>
      </c>
      <c r="K600" s="4">
        <f>Table3[[#This Row],[Sales]]-Table3[[#This Row],[Cost]]</f>
        <v>6966.8839999999982</v>
      </c>
      <c r="L600" s="6">
        <f>Table3[[#This Row],[Profit]]/Table3[[#This Row],[Sales]]</f>
        <v>0.19999999999999996</v>
      </c>
    </row>
    <row r="601" spans="1:12" x14ac:dyDescent="0.25">
      <c r="A601" t="s">
        <v>3339</v>
      </c>
      <c r="B601" s="2">
        <v>44941</v>
      </c>
      <c r="C601" s="2" t="str">
        <f>TEXT(Table3[[#This Row],[Order Date]],"mmmm")</f>
        <v>January</v>
      </c>
      <c r="D601" t="s">
        <v>3220</v>
      </c>
      <c r="E601" t="s">
        <v>3222</v>
      </c>
      <c r="F601" t="s">
        <v>3226</v>
      </c>
      <c r="G601" s="4">
        <v>62245.81</v>
      </c>
      <c r="H601" s="4">
        <v>35271.1</v>
      </c>
      <c r="I601" s="3" t="s">
        <v>3734</v>
      </c>
      <c r="J601">
        <v>4</v>
      </c>
      <c r="K601" s="4">
        <f>Table3[[#This Row],[Sales]]-Table3[[#This Row],[Cost]]</f>
        <v>26974.71</v>
      </c>
      <c r="L601" s="6">
        <f>Table3[[#This Row],[Profit]]/Table3[[#This Row],[Sales]]</f>
        <v>0.43335784368457891</v>
      </c>
    </row>
    <row r="602" spans="1:12" x14ac:dyDescent="0.25">
      <c r="A602" t="s">
        <v>618</v>
      </c>
      <c r="B602" s="2" t="s">
        <v>3729</v>
      </c>
      <c r="C602" s="2" t="str">
        <f>TEXT(Table3[[#This Row],[Order Date]],"mmmm")</f>
        <v>Not Mentioned</v>
      </c>
      <c r="D602" t="s">
        <v>3220</v>
      </c>
      <c r="E602" t="s">
        <v>3222</v>
      </c>
      <c r="F602" t="s">
        <v>3226</v>
      </c>
      <c r="G602" s="4">
        <v>14152.36</v>
      </c>
      <c r="H602" s="4">
        <v>9823.17</v>
      </c>
      <c r="I602" s="3" t="s">
        <v>3734</v>
      </c>
      <c r="J602">
        <v>1</v>
      </c>
      <c r="K602" s="4">
        <f>Table3[[#This Row],[Sales]]-Table3[[#This Row],[Cost]]</f>
        <v>4329.1900000000005</v>
      </c>
      <c r="L602" s="6">
        <f>Table3[[#This Row],[Profit]]/Table3[[#This Row],[Sales]]</f>
        <v>0.30589880415704523</v>
      </c>
    </row>
    <row r="603" spans="1:12" x14ac:dyDescent="0.25">
      <c r="A603" t="s">
        <v>619</v>
      </c>
      <c r="B603" s="2">
        <v>45021</v>
      </c>
      <c r="C603" s="2" t="str">
        <f>TEXT(Table3[[#This Row],[Order Date]],"mmmm")</f>
        <v>April</v>
      </c>
      <c r="D603" t="s">
        <v>3220</v>
      </c>
      <c r="E603" t="s">
        <v>3222</v>
      </c>
      <c r="F603" t="s">
        <v>3226</v>
      </c>
      <c r="G603" s="4">
        <v>31054.83</v>
      </c>
      <c r="H603" s="4">
        <v>21672.7</v>
      </c>
      <c r="I603" s="3" t="s">
        <v>3734</v>
      </c>
      <c r="J603">
        <v>2</v>
      </c>
      <c r="K603" s="4">
        <f>Table3[[#This Row],[Sales]]-Table3[[#This Row],[Cost]]</f>
        <v>9382.130000000001</v>
      </c>
      <c r="L603" s="6">
        <f>Table3[[#This Row],[Profit]]/Table3[[#This Row],[Sales]]</f>
        <v>0.30211500111254835</v>
      </c>
    </row>
    <row r="604" spans="1:12" x14ac:dyDescent="0.25">
      <c r="A604" t="s">
        <v>620</v>
      </c>
      <c r="B604" s="2">
        <v>45005</v>
      </c>
      <c r="C604" s="2" t="str">
        <f>TEXT(Table3[[#This Row],[Order Date]],"mmmm")</f>
        <v>March</v>
      </c>
      <c r="D604" t="s">
        <v>3730</v>
      </c>
      <c r="E604" t="s">
        <v>3223</v>
      </c>
      <c r="F604" t="s">
        <v>3226</v>
      </c>
      <c r="G604" s="4">
        <v>17910.759999999998</v>
      </c>
      <c r="H604" s="4">
        <v>15222.48</v>
      </c>
      <c r="I604" s="3" t="s">
        <v>3734</v>
      </c>
      <c r="J604">
        <v>2</v>
      </c>
      <c r="K604" s="4">
        <f>Table3[[#This Row],[Sales]]-Table3[[#This Row],[Cost]]</f>
        <v>2688.2799999999988</v>
      </c>
      <c r="L604" s="6">
        <f>Table3[[#This Row],[Profit]]/Table3[[#This Row],[Sales]]</f>
        <v>0.15009301671174194</v>
      </c>
    </row>
    <row r="605" spans="1:12" x14ac:dyDescent="0.25">
      <c r="A605" t="s">
        <v>621</v>
      </c>
      <c r="B605" s="2">
        <v>44941</v>
      </c>
      <c r="C605" s="2" t="str">
        <f>TEXT(Table3[[#This Row],[Order Date]],"mmmm")</f>
        <v>January</v>
      </c>
      <c r="D605" t="s">
        <v>3730</v>
      </c>
      <c r="E605" t="s">
        <v>3223</v>
      </c>
      <c r="F605" t="s">
        <v>3226</v>
      </c>
      <c r="G605" s="4">
        <v>36775.89</v>
      </c>
      <c r="H605" s="4">
        <v>28506.53</v>
      </c>
      <c r="I605" s="3" t="s">
        <v>3734</v>
      </c>
      <c r="J605">
        <v>4</v>
      </c>
      <c r="K605" s="4">
        <f>Table3[[#This Row],[Sales]]-Table3[[#This Row],[Cost]]</f>
        <v>8269.36</v>
      </c>
      <c r="L605" s="6">
        <f>Table3[[#This Row],[Profit]]/Table3[[#This Row],[Sales]]</f>
        <v>0.22485818834024141</v>
      </c>
    </row>
    <row r="606" spans="1:12" x14ac:dyDescent="0.25">
      <c r="A606" t="s">
        <v>622</v>
      </c>
      <c r="B606" s="2">
        <v>45102</v>
      </c>
      <c r="C606" s="2" t="str">
        <f>TEXT(Table3[[#This Row],[Order Date]],"mmmm")</f>
        <v>June</v>
      </c>
      <c r="D606" t="s">
        <v>3730</v>
      </c>
      <c r="E606" t="s">
        <v>3224</v>
      </c>
      <c r="F606" t="s">
        <v>3226</v>
      </c>
      <c r="G606" s="4">
        <v>255747.17</v>
      </c>
      <c r="H606" s="4">
        <v>163690.20000000001</v>
      </c>
      <c r="I606" s="3" t="s">
        <v>3734</v>
      </c>
      <c r="J606">
        <v>4</v>
      </c>
      <c r="K606" s="4">
        <f>Table3[[#This Row],[Sales]]-Table3[[#This Row],[Cost]]</f>
        <v>92056.97</v>
      </c>
      <c r="L606" s="6">
        <f>Table3[[#This Row],[Profit]]/Table3[[#This Row],[Sales]]</f>
        <v>0.35995303486642688</v>
      </c>
    </row>
    <row r="607" spans="1:12" x14ac:dyDescent="0.25">
      <c r="A607" t="s">
        <v>623</v>
      </c>
      <c r="B607" s="2" t="s">
        <v>3729</v>
      </c>
      <c r="C607" s="2" t="str">
        <f>TEXT(Table3[[#This Row],[Order Date]],"mmmm")</f>
        <v>Not Mentioned</v>
      </c>
      <c r="D607" t="s">
        <v>3216</v>
      </c>
      <c r="E607" t="s">
        <v>3224</v>
      </c>
      <c r="F607" t="s">
        <v>3226</v>
      </c>
      <c r="G607" s="4">
        <v>137971.10999999999</v>
      </c>
      <c r="H607" s="4">
        <v>84431.91</v>
      </c>
      <c r="I607" s="3" t="s">
        <v>3734</v>
      </c>
      <c r="J607">
        <v>2</v>
      </c>
      <c r="K607" s="4">
        <f>Table3[[#This Row],[Sales]]-Table3[[#This Row],[Cost]]</f>
        <v>53539.199999999983</v>
      </c>
      <c r="L607" s="6">
        <f>Table3[[#This Row],[Profit]]/Table3[[#This Row],[Sales]]</f>
        <v>0.38804645407288518</v>
      </c>
    </row>
    <row r="608" spans="1:12" x14ac:dyDescent="0.25">
      <c r="A608" t="s">
        <v>3340</v>
      </c>
      <c r="B608" s="2">
        <v>44972</v>
      </c>
      <c r="C608" s="2" t="str">
        <f>TEXT(Table3[[#This Row],[Order Date]],"mmmm")</f>
        <v>February</v>
      </c>
      <c r="D608" t="s">
        <v>3220</v>
      </c>
      <c r="E608" t="s">
        <v>3223</v>
      </c>
      <c r="F608" t="s">
        <v>3226</v>
      </c>
      <c r="G608" s="4">
        <v>17567.84</v>
      </c>
      <c r="H608" s="4">
        <v>15203.18</v>
      </c>
      <c r="I608" s="3" t="s">
        <v>3734</v>
      </c>
      <c r="J608">
        <v>2</v>
      </c>
      <c r="K608" s="4">
        <f>Table3[[#This Row],[Sales]]-Table3[[#This Row],[Cost]]</f>
        <v>2364.66</v>
      </c>
      <c r="L608" s="6">
        <f>Table3[[#This Row],[Profit]]/Table3[[#This Row],[Sales]]</f>
        <v>0.13460163571617226</v>
      </c>
    </row>
    <row r="609" spans="1:12" x14ac:dyDescent="0.25">
      <c r="A609" t="s">
        <v>625</v>
      </c>
      <c r="B609" s="2">
        <v>45005</v>
      </c>
      <c r="C609" s="2" t="str">
        <f>TEXT(Table3[[#This Row],[Order Date]],"mmmm")</f>
        <v>March</v>
      </c>
      <c r="D609" t="s">
        <v>3220</v>
      </c>
      <c r="E609" t="s">
        <v>3223</v>
      </c>
      <c r="F609" t="s">
        <v>3226</v>
      </c>
      <c r="G609" s="4">
        <v>35869.5</v>
      </c>
      <c r="H609" s="4">
        <v>19241.5</v>
      </c>
      <c r="I609" s="3" t="s">
        <v>3734</v>
      </c>
      <c r="J609">
        <v>3</v>
      </c>
      <c r="K609" s="4">
        <f>Table3[[#This Row],[Sales]]-Table3[[#This Row],[Cost]]</f>
        <v>16628</v>
      </c>
      <c r="L609" s="6">
        <f>Table3[[#This Row],[Profit]]/Table3[[#This Row],[Sales]]</f>
        <v>0.46356932770180792</v>
      </c>
    </row>
    <row r="610" spans="1:12" x14ac:dyDescent="0.25">
      <c r="A610" t="s">
        <v>626</v>
      </c>
      <c r="B610" s="2">
        <v>44972</v>
      </c>
      <c r="C610" s="2" t="str">
        <f>TEXT(Table3[[#This Row],[Order Date]],"mmmm")</f>
        <v>February</v>
      </c>
      <c r="D610" t="s">
        <v>3216</v>
      </c>
      <c r="E610" t="s">
        <v>3223</v>
      </c>
      <c r="F610" t="s">
        <v>3226</v>
      </c>
      <c r="G610" s="4">
        <v>43640.58</v>
      </c>
      <c r="H610" s="4">
        <v>24606.09</v>
      </c>
      <c r="I610" s="3" t="s">
        <v>3734</v>
      </c>
      <c r="J610">
        <v>4</v>
      </c>
      <c r="K610" s="4">
        <f>Table3[[#This Row],[Sales]]-Table3[[#This Row],[Cost]]</f>
        <v>19034.490000000002</v>
      </c>
      <c r="L610" s="6">
        <f>Table3[[#This Row],[Profit]]/Table3[[#This Row],[Sales]]</f>
        <v>0.43616491806479202</v>
      </c>
    </row>
    <row r="611" spans="1:12" x14ac:dyDescent="0.25">
      <c r="A611" t="s">
        <v>627</v>
      </c>
      <c r="B611" s="2">
        <v>44972</v>
      </c>
      <c r="C611" s="2" t="str">
        <f>TEXT(Table3[[#This Row],[Order Date]],"mmmm")</f>
        <v>February</v>
      </c>
      <c r="D611" t="s">
        <v>3731</v>
      </c>
      <c r="E611" t="s">
        <v>3225</v>
      </c>
      <c r="F611" t="s">
        <v>3226</v>
      </c>
      <c r="G611" s="4">
        <v>67274.63</v>
      </c>
      <c r="H611" s="4">
        <v>53346.98</v>
      </c>
      <c r="I611" s="3" t="s">
        <v>3734</v>
      </c>
      <c r="J611">
        <v>4</v>
      </c>
      <c r="K611" s="4">
        <f>Table3[[#This Row],[Sales]]-Table3[[#This Row],[Cost]]</f>
        <v>13927.650000000001</v>
      </c>
      <c r="L611" s="6">
        <f>Table3[[#This Row],[Profit]]/Table3[[#This Row],[Sales]]</f>
        <v>0.2070267796344625</v>
      </c>
    </row>
    <row r="612" spans="1:12" x14ac:dyDescent="0.25">
      <c r="A612" t="s">
        <v>628</v>
      </c>
      <c r="B612" s="2">
        <v>44972</v>
      </c>
      <c r="C612" s="2" t="str">
        <f>TEXT(Table3[[#This Row],[Order Date]],"mmmm")</f>
        <v>February</v>
      </c>
      <c r="D612" t="s">
        <v>3730</v>
      </c>
      <c r="E612" t="s">
        <v>3224</v>
      </c>
      <c r="F612" t="s">
        <v>3226</v>
      </c>
      <c r="G612" s="4">
        <v>257277.28</v>
      </c>
      <c r="H612" s="4">
        <v>162129.29</v>
      </c>
      <c r="I612" s="3" t="s">
        <v>3734</v>
      </c>
      <c r="J612">
        <v>4</v>
      </c>
      <c r="K612" s="4">
        <f>Table3[[#This Row],[Sales]]-Table3[[#This Row],[Cost]]</f>
        <v>95147.989999999991</v>
      </c>
      <c r="L612" s="6">
        <f>Table3[[#This Row],[Profit]]/Table3[[#This Row],[Sales]]</f>
        <v>0.3698266321845442</v>
      </c>
    </row>
    <row r="613" spans="1:12" x14ac:dyDescent="0.25">
      <c r="A613" t="s">
        <v>629</v>
      </c>
      <c r="B613" s="2">
        <v>44941</v>
      </c>
      <c r="C613" s="2" t="str">
        <f>TEXT(Table3[[#This Row],[Order Date]],"mmmm")</f>
        <v>January</v>
      </c>
      <c r="D613" t="s">
        <v>3731</v>
      </c>
      <c r="E613" t="s">
        <v>3224</v>
      </c>
      <c r="F613" t="s">
        <v>3226</v>
      </c>
      <c r="G613" s="4">
        <v>197920.76</v>
      </c>
      <c r="H613" s="4">
        <v>173252.89</v>
      </c>
      <c r="I613" s="3" t="s">
        <v>3734</v>
      </c>
      <c r="J613">
        <v>4</v>
      </c>
      <c r="K613" s="4">
        <f>Table3[[#This Row],[Sales]]-Table3[[#This Row],[Cost]]</f>
        <v>24667.869999999995</v>
      </c>
      <c r="L613" s="6">
        <f>Table3[[#This Row],[Profit]]/Table3[[#This Row],[Sales]]</f>
        <v>0.12463508123149888</v>
      </c>
    </row>
    <row r="614" spans="1:12" x14ac:dyDescent="0.25">
      <c r="A614" t="s">
        <v>630</v>
      </c>
      <c r="B614" s="2">
        <v>44941</v>
      </c>
      <c r="C614" s="2" t="str">
        <f>TEXT(Table3[[#This Row],[Order Date]],"mmmm")</f>
        <v>January</v>
      </c>
      <c r="D614" t="s">
        <v>3220</v>
      </c>
      <c r="E614" t="s">
        <v>3222</v>
      </c>
      <c r="F614" t="s">
        <v>3226</v>
      </c>
      <c r="G614" s="4">
        <v>34626.71</v>
      </c>
      <c r="H614" s="4">
        <v>17050.05</v>
      </c>
      <c r="I614" s="3" t="s">
        <v>3734</v>
      </c>
      <c r="J614">
        <v>2</v>
      </c>
      <c r="K614" s="4">
        <f>Table3[[#This Row],[Sales]]-Table3[[#This Row],[Cost]]</f>
        <v>17576.66</v>
      </c>
      <c r="L614" s="6">
        <f>Table3[[#This Row],[Profit]]/Table3[[#This Row],[Sales]]</f>
        <v>0.50760410099602304</v>
      </c>
    </row>
    <row r="615" spans="1:12" x14ac:dyDescent="0.25">
      <c r="A615" t="s">
        <v>3341</v>
      </c>
      <c r="B615" s="2">
        <v>44972</v>
      </c>
      <c r="C615" s="2" t="str">
        <f>TEXT(Table3[[#This Row],[Order Date]],"mmmm")</f>
        <v>February</v>
      </c>
      <c r="D615" t="s">
        <v>3731</v>
      </c>
      <c r="E615" t="s">
        <v>3223</v>
      </c>
      <c r="F615" t="s">
        <v>3226</v>
      </c>
      <c r="G615" s="4">
        <v>35857.03</v>
      </c>
      <c r="H615" s="4">
        <v>23909.87</v>
      </c>
      <c r="I615" s="3" t="s">
        <v>3734</v>
      </c>
      <c r="J615">
        <v>4</v>
      </c>
      <c r="K615" s="4">
        <f>Table3[[#This Row],[Sales]]-Table3[[#This Row],[Cost]]</f>
        <v>11947.16</v>
      </c>
      <c r="L615" s="6">
        <f>Table3[[#This Row],[Profit]]/Table3[[#This Row],[Sales]]</f>
        <v>0.33318877776547584</v>
      </c>
    </row>
    <row r="616" spans="1:12" x14ac:dyDescent="0.25">
      <c r="A616" t="s">
        <v>632</v>
      </c>
      <c r="B616" s="2">
        <v>45021</v>
      </c>
      <c r="C616" s="2" t="str">
        <f>TEXT(Table3[[#This Row],[Order Date]],"mmmm")</f>
        <v>April</v>
      </c>
      <c r="D616" t="s">
        <v>3730</v>
      </c>
      <c r="E616" t="s">
        <v>3225</v>
      </c>
      <c r="F616" t="s">
        <v>3226</v>
      </c>
      <c r="G616" s="4">
        <v>23365.03</v>
      </c>
      <c r="H616" s="4">
        <v>12227.72</v>
      </c>
      <c r="I616" s="3" t="s">
        <v>3734</v>
      </c>
      <c r="J616" t="s">
        <v>3732</v>
      </c>
      <c r="K616" s="4">
        <f>Table3[[#This Row],[Sales]]-Table3[[#This Row],[Cost]]</f>
        <v>11137.31</v>
      </c>
      <c r="L616" s="6">
        <f>Table3[[#This Row],[Profit]]/Table3[[#This Row],[Sales]]</f>
        <v>0.47666576931422727</v>
      </c>
    </row>
    <row r="617" spans="1:12" x14ac:dyDescent="0.25">
      <c r="A617" t="s">
        <v>633</v>
      </c>
      <c r="B617" s="2">
        <v>45005</v>
      </c>
      <c r="C617" s="2" t="str">
        <f>TEXT(Table3[[#This Row],[Order Date]],"mmmm")</f>
        <v>March</v>
      </c>
      <c r="D617" t="s">
        <v>3216</v>
      </c>
      <c r="E617" t="s">
        <v>3225</v>
      </c>
      <c r="F617" t="s">
        <v>3226</v>
      </c>
      <c r="G617" s="4">
        <v>79478.11</v>
      </c>
      <c r="H617" s="4">
        <v>52017.75</v>
      </c>
      <c r="I617" s="3" t="s">
        <v>3734</v>
      </c>
      <c r="J617">
        <v>4</v>
      </c>
      <c r="K617" s="4">
        <f>Table3[[#This Row],[Sales]]-Table3[[#This Row],[Cost]]</f>
        <v>27460.36</v>
      </c>
      <c r="L617" s="6">
        <f>Table3[[#This Row],[Profit]]/Table3[[#This Row],[Sales]]</f>
        <v>0.3455084676774523</v>
      </c>
    </row>
    <row r="618" spans="1:12" x14ac:dyDescent="0.25">
      <c r="A618" t="s">
        <v>634</v>
      </c>
      <c r="B618" s="2">
        <v>45021</v>
      </c>
      <c r="C618" s="2" t="str">
        <f>TEXT(Table3[[#This Row],[Order Date]],"mmmm")</f>
        <v>April</v>
      </c>
      <c r="D618" t="s">
        <v>3220</v>
      </c>
      <c r="E618" t="s">
        <v>3224</v>
      </c>
      <c r="F618" t="s">
        <v>3226</v>
      </c>
      <c r="G618" s="4">
        <v>67276.09</v>
      </c>
      <c r="H618" s="4">
        <v>39975.89</v>
      </c>
      <c r="I618" s="3" t="s">
        <v>3734</v>
      </c>
      <c r="J618">
        <v>1</v>
      </c>
      <c r="K618" s="4">
        <f>Table3[[#This Row],[Sales]]-Table3[[#This Row],[Cost]]</f>
        <v>27300.199999999997</v>
      </c>
      <c r="L618" s="6">
        <f>Table3[[#This Row],[Profit]]/Table3[[#This Row],[Sales]]</f>
        <v>0.40579349959250005</v>
      </c>
    </row>
    <row r="619" spans="1:12" x14ac:dyDescent="0.25">
      <c r="A619" t="s">
        <v>635</v>
      </c>
      <c r="B619" s="2">
        <v>45021</v>
      </c>
      <c r="C619" s="2" t="str">
        <f>TEXT(Table3[[#This Row],[Order Date]],"mmmm")</f>
        <v>April</v>
      </c>
      <c r="D619" t="s">
        <v>3730</v>
      </c>
      <c r="E619" t="s">
        <v>3222</v>
      </c>
      <c r="F619" t="s">
        <v>3226</v>
      </c>
      <c r="G619" s="4">
        <v>49133.4</v>
      </c>
      <c r="H619" s="4">
        <v>35764.400000000001</v>
      </c>
      <c r="I619" s="3" t="s">
        <v>3734</v>
      </c>
      <c r="J619">
        <v>4</v>
      </c>
      <c r="K619" s="4">
        <f>Table3[[#This Row],[Sales]]-Table3[[#This Row],[Cost]]</f>
        <v>13369</v>
      </c>
      <c r="L619" s="6">
        <f>Table3[[#This Row],[Profit]]/Table3[[#This Row],[Sales]]</f>
        <v>0.27209596730533608</v>
      </c>
    </row>
    <row r="620" spans="1:12" x14ac:dyDescent="0.25">
      <c r="A620" t="s">
        <v>636</v>
      </c>
      <c r="B620" s="2">
        <v>45102</v>
      </c>
      <c r="C620" s="2" t="str">
        <f>TEXT(Table3[[#This Row],[Order Date]],"mmmm")</f>
        <v>June</v>
      </c>
      <c r="D620" t="s">
        <v>3220</v>
      </c>
      <c r="E620" t="s">
        <v>3222</v>
      </c>
      <c r="F620" t="s">
        <v>3226</v>
      </c>
      <c r="G620" s="4">
        <v>52187.96</v>
      </c>
      <c r="H620" s="4">
        <v>37787.03</v>
      </c>
      <c r="I620" s="3" t="s">
        <v>3734</v>
      </c>
      <c r="J620">
        <v>4</v>
      </c>
      <c r="K620" s="4">
        <f>Table3[[#This Row],[Sales]]-Table3[[#This Row],[Cost]]</f>
        <v>14400.93</v>
      </c>
      <c r="L620" s="6">
        <f>Table3[[#This Row],[Profit]]/Table3[[#This Row],[Sales]]</f>
        <v>0.27594353180312087</v>
      </c>
    </row>
    <row r="621" spans="1:12" x14ac:dyDescent="0.25">
      <c r="A621" t="s">
        <v>637</v>
      </c>
      <c r="B621" s="2">
        <v>45021</v>
      </c>
      <c r="C621" s="2" t="str">
        <f>TEXT(Table3[[#This Row],[Order Date]],"mmmm")</f>
        <v>April</v>
      </c>
      <c r="D621" t="s">
        <v>3220</v>
      </c>
      <c r="E621" t="s">
        <v>3225</v>
      </c>
      <c r="F621" t="s">
        <v>3226</v>
      </c>
      <c r="G621" s="4">
        <v>43667.38</v>
      </c>
      <c r="H621" s="4">
        <v>27302.03</v>
      </c>
      <c r="I621" s="3" t="s">
        <v>3734</v>
      </c>
      <c r="J621">
        <v>2</v>
      </c>
      <c r="K621" s="4">
        <f>Table3[[#This Row],[Sales]]-Table3[[#This Row],[Cost]]</f>
        <v>16365.349999999999</v>
      </c>
      <c r="L621" s="6">
        <f>Table3[[#This Row],[Profit]]/Table3[[#This Row],[Sales]]</f>
        <v>0.37477288538950582</v>
      </c>
    </row>
    <row r="622" spans="1:12" x14ac:dyDescent="0.25">
      <c r="A622" t="s">
        <v>638</v>
      </c>
      <c r="B622" s="2">
        <v>45005</v>
      </c>
      <c r="C622" s="2" t="str">
        <f>TEXT(Table3[[#This Row],[Order Date]],"mmmm")</f>
        <v>March</v>
      </c>
      <c r="D622" t="s">
        <v>3220</v>
      </c>
      <c r="E622" t="s">
        <v>3222</v>
      </c>
      <c r="F622" t="s">
        <v>3226</v>
      </c>
      <c r="G622" s="4">
        <v>36325.46</v>
      </c>
      <c r="H622" s="4">
        <v>28502.47</v>
      </c>
      <c r="I622" s="3" t="s">
        <v>3734</v>
      </c>
      <c r="J622">
        <v>3</v>
      </c>
      <c r="K622" s="4">
        <f>Table3[[#This Row],[Sales]]-Table3[[#This Row],[Cost]]</f>
        <v>7822.989999999998</v>
      </c>
      <c r="L622" s="6">
        <f>Table3[[#This Row],[Profit]]/Table3[[#This Row],[Sales]]</f>
        <v>0.21535831893112981</v>
      </c>
    </row>
    <row r="623" spans="1:12" x14ac:dyDescent="0.25">
      <c r="A623" t="s">
        <v>639</v>
      </c>
      <c r="B623" s="2">
        <v>45102</v>
      </c>
      <c r="C623" s="2" t="str">
        <f>TEXT(Table3[[#This Row],[Order Date]],"mmmm")</f>
        <v>June</v>
      </c>
      <c r="D623" t="s">
        <v>3731</v>
      </c>
      <c r="E623" t="s">
        <v>3225</v>
      </c>
      <c r="F623" t="s">
        <v>3226</v>
      </c>
      <c r="G623" s="4">
        <v>52573.83</v>
      </c>
      <c r="H623" s="4">
        <v>40551.410000000003</v>
      </c>
      <c r="I623" s="3" t="s">
        <v>3734</v>
      </c>
      <c r="J623">
        <v>3</v>
      </c>
      <c r="K623" s="4">
        <f>Table3[[#This Row],[Sales]]-Table3[[#This Row],[Cost]]</f>
        <v>12022.419999999998</v>
      </c>
      <c r="L623" s="6">
        <f>Table3[[#This Row],[Profit]]/Table3[[#This Row],[Sales]]</f>
        <v>0.22867689114527129</v>
      </c>
    </row>
    <row r="624" spans="1:12" x14ac:dyDescent="0.25">
      <c r="A624" t="s">
        <v>640</v>
      </c>
      <c r="B624" s="2">
        <v>44941</v>
      </c>
      <c r="C624" s="2" t="str">
        <f>TEXT(Table3[[#This Row],[Order Date]],"mmmm")</f>
        <v>January</v>
      </c>
      <c r="D624" t="s">
        <v>3220</v>
      </c>
      <c r="E624" t="s">
        <v>3225</v>
      </c>
      <c r="F624" t="s">
        <v>3226</v>
      </c>
      <c r="G624" s="4">
        <v>46853.96</v>
      </c>
      <c r="H624" s="4">
        <v>24259.38</v>
      </c>
      <c r="I624" s="3" t="s">
        <v>3734</v>
      </c>
      <c r="J624">
        <v>2</v>
      </c>
      <c r="K624" s="4">
        <f>Table3[[#This Row],[Sales]]-Table3[[#This Row],[Cost]]</f>
        <v>22594.579999999998</v>
      </c>
      <c r="L624" s="6">
        <f>Table3[[#This Row],[Profit]]/Table3[[#This Row],[Sales]]</f>
        <v>0.48223415907641526</v>
      </c>
    </row>
    <row r="625" spans="1:12" x14ac:dyDescent="0.25">
      <c r="A625" t="s">
        <v>3342</v>
      </c>
      <c r="B625" s="2">
        <v>44941</v>
      </c>
      <c r="C625" s="2" t="str">
        <f>TEXT(Table3[[#This Row],[Order Date]],"mmmm")</f>
        <v>January</v>
      </c>
      <c r="D625" t="s">
        <v>3730</v>
      </c>
      <c r="E625" t="s">
        <v>3223</v>
      </c>
      <c r="F625" t="s">
        <v>3226</v>
      </c>
      <c r="G625" s="4">
        <v>51253.11</v>
      </c>
      <c r="H625" s="4">
        <v>36419.14</v>
      </c>
      <c r="I625" s="3" t="s">
        <v>3734</v>
      </c>
      <c r="J625">
        <v>5</v>
      </c>
      <c r="K625" s="4">
        <f>Table3[[#This Row],[Sales]]-Table3[[#This Row],[Cost]]</f>
        <v>14833.970000000001</v>
      </c>
      <c r="L625" s="6">
        <f>Table3[[#This Row],[Profit]]/Table3[[#This Row],[Sales]]</f>
        <v>0.28942575387132607</v>
      </c>
    </row>
    <row r="626" spans="1:12" x14ac:dyDescent="0.25">
      <c r="A626" t="s">
        <v>125</v>
      </c>
      <c r="B626" s="2" t="s">
        <v>3729</v>
      </c>
      <c r="C626" s="2" t="str">
        <f>TEXT(Table3[[#This Row],[Order Date]],"mmmm")</f>
        <v>Not Mentioned</v>
      </c>
      <c r="D626" t="s">
        <v>3730</v>
      </c>
      <c r="E626" t="s">
        <v>3225</v>
      </c>
      <c r="F626" t="s">
        <v>3226</v>
      </c>
      <c r="G626" s="4">
        <v>17142.29</v>
      </c>
      <c r="H626" s="4">
        <v>13263.02</v>
      </c>
      <c r="I626" s="3" t="s">
        <v>3734</v>
      </c>
      <c r="J626">
        <v>1</v>
      </c>
      <c r="K626" s="4">
        <f>Table3[[#This Row],[Sales]]-Table3[[#This Row],[Cost]]</f>
        <v>3879.2700000000004</v>
      </c>
      <c r="L626" s="6">
        <f>Table3[[#This Row],[Profit]]/Table3[[#This Row],[Sales]]</f>
        <v>0.22629823669999752</v>
      </c>
    </row>
    <row r="627" spans="1:12" x14ac:dyDescent="0.25">
      <c r="A627" t="s">
        <v>3343</v>
      </c>
      <c r="B627" s="2">
        <v>45021</v>
      </c>
      <c r="C627" s="2" t="str">
        <f>TEXT(Table3[[#This Row],[Order Date]],"mmmm")</f>
        <v>April</v>
      </c>
      <c r="D627" t="s">
        <v>3220</v>
      </c>
      <c r="E627" t="s">
        <v>3225</v>
      </c>
      <c r="F627" t="s">
        <v>3226</v>
      </c>
      <c r="G627" s="4">
        <v>64876.79</v>
      </c>
      <c r="H627" s="4">
        <v>35927.85</v>
      </c>
      <c r="I627" s="3" t="s">
        <v>3734</v>
      </c>
      <c r="J627">
        <v>3</v>
      </c>
      <c r="K627" s="4">
        <f>Table3[[#This Row],[Sales]]-Table3[[#This Row],[Cost]]</f>
        <v>28948.940000000002</v>
      </c>
      <c r="L627" s="6">
        <f>Table3[[#This Row],[Profit]]/Table3[[#This Row],[Sales]]</f>
        <v>0.44621412372591185</v>
      </c>
    </row>
    <row r="628" spans="1:12" x14ac:dyDescent="0.25">
      <c r="A628" t="s">
        <v>643</v>
      </c>
      <c r="B628" s="2">
        <v>44972</v>
      </c>
      <c r="C628" s="2" t="str">
        <f>TEXT(Table3[[#This Row],[Order Date]],"mmmm")</f>
        <v>February</v>
      </c>
      <c r="D628" t="s">
        <v>3220</v>
      </c>
      <c r="E628" t="s">
        <v>3224</v>
      </c>
      <c r="F628" t="s">
        <v>3226</v>
      </c>
      <c r="G628" s="4">
        <v>261928.56</v>
      </c>
      <c r="H628" s="4">
        <v>167240.46</v>
      </c>
      <c r="I628" s="3" t="s">
        <v>3734</v>
      </c>
      <c r="J628">
        <v>4</v>
      </c>
      <c r="K628" s="4">
        <f>Table3[[#This Row],[Sales]]-Table3[[#This Row],[Cost]]</f>
        <v>94688.1</v>
      </c>
      <c r="L628" s="6">
        <f>Table3[[#This Row],[Profit]]/Table3[[#This Row],[Sales]]</f>
        <v>0.36150353363527826</v>
      </c>
    </row>
    <row r="629" spans="1:12" x14ac:dyDescent="0.25">
      <c r="A629" t="s">
        <v>644</v>
      </c>
      <c r="B629" s="2">
        <v>45005</v>
      </c>
      <c r="C629" s="2" t="str">
        <f>TEXT(Table3[[#This Row],[Order Date]],"mmmm")</f>
        <v>March</v>
      </c>
      <c r="D629" t="s">
        <v>3216</v>
      </c>
      <c r="E629" t="s">
        <v>3223</v>
      </c>
      <c r="F629" t="s">
        <v>3226</v>
      </c>
      <c r="G629" s="4">
        <v>30114.11</v>
      </c>
      <c r="H629" s="4">
        <v>20715.189999999999</v>
      </c>
      <c r="I629" s="3" t="s">
        <v>3734</v>
      </c>
      <c r="J629">
        <v>3</v>
      </c>
      <c r="K629" s="4">
        <f>Table3[[#This Row],[Sales]]-Table3[[#This Row],[Cost]]</f>
        <v>9398.9200000000019</v>
      </c>
      <c r="L629" s="6">
        <f>Table3[[#This Row],[Profit]]/Table3[[#This Row],[Sales]]</f>
        <v>0.31211017028230292</v>
      </c>
    </row>
    <row r="630" spans="1:12" x14ac:dyDescent="0.25">
      <c r="A630" t="s">
        <v>3344</v>
      </c>
      <c r="B630" s="2" t="s">
        <v>3729</v>
      </c>
      <c r="C630" s="2" t="str">
        <f>TEXT(Table3[[#This Row],[Order Date]],"mmmm")</f>
        <v>Not Mentioned</v>
      </c>
      <c r="D630" t="s">
        <v>3216</v>
      </c>
      <c r="E630" t="s">
        <v>3225</v>
      </c>
      <c r="F630" t="s">
        <v>3226</v>
      </c>
      <c r="G630" s="4">
        <v>17899.89</v>
      </c>
      <c r="H630" s="4">
        <v>15326.22</v>
      </c>
      <c r="I630" s="3" t="s">
        <v>3734</v>
      </c>
      <c r="J630">
        <v>1</v>
      </c>
      <c r="K630" s="4">
        <f>Table3[[#This Row],[Sales]]-Table3[[#This Row],[Cost]]</f>
        <v>2573.67</v>
      </c>
      <c r="L630" s="6">
        <f>Table3[[#This Row],[Profit]]/Table3[[#This Row],[Sales]]</f>
        <v>0.14378133049979638</v>
      </c>
    </row>
    <row r="631" spans="1:12" x14ac:dyDescent="0.25">
      <c r="A631" t="s">
        <v>646</v>
      </c>
      <c r="B631" s="2">
        <v>45005</v>
      </c>
      <c r="C631" s="2" t="str">
        <f>TEXT(Table3[[#This Row],[Order Date]],"mmmm")</f>
        <v>March</v>
      </c>
      <c r="D631" t="s">
        <v>3220</v>
      </c>
      <c r="E631" t="s">
        <v>3224</v>
      </c>
      <c r="F631" t="s">
        <v>3226</v>
      </c>
      <c r="G631" s="4">
        <v>215756.45</v>
      </c>
      <c r="H631" s="4">
        <v>182035.69</v>
      </c>
      <c r="I631" s="3" t="s">
        <v>3734</v>
      </c>
      <c r="J631">
        <v>4</v>
      </c>
      <c r="K631" s="4">
        <f>Table3[[#This Row],[Sales]]-Table3[[#This Row],[Cost]]</f>
        <v>33720.760000000009</v>
      </c>
      <c r="L631" s="6">
        <f>Table3[[#This Row],[Profit]]/Table3[[#This Row],[Sales]]</f>
        <v>0.15629085480410901</v>
      </c>
    </row>
    <row r="632" spans="1:12" x14ac:dyDescent="0.25">
      <c r="A632" t="s">
        <v>647</v>
      </c>
      <c r="B632" s="2">
        <v>44941</v>
      </c>
      <c r="C632" s="2" t="str">
        <f>TEXT(Table3[[#This Row],[Order Date]],"mmmm")</f>
        <v>January</v>
      </c>
      <c r="D632" t="s">
        <v>3220</v>
      </c>
      <c r="E632" t="s">
        <v>3225</v>
      </c>
      <c r="F632" t="s">
        <v>3226</v>
      </c>
      <c r="G632" s="4">
        <v>119973.45</v>
      </c>
      <c r="H632" s="4">
        <v>95978.760000000009</v>
      </c>
      <c r="I632" s="3" t="s">
        <v>3735</v>
      </c>
      <c r="J632">
        <v>5</v>
      </c>
      <c r="K632" s="4">
        <f>Table3[[#This Row],[Sales]]-Table3[[#This Row],[Cost]]</f>
        <v>23994.689999999988</v>
      </c>
      <c r="L632" s="6">
        <f>Table3[[#This Row],[Profit]]/Table3[[#This Row],[Sales]]</f>
        <v>0.1999999999999999</v>
      </c>
    </row>
    <row r="633" spans="1:12" x14ac:dyDescent="0.25">
      <c r="A633" t="s">
        <v>648</v>
      </c>
      <c r="B633" s="2">
        <v>45005</v>
      </c>
      <c r="C633" s="2" t="str">
        <f>TEXT(Table3[[#This Row],[Order Date]],"mmmm")</f>
        <v>March</v>
      </c>
      <c r="D633" t="s">
        <v>3220</v>
      </c>
      <c r="E633" t="s">
        <v>3225</v>
      </c>
      <c r="F633" t="s">
        <v>3226</v>
      </c>
      <c r="G633" s="4">
        <v>92447.79</v>
      </c>
      <c r="H633" s="4">
        <v>63158.52</v>
      </c>
      <c r="I633" s="3" t="s">
        <v>3734</v>
      </c>
      <c r="J633">
        <v>5</v>
      </c>
      <c r="K633" s="4">
        <f>Table3[[#This Row],[Sales]]-Table3[[#This Row],[Cost]]</f>
        <v>29289.269999999997</v>
      </c>
      <c r="L633" s="6">
        <f>Table3[[#This Row],[Profit]]/Table3[[#This Row],[Sales]]</f>
        <v>0.31681958000294003</v>
      </c>
    </row>
    <row r="634" spans="1:12" x14ac:dyDescent="0.25">
      <c r="A634" t="s">
        <v>247</v>
      </c>
      <c r="B634" s="2">
        <v>45102</v>
      </c>
      <c r="C634" s="2" t="str">
        <f>TEXT(Table3[[#This Row],[Order Date]],"mmmm")</f>
        <v>June</v>
      </c>
      <c r="D634" t="s">
        <v>3730</v>
      </c>
      <c r="E634" t="s">
        <v>3223</v>
      </c>
      <c r="F634" t="s">
        <v>3226</v>
      </c>
      <c r="G634" s="4">
        <v>21312.1</v>
      </c>
      <c r="H634" s="4">
        <v>13084.29</v>
      </c>
      <c r="I634" s="3" t="s">
        <v>3734</v>
      </c>
      <c r="J634">
        <v>2</v>
      </c>
      <c r="K634" s="4">
        <f>Table3[[#This Row],[Sales]]-Table3[[#This Row],[Cost]]</f>
        <v>8227.8099999999977</v>
      </c>
      <c r="L634" s="6">
        <f>Table3[[#This Row],[Profit]]/Table3[[#This Row],[Sales]]</f>
        <v>0.38606284692733228</v>
      </c>
    </row>
    <row r="635" spans="1:12" x14ac:dyDescent="0.25">
      <c r="A635" t="s">
        <v>650</v>
      </c>
      <c r="B635" s="2" t="s">
        <v>3729</v>
      </c>
      <c r="C635" s="2" t="str">
        <f>TEXT(Table3[[#This Row],[Order Date]],"mmmm")</f>
        <v>Not Mentioned</v>
      </c>
      <c r="D635" t="s">
        <v>3220</v>
      </c>
      <c r="E635" t="s">
        <v>3224</v>
      </c>
      <c r="F635" t="s">
        <v>3226</v>
      </c>
      <c r="G635" s="4">
        <v>339983</v>
      </c>
      <c r="H635" s="4">
        <v>215256.95999999999</v>
      </c>
      <c r="I635" s="3" t="s">
        <v>3734</v>
      </c>
      <c r="J635">
        <v>5</v>
      </c>
      <c r="K635" s="4">
        <f>Table3[[#This Row],[Sales]]-Table3[[#This Row],[Cost]]</f>
        <v>124726.04000000001</v>
      </c>
      <c r="L635" s="6">
        <f>Table3[[#This Row],[Profit]]/Table3[[#This Row],[Sales]]</f>
        <v>0.36685963709950203</v>
      </c>
    </row>
    <row r="636" spans="1:12" x14ac:dyDescent="0.25">
      <c r="A636" t="s">
        <v>651</v>
      </c>
      <c r="B636" s="2" t="s">
        <v>3729</v>
      </c>
      <c r="C636" s="2" t="str">
        <f>TEXT(Table3[[#This Row],[Order Date]],"mmmm")</f>
        <v>Not Mentioned</v>
      </c>
      <c r="D636" t="s">
        <v>3220</v>
      </c>
      <c r="E636" t="s">
        <v>3222</v>
      </c>
      <c r="F636" t="s">
        <v>3226</v>
      </c>
      <c r="G636" s="4">
        <v>68566.8</v>
      </c>
      <c r="H636" s="4">
        <v>40842.089999999997</v>
      </c>
      <c r="I636" s="3" t="s">
        <v>3734</v>
      </c>
      <c r="J636">
        <v>4</v>
      </c>
      <c r="K636" s="4">
        <f>Table3[[#This Row],[Sales]]-Table3[[#This Row],[Cost]]</f>
        <v>27724.710000000006</v>
      </c>
      <c r="L636" s="6">
        <f>Table3[[#This Row],[Profit]]/Table3[[#This Row],[Sales]]</f>
        <v>0.40434598085370771</v>
      </c>
    </row>
    <row r="637" spans="1:12" x14ac:dyDescent="0.25">
      <c r="A637" t="s">
        <v>652</v>
      </c>
      <c r="B637" s="2">
        <v>44941</v>
      </c>
      <c r="C637" s="2" t="str">
        <f>TEXT(Table3[[#This Row],[Order Date]],"mmmm")</f>
        <v>January</v>
      </c>
      <c r="D637" t="s">
        <v>3730</v>
      </c>
      <c r="E637" t="s">
        <v>3224</v>
      </c>
      <c r="F637" t="s">
        <v>3226</v>
      </c>
      <c r="G637" s="4">
        <v>352882.82</v>
      </c>
      <c r="H637" s="4">
        <v>193937.7</v>
      </c>
      <c r="I637" s="3" t="s">
        <v>3734</v>
      </c>
      <c r="J637">
        <v>5</v>
      </c>
      <c r="K637" s="4">
        <f>Table3[[#This Row],[Sales]]-Table3[[#This Row],[Cost]]</f>
        <v>158945.12</v>
      </c>
      <c r="L637" s="6">
        <f>Table3[[#This Row],[Profit]]/Table3[[#This Row],[Sales]]</f>
        <v>0.45041898044228956</v>
      </c>
    </row>
    <row r="638" spans="1:12" x14ac:dyDescent="0.25">
      <c r="A638" t="s">
        <v>653</v>
      </c>
      <c r="B638" s="2">
        <v>44941</v>
      </c>
      <c r="C638" s="2" t="str">
        <f>TEXT(Table3[[#This Row],[Order Date]],"mmmm")</f>
        <v>January</v>
      </c>
      <c r="D638" t="s">
        <v>3220</v>
      </c>
      <c r="E638" t="s">
        <v>3222</v>
      </c>
      <c r="F638" t="s">
        <v>3226</v>
      </c>
      <c r="G638" s="4">
        <v>34649.300000000003</v>
      </c>
      <c r="H638" s="4">
        <v>17686.52</v>
      </c>
      <c r="I638" s="3" t="s">
        <v>3734</v>
      </c>
      <c r="J638">
        <v>2</v>
      </c>
      <c r="K638" s="4">
        <f>Table3[[#This Row],[Sales]]-Table3[[#This Row],[Cost]]</f>
        <v>16962.780000000002</v>
      </c>
      <c r="L638" s="6">
        <f>Table3[[#This Row],[Profit]]/Table3[[#This Row],[Sales]]</f>
        <v>0.48955621037077229</v>
      </c>
    </row>
    <row r="639" spans="1:12" x14ac:dyDescent="0.25">
      <c r="A639" t="s">
        <v>654</v>
      </c>
      <c r="B639" s="2">
        <v>44972</v>
      </c>
      <c r="C639" s="2" t="str">
        <f>TEXT(Table3[[#This Row],[Order Date]],"mmmm")</f>
        <v>February</v>
      </c>
      <c r="D639" t="s">
        <v>3731</v>
      </c>
      <c r="E639" t="s">
        <v>3225</v>
      </c>
      <c r="F639" t="s">
        <v>3226</v>
      </c>
      <c r="G639" s="4">
        <v>87086.37</v>
      </c>
      <c r="H639" s="4">
        <v>60777.91</v>
      </c>
      <c r="I639" s="3" t="s">
        <v>3734</v>
      </c>
      <c r="J639">
        <v>4</v>
      </c>
      <c r="K639" s="4">
        <f>Table3[[#This Row],[Sales]]-Table3[[#This Row],[Cost]]</f>
        <v>26308.459999999992</v>
      </c>
      <c r="L639" s="6">
        <f>Table3[[#This Row],[Profit]]/Table3[[#This Row],[Sales]]</f>
        <v>0.30209618336371113</v>
      </c>
    </row>
    <row r="640" spans="1:12" x14ac:dyDescent="0.25">
      <c r="A640" t="s">
        <v>655</v>
      </c>
      <c r="B640" s="2">
        <v>44972</v>
      </c>
      <c r="C640" s="2" t="str">
        <f>TEXT(Table3[[#This Row],[Order Date]],"mmmm")</f>
        <v>February</v>
      </c>
      <c r="D640" t="s">
        <v>3220</v>
      </c>
      <c r="E640" t="s">
        <v>3224</v>
      </c>
      <c r="F640" t="s">
        <v>3226</v>
      </c>
      <c r="G640" s="4">
        <v>191290.7</v>
      </c>
      <c r="H640" s="4">
        <v>121439.46</v>
      </c>
      <c r="I640" s="3" t="s">
        <v>3734</v>
      </c>
      <c r="J640">
        <v>3</v>
      </c>
      <c r="K640" s="4">
        <f>Table3[[#This Row],[Sales]]-Table3[[#This Row],[Cost]]</f>
        <v>69851.240000000005</v>
      </c>
      <c r="L640" s="6">
        <f>Table3[[#This Row],[Profit]]/Table3[[#This Row],[Sales]]</f>
        <v>0.36515753248851096</v>
      </c>
    </row>
    <row r="641" spans="1:12" x14ac:dyDescent="0.25">
      <c r="A641" t="s">
        <v>3248</v>
      </c>
      <c r="B641" s="2">
        <v>45005</v>
      </c>
      <c r="C641" s="2" t="str">
        <f>TEXT(Table3[[#This Row],[Order Date]],"mmmm")</f>
        <v>March</v>
      </c>
      <c r="D641" t="s">
        <v>3731</v>
      </c>
      <c r="E641" t="s">
        <v>3225</v>
      </c>
      <c r="F641" t="s">
        <v>3226</v>
      </c>
      <c r="G641" s="4">
        <v>21769.8</v>
      </c>
      <c r="H641" s="4">
        <v>12706.38</v>
      </c>
      <c r="I641" s="3" t="s">
        <v>3734</v>
      </c>
      <c r="J641">
        <v>1</v>
      </c>
      <c r="K641" s="4">
        <f>Table3[[#This Row],[Sales]]-Table3[[#This Row],[Cost]]</f>
        <v>9063.42</v>
      </c>
      <c r="L641" s="6">
        <f>Table3[[#This Row],[Profit]]/Table3[[#This Row],[Sales]]</f>
        <v>0.41632996169004771</v>
      </c>
    </row>
    <row r="642" spans="1:12" x14ac:dyDescent="0.25">
      <c r="A642" t="s">
        <v>656</v>
      </c>
      <c r="B642" s="2">
        <v>44972</v>
      </c>
      <c r="C642" s="2" t="str">
        <f>TEXT(Table3[[#This Row],[Order Date]],"mmmm")</f>
        <v>February</v>
      </c>
      <c r="D642" t="s">
        <v>3216</v>
      </c>
      <c r="E642" t="s">
        <v>3225</v>
      </c>
      <c r="F642" t="s">
        <v>3226</v>
      </c>
      <c r="G642" s="4">
        <v>70718.37</v>
      </c>
      <c r="H642" s="4">
        <v>43326.19</v>
      </c>
      <c r="I642" s="3" t="s">
        <v>3734</v>
      </c>
      <c r="J642">
        <v>3</v>
      </c>
      <c r="K642" s="4">
        <f>Table3[[#This Row],[Sales]]-Table3[[#This Row],[Cost]]</f>
        <v>27392.179999999993</v>
      </c>
      <c r="L642" s="6">
        <f>Table3[[#This Row],[Profit]]/Table3[[#This Row],[Sales]]</f>
        <v>0.38734178969339927</v>
      </c>
    </row>
    <row r="643" spans="1:12" x14ac:dyDescent="0.25">
      <c r="A643" t="s">
        <v>657</v>
      </c>
      <c r="B643" s="2" t="s">
        <v>3729</v>
      </c>
      <c r="C643" s="2" t="str">
        <f>TEXT(Table3[[#This Row],[Order Date]],"mmmm")</f>
        <v>Not Mentioned</v>
      </c>
      <c r="D643" t="s">
        <v>3730</v>
      </c>
      <c r="E643" t="s">
        <v>3224</v>
      </c>
      <c r="F643" t="s">
        <v>3226</v>
      </c>
      <c r="G643" s="4">
        <v>50809.55</v>
      </c>
      <c r="H643" s="4">
        <v>44192</v>
      </c>
      <c r="I643" s="3" t="s">
        <v>3734</v>
      </c>
      <c r="J643">
        <v>1</v>
      </c>
      <c r="K643" s="4">
        <f>Table3[[#This Row],[Sales]]-Table3[[#This Row],[Cost]]</f>
        <v>6617.5500000000029</v>
      </c>
      <c r="L643" s="6">
        <f>Table3[[#This Row],[Profit]]/Table3[[#This Row],[Sales]]</f>
        <v>0.13024224776641405</v>
      </c>
    </row>
    <row r="644" spans="1:12" x14ac:dyDescent="0.25">
      <c r="A644" t="s">
        <v>658</v>
      </c>
      <c r="B644" s="2">
        <v>44941</v>
      </c>
      <c r="C644" s="2" t="str">
        <f>TEXT(Table3[[#This Row],[Order Date]],"mmmm")</f>
        <v>January</v>
      </c>
      <c r="D644" t="s">
        <v>3730</v>
      </c>
      <c r="E644" t="s">
        <v>3223</v>
      </c>
      <c r="F644" t="s">
        <v>3226</v>
      </c>
      <c r="G644" s="4">
        <v>29092.46</v>
      </c>
      <c r="H644" s="4">
        <v>21602.15</v>
      </c>
      <c r="I644" s="3" t="s">
        <v>3734</v>
      </c>
      <c r="J644">
        <v>3</v>
      </c>
      <c r="K644" s="4">
        <f>Table3[[#This Row],[Sales]]-Table3[[#This Row],[Cost]]</f>
        <v>7490.3099999999977</v>
      </c>
      <c r="L644" s="6">
        <f>Table3[[#This Row],[Profit]]/Table3[[#This Row],[Sales]]</f>
        <v>0.25746568011092902</v>
      </c>
    </row>
    <row r="645" spans="1:12" x14ac:dyDescent="0.25">
      <c r="A645" t="s">
        <v>660</v>
      </c>
      <c r="B645" s="2">
        <v>44972</v>
      </c>
      <c r="C645" s="2" t="str">
        <f>TEXT(Table3[[#This Row],[Order Date]],"mmmm")</f>
        <v>February</v>
      </c>
      <c r="D645" t="s">
        <v>3220</v>
      </c>
      <c r="E645" t="s">
        <v>3224</v>
      </c>
      <c r="F645" t="s">
        <v>3226</v>
      </c>
      <c r="G645" s="4">
        <v>193188.64</v>
      </c>
      <c r="H645" s="4">
        <v>116516.23</v>
      </c>
      <c r="I645" s="3" t="s">
        <v>3734</v>
      </c>
      <c r="J645">
        <v>3</v>
      </c>
      <c r="K645" s="4">
        <f>Table3[[#This Row],[Sales]]-Table3[[#This Row],[Cost]]</f>
        <v>76672.410000000018</v>
      </c>
      <c r="L645" s="6">
        <f>Table3[[#This Row],[Profit]]/Table3[[#This Row],[Sales]]</f>
        <v>0.39687846034839325</v>
      </c>
    </row>
    <row r="646" spans="1:12" x14ac:dyDescent="0.25">
      <c r="A646" t="s">
        <v>661</v>
      </c>
      <c r="B646" s="2" t="s">
        <v>3729</v>
      </c>
      <c r="C646" s="2" t="str">
        <f>TEXT(Table3[[#This Row],[Order Date]],"mmmm")</f>
        <v>Not Mentioned</v>
      </c>
      <c r="D646" t="s">
        <v>3730</v>
      </c>
      <c r="E646" t="s">
        <v>3222</v>
      </c>
      <c r="F646" t="s">
        <v>3226</v>
      </c>
      <c r="G646" s="4">
        <v>26707.97</v>
      </c>
      <c r="H646" s="4">
        <v>18058.990000000002</v>
      </c>
      <c r="I646" s="3" t="s">
        <v>3734</v>
      </c>
      <c r="J646">
        <v>2</v>
      </c>
      <c r="K646" s="4">
        <f>Table3[[#This Row],[Sales]]-Table3[[#This Row],[Cost]]</f>
        <v>8648.98</v>
      </c>
      <c r="L646" s="6">
        <f>Table3[[#This Row],[Profit]]/Table3[[#This Row],[Sales]]</f>
        <v>0.32383516980137389</v>
      </c>
    </row>
    <row r="647" spans="1:12" x14ac:dyDescent="0.25">
      <c r="A647" t="s">
        <v>662</v>
      </c>
      <c r="B647" s="2">
        <v>45102</v>
      </c>
      <c r="C647" s="2" t="str">
        <f>TEXT(Table3[[#This Row],[Order Date]],"mmmm")</f>
        <v>June</v>
      </c>
      <c r="D647" t="s">
        <v>3731</v>
      </c>
      <c r="E647" t="s">
        <v>3224</v>
      </c>
      <c r="F647" t="s">
        <v>3226</v>
      </c>
      <c r="G647" s="4">
        <v>107164.99</v>
      </c>
      <c r="H647" s="4">
        <v>79098.880000000005</v>
      </c>
      <c r="I647" s="3" t="s">
        <v>3734</v>
      </c>
      <c r="J647">
        <v>2</v>
      </c>
      <c r="K647" s="4">
        <f>Table3[[#This Row],[Sales]]-Table3[[#This Row],[Cost]]</f>
        <v>28066.11</v>
      </c>
      <c r="L647" s="6">
        <f>Table3[[#This Row],[Profit]]/Table3[[#This Row],[Sales]]</f>
        <v>0.26189625921674609</v>
      </c>
    </row>
    <row r="648" spans="1:12" x14ac:dyDescent="0.25">
      <c r="A648" t="s">
        <v>663</v>
      </c>
      <c r="B648" s="2">
        <v>45005</v>
      </c>
      <c r="C648" s="2" t="str">
        <f>TEXT(Table3[[#This Row],[Order Date]],"mmmm")</f>
        <v>March</v>
      </c>
      <c r="D648" t="s">
        <v>3220</v>
      </c>
      <c r="E648" t="s">
        <v>3222</v>
      </c>
      <c r="F648" t="s">
        <v>3226</v>
      </c>
      <c r="G648" s="4">
        <v>31283.68</v>
      </c>
      <c r="H648" s="4">
        <v>17942.5</v>
      </c>
      <c r="I648" s="3" t="s">
        <v>3734</v>
      </c>
      <c r="J648">
        <v>2</v>
      </c>
      <c r="K648" s="4">
        <f>Table3[[#This Row],[Sales]]-Table3[[#This Row],[Cost]]</f>
        <v>13341.18</v>
      </c>
      <c r="L648" s="6">
        <f>Table3[[#This Row],[Profit]]/Table3[[#This Row],[Sales]]</f>
        <v>0.42645814047452218</v>
      </c>
    </row>
    <row r="649" spans="1:12" x14ac:dyDescent="0.25">
      <c r="A649" t="s">
        <v>3345</v>
      </c>
      <c r="B649" s="2">
        <v>45005</v>
      </c>
      <c r="C649" s="2" t="str">
        <f>TEXT(Table3[[#This Row],[Order Date]],"mmmm")</f>
        <v>March</v>
      </c>
      <c r="D649" t="s">
        <v>3220</v>
      </c>
      <c r="E649" t="s">
        <v>3225</v>
      </c>
      <c r="F649" t="s">
        <v>3226</v>
      </c>
      <c r="G649" s="4">
        <v>39073.06</v>
      </c>
      <c r="H649" s="4">
        <v>26138.73</v>
      </c>
      <c r="I649" s="3" t="s">
        <v>3734</v>
      </c>
      <c r="J649" t="s">
        <v>3732</v>
      </c>
      <c r="K649" s="4">
        <f>Table3[[#This Row],[Sales]]-Table3[[#This Row],[Cost]]</f>
        <v>12934.329999999998</v>
      </c>
      <c r="L649" s="6">
        <f>Table3[[#This Row],[Profit]]/Table3[[#This Row],[Sales]]</f>
        <v>0.33102935884724666</v>
      </c>
    </row>
    <row r="650" spans="1:12" x14ac:dyDescent="0.25">
      <c r="A650" t="s">
        <v>3346</v>
      </c>
      <c r="B650" s="2" t="s">
        <v>3729</v>
      </c>
      <c r="C650" s="2" t="str">
        <f>TEXT(Table3[[#This Row],[Order Date]],"mmmm")</f>
        <v>Not Mentioned</v>
      </c>
      <c r="D650" t="s">
        <v>3216</v>
      </c>
      <c r="E650" t="s">
        <v>3222</v>
      </c>
      <c r="F650" t="s">
        <v>3226</v>
      </c>
      <c r="G650" s="4">
        <v>68496.570000000007</v>
      </c>
      <c r="H650" s="4">
        <v>53517.63</v>
      </c>
      <c r="I650" s="3" t="s">
        <v>3734</v>
      </c>
      <c r="J650">
        <v>5</v>
      </c>
      <c r="K650" s="4">
        <f>Table3[[#This Row],[Sales]]-Table3[[#This Row],[Cost]]</f>
        <v>14978.94000000001</v>
      </c>
      <c r="L650" s="6">
        <f>Table3[[#This Row],[Profit]]/Table3[[#This Row],[Sales]]</f>
        <v>0.21868160697681663</v>
      </c>
    </row>
    <row r="651" spans="1:12" x14ac:dyDescent="0.25">
      <c r="A651" t="s">
        <v>666</v>
      </c>
      <c r="B651" s="2">
        <v>45102</v>
      </c>
      <c r="C651" s="2" t="str">
        <f>TEXT(Table3[[#This Row],[Order Date]],"mmmm")</f>
        <v>June</v>
      </c>
      <c r="D651" t="s">
        <v>3220</v>
      </c>
      <c r="E651" t="s">
        <v>3224</v>
      </c>
      <c r="F651" t="s">
        <v>3226</v>
      </c>
      <c r="G651" s="4">
        <v>318720.15999999997</v>
      </c>
      <c r="H651" s="4">
        <v>210439.65</v>
      </c>
      <c r="I651" s="3" t="s">
        <v>3734</v>
      </c>
      <c r="J651">
        <v>5</v>
      </c>
      <c r="K651" s="4">
        <f>Table3[[#This Row],[Sales]]-Table3[[#This Row],[Cost]]</f>
        <v>108280.50999999998</v>
      </c>
      <c r="L651" s="6">
        <f>Table3[[#This Row],[Profit]]/Table3[[#This Row],[Sales]]</f>
        <v>0.33973536534369209</v>
      </c>
    </row>
    <row r="652" spans="1:12" x14ac:dyDescent="0.25">
      <c r="A652" t="s">
        <v>3302</v>
      </c>
      <c r="B652" s="2" t="s">
        <v>3729</v>
      </c>
      <c r="C652" s="2" t="str">
        <f>TEXT(Table3[[#This Row],[Order Date]],"mmmm")</f>
        <v>Not Mentioned</v>
      </c>
      <c r="D652" t="s">
        <v>3220</v>
      </c>
      <c r="E652" t="s">
        <v>3223</v>
      </c>
      <c r="F652" t="s">
        <v>3226</v>
      </c>
      <c r="G652" s="4">
        <v>38019.67</v>
      </c>
      <c r="H652" s="4">
        <v>30279.08</v>
      </c>
      <c r="I652" s="3" t="s">
        <v>3734</v>
      </c>
      <c r="J652">
        <v>4</v>
      </c>
      <c r="K652" s="4">
        <f>Table3[[#This Row],[Sales]]-Table3[[#This Row],[Cost]]</f>
        <v>7740.5899999999965</v>
      </c>
      <c r="L652" s="6">
        <f>Table3[[#This Row],[Profit]]/Table3[[#This Row],[Sales]]</f>
        <v>0.2035943499772617</v>
      </c>
    </row>
    <row r="653" spans="1:12" x14ac:dyDescent="0.25">
      <c r="A653" t="s">
        <v>667</v>
      </c>
      <c r="B653" s="2">
        <v>44941</v>
      </c>
      <c r="C653" s="2" t="str">
        <f>TEXT(Table3[[#This Row],[Order Date]],"mmmm")</f>
        <v>January</v>
      </c>
      <c r="D653" t="s">
        <v>3220</v>
      </c>
      <c r="E653" t="s">
        <v>3222</v>
      </c>
      <c r="F653" t="s">
        <v>3226</v>
      </c>
      <c r="G653" s="4">
        <v>61474.45</v>
      </c>
      <c r="H653" s="4">
        <v>44888.28</v>
      </c>
      <c r="I653" s="3" t="s">
        <v>3734</v>
      </c>
      <c r="J653">
        <v>5</v>
      </c>
      <c r="K653" s="4">
        <f>Table3[[#This Row],[Sales]]-Table3[[#This Row],[Cost]]</f>
        <v>16586.169999999998</v>
      </c>
      <c r="L653" s="6">
        <f>Table3[[#This Row],[Profit]]/Table3[[#This Row],[Sales]]</f>
        <v>0.2698059112362941</v>
      </c>
    </row>
    <row r="654" spans="1:12" x14ac:dyDescent="0.25">
      <c r="A654" t="s">
        <v>668</v>
      </c>
      <c r="B654" s="2">
        <v>44941</v>
      </c>
      <c r="C654" s="2" t="str">
        <f>TEXT(Table3[[#This Row],[Order Date]],"mmmm")</f>
        <v>January</v>
      </c>
      <c r="D654" t="s">
        <v>3220</v>
      </c>
      <c r="E654" t="s">
        <v>3222</v>
      </c>
      <c r="F654" t="s">
        <v>3226</v>
      </c>
      <c r="G654" s="4">
        <v>54047.96</v>
      </c>
      <c r="H654" s="4">
        <v>43207.56</v>
      </c>
      <c r="I654" s="3" t="s">
        <v>3734</v>
      </c>
      <c r="J654">
        <v>4</v>
      </c>
      <c r="K654" s="4">
        <f>Table3[[#This Row],[Sales]]-Table3[[#This Row],[Cost]]</f>
        <v>10840.400000000001</v>
      </c>
      <c r="L654" s="6">
        <f>Table3[[#This Row],[Profit]]/Table3[[#This Row],[Sales]]</f>
        <v>0.20057001226318258</v>
      </c>
    </row>
    <row r="655" spans="1:12" x14ac:dyDescent="0.25">
      <c r="A655" t="s">
        <v>669</v>
      </c>
      <c r="B655" s="2">
        <v>45102</v>
      </c>
      <c r="C655" s="2" t="str">
        <f>TEXT(Table3[[#This Row],[Order Date]],"mmmm")</f>
        <v>June</v>
      </c>
      <c r="D655" t="s">
        <v>3220</v>
      </c>
      <c r="E655" t="s">
        <v>3225</v>
      </c>
      <c r="F655" t="s">
        <v>3226</v>
      </c>
      <c r="G655" s="4">
        <v>36134.28</v>
      </c>
      <c r="H655" s="4">
        <v>29530.15</v>
      </c>
      <c r="I655" s="3" t="s">
        <v>3734</v>
      </c>
      <c r="J655">
        <v>2</v>
      </c>
      <c r="K655" s="4">
        <f>Table3[[#This Row],[Sales]]-Table3[[#This Row],[Cost]]</f>
        <v>6604.1299999999974</v>
      </c>
      <c r="L655" s="6">
        <f>Table3[[#This Row],[Profit]]/Table3[[#This Row],[Sales]]</f>
        <v>0.18276633711810494</v>
      </c>
    </row>
    <row r="656" spans="1:12" x14ac:dyDescent="0.25">
      <c r="A656" t="s">
        <v>670</v>
      </c>
      <c r="B656" s="2">
        <v>45005</v>
      </c>
      <c r="C656" s="2" t="str">
        <f>TEXT(Table3[[#This Row],[Order Date]],"mmmm")</f>
        <v>March</v>
      </c>
      <c r="D656" t="s">
        <v>3730</v>
      </c>
      <c r="E656" t="s">
        <v>3224</v>
      </c>
      <c r="F656" t="s">
        <v>3226</v>
      </c>
      <c r="G656" s="4">
        <v>130967.71</v>
      </c>
      <c r="H656" s="4">
        <v>80992.570000000007</v>
      </c>
      <c r="I656" s="3" t="s">
        <v>3734</v>
      </c>
      <c r="J656">
        <v>2</v>
      </c>
      <c r="K656" s="4">
        <f>Table3[[#This Row],[Sales]]-Table3[[#This Row],[Cost]]</f>
        <v>49975.14</v>
      </c>
      <c r="L656" s="6">
        <f>Table3[[#This Row],[Profit]]/Table3[[#This Row],[Sales]]</f>
        <v>0.38158367432705359</v>
      </c>
    </row>
    <row r="657" spans="1:12" x14ac:dyDescent="0.25">
      <c r="A657" t="s">
        <v>671</v>
      </c>
      <c r="B657" s="2">
        <v>45021</v>
      </c>
      <c r="C657" s="2" t="str">
        <f>TEXT(Table3[[#This Row],[Order Date]],"mmmm")</f>
        <v>April</v>
      </c>
      <c r="D657" t="s">
        <v>3220</v>
      </c>
      <c r="E657" t="s">
        <v>3224</v>
      </c>
      <c r="F657" t="s">
        <v>3226</v>
      </c>
      <c r="G657" s="4">
        <v>285378.12</v>
      </c>
      <c r="H657" s="4">
        <v>228302.49600000001</v>
      </c>
      <c r="I657" s="3" t="s">
        <v>3735</v>
      </c>
      <c r="J657">
        <v>4</v>
      </c>
      <c r="K657" s="4">
        <f>Table3[[#This Row],[Sales]]-Table3[[#This Row],[Cost]]</f>
        <v>57075.623999999982</v>
      </c>
      <c r="L657" s="6">
        <f>Table3[[#This Row],[Profit]]/Table3[[#This Row],[Sales]]</f>
        <v>0.19999999999999993</v>
      </c>
    </row>
    <row r="658" spans="1:12" x14ac:dyDescent="0.25">
      <c r="A658" t="s">
        <v>672</v>
      </c>
      <c r="B658" s="2">
        <v>45005</v>
      </c>
      <c r="C658" s="2" t="str">
        <f>TEXT(Table3[[#This Row],[Order Date]],"mmmm")</f>
        <v>March</v>
      </c>
      <c r="D658" t="s">
        <v>3731</v>
      </c>
      <c r="E658" t="s">
        <v>3224</v>
      </c>
      <c r="F658" t="s">
        <v>3226</v>
      </c>
      <c r="G658" s="4">
        <v>141497.45000000001</v>
      </c>
      <c r="H658" s="4">
        <v>78059.350000000006</v>
      </c>
      <c r="I658" s="3" t="s">
        <v>3734</v>
      </c>
      <c r="J658">
        <v>2</v>
      </c>
      <c r="K658" s="4">
        <f>Table3[[#This Row],[Sales]]-Table3[[#This Row],[Cost]]</f>
        <v>63438.100000000006</v>
      </c>
      <c r="L658" s="6">
        <f>Table3[[#This Row],[Profit]]/Table3[[#This Row],[Sales]]</f>
        <v>0.44833387456805757</v>
      </c>
    </row>
    <row r="659" spans="1:12" x14ac:dyDescent="0.25">
      <c r="A659" t="s">
        <v>3347</v>
      </c>
      <c r="B659" s="2">
        <v>45021</v>
      </c>
      <c r="C659" s="2" t="str">
        <f>TEXT(Table3[[#This Row],[Order Date]],"mmmm")</f>
        <v>April</v>
      </c>
      <c r="D659" t="s">
        <v>3220</v>
      </c>
      <c r="E659" t="s">
        <v>3222</v>
      </c>
      <c r="F659" t="s">
        <v>3226</v>
      </c>
      <c r="G659" s="4">
        <v>37628.93</v>
      </c>
      <c r="H659" s="4">
        <v>29231.47</v>
      </c>
      <c r="I659" s="3" t="s">
        <v>3734</v>
      </c>
      <c r="J659">
        <v>3</v>
      </c>
      <c r="K659" s="4">
        <f>Table3[[#This Row],[Sales]]-Table3[[#This Row],[Cost]]</f>
        <v>8397.4599999999991</v>
      </c>
      <c r="L659" s="6">
        <f>Table3[[#This Row],[Profit]]/Table3[[#This Row],[Sales]]</f>
        <v>0.22316499565626763</v>
      </c>
    </row>
    <row r="660" spans="1:12" x14ac:dyDescent="0.25">
      <c r="A660" t="s">
        <v>674</v>
      </c>
      <c r="B660" s="2">
        <v>45102</v>
      </c>
      <c r="C660" s="2" t="str">
        <f>TEXT(Table3[[#This Row],[Order Date]],"mmmm")</f>
        <v>June</v>
      </c>
      <c r="D660" t="s">
        <v>3216</v>
      </c>
      <c r="E660" t="s">
        <v>3223</v>
      </c>
      <c r="F660" t="s">
        <v>3226</v>
      </c>
      <c r="G660" s="4">
        <v>17914.96</v>
      </c>
      <c r="H660" s="4">
        <v>13362.89</v>
      </c>
      <c r="I660" s="3" t="s">
        <v>3734</v>
      </c>
      <c r="J660">
        <v>2</v>
      </c>
      <c r="K660" s="4">
        <f>Table3[[#This Row],[Sales]]-Table3[[#This Row],[Cost]]</f>
        <v>4552.07</v>
      </c>
      <c r="L660" s="6">
        <f>Table3[[#This Row],[Profit]]/Table3[[#This Row],[Sales]]</f>
        <v>0.25409322711298266</v>
      </c>
    </row>
    <row r="661" spans="1:12" x14ac:dyDescent="0.25">
      <c r="A661" t="s">
        <v>675</v>
      </c>
      <c r="B661" s="2">
        <v>45021</v>
      </c>
      <c r="C661" s="2" t="str">
        <f>TEXT(Table3[[#This Row],[Order Date]],"mmmm")</f>
        <v>April</v>
      </c>
      <c r="D661" t="s">
        <v>3730</v>
      </c>
      <c r="E661" t="s">
        <v>3224</v>
      </c>
      <c r="F661" t="s">
        <v>3226</v>
      </c>
      <c r="G661" s="4">
        <v>330814.71000000002</v>
      </c>
      <c r="H661" s="4">
        <v>209925.04</v>
      </c>
      <c r="I661" s="3" t="s">
        <v>3734</v>
      </c>
      <c r="J661">
        <v>5</v>
      </c>
      <c r="K661" s="4">
        <f>Table3[[#This Row],[Sales]]-Table3[[#This Row],[Cost]]</f>
        <v>120889.67000000001</v>
      </c>
      <c r="L661" s="6">
        <f>Table3[[#This Row],[Profit]]/Table3[[#This Row],[Sales]]</f>
        <v>0.36543015272809365</v>
      </c>
    </row>
    <row r="662" spans="1:12" x14ac:dyDescent="0.25">
      <c r="A662" t="s">
        <v>448</v>
      </c>
      <c r="B662" s="2">
        <v>44941</v>
      </c>
      <c r="C662" s="2" t="str">
        <f>TEXT(Table3[[#This Row],[Order Date]],"mmmm")</f>
        <v>January</v>
      </c>
      <c r="D662" t="s">
        <v>3731</v>
      </c>
      <c r="E662" t="s">
        <v>3222</v>
      </c>
      <c r="F662" t="s">
        <v>3226</v>
      </c>
      <c r="G662" s="4">
        <v>51161.03</v>
      </c>
      <c r="H662" s="4">
        <v>42587.45</v>
      </c>
      <c r="I662" s="3" t="s">
        <v>3734</v>
      </c>
      <c r="J662">
        <v>4</v>
      </c>
      <c r="K662" s="4">
        <f>Table3[[#This Row],[Sales]]-Table3[[#This Row],[Cost]]</f>
        <v>8573.5800000000017</v>
      </c>
      <c r="L662" s="6">
        <f>Table3[[#This Row],[Profit]]/Table3[[#This Row],[Sales]]</f>
        <v>0.1675802852288158</v>
      </c>
    </row>
    <row r="663" spans="1:12" x14ac:dyDescent="0.25">
      <c r="A663" t="s">
        <v>676</v>
      </c>
      <c r="B663" s="2">
        <v>44972</v>
      </c>
      <c r="C663" s="2" t="str">
        <f>TEXT(Table3[[#This Row],[Order Date]],"mmmm")</f>
        <v>February</v>
      </c>
      <c r="D663" t="s">
        <v>3731</v>
      </c>
      <c r="E663" t="s">
        <v>3222</v>
      </c>
      <c r="F663" t="s">
        <v>3226</v>
      </c>
      <c r="G663" s="4">
        <v>41568.629999999997</v>
      </c>
      <c r="H663" s="4">
        <v>33254.904000000002</v>
      </c>
      <c r="I663" s="3" t="s">
        <v>3735</v>
      </c>
      <c r="J663">
        <v>3</v>
      </c>
      <c r="K663" s="4">
        <f>Table3[[#This Row],[Sales]]-Table3[[#This Row],[Cost]]</f>
        <v>8313.7259999999951</v>
      </c>
      <c r="L663" s="6">
        <f>Table3[[#This Row],[Profit]]/Table3[[#This Row],[Sales]]</f>
        <v>0.1999999999999999</v>
      </c>
    </row>
    <row r="664" spans="1:12" x14ac:dyDescent="0.25">
      <c r="A664" t="s">
        <v>677</v>
      </c>
      <c r="B664" s="2">
        <v>44972</v>
      </c>
      <c r="C664" s="2" t="str">
        <f>TEXT(Table3[[#This Row],[Order Date]],"mmmm")</f>
        <v>February</v>
      </c>
      <c r="D664" t="s">
        <v>3730</v>
      </c>
      <c r="E664" t="s">
        <v>3225</v>
      </c>
      <c r="F664" t="s">
        <v>3226</v>
      </c>
      <c r="G664" s="4">
        <v>85665.21</v>
      </c>
      <c r="H664" s="4">
        <v>58844.97</v>
      </c>
      <c r="I664" s="3" t="s">
        <v>3734</v>
      </c>
      <c r="J664">
        <v>4</v>
      </c>
      <c r="K664" s="4">
        <f>Table3[[#This Row],[Sales]]-Table3[[#This Row],[Cost]]</f>
        <v>26820.240000000005</v>
      </c>
      <c r="L664" s="6">
        <f>Table3[[#This Row],[Profit]]/Table3[[#This Row],[Sales]]</f>
        <v>0.31308205513066512</v>
      </c>
    </row>
    <row r="665" spans="1:12" x14ac:dyDescent="0.25">
      <c r="A665" t="s">
        <v>678</v>
      </c>
      <c r="B665" s="2">
        <v>45102</v>
      </c>
      <c r="C665" s="2" t="str">
        <f>TEXT(Table3[[#This Row],[Order Date]],"mmmm")</f>
        <v>June</v>
      </c>
      <c r="D665" t="s">
        <v>3216</v>
      </c>
      <c r="E665" t="s">
        <v>3224</v>
      </c>
      <c r="F665" t="s">
        <v>3226</v>
      </c>
      <c r="G665" s="4">
        <v>213811.94</v>
      </c>
      <c r="H665" s="4">
        <v>171288.28</v>
      </c>
      <c r="I665" s="3" t="s">
        <v>3734</v>
      </c>
      <c r="J665">
        <v>4</v>
      </c>
      <c r="K665" s="4">
        <f>Table3[[#This Row],[Sales]]-Table3[[#This Row],[Cost]]</f>
        <v>42523.66</v>
      </c>
      <c r="L665" s="6">
        <f>Table3[[#This Row],[Profit]]/Table3[[#This Row],[Sales]]</f>
        <v>0.19888346740598306</v>
      </c>
    </row>
    <row r="666" spans="1:12" x14ac:dyDescent="0.25">
      <c r="A666" t="s">
        <v>680</v>
      </c>
      <c r="B666" s="2" t="s">
        <v>3729</v>
      </c>
      <c r="C666" s="2" t="str">
        <f>TEXT(Table3[[#This Row],[Order Date]],"mmmm")</f>
        <v>Not Mentioned</v>
      </c>
      <c r="D666" t="s">
        <v>3216</v>
      </c>
      <c r="E666" t="s">
        <v>3222</v>
      </c>
      <c r="F666" t="s">
        <v>3226</v>
      </c>
      <c r="G666" s="4">
        <v>86665.65</v>
      </c>
      <c r="H666" s="4">
        <v>69332.52</v>
      </c>
      <c r="I666" s="3" t="s">
        <v>3735</v>
      </c>
      <c r="J666">
        <v>5</v>
      </c>
      <c r="K666" s="4">
        <f>Table3[[#This Row],[Sales]]-Table3[[#This Row],[Cost]]</f>
        <v>17333.12999999999</v>
      </c>
      <c r="L666" s="6">
        <f>Table3[[#This Row],[Profit]]/Table3[[#This Row],[Sales]]</f>
        <v>0.1999999999999999</v>
      </c>
    </row>
    <row r="667" spans="1:12" x14ac:dyDescent="0.25">
      <c r="A667" t="s">
        <v>3348</v>
      </c>
      <c r="B667" s="2">
        <v>44972</v>
      </c>
      <c r="C667" s="2" t="str">
        <f>TEXT(Table3[[#This Row],[Order Date]],"mmmm")</f>
        <v>February</v>
      </c>
      <c r="D667" t="s">
        <v>3220</v>
      </c>
      <c r="E667" t="s">
        <v>3223</v>
      </c>
      <c r="F667" t="s">
        <v>3226</v>
      </c>
      <c r="G667" s="4">
        <v>16088.11</v>
      </c>
      <c r="H667" s="4">
        <v>13358.23</v>
      </c>
      <c r="I667" s="3" t="s">
        <v>3734</v>
      </c>
      <c r="J667">
        <v>2</v>
      </c>
      <c r="K667" s="4">
        <f>Table3[[#This Row],[Sales]]-Table3[[#This Row],[Cost]]</f>
        <v>2729.880000000001</v>
      </c>
      <c r="L667" s="6">
        <f>Table3[[#This Row],[Profit]]/Table3[[#This Row],[Sales]]</f>
        <v>0.16968307650805475</v>
      </c>
    </row>
    <row r="668" spans="1:12" x14ac:dyDescent="0.25">
      <c r="A668" t="s">
        <v>3349</v>
      </c>
      <c r="B668" s="2">
        <v>45005</v>
      </c>
      <c r="C668" s="2" t="str">
        <f>TEXT(Table3[[#This Row],[Order Date]],"mmmm")</f>
        <v>March</v>
      </c>
      <c r="D668" t="s">
        <v>3220</v>
      </c>
      <c r="E668" t="s">
        <v>3225</v>
      </c>
      <c r="F668" t="s">
        <v>3226</v>
      </c>
      <c r="G668" s="4">
        <v>66959.39</v>
      </c>
      <c r="H668" s="4">
        <v>42412.6</v>
      </c>
      <c r="I668" s="3" t="s">
        <v>3734</v>
      </c>
      <c r="J668">
        <v>3</v>
      </c>
      <c r="K668" s="4">
        <f>Table3[[#This Row],[Sales]]-Table3[[#This Row],[Cost]]</f>
        <v>24546.79</v>
      </c>
      <c r="L668" s="6">
        <f>Table3[[#This Row],[Profit]]/Table3[[#This Row],[Sales]]</f>
        <v>0.36659219864458148</v>
      </c>
    </row>
    <row r="669" spans="1:12" x14ac:dyDescent="0.25">
      <c r="A669" t="s">
        <v>683</v>
      </c>
      <c r="B669" s="2">
        <v>44972</v>
      </c>
      <c r="C669" s="2" t="str">
        <f>TEXT(Table3[[#This Row],[Order Date]],"mmmm")</f>
        <v>February</v>
      </c>
      <c r="D669" t="s">
        <v>3220</v>
      </c>
      <c r="E669" t="s">
        <v>3224</v>
      </c>
      <c r="F669" t="s">
        <v>3226</v>
      </c>
      <c r="G669" s="4">
        <v>50740.41</v>
      </c>
      <c r="H669" s="4">
        <v>44081.09</v>
      </c>
      <c r="I669" s="3" t="s">
        <v>3734</v>
      </c>
      <c r="J669">
        <v>1</v>
      </c>
      <c r="K669" s="4">
        <f>Table3[[#This Row],[Sales]]-Table3[[#This Row],[Cost]]</f>
        <v>6659.320000000007</v>
      </c>
      <c r="L669" s="6">
        <f>Table3[[#This Row],[Profit]]/Table3[[#This Row],[Sales]]</f>
        <v>0.13124292846667984</v>
      </c>
    </row>
    <row r="670" spans="1:12" x14ac:dyDescent="0.25">
      <c r="A670" t="s">
        <v>684</v>
      </c>
      <c r="B670" s="2">
        <v>45021</v>
      </c>
      <c r="C670" s="2" t="str">
        <f>TEXT(Table3[[#This Row],[Order Date]],"mmmm")</f>
        <v>April</v>
      </c>
      <c r="D670" t="s">
        <v>3730</v>
      </c>
      <c r="E670" t="s">
        <v>3223</v>
      </c>
      <c r="F670" t="s">
        <v>3226</v>
      </c>
      <c r="G670" s="4">
        <v>45609.1</v>
      </c>
      <c r="H670" s="4">
        <v>31147.81</v>
      </c>
      <c r="I670" s="3" t="s">
        <v>3734</v>
      </c>
      <c r="J670">
        <v>5</v>
      </c>
      <c r="K670" s="4">
        <f>Table3[[#This Row],[Sales]]-Table3[[#This Row],[Cost]]</f>
        <v>14461.289999999997</v>
      </c>
      <c r="L670" s="6">
        <f>Table3[[#This Row],[Profit]]/Table3[[#This Row],[Sales]]</f>
        <v>0.31707027764196177</v>
      </c>
    </row>
    <row r="671" spans="1:12" x14ac:dyDescent="0.25">
      <c r="A671" t="s">
        <v>685</v>
      </c>
      <c r="B671" s="2">
        <v>44972</v>
      </c>
      <c r="C671" s="2" t="str">
        <f>TEXT(Table3[[#This Row],[Order Date]],"mmmm")</f>
        <v>February</v>
      </c>
      <c r="D671" t="s">
        <v>3220</v>
      </c>
      <c r="E671" t="s">
        <v>3224</v>
      </c>
      <c r="F671" t="s">
        <v>3226</v>
      </c>
      <c r="G671" s="4">
        <v>124230.9</v>
      </c>
      <c r="H671" s="4">
        <v>79611.37</v>
      </c>
      <c r="I671" s="3" t="s">
        <v>3734</v>
      </c>
      <c r="J671">
        <v>2</v>
      </c>
      <c r="K671" s="4">
        <f>Table3[[#This Row],[Sales]]-Table3[[#This Row],[Cost]]</f>
        <v>44619.53</v>
      </c>
      <c r="L671" s="6">
        <f>Table3[[#This Row],[Profit]]/Table3[[#This Row],[Sales]]</f>
        <v>0.35916611728643999</v>
      </c>
    </row>
    <row r="672" spans="1:12" x14ac:dyDescent="0.25">
      <c r="A672" t="s">
        <v>686</v>
      </c>
      <c r="B672" s="2">
        <v>45102</v>
      </c>
      <c r="C672" s="2" t="str">
        <f>TEXT(Table3[[#This Row],[Order Date]],"mmmm")</f>
        <v>June</v>
      </c>
      <c r="D672" t="s">
        <v>3731</v>
      </c>
      <c r="E672" t="s">
        <v>3225</v>
      </c>
      <c r="F672" t="s">
        <v>3226</v>
      </c>
      <c r="G672" s="4">
        <v>91580.17</v>
      </c>
      <c r="H672" s="4">
        <v>55499.97</v>
      </c>
      <c r="I672" s="3" t="s">
        <v>3734</v>
      </c>
      <c r="J672">
        <v>4</v>
      </c>
      <c r="K672" s="4">
        <f>Table3[[#This Row],[Sales]]-Table3[[#This Row],[Cost]]</f>
        <v>36080.199999999997</v>
      </c>
      <c r="L672" s="6">
        <f>Table3[[#This Row],[Profit]]/Table3[[#This Row],[Sales]]</f>
        <v>0.39397393562383642</v>
      </c>
    </row>
    <row r="673" spans="1:12" x14ac:dyDescent="0.25">
      <c r="A673" t="s">
        <v>687</v>
      </c>
      <c r="B673" s="2">
        <v>44941</v>
      </c>
      <c r="C673" s="2" t="str">
        <f>TEXT(Table3[[#This Row],[Order Date]],"mmmm")</f>
        <v>January</v>
      </c>
      <c r="D673" t="s">
        <v>3730</v>
      </c>
      <c r="E673" t="s">
        <v>3224</v>
      </c>
      <c r="F673" t="s">
        <v>3226</v>
      </c>
      <c r="G673" s="4">
        <v>50368.45</v>
      </c>
      <c r="H673" s="4">
        <v>44772.81</v>
      </c>
      <c r="I673" s="3" t="s">
        <v>3734</v>
      </c>
      <c r="J673">
        <v>1</v>
      </c>
      <c r="K673" s="4">
        <f>Table3[[#This Row],[Sales]]-Table3[[#This Row],[Cost]]</f>
        <v>5595.6399999999994</v>
      </c>
      <c r="L673" s="6">
        <f>Table3[[#This Row],[Profit]]/Table3[[#This Row],[Sales]]</f>
        <v>0.11109414722906899</v>
      </c>
    </row>
    <row r="674" spans="1:12" x14ac:dyDescent="0.25">
      <c r="A674" t="s">
        <v>688</v>
      </c>
      <c r="B674" s="2">
        <v>44941</v>
      </c>
      <c r="C674" s="2" t="str">
        <f>TEXT(Table3[[#This Row],[Order Date]],"mmmm")</f>
        <v>January</v>
      </c>
      <c r="D674" t="s">
        <v>3216</v>
      </c>
      <c r="E674" t="s">
        <v>3223</v>
      </c>
      <c r="F674" t="s">
        <v>3226</v>
      </c>
      <c r="G674" s="4">
        <v>51296.83</v>
      </c>
      <c r="H674" s="4">
        <v>41037.464000000007</v>
      </c>
      <c r="I674" s="3" t="s">
        <v>3735</v>
      </c>
      <c r="J674">
        <v>5</v>
      </c>
      <c r="K674" s="4">
        <f>Table3[[#This Row],[Sales]]-Table3[[#This Row],[Cost]]</f>
        <v>10259.365999999995</v>
      </c>
      <c r="L674" s="6">
        <f>Table3[[#This Row],[Profit]]/Table3[[#This Row],[Sales]]</f>
        <v>0.1999999999999999</v>
      </c>
    </row>
    <row r="675" spans="1:12" x14ac:dyDescent="0.25">
      <c r="A675" t="s">
        <v>689</v>
      </c>
      <c r="B675" s="2">
        <v>44972</v>
      </c>
      <c r="C675" s="2" t="str">
        <f>TEXT(Table3[[#This Row],[Order Date]],"mmmm")</f>
        <v>February</v>
      </c>
      <c r="D675" t="s">
        <v>3220</v>
      </c>
      <c r="E675" t="s">
        <v>3223</v>
      </c>
      <c r="F675" t="s">
        <v>3226</v>
      </c>
      <c r="G675" s="4">
        <v>22876.02</v>
      </c>
      <c r="H675" s="4">
        <v>14384.25</v>
      </c>
      <c r="I675" s="3" t="s">
        <v>3734</v>
      </c>
      <c r="J675">
        <v>2</v>
      </c>
      <c r="K675" s="4">
        <f>Table3[[#This Row],[Sales]]-Table3[[#This Row],[Cost]]</f>
        <v>8491.77</v>
      </c>
      <c r="L675" s="6">
        <f>Table3[[#This Row],[Profit]]/Table3[[#This Row],[Sales]]</f>
        <v>0.37120836579090244</v>
      </c>
    </row>
    <row r="676" spans="1:12" x14ac:dyDescent="0.25">
      <c r="A676" t="s">
        <v>690</v>
      </c>
      <c r="B676" s="2" t="s">
        <v>3729</v>
      </c>
      <c r="C676" s="2" t="str">
        <f>TEXT(Table3[[#This Row],[Order Date]],"mmmm")</f>
        <v>Not Mentioned</v>
      </c>
      <c r="D676" t="s">
        <v>3730</v>
      </c>
      <c r="E676" t="s">
        <v>3225</v>
      </c>
      <c r="F676" t="s">
        <v>3226</v>
      </c>
      <c r="G676" s="4">
        <v>33990.949999999997</v>
      </c>
      <c r="H676" s="4">
        <v>30535.37</v>
      </c>
      <c r="I676" s="3" t="s">
        <v>3734</v>
      </c>
      <c r="J676">
        <v>2</v>
      </c>
      <c r="K676" s="4">
        <f>Table3[[#This Row],[Sales]]-Table3[[#This Row],[Cost]]</f>
        <v>3455.5799999999981</v>
      </c>
      <c r="L676" s="6">
        <f>Table3[[#This Row],[Profit]]/Table3[[#This Row],[Sales]]</f>
        <v>0.10166176585238125</v>
      </c>
    </row>
    <row r="677" spans="1:12" x14ac:dyDescent="0.25">
      <c r="A677" t="s">
        <v>691</v>
      </c>
      <c r="B677" s="2" t="s">
        <v>3729</v>
      </c>
      <c r="C677" s="2" t="str">
        <f>TEXT(Table3[[#This Row],[Order Date]],"mmmm")</f>
        <v>Not Mentioned</v>
      </c>
      <c r="D677" t="s">
        <v>3220</v>
      </c>
      <c r="E677" t="s">
        <v>3225</v>
      </c>
      <c r="F677" t="s">
        <v>3226</v>
      </c>
      <c r="G677" s="4">
        <v>56799.3</v>
      </c>
      <c r="H677" s="4">
        <v>42200.77</v>
      </c>
      <c r="I677" s="3" t="s">
        <v>3734</v>
      </c>
      <c r="J677">
        <v>3</v>
      </c>
      <c r="K677" s="4">
        <f>Table3[[#This Row],[Sales]]-Table3[[#This Row],[Cost]]</f>
        <v>14598.530000000006</v>
      </c>
      <c r="L677" s="6">
        <f>Table3[[#This Row],[Profit]]/Table3[[#This Row],[Sales]]</f>
        <v>0.25701954073377675</v>
      </c>
    </row>
    <row r="678" spans="1:12" x14ac:dyDescent="0.25">
      <c r="A678" t="s">
        <v>692</v>
      </c>
      <c r="B678" s="2">
        <v>45005</v>
      </c>
      <c r="C678" s="2" t="str">
        <f>TEXT(Table3[[#This Row],[Order Date]],"mmmm")</f>
        <v>March</v>
      </c>
      <c r="D678" t="s">
        <v>3220</v>
      </c>
      <c r="E678" t="s">
        <v>3225</v>
      </c>
      <c r="F678" t="s">
        <v>3226</v>
      </c>
      <c r="G678" s="4">
        <v>68098.820000000007</v>
      </c>
      <c r="H678" s="4">
        <v>38953.589999999997</v>
      </c>
      <c r="I678" s="3" t="s">
        <v>3734</v>
      </c>
      <c r="J678">
        <v>3</v>
      </c>
      <c r="K678" s="4">
        <f>Table3[[#This Row],[Sales]]-Table3[[#This Row],[Cost]]</f>
        <v>29145.23000000001</v>
      </c>
      <c r="L678" s="6">
        <f>Table3[[#This Row],[Profit]]/Table3[[#This Row],[Sales]]</f>
        <v>0.42798436154987718</v>
      </c>
    </row>
    <row r="679" spans="1:12" x14ac:dyDescent="0.25">
      <c r="A679" t="s">
        <v>693</v>
      </c>
      <c r="B679" s="2">
        <v>44972</v>
      </c>
      <c r="C679" s="2" t="str">
        <f>TEXT(Table3[[#This Row],[Order Date]],"mmmm")</f>
        <v>February</v>
      </c>
      <c r="D679" t="s">
        <v>3730</v>
      </c>
      <c r="E679" t="s">
        <v>3225</v>
      </c>
      <c r="F679" t="s">
        <v>3226</v>
      </c>
      <c r="G679" s="4">
        <v>105118.35</v>
      </c>
      <c r="H679" s="4">
        <v>64315.83</v>
      </c>
      <c r="I679" s="3" t="s">
        <v>3734</v>
      </c>
      <c r="J679">
        <v>5</v>
      </c>
      <c r="K679" s="4">
        <f>Table3[[#This Row],[Sales]]-Table3[[#This Row],[Cost]]</f>
        <v>40802.520000000004</v>
      </c>
      <c r="L679" s="6">
        <f>Table3[[#This Row],[Profit]]/Table3[[#This Row],[Sales]]</f>
        <v>0.38815791914542042</v>
      </c>
    </row>
    <row r="680" spans="1:12" x14ac:dyDescent="0.25">
      <c r="A680" t="s">
        <v>694</v>
      </c>
      <c r="B680" s="2">
        <v>45102</v>
      </c>
      <c r="C680" s="2" t="str">
        <f>TEXT(Table3[[#This Row],[Order Date]],"mmmm")</f>
        <v>June</v>
      </c>
      <c r="D680" t="s">
        <v>3220</v>
      </c>
      <c r="E680" t="s">
        <v>3224</v>
      </c>
      <c r="F680" t="s">
        <v>3226</v>
      </c>
      <c r="G680" s="4">
        <v>221122.97</v>
      </c>
      <c r="H680" s="4">
        <v>170677.76000000001</v>
      </c>
      <c r="I680" s="3" t="s">
        <v>3734</v>
      </c>
      <c r="J680">
        <v>4</v>
      </c>
      <c r="K680" s="4">
        <f>Table3[[#This Row],[Sales]]-Table3[[#This Row],[Cost]]</f>
        <v>50445.209999999992</v>
      </c>
      <c r="L680" s="6">
        <f>Table3[[#This Row],[Profit]]/Table3[[#This Row],[Sales]]</f>
        <v>0.22813193039149207</v>
      </c>
    </row>
    <row r="681" spans="1:12" x14ac:dyDescent="0.25">
      <c r="A681" t="s">
        <v>3350</v>
      </c>
      <c r="B681" s="2">
        <v>45005</v>
      </c>
      <c r="C681" s="2" t="str">
        <f>TEXT(Table3[[#This Row],[Order Date]],"mmmm")</f>
        <v>March</v>
      </c>
      <c r="D681" t="s">
        <v>3220</v>
      </c>
      <c r="E681" t="s">
        <v>3225</v>
      </c>
      <c r="F681" t="s">
        <v>3226</v>
      </c>
      <c r="G681" s="4">
        <v>58432.28</v>
      </c>
      <c r="H681" s="4">
        <v>37724.82</v>
      </c>
      <c r="I681" s="3" t="s">
        <v>3734</v>
      </c>
      <c r="J681">
        <v>3</v>
      </c>
      <c r="K681" s="4">
        <f>Table3[[#This Row],[Sales]]-Table3[[#This Row],[Cost]]</f>
        <v>20707.46</v>
      </c>
      <c r="L681" s="6">
        <f>Table3[[#This Row],[Profit]]/Table3[[#This Row],[Sales]]</f>
        <v>0.35438391245386969</v>
      </c>
    </row>
    <row r="682" spans="1:12" x14ac:dyDescent="0.25">
      <c r="A682" t="s">
        <v>696</v>
      </c>
      <c r="B682" s="2">
        <v>44972</v>
      </c>
      <c r="C682" s="2" t="str">
        <f>TEXT(Table3[[#This Row],[Order Date]],"mmmm")</f>
        <v>February</v>
      </c>
      <c r="D682" t="s">
        <v>3216</v>
      </c>
      <c r="E682" t="s">
        <v>3225</v>
      </c>
      <c r="F682" t="s">
        <v>3226</v>
      </c>
      <c r="G682" s="4">
        <v>70479.87</v>
      </c>
      <c r="H682" s="4">
        <v>36815.919999999998</v>
      </c>
      <c r="I682" s="3" t="s">
        <v>3734</v>
      </c>
      <c r="J682">
        <v>3</v>
      </c>
      <c r="K682" s="4">
        <f>Table3[[#This Row],[Sales]]-Table3[[#This Row],[Cost]]</f>
        <v>33663.949999999997</v>
      </c>
      <c r="L682" s="6">
        <f>Table3[[#This Row],[Profit]]/Table3[[#This Row],[Sales]]</f>
        <v>0.4776392181200107</v>
      </c>
    </row>
    <row r="683" spans="1:12" x14ac:dyDescent="0.25">
      <c r="A683" t="s">
        <v>3351</v>
      </c>
      <c r="B683" s="2">
        <v>45005</v>
      </c>
      <c r="C683" s="2" t="str">
        <f>TEXT(Table3[[#This Row],[Order Date]],"mmmm")</f>
        <v>March</v>
      </c>
      <c r="D683" t="s">
        <v>3731</v>
      </c>
      <c r="E683" t="s">
        <v>3222</v>
      </c>
      <c r="F683" t="s">
        <v>3226</v>
      </c>
      <c r="G683" s="4">
        <v>29800.83</v>
      </c>
      <c r="H683" s="4">
        <v>17558.18</v>
      </c>
      <c r="I683" s="3" t="s">
        <v>3734</v>
      </c>
      <c r="J683">
        <v>2</v>
      </c>
      <c r="K683" s="4">
        <f>Table3[[#This Row],[Sales]]-Table3[[#This Row],[Cost]]</f>
        <v>12242.650000000001</v>
      </c>
      <c r="L683" s="6">
        <f>Table3[[#This Row],[Profit]]/Table3[[#This Row],[Sales]]</f>
        <v>0.41081573902471846</v>
      </c>
    </row>
    <row r="684" spans="1:12" x14ac:dyDescent="0.25">
      <c r="A684" t="s">
        <v>698</v>
      </c>
      <c r="B684" s="2">
        <v>45005</v>
      </c>
      <c r="C684" s="2" t="str">
        <f>TEXT(Table3[[#This Row],[Order Date]],"mmmm")</f>
        <v>March</v>
      </c>
      <c r="D684" t="s">
        <v>3730</v>
      </c>
      <c r="E684" t="s">
        <v>3223</v>
      </c>
      <c r="F684" t="s">
        <v>3226</v>
      </c>
      <c r="G684" s="4">
        <v>9096.33</v>
      </c>
      <c r="H684" s="4">
        <v>7352.04</v>
      </c>
      <c r="I684" s="3" t="s">
        <v>3734</v>
      </c>
      <c r="J684">
        <v>1</v>
      </c>
      <c r="K684" s="4">
        <f>Table3[[#This Row],[Sales]]-Table3[[#This Row],[Cost]]</f>
        <v>1744.29</v>
      </c>
      <c r="L684" s="6">
        <f>Table3[[#This Row],[Profit]]/Table3[[#This Row],[Sales]]</f>
        <v>0.19175755496997141</v>
      </c>
    </row>
    <row r="685" spans="1:12" x14ac:dyDescent="0.25">
      <c r="A685" t="s">
        <v>699</v>
      </c>
      <c r="B685" s="2">
        <v>45021</v>
      </c>
      <c r="C685" s="2" t="str">
        <f>TEXT(Table3[[#This Row],[Order Date]],"mmmm")</f>
        <v>April</v>
      </c>
      <c r="D685" t="s">
        <v>3731</v>
      </c>
      <c r="E685" t="s">
        <v>3222</v>
      </c>
      <c r="F685" t="s">
        <v>3226</v>
      </c>
      <c r="G685" s="4">
        <v>49591.09</v>
      </c>
      <c r="H685" s="4">
        <v>30542.45</v>
      </c>
      <c r="I685" s="3" t="s">
        <v>3734</v>
      </c>
      <c r="J685">
        <v>3</v>
      </c>
      <c r="K685" s="4">
        <f>Table3[[#This Row],[Sales]]-Table3[[#This Row],[Cost]]</f>
        <v>19048.639999999996</v>
      </c>
      <c r="L685" s="6">
        <f>Table3[[#This Row],[Profit]]/Table3[[#This Row],[Sales]]</f>
        <v>0.38411416244329366</v>
      </c>
    </row>
    <row r="686" spans="1:12" x14ac:dyDescent="0.25">
      <c r="A686" t="s">
        <v>700</v>
      </c>
      <c r="B686" s="2">
        <v>45005</v>
      </c>
      <c r="C686" s="2" t="str">
        <f>TEXT(Table3[[#This Row],[Order Date]],"mmmm")</f>
        <v>March</v>
      </c>
      <c r="D686" t="s">
        <v>3731</v>
      </c>
      <c r="E686" t="s">
        <v>3224</v>
      </c>
      <c r="F686" t="s">
        <v>3226</v>
      </c>
      <c r="G686" s="4">
        <v>288364.65000000002</v>
      </c>
      <c r="H686" s="4">
        <v>227764.91</v>
      </c>
      <c r="I686" s="3" t="s">
        <v>3734</v>
      </c>
      <c r="J686">
        <v>5</v>
      </c>
      <c r="K686" s="4">
        <f>Table3[[#This Row],[Sales]]-Table3[[#This Row],[Cost]]</f>
        <v>60599.74000000002</v>
      </c>
      <c r="L686" s="6">
        <f>Table3[[#This Row],[Profit]]/Table3[[#This Row],[Sales]]</f>
        <v>0.21014968374244214</v>
      </c>
    </row>
    <row r="687" spans="1:12" x14ac:dyDescent="0.25">
      <c r="A687" t="s">
        <v>701</v>
      </c>
      <c r="B687" s="2">
        <v>45021</v>
      </c>
      <c r="C687" s="2" t="str">
        <f>TEXT(Table3[[#This Row],[Order Date]],"mmmm")</f>
        <v>April</v>
      </c>
      <c r="D687" t="s">
        <v>3220</v>
      </c>
      <c r="E687" t="s">
        <v>3224</v>
      </c>
      <c r="F687" t="s">
        <v>3226</v>
      </c>
      <c r="G687" s="4">
        <v>245921.95</v>
      </c>
      <c r="H687" s="4">
        <v>223275.07</v>
      </c>
      <c r="I687" s="3" t="s">
        <v>3734</v>
      </c>
      <c r="J687">
        <v>5</v>
      </c>
      <c r="K687" s="4">
        <f>Table3[[#This Row],[Sales]]-Table3[[#This Row],[Cost]]</f>
        <v>22646.880000000005</v>
      </c>
      <c r="L687" s="6">
        <f>Table3[[#This Row],[Profit]]/Table3[[#This Row],[Sales]]</f>
        <v>9.2089705697275107E-2</v>
      </c>
    </row>
    <row r="688" spans="1:12" x14ac:dyDescent="0.25">
      <c r="A688" t="s">
        <v>3352</v>
      </c>
      <c r="B688" s="2">
        <v>45021</v>
      </c>
      <c r="C688" s="2" t="str">
        <f>TEXT(Table3[[#This Row],[Order Date]],"mmmm")</f>
        <v>April</v>
      </c>
      <c r="D688" t="s">
        <v>3220</v>
      </c>
      <c r="E688" t="s">
        <v>3224</v>
      </c>
      <c r="F688" t="s">
        <v>3226</v>
      </c>
      <c r="G688" s="4">
        <v>325307.32</v>
      </c>
      <c r="H688" s="4">
        <v>246001.87</v>
      </c>
      <c r="I688" s="3" t="s">
        <v>3734</v>
      </c>
      <c r="J688">
        <v>5</v>
      </c>
      <c r="K688" s="4">
        <f>Table3[[#This Row],[Sales]]-Table3[[#This Row],[Cost]]</f>
        <v>79305.450000000012</v>
      </c>
      <c r="L688" s="6">
        <f>Table3[[#This Row],[Profit]]/Table3[[#This Row],[Sales]]</f>
        <v>0.24378624495753742</v>
      </c>
    </row>
    <row r="689" spans="1:12" x14ac:dyDescent="0.25">
      <c r="A689" t="s">
        <v>703</v>
      </c>
      <c r="B689" s="2">
        <v>45021</v>
      </c>
      <c r="C689" s="2" t="str">
        <f>TEXT(Table3[[#This Row],[Order Date]],"mmmm")</f>
        <v>April</v>
      </c>
      <c r="D689" t="s">
        <v>3220</v>
      </c>
      <c r="E689" t="s">
        <v>3223</v>
      </c>
      <c r="F689" t="s">
        <v>3226</v>
      </c>
      <c r="G689" s="4">
        <v>32127.61</v>
      </c>
      <c r="H689" s="4">
        <v>21538.81</v>
      </c>
      <c r="I689" s="3" t="s">
        <v>3734</v>
      </c>
      <c r="J689">
        <v>3</v>
      </c>
      <c r="K689" s="4">
        <f>Table3[[#This Row],[Sales]]-Table3[[#This Row],[Cost]]</f>
        <v>10588.8</v>
      </c>
      <c r="L689" s="6">
        <f>Table3[[#This Row],[Profit]]/Table3[[#This Row],[Sales]]</f>
        <v>0.32958567412888784</v>
      </c>
    </row>
    <row r="690" spans="1:12" x14ac:dyDescent="0.25">
      <c r="A690" t="s">
        <v>704</v>
      </c>
      <c r="B690" s="2" t="s">
        <v>3729</v>
      </c>
      <c r="C690" s="2" t="str">
        <f>TEXT(Table3[[#This Row],[Order Date]],"mmmm")</f>
        <v>Not Mentioned</v>
      </c>
      <c r="D690" t="s">
        <v>3216</v>
      </c>
      <c r="E690" t="s">
        <v>3222</v>
      </c>
      <c r="F690" t="s">
        <v>3226</v>
      </c>
      <c r="G690" s="4">
        <v>17102.580000000002</v>
      </c>
      <c r="H690" s="4">
        <v>9535.82</v>
      </c>
      <c r="I690" s="3" t="s">
        <v>3734</v>
      </c>
      <c r="J690">
        <v>1</v>
      </c>
      <c r="K690" s="4">
        <f>Table3[[#This Row],[Sales]]-Table3[[#This Row],[Cost]]</f>
        <v>7566.760000000002</v>
      </c>
      <c r="L690" s="6">
        <f>Table3[[#This Row],[Profit]]/Table3[[#This Row],[Sales]]</f>
        <v>0.4424338316207263</v>
      </c>
    </row>
    <row r="691" spans="1:12" x14ac:dyDescent="0.25">
      <c r="A691" t="s">
        <v>706</v>
      </c>
      <c r="B691" s="2">
        <v>44941</v>
      </c>
      <c r="C691" s="2" t="str">
        <f>TEXT(Table3[[#This Row],[Order Date]],"mmmm")</f>
        <v>January</v>
      </c>
      <c r="D691" t="s">
        <v>3220</v>
      </c>
      <c r="E691" t="s">
        <v>3224</v>
      </c>
      <c r="F691" t="s">
        <v>3226</v>
      </c>
      <c r="G691" s="4">
        <v>118683.64</v>
      </c>
      <c r="H691" s="4">
        <v>94946.912000000011</v>
      </c>
      <c r="I691" s="3" t="s">
        <v>3735</v>
      </c>
      <c r="J691">
        <v>2</v>
      </c>
      <c r="K691" s="4">
        <f>Table3[[#This Row],[Sales]]-Table3[[#This Row],[Cost]]</f>
        <v>23736.727999999988</v>
      </c>
      <c r="L691" s="6">
        <f>Table3[[#This Row],[Profit]]/Table3[[#This Row],[Sales]]</f>
        <v>0.1999999999999999</v>
      </c>
    </row>
    <row r="692" spans="1:12" x14ac:dyDescent="0.25">
      <c r="A692" t="s">
        <v>707</v>
      </c>
      <c r="B692" s="2">
        <v>45005</v>
      </c>
      <c r="C692" s="2" t="str">
        <f>TEXT(Table3[[#This Row],[Order Date]],"mmmm")</f>
        <v>March</v>
      </c>
      <c r="D692" t="s">
        <v>3220</v>
      </c>
      <c r="E692" t="s">
        <v>3222</v>
      </c>
      <c r="F692" t="s">
        <v>3226</v>
      </c>
      <c r="G692" s="4">
        <v>61913.69</v>
      </c>
      <c r="H692" s="4">
        <v>40670.370000000003</v>
      </c>
      <c r="I692" s="3" t="s">
        <v>3734</v>
      </c>
      <c r="J692">
        <v>4</v>
      </c>
      <c r="K692" s="4">
        <f>Table3[[#This Row],[Sales]]-Table3[[#This Row],[Cost]]</f>
        <v>21243.32</v>
      </c>
      <c r="L692" s="6">
        <f>Table3[[#This Row],[Profit]]/Table3[[#This Row],[Sales]]</f>
        <v>0.34311183843185566</v>
      </c>
    </row>
    <row r="693" spans="1:12" x14ac:dyDescent="0.25">
      <c r="A693" t="s">
        <v>311</v>
      </c>
      <c r="B693" s="2">
        <v>45102</v>
      </c>
      <c r="C693" s="2" t="str">
        <f>TEXT(Table3[[#This Row],[Order Date]],"mmmm")</f>
        <v>June</v>
      </c>
      <c r="D693" t="s">
        <v>3730</v>
      </c>
      <c r="E693" t="s">
        <v>3223</v>
      </c>
      <c r="F693" t="s">
        <v>3226</v>
      </c>
      <c r="G693" s="4">
        <v>11610.17</v>
      </c>
      <c r="H693" s="4">
        <v>6078.29</v>
      </c>
      <c r="I693" s="3" t="s">
        <v>3734</v>
      </c>
      <c r="J693">
        <v>1</v>
      </c>
      <c r="K693" s="4">
        <f>Table3[[#This Row],[Sales]]-Table3[[#This Row],[Cost]]</f>
        <v>5531.88</v>
      </c>
      <c r="L693" s="6">
        <f>Table3[[#This Row],[Profit]]/Table3[[#This Row],[Sales]]</f>
        <v>0.47646847548313248</v>
      </c>
    </row>
    <row r="694" spans="1:12" x14ac:dyDescent="0.25">
      <c r="A694" t="s">
        <v>710</v>
      </c>
      <c r="B694" s="2">
        <v>45005</v>
      </c>
      <c r="C694" s="2" t="str">
        <f>TEXT(Table3[[#This Row],[Order Date]],"mmmm")</f>
        <v>March</v>
      </c>
      <c r="D694" t="s">
        <v>3220</v>
      </c>
      <c r="E694" t="s">
        <v>3223</v>
      </c>
      <c r="F694" t="s">
        <v>3226</v>
      </c>
      <c r="G694" s="4">
        <v>34033.42</v>
      </c>
      <c r="H694" s="4">
        <v>19241.080000000002</v>
      </c>
      <c r="I694" s="3" t="s">
        <v>3734</v>
      </c>
      <c r="J694">
        <v>3</v>
      </c>
      <c r="K694" s="4">
        <f>Table3[[#This Row],[Sales]]-Table3[[#This Row],[Cost]]</f>
        <v>14792.339999999997</v>
      </c>
      <c r="L694" s="6">
        <f>Table3[[#This Row],[Profit]]/Table3[[#This Row],[Sales]]</f>
        <v>0.43464159640729605</v>
      </c>
    </row>
    <row r="695" spans="1:12" x14ac:dyDescent="0.25">
      <c r="A695" t="s">
        <v>712</v>
      </c>
      <c r="B695" s="2" t="s">
        <v>3729</v>
      </c>
      <c r="C695" s="2" t="str">
        <f>TEXT(Table3[[#This Row],[Order Date]],"mmmm")</f>
        <v>Not Mentioned</v>
      </c>
      <c r="D695" t="s">
        <v>3730</v>
      </c>
      <c r="E695" t="s">
        <v>3225</v>
      </c>
      <c r="F695" t="s">
        <v>3226</v>
      </c>
      <c r="G695" s="4">
        <v>46205.41</v>
      </c>
      <c r="H695" s="4">
        <v>26985.87</v>
      </c>
      <c r="I695" s="3" t="s">
        <v>3734</v>
      </c>
      <c r="J695">
        <v>2</v>
      </c>
      <c r="K695" s="4">
        <f>Table3[[#This Row],[Sales]]-Table3[[#This Row],[Cost]]</f>
        <v>19219.540000000005</v>
      </c>
      <c r="L695" s="6">
        <f>Table3[[#This Row],[Profit]]/Table3[[#This Row],[Sales]]</f>
        <v>0.41595865072942761</v>
      </c>
    </row>
    <row r="696" spans="1:12" x14ac:dyDescent="0.25">
      <c r="A696" t="s">
        <v>3249</v>
      </c>
      <c r="B696" s="2">
        <v>45102</v>
      </c>
      <c r="C696" s="2" t="str">
        <f>TEXT(Table3[[#This Row],[Order Date]],"mmmm")</f>
        <v>June</v>
      </c>
      <c r="D696" t="s">
        <v>3220</v>
      </c>
      <c r="E696" t="s">
        <v>3223</v>
      </c>
      <c r="F696" t="s">
        <v>3226</v>
      </c>
      <c r="G696" s="4">
        <v>28657.18</v>
      </c>
      <c r="H696" s="4">
        <v>19122.04</v>
      </c>
      <c r="I696" s="3" t="s">
        <v>3734</v>
      </c>
      <c r="J696" t="s">
        <v>3732</v>
      </c>
      <c r="K696" s="4">
        <f>Table3[[#This Row],[Sales]]-Table3[[#This Row],[Cost]]</f>
        <v>9535.14</v>
      </c>
      <c r="L696" s="6">
        <f>Table3[[#This Row],[Profit]]/Table3[[#This Row],[Sales]]</f>
        <v>0.33273127362845889</v>
      </c>
    </row>
    <row r="697" spans="1:12" x14ac:dyDescent="0.25">
      <c r="A697" t="s">
        <v>713</v>
      </c>
      <c r="B697" s="2">
        <v>45005</v>
      </c>
      <c r="C697" s="2" t="str">
        <f>TEXT(Table3[[#This Row],[Order Date]],"mmmm")</f>
        <v>March</v>
      </c>
      <c r="D697" t="s">
        <v>3730</v>
      </c>
      <c r="E697" t="s">
        <v>3223</v>
      </c>
      <c r="F697" t="s">
        <v>3226</v>
      </c>
      <c r="G697" s="4">
        <v>10226.84</v>
      </c>
      <c r="H697" s="4">
        <v>7242.02</v>
      </c>
      <c r="I697" s="3" t="s">
        <v>3734</v>
      </c>
      <c r="J697">
        <v>1</v>
      </c>
      <c r="K697" s="4">
        <f>Table3[[#This Row],[Sales]]-Table3[[#This Row],[Cost]]</f>
        <v>2984.8199999999997</v>
      </c>
      <c r="L697" s="6">
        <f>Table3[[#This Row],[Profit]]/Table3[[#This Row],[Sales]]</f>
        <v>0.29186141564745316</v>
      </c>
    </row>
    <row r="698" spans="1:12" x14ac:dyDescent="0.25">
      <c r="A698" t="s">
        <v>714</v>
      </c>
      <c r="B698" s="2">
        <v>45021</v>
      </c>
      <c r="C698" s="2" t="str">
        <f>TEXT(Table3[[#This Row],[Order Date]],"mmmm")</f>
        <v>April</v>
      </c>
      <c r="D698" t="s">
        <v>3730</v>
      </c>
      <c r="E698" t="s">
        <v>3223</v>
      </c>
      <c r="F698" t="s">
        <v>3226</v>
      </c>
      <c r="G698" s="4">
        <v>31423.02</v>
      </c>
      <c r="H698" s="4">
        <v>25138.416000000001</v>
      </c>
      <c r="I698" s="3" t="s">
        <v>3735</v>
      </c>
      <c r="J698">
        <v>3</v>
      </c>
      <c r="K698" s="4">
        <f>Table3[[#This Row],[Sales]]-Table3[[#This Row],[Cost]]</f>
        <v>6284.6039999999994</v>
      </c>
      <c r="L698" s="6">
        <f>Table3[[#This Row],[Profit]]/Table3[[#This Row],[Sales]]</f>
        <v>0.19999999999999998</v>
      </c>
    </row>
    <row r="699" spans="1:12" x14ac:dyDescent="0.25">
      <c r="A699" t="s">
        <v>715</v>
      </c>
      <c r="B699" s="2">
        <v>44972</v>
      </c>
      <c r="C699" s="2" t="str">
        <f>TEXT(Table3[[#This Row],[Order Date]],"mmmm")</f>
        <v>February</v>
      </c>
      <c r="D699" t="s">
        <v>3220</v>
      </c>
      <c r="E699" t="s">
        <v>3222</v>
      </c>
      <c r="F699" t="s">
        <v>3226</v>
      </c>
      <c r="G699" s="4">
        <v>85067.15</v>
      </c>
      <c r="H699" s="4">
        <v>43045.760000000002</v>
      </c>
      <c r="I699" s="3" t="s">
        <v>3734</v>
      </c>
      <c r="J699" t="s">
        <v>3732</v>
      </c>
      <c r="K699" s="4">
        <f>Table3[[#This Row],[Sales]]-Table3[[#This Row],[Cost]]</f>
        <v>42021.389999999992</v>
      </c>
      <c r="L699" s="6">
        <f>Table3[[#This Row],[Profit]]/Table3[[#This Row],[Sales]]</f>
        <v>0.4939790506676196</v>
      </c>
    </row>
    <row r="700" spans="1:12" x14ac:dyDescent="0.25">
      <c r="A700" t="s">
        <v>716</v>
      </c>
      <c r="B700" s="2">
        <v>45102</v>
      </c>
      <c r="C700" s="2" t="str">
        <f>TEXT(Table3[[#This Row],[Order Date]],"mmmm")</f>
        <v>June</v>
      </c>
      <c r="D700" t="s">
        <v>3216</v>
      </c>
      <c r="E700" t="s">
        <v>3223</v>
      </c>
      <c r="F700" t="s">
        <v>3226</v>
      </c>
      <c r="G700" s="4">
        <v>21312.81</v>
      </c>
      <c r="H700" s="4">
        <v>13748.17</v>
      </c>
      <c r="I700" s="3" t="s">
        <v>3734</v>
      </c>
      <c r="J700">
        <v>2</v>
      </c>
      <c r="K700" s="4">
        <f>Table3[[#This Row],[Sales]]-Table3[[#This Row],[Cost]]</f>
        <v>7564.6400000000012</v>
      </c>
      <c r="L700" s="6">
        <f>Table3[[#This Row],[Profit]]/Table3[[#This Row],[Sales]]</f>
        <v>0.35493395755885782</v>
      </c>
    </row>
    <row r="701" spans="1:12" x14ac:dyDescent="0.25">
      <c r="A701" t="s">
        <v>717</v>
      </c>
      <c r="B701" s="2">
        <v>45005</v>
      </c>
      <c r="C701" s="2" t="str">
        <f>TEXT(Table3[[#This Row],[Order Date]],"mmmm")</f>
        <v>March</v>
      </c>
      <c r="D701" t="s">
        <v>3730</v>
      </c>
      <c r="E701" t="s">
        <v>3224</v>
      </c>
      <c r="F701" t="s">
        <v>3226</v>
      </c>
      <c r="G701" s="4">
        <v>269219.94</v>
      </c>
      <c r="H701" s="4">
        <v>155962.34</v>
      </c>
      <c r="I701" s="3" t="s">
        <v>3734</v>
      </c>
      <c r="J701">
        <v>4</v>
      </c>
      <c r="K701" s="4">
        <f>Table3[[#This Row],[Sales]]-Table3[[#This Row],[Cost]]</f>
        <v>113257.60000000001</v>
      </c>
      <c r="L701" s="6">
        <f>Table3[[#This Row],[Profit]]/Table3[[#This Row],[Sales]]</f>
        <v>0.42068800698789249</v>
      </c>
    </row>
    <row r="702" spans="1:12" x14ac:dyDescent="0.25">
      <c r="A702" t="s">
        <v>718</v>
      </c>
      <c r="B702" s="2" t="s">
        <v>3729</v>
      </c>
      <c r="C702" s="2" t="str">
        <f>TEXT(Table3[[#This Row],[Order Date]],"mmmm")</f>
        <v>Not Mentioned</v>
      </c>
      <c r="D702" t="s">
        <v>3730</v>
      </c>
      <c r="E702" t="s">
        <v>3225</v>
      </c>
      <c r="F702" t="s">
        <v>3226</v>
      </c>
      <c r="G702" s="4">
        <v>16563.689999999999</v>
      </c>
      <c r="H702" s="4">
        <v>12873.5</v>
      </c>
      <c r="I702" s="3" t="s">
        <v>3734</v>
      </c>
      <c r="J702">
        <v>1</v>
      </c>
      <c r="K702" s="4">
        <f>Table3[[#This Row],[Sales]]-Table3[[#This Row],[Cost]]</f>
        <v>3690.1899999999987</v>
      </c>
      <c r="L702" s="6">
        <f>Table3[[#This Row],[Profit]]/Table3[[#This Row],[Sales]]</f>
        <v>0.222787917426612</v>
      </c>
    </row>
    <row r="703" spans="1:12" x14ac:dyDescent="0.25">
      <c r="A703" t="s">
        <v>3354</v>
      </c>
      <c r="B703" s="2">
        <v>45005</v>
      </c>
      <c r="C703" s="2" t="str">
        <f>TEXT(Table3[[#This Row],[Order Date]],"mmmm")</f>
        <v>March</v>
      </c>
      <c r="D703" t="s">
        <v>3220</v>
      </c>
      <c r="E703" t="s">
        <v>3222</v>
      </c>
      <c r="F703" t="s">
        <v>3226</v>
      </c>
      <c r="G703" s="4">
        <v>13184.69</v>
      </c>
      <c r="H703" s="4">
        <v>10960.3</v>
      </c>
      <c r="I703" s="3" t="s">
        <v>3734</v>
      </c>
      <c r="J703">
        <v>1</v>
      </c>
      <c r="K703" s="4">
        <f>Table3[[#This Row],[Sales]]-Table3[[#This Row],[Cost]]</f>
        <v>2224.3900000000012</v>
      </c>
      <c r="L703" s="6">
        <f>Table3[[#This Row],[Profit]]/Table3[[#This Row],[Sales]]</f>
        <v>0.16871007206085248</v>
      </c>
    </row>
    <row r="704" spans="1:12" x14ac:dyDescent="0.25">
      <c r="A704" t="s">
        <v>720</v>
      </c>
      <c r="B704" s="2" t="s">
        <v>3729</v>
      </c>
      <c r="C704" s="2" t="str">
        <f>TEXT(Table3[[#This Row],[Order Date]],"mmmm")</f>
        <v>Not Mentioned</v>
      </c>
      <c r="D704" t="s">
        <v>3731</v>
      </c>
      <c r="E704" t="s">
        <v>3225</v>
      </c>
      <c r="F704" t="s">
        <v>3226</v>
      </c>
      <c r="G704" s="4">
        <v>83085.77</v>
      </c>
      <c r="H704" s="4">
        <v>64858.43</v>
      </c>
      <c r="I704" s="3" t="s">
        <v>3734</v>
      </c>
      <c r="J704">
        <v>5</v>
      </c>
      <c r="K704" s="4">
        <f>Table3[[#This Row],[Sales]]-Table3[[#This Row],[Cost]]</f>
        <v>18227.340000000004</v>
      </c>
      <c r="L704" s="6">
        <f>Table3[[#This Row],[Profit]]/Table3[[#This Row],[Sales]]</f>
        <v>0.21937980474875546</v>
      </c>
    </row>
    <row r="705" spans="1:12" x14ac:dyDescent="0.25">
      <c r="A705" t="s">
        <v>86</v>
      </c>
      <c r="B705" s="2">
        <v>45005</v>
      </c>
      <c r="C705" s="2" t="str">
        <f>TEXT(Table3[[#This Row],[Order Date]],"mmmm")</f>
        <v>March</v>
      </c>
      <c r="D705" t="s">
        <v>3730</v>
      </c>
      <c r="E705" t="s">
        <v>3222</v>
      </c>
      <c r="F705" t="s">
        <v>3226</v>
      </c>
      <c r="G705" s="4">
        <v>54905.24</v>
      </c>
      <c r="H705" s="4">
        <v>43924.192000000003</v>
      </c>
      <c r="I705" s="3" t="s">
        <v>3735</v>
      </c>
      <c r="J705">
        <v>4</v>
      </c>
      <c r="K705" s="4">
        <f>Table3[[#This Row],[Sales]]-Table3[[#This Row],[Cost]]</f>
        <v>10981.047999999995</v>
      </c>
      <c r="L705" s="6">
        <f>Table3[[#This Row],[Profit]]/Table3[[#This Row],[Sales]]</f>
        <v>0.19999999999999993</v>
      </c>
    </row>
    <row r="706" spans="1:12" x14ac:dyDescent="0.25">
      <c r="A706" t="s">
        <v>721</v>
      </c>
      <c r="B706" s="2">
        <v>44972</v>
      </c>
      <c r="C706" s="2" t="str">
        <f>TEXT(Table3[[#This Row],[Order Date]],"mmmm")</f>
        <v>February</v>
      </c>
      <c r="D706" t="s">
        <v>3731</v>
      </c>
      <c r="E706" t="s">
        <v>3223</v>
      </c>
      <c r="F706" t="s">
        <v>3226</v>
      </c>
      <c r="G706" s="4">
        <v>29499.040000000001</v>
      </c>
      <c r="H706" s="4">
        <v>19227.68</v>
      </c>
      <c r="I706" s="3" t="s">
        <v>3734</v>
      </c>
      <c r="J706">
        <v>3</v>
      </c>
      <c r="K706" s="4">
        <f>Table3[[#This Row],[Sales]]-Table3[[#This Row],[Cost]]</f>
        <v>10271.36</v>
      </c>
      <c r="L706" s="6">
        <f>Table3[[#This Row],[Profit]]/Table3[[#This Row],[Sales]]</f>
        <v>0.34819302594253915</v>
      </c>
    </row>
    <row r="707" spans="1:12" x14ac:dyDescent="0.25">
      <c r="A707" t="s">
        <v>722</v>
      </c>
      <c r="B707" s="2">
        <v>45102</v>
      </c>
      <c r="C707" s="2" t="str">
        <f>TEXT(Table3[[#This Row],[Order Date]],"mmmm")</f>
        <v>June</v>
      </c>
      <c r="D707" t="s">
        <v>3216</v>
      </c>
      <c r="E707" t="s">
        <v>3223</v>
      </c>
      <c r="F707" t="s">
        <v>3226</v>
      </c>
      <c r="G707" s="4">
        <v>23695.11</v>
      </c>
      <c r="H707" s="4">
        <v>14184.11</v>
      </c>
      <c r="I707" s="3" t="s">
        <v>3734</v>
      </c>
      <c r="J707">
        <v>2</v>
      </c>
      <c r="K707" s="4">
        <f>Table3[[#This Row],[Sales]]-Table3[[#This Row],[Cost]]</f>
        <v>9511</v>
      </c>
      <c r="L707" s="6">
        <f>Table3[[#This Row],[Profit]]/Table3[[#This Row],[Sales]]</f>
        <v>0.40139083549306165</v>
      </c>
    </row>
    <row r="708" spans="1:12" x14ac:dyDescent="0.25">
      <c r="A708" t="s">
        <v>723</v>
      </c>
      <c r="B708" s="2" t="s">
        <v>3729</v>
      </c>
      <c r="C708" s="2" t="str">
        <f>TEXT(Table3[[#This Row],[Order Date]],"mmmm")</f>
        <v>Not Mentioned</v>
      </c>
      <c r="D708" t="s">
        <v>3220</v>
      </c>
      <c r="E708" t="s">
        <v>3225</v>
      </c>
      <c r="F708" t="s">
        <v>3226</v>
      </c>
      <c r="G708" s="4">
        <v>23377.79</v>
      </c>
      <c r="H708" s="4">
        <v>13973.99</v>
      </c>
      <c r="I708" s="3" t="s">
        <v>3734</v>
      </c>
      <c r="J708">
        <v>1</v>
      </c>
      <c r="K708" s="4">
        <f>Table3[[#This Row],[Sales]]-Table3[[#This Row],[Cost]]</f>
        <v>9403.8000000000011</v>
      </c>
      <c r="L708" s="6">
        <f>Table3[[#This Row],[Profit]]/Table3[[#This Row],[Sales]]</f>
        <v>0.40225359197768484</v>
      </c>
    </row>
    <row r="709" spans="1:12" x14ac:dyDescent="0.25">
      <c r="A709" t="s">
        <v>3355</v>
      </c>
      <c r="B709" s="2">
        <v>44941</v>
      </c>
      <c r="C709" s="2" t="str">
        <f>TEXT(Table3[[#This Row],[Order Date]],"mmmm")</f>
        <v>January</v>
      </c>
      <c r="D709" t="s">
        <v>3731</v>
      </c>
      <c r="E709" t="s">
        <v>3224</v>
      </c>
      <c r="F709" t="s">
        <v>3226</v>
      </c>
      <c r="G709" s="4">
        <v>183006.74</v>
      </c>
      <c r="H709" s="4">
        <v>119173.95</v>
      </c>
      <c r="I709" s="3" t="s">
        <v>3734</v>
      </c>
      <c r="J709">
        <v>3</v>
      </c>
      <c r="K709" s="4">
        <f>Table3[[#This Row],[Sales]]-Table3[[#This Row],[Cost]]</f>
        <v>63832.789999999994</v>
      </c>
      <c r="L709" s="6">
        <f>Table3[[#This Row],[Profit]]/Table3[[#This Row],[Sales]]</f>
        <v>0.34880021358776181</v>
      </c>
    </row>
    <row r="710" spans="1:12" x14ac:dyDescent="0.25">
      <c r="A710" t="s">
        <v>3356</v>
      </c>
      <c r="B710" s="2" t="s">
        <v>3729</v>
      </c>
      <c r="C710" s="2" t="str">
        <f>TEXT(Table3[[#This Row],[Order Date]],"mmmm")</f>
        <v>Not Mentioned</v>
      </c>
      <c r="D710" t="s">
        <v>3220</v>
      </c>
      <c r="E710" t="s">
        <v>3225</v>
      </c>
      <c r="F710" t="s">
        <v>3226</v>
      </c>
      <c r="G710" s="4">
        <v>90110.63</v>
      </c>
      <c r="H710" s="4">
        <v>66616.14</v>
      </c>
      <c r="I710" s="3" t="s">
        <v>3734</v>
      </c>
      <c r="J710">
        <v>5</v>
      </c>
      <c r="K710" s="4">
        <f>Table3[[#This Row],[Sales]]-Table3[[#This Row],[Cost]]</f>
        <v>23494.490000000005</v>
      </c>
      <c r="L710" s="6">
        <f>Table3[[#This Row],[Profit]]/Table3[[#This Row],[Sales]]</f>
        <v>0.26072939452315452</v>
      </c>
    </row>
    <row r="711" spans="1:12" x14ac:dyDescent="0.25">
      <c r="A711" t="s">
        <v>726</v>
      </c>
      <c r="B711" s="2">
        <v>44972</v>
      </c>
      <c r="C711" s="2" t="str">
        <f>TEXT(Table3[[#This Row],[Order Date]],"mmmm")</f>
        <v>February</v>
      </c>
      <c r="D711" t="s">
        <v>3220</v>
      </c>
      <c r="E711" t="s">
        <v>3223</v>
      </c>
      <c r="F711" t="s">
        <v>3226</v>
      </c>
      <c r="G711" s="4">
        <v>30788.97</v>
      </c>
      <c r="H711" s="4">
        <v>21602.19</v>
      </c>
      <c r="I711" s="3" t="s">
        <v>3734</v>
      </c>
      <c r="J711">
        <v>3</v>
      </c>
      <c r="K711" s="4">
        <f>Table3[[#This Row],[Sales]]-Table3[[#This Row],[Cost]]</f>
        <v>9186.7800000000025</v>
      </c>
      <c r="L711" s="6">
        <f>Table3[[#This Row],[Profit]]/Table3[[#This Row],[Sales]]</f>
        <v>0.29837893245535663</v>
      </c>
    </row>
    <row r="712" spans="1:12" x14ac:dyDescent="0.25">
      <c r="A712" t="s">
        <v>727</v>
      </c>
      <c r="B712" s="2">
        <v>45021</v>
      </c>
      <c r="C712" s="2" t="str">
        <f>TEXT(Table3[[#This Row],[Order Date]],"mmmm")</f>
        <v>April</v>
      </c>
      <c r="D712" t="s">
        <v>3216</v>
      </c>
      <c r="E712" t="s">
        <v>3223</v>
      </c>
      <c r="F712" t="s">
        <v>3226</v>
      </c>
      <c r="G712" s="4">
        <v>57186.5</v>
      </c>
      <c r="H712" s="4">
        <v>30712.66</v>
      </c>
      <c r="I712" s="3" t="s">
        <v>3734</v>
      </c>
      <c r="J712" t="s">
        <v>3732</v>
      </c>
      <c r="K712" s="4">
        <f>Table3[[#This Row],[Sales]]-Table3[[#This Row],[Cost]]</f>
        <v>26473.84</v>
      </c>
      <c r="L712" s="6">
        <f>Table3[[#This Row],[Profit]]/Table3[[#This Row],[Sales]]</f>
        <v>0.46293863062086332</v>
      </c>
    </row>
    <row r="713" spans="1:12" x14ac:dyDescent="0.25">
      <c r="A713" t="s">
        <v>728</v>
      </c>
      <c r="B713" s="2">
        <v>45005</v>
      </c>
      <c r="C713" s="2" t="str">
        <f>TEXT(Table3[[#This Row],[Order Date]],"mmmm")</f>
        <v>March</v>
      </c>
      <c r="D713" t="s">
        <v>3730</v>
      </c>
      <c r="E713" t="s">
        <v>3224</v>
      </c>
      <c r="F713" t="s">
        <v>3226</v>
      </c>
      <c r="G713" s="4">
        <v>194103.47</v>
      </c>
      <c r="H713" s="4">
        <v>120304.51</v>
      </c>
      <c r="I713" s="3" t="s">
        <v>3734</v>
      </c>
      <c r="J713">
        <v>3</v>
      </c>
      <c r="K713" s="4">
        <f>Table3[[#This Row],[Sales]]-Table3[[#This Row],[Cost]]</f>
        <v>73798.960000000006</v>
      </c>
      <c r="L713" s="6">
        <f>Table3[[#This Row],[Profit]]/Table3[[#This Row],[Sales]]</f>
        <v>0.38020422818819266</v>
      </c>
    </row>
    <row r="714" spans="1:12" x14ac:dyDescent="0.25">
      <c r="A714" t="s">
        <v>729</v>
      </c>
      <c r="B714" s="2" t="s">
        <v>3729</v>
      </c>
      <c r="C714" s="2" t="str">
        <f>TEXT(Table3[[#This Row],[Order Date]],"mmmm")</f>
        <v>Not Mentioned</v>
      </c>
      <c r="D714" t="s">
        <v>3220</v>
      </c>
      <c r="E714" t="s">
        <v>3225</v>
      </c>
      <c r="F714" t="s">
        <v>3226</v>
      </c>
      <c r="G714" s="4">
        <v>59522.59</v>
      </c>
      <c r="H714" s="4">
        <v>41321.39</v>
      </c>
      <c r="I714" s="3" t="s">
        <v>3734</v>
      </c>
      <c r="J714">
        <v>3</v>
      </c>
      <c r="K714" s="4">
        <f>Table3[[#This Row],[Sales]]-Table3[[#This Row],[Cost]]</f>
        <v>18201.199999999997</v>
      </c>
      <c r="L714" s="6">
        <f>Table3[[#This Row],[Profit]]/Table3[[#This Row],[Sales]]</f>
        <v>0.30578642495227437</v>
      </c>
    </row>
    <row r="715" spans="1:12" x14ac:dyDescent="0.25">
      <c r="A715" t="s">
        <v>69</v>
      </c>
      <c r="B715" s="2" t="s">
        <v>3729</v>
      </c>
      <c r="C715" s="2" t="str">
        <f>TEXT(Table3[[#This Row],[Order Date]],"mmmm")</f>
        <v>Not Mentioned</v>
      </c>
      <c r="D715" t="s">
        <v>3730</v>
      </c>
      <c r="E715" t="s">
        <v>3223</v>
      </c>
      <c r="F715" t="s">
        <v>3226</v>
      </c>
      <c r="G715" s="4">
        <v>21762.99</v>
      </c>
      <c r="H715" s="4">
        <v>13455.68</v>
      </c>
      <c r="I715" s="3" t="s">
        <v>3734</v>
      </c>
      <c r="J715">
        <v>2</v>
      </c>
      <c r="K715" s="4">
        <f>Table3[[#This Row],[Sales]]-Table3[[#This Row],[Cost]]</f>
        <v>8307.3100000000013</v>
      </c>
      <c r="L715" s="6">
        <f>Table3[[#This Row],[Profit]]/Table3[[#This Row],[Sales]]</f>
        <v>0.38171730998360065</v>
      </c>
    </row>
    <row r="716" spans="1:12" x14ac:dyDescent="0.25">
      <c r="A716" t="s">
        <v>3357</v>
      </c>
      <c r="B716" s="2">
        <v>44972</v>
      </c>
      <c r="C716" s="2" t="str">
        <f>TEXT(Table3[[#This Row],[Order Date]],"mmmm")</f>
        <v>February</v>
      </c>
      <c r="D716" t="s">
        <v>3730</v>
      </c>
      <c r="E716" t="s">
        <v>3222</v>
      </c>
      <c r="F716" t="s">
        <v>3226</v>
      </c>
      <c r="G716" s="4">
        <v>42952.26</v>
      </c>
      <c r="H716" s="4">
        <v>29136.44</v>
      </c>
      <c r="I716" s="3" t="s">
        <v>3734</v>
      </c>
      <c r="J716">
        <v>3</v>
      </c>
      <c r="K716" s="4">
        <f>Table3[[#This Row],[Sales]]-Table3[[#This Row],[Cost]]</f>
        <v>13815.820000000003</v>
      </c>
      <c r="L716" s="6">
        <f>Table3[[#This Row],[Profit]]/Table3[[#This Row],[Sales]]</f>
        <v>0.32165525166778192</v>
      </c>
    </row>
    <row r="717" spans="1:12" x14ac:dyDescent="0.25">
      <c r="A717" t="s">
        <v>731</v>
      </c>
      <c r="B717" s="2">
        <v>44941</v>
      </c>
      <c r="C717" s="2" t="str">
        <f>TEXT(Table3[[#This Row],[Order Date]],"mmmm")</f>
        <v>January</v>
      </c>
      <c r="D717" t="s">
        <v>3220</v>
      </c>
      <c r="E717" t="s">
        <v>3224</v>
      </c>
      <c r="F717" t="s">
        <v>3226</v>
      </c>
      <c r="G717" s="4">
        <v>251346.76</v>
      </c>
      <c r="H717" s="4">
        <v>233909.14</v>
      </c>
      <c r="I717" s="3" t="s">
        <v>3734</v>
      </c>
      <c r="J717">
        <v>5</v>
      </c>
      <c r="K717" s="4">
        <f>Table3[[#This Row],[Sales]]-Table3[[#This Row],[Cost]]</f>
        <v>17437.619999999995</v>
      </c>
      <c r="L717" s="6">
        <f>Table3[[#This Row],[Profit]]/Table3[[#This Row],[Sales]]</f>
        <v>6.9376744701224694E-2</v>
      </c>
    </row>
    <row r="718" spans="1:12" x14ac:dyDescent="0.25">
      <c r="A718" t="s">
        <v>732</v>
      </c>
      <c r="B718" s="2">
        <v>44941</v>
      </c>
      <c r="C718" s="2" t="str">
        <f>TEXT(Table3[[#This Row],[Order Date]],"mmmm")</f>
        <v>January</v>
      </c>
      <c r="D718" t="s">
        <v>3731</v>
      </c>
      <c r="E718" t="s">
        <v>3222</v>
      </c>
      <c r="F718" t="s">
        <v>3226</v>
      </c>
      <c r="G718" s="4">
        <v>14046.12</v>
      </c>
      <c r="H718" s="4">
        <v>10904.66</v>
      </c>
      <c r="I718" s="3" t="s">
        <v>3734</v>
      </c>
      <c r="J718">
        <v>1</v>
      </c>
      <c r="K718" s="4">
        <f>Table3[[#This Row],[Sales]]-Table3[[#This Row],[Cost]]</f>
        <v>3141.4600000000009</v>
      </c>
      <c r="L718" s="6">
        <f>Table3[[#This Row],[Profit]]/Table3[[#This Row],[Sales]]</f>
        <v>0.22365322238454469</v>
      </c>
    </row>
    <row r="719" spans="1:12" x14ac:dyDescent="0.25">
      <c r="A719" t="s">
        <v>3358</v>
      </c>
      <c r="B719" s="2">
        <v>45005</v>
      </c>
      <c r="C719" s="2" t="str">
        <f>TEXT(Table3[[#This Row],[Order Date]],"mmmm")</f>
        <v>March</v>
      </c>
      <c r="D719" t="s">
        <v>3731</v>
      </c>
      <c r="E719" t="s">
        <v>3223</v>
      </c>
      <c r="F719" t="s">
        <v>3226</v>
      </c>
      <c r="G719" s="4">
        <v>28369.45</v>
      </c>
      <c r="H719" s="4">
        <v>21206.78</v>
      </c>
      <c r="I719" s="3" t="s">
        <v>3734</v>
      </c>
      <c r="J719">
        <v>3</v>
      </c>
      <c r="K719" s="4">
        <f>Table3[[#This Row],[Sales]]-Table3[[#This Row],[Cost]]</f>
        <v>7162.6700000000019</v>
      </c>
      <c r="L719" s="6">
        <f>Table3[[#This Row],[Profit]]/Table3[[#This Row],[Sales]]</f>
        <v>0.25247828209570511</v>
      </c>
    </row>
    <row r="720" spans="1:12" x14ac:dyDescent="0.25">
      <c r="A720" t="s">
        <v>3359</v>
      </c>
      <c r="B720" s="2">
        <v>45102</v>
      </c>
      <c r="C720" s="2" t="str">
        <f>TEXT(Table3[[#This Row],[Order Date]],"mmmm")</f>
        <v>June</v>
      </c>
      <c r="D720" t="s">
        <v>3220</v>
      </c>
      <c r="E720" t="s">
        <v>3224</v>
      </c>
      <c r="F720" t="s">
        <v>3226</v>
      </c>
      <c r="G720" s="4">
        <v>133885.95000000001</v>
      </c>
      <c r="H720" s="4">
        <v>77202.31</v>
      </c>
      <c r="I720" s="3" t="s">
        <v>3734</v>
      </c>
      <c r="J720">
        <v>2</v>
      </c>
      <c r="K720" s="4">
        <f>Table3[[#This Row],[Sales]]-Table3[[#This Row],[Cost]]</f>
        <v>56683.640000000014</v>
      </c>
      <c r="L720" s="6">
        <f>Table3[[#This Row],[Profit]]/Table3[[#This Row],[Sales]]</f>
        <v>0.42337257942300899</v>
      </c>
    </row>
    <row r="721" spans="1:12" x14ac:dyDescent="0.25">
      <c r="A721" t="s">
        <v>735</v>
      </c>
      <c r="B721" s="2">
        <v>45005</v>
      </c>
      <c r="C721" s="2" t="str">
        <f>TEXT(Table3[[#This Row],[Order Date]],"mmmm")</f>
        <v>March</v>
      </c>
      <c r="D721" t="s">
        <v>3731</v>
      </c>
      <c r="E721" t="s">
        <v>3223</v>
      </c>
      <c r="F721" t="s">
        <v>3226</v>
      </c>
      <c r="G721" s="4">
        <v>19541.89</v>
      </c>
      <c r="H721" s="4">
        <v>15221.21</v>
      </c>
      <c r="I721" s="3" t="s">
        <v>3734</v>
      </c>
      <c r="J721">
        <v>2</v>
      </c>
      <c r="K721" s="4">
        <f>Table3[[#This Row],[Sales]]-Table3[[#This Row],[Cost]]</f>
        <v>4320.68</v>
      </c>
      <c r="L721" s="6">
        <f>Table3[[#This Row],[Profit]]/Table3[[#This Row],[Sales]]</f>
        <v>0.22109836868388882</v>
      </c>
    </row>
    <row r="722" spans="1:12" x14ac:dyDescent="0.25">
      <c r="A722" t="s">
        <v>3360</v>
      </c>
      <c r="B722" s="2" t="s">
        <v>3729</v>
      </c>
      <c r="C722" s="2" t="str">
        <f>TEXT(Table3[[#This Row],[Order Date]],"mmmm")</f>
        <v>Not Mentioned</v>
      </c>
      <c r="D722" t="s">
        <v>3730</v>
      </c>
      <c r="E722" t="s">
        <v>3225</v>
      </c>
      <c r="F722" t="s">
        <v>3226</v>
      </c>
      <c r="G722" s="4">
        <v>42585.46</v>
      </c>
      <c r="H722" s="4">
        <v>34068.368000000002</v>
      </c>
      <c r="I722" s="3" t="s">
        <v>3735</v>
      </c>
      <c r="J722">
        <v>2</v>
      </c>
      <c r="K722" s="4">
        <f>Table3[[#This Row],[Sales]]-Table3[[#This Row],[Cost]]</f>
        <v>8517.0919999999969</v>
      </c>
      <c r="L722" s="6">
        <f>Table3[[#This Row],[Profit]]/Table3[[#This Row],[Sales]]</f>
        <v>0.19999999999999993</v>
      </c>
    </row>
    <row r="723" spans="1:12" x14ac:dyDescent="0.25">
      <c r="A723" t="s">
        <v>737</v>
      </c>
      <c r="B723" s="2">
        <v>44941</v>
      </c>
      <c r="C723" s="2" t="str">
        <f>TEXT(Table3[[#This Row],[Order Date]],"mmmm")</f>
        <v>January</v>
      </c>
      <c r="D723" t="s">
        <v>3730</v>
      </c>
      <c r="E723" t="s">
        <v>3225</v>
      </c>
      <c r="F723" t="s">
        <v>3226</v>
      </c>
      <c r="G723" s="4">
        <v>72592</v>
      </c>
      <c r="H723" s="4">
        <v>56759.3</v>
      </c>
      <c r="I723" s="3" t="s">
        <v>3734</v>
      </c>
      <c r="J723">
        <v>4</v>
      </c>
      <c r="K723" s="4">
        <f>Table3[[#This Row],[Sales]]-Table3[[#This Row],[Cost]]</f>
        <v>15832.699999999997</v>
      </c>
      <c r="L723" s="6">
        <f>Table3[[#This Row],[Profit]]/Table3[[#This Row],[Sales]]</f>
        <v>0.21810530085959881</v>
      </c>
    </row>
    <row r="724" spans="1:12" x14ac:dyDescent="0.25">
      <c r="A724" t="s">
        <v>738</v>
      </c>
      <c r="B724" s="2">
        <v>45102</v>
      </c>
      <c r="C724" s="2" t="str">
        <f>TEXT(Table3[[#This Row],[Order Date]],"mmmm")</f>
        <v>June</v>
      </c>
      <c r="D724" t="s">
        <v>3730</v>
      </c>
      <c r="E724" t="s">
        <v>3222</v>
      </c>
      <c r="F724" t="s">
        <v>3226</v>
      </c>
      <c r="G724" s="4">
        <v>44189.11</v>
      </c>
      <c r="H724" s="4">
        <v>29030.89</v>
      </c>
      <c r="I724" s="3" t="s">
        <v>3734</v>
      </c>
      <c r="J724">
        <v>3</v>
      </c>
      <c r="K724" s="4">
        <f>Table3[[#This Row],[Sales]]-Table3[[#This Row],[Cost]]</f>
        <v>15158.220000000001</v>
      </c>
      <c r="L724" s="6">
        <f>Table3[[#This Row],[Profit]]/Table3[[#This Row],[Sales]]</f>
        <v>0.34303066977361618</v>
      </c>
    </row>
    <row r="725" spans="1:12" x14ac:dyDescent="0.25">
      <c r="A725" t="s">
        <v>739</v>
      </c>
      <c r="B725" s="2">
        <v>45021</v>
      </c>
      <c r="C725" s="2" t="str">
        <f>TEXT(Table3[[#This Row],[Order Date]],"mmmm")</f>
        <v>April</v>
      </c>
      <c r="D725" t="s">
        <v>3731</v>
      </c>
      <c r="E725" t="s">
        <v>3224</v>
      </c>
      <c r="F725" t="s">
        <v>3226</v>
      </c>
      <c r="G725" s="4">
        <v>257163.67</v>
      </c>
      <c r="H725" s="4">
        <v>160923.72</v>
      </c>
      <c r="I725" s="3" t="s">
        <v>3734</v>
      </c>
      <c r="J725">
        <v>4</v>
      </c>
      <c r="K725" s="4">
        <f>Table3[[#This Row],[Sales]]-Table3[[#This Row],[Cost]]</f>
        <v>96239.950000000012</v>
      </c>
      <c r="L725" s="6">
        <f>Table3[[#This Row],[Profit]]/Table3[[#This Row],[Sales]]</f>
        <v>0.37423618196147229</v>
      </c>
    </row>
    <row r="726" spans="1:12" x14ac:dyDescent="0.25">
      <c r="A726" t="s">
        <v>740</v>
      </c>
      <c r="B726" s="2">
        <v>45005</v>
      </c>
      <c r="C726" s="2" t="str">
        <f>TEXT(Table3[[#This Row],[Order Date]],"mmmm")</f>
        <v>March</v>
      </c>
      <c r="D726" t="s">
        <v>3220</v>
      </c>
      <c r="E726" t="s">
        <v>3224</v>
      </c>
      <c r="F726" t="s">
        <v>3226</v>
      </c>
      <c r="G726" s="4">
        <v>119046.48</v>
      </c>
      <c r="H726" s="4">
        <v>84897.17</v>
      </c>
      <c r="I726" s="3" t="s">
        <v>3734</v>
      </c>
      <c r="J726">
        <v>2</v>
      </c>
      <c r="K726" s="4">
        <f>Table3[[#This Row],[Sales]]-Table3[[#This Row],[Cost]]</f>
        <v>34149.31</v>
      </c>
      <c r="L726" s="6">
        <f>Table3[[#This Row],[Profit]]/Table3[[#This Row],[Sales]]</f>
        <v>0.28685694864728467</v>
      </c>
    </row>
    <row r="727" spans="1:12" x14ac:dyDescent="0.25">
      <c r="A727" t="s">
        <v>741</v>
      </c>
      <c r="B727" s="2" t="s">
        <v>3729</v>
      </c>
      <c r="C727" s="2" t="str">
        <f>TEXT(Table3[[#This Row],[Order Date]],"mmmm")</f>
        <v>Not Mentioned</v>
      </c>
      <c r="D727" t="s">
        <v>3220</v>
      </c>
      <c r="E727" t="s">
        <v>3225</v>
      </c>
      <c r="F727" t="s">
        <v>3226</v>
      </c>
      <c r="G727" s="4">
        <v>84838.43</v>
      </c>
      <c r="H727" s="4">
        <v>60877.21</v>
      </c>
      <c r="I727" s="3" t="s">
        <v>3734</v>
      </c>
      <c r="J727">
        <v>5</v>
      </c>
      <c r="K727" s="4">
        <f>Table3[[#This Row],[Sales]]-Table3[[#This Row],[Cost]]</f>
        <v>23961.219999999994</v>
      </c>
      <c r="L727" s="6">
        <f>Table3[[#This Row],[Profit]]/Table3[[#This Row],[Sales]]</f>
        <v>0.2824335622429599</v>
      </c>
    </row>
    <row r="728" spans="1:12" x14ac:dyDescent="0.25">
      <c r="A728" t="s">
        <v>742</v>
      </c>
      <c r="B728" s="2">
        <v>45102</v>
      </c>
      <c r="C728" s="2" t="str">
        <f>TEXT(Table3[[#This Row],[Order Date]],"mmmm")</f>
        <v>June</v>
      </c>
      <c r="D728" t="s">
        <v>3220</v>
      </c>
      <c r="E728" t="s">
        <v>3225</v>
      </c>
      <c r="F728" t="s">
        <v>3226</v>
      </c>
      <c r="G728" s="4">
        <v>102446.01</v>
      </c>
      <c r="H728" s="4">
        <v>71530.149999999994</v>
      </c>
      <c r="I728" s="3" t="s">
        <v>3734</v>
      </c>
      <c r="J728">
        <v>5</v>
      </c>
      <c r="K728" s="4">
        <f>Table3[[#This Row],[Sales]]-Table3[[#This Row],[Cost]]</f>
        <v>30915.86</v>
      </c>
      <c r="L728" s="6">
        <f>Table3[[#This Row],[Profit]]/Table3[[#This Row],[Sales]]</f>
        <v>0.30177710190958146</v>
      </c>
    </row>
    <row r="729" spans="1:12" x14ac:dyDescent="0.25">
      <c r="A729" t="s">
        <v>744</v>
      </c>
      <c r="B729" s="2">
        <v>45102</v>
      </c>
      <c r="C729" s="2" t="str">
        <f>TEXT(Table3[[#This Row],[Order Date]],"mmmm")</f>
        <v>June</v>
      </c>
      <c r="D729" t="s">
        <v>3216</v>
      </c>
      <c r="E729" t="s">
        <v>3225</v>
      </c>
      <c r="F729" t="s">
        <v>3226</v>
      </c>
      <c r="G729" s="4">
        <v>103403.11</v>
      </c>
      <c r="H729" s="4">
        <v>68480.479999999996</v>
      </c>
      <c r="I729" s="3" t="s">
        <v>3734</v>
      </c>
      <c r="J729">
        <v>5</v>
      </c>
      <c r="K729" s="4">
        <f>Table3[[#This Row],[Sales]]-Table3[[#This Row],[Cost]]</f>
        <v>34922.630000000005</v>
      </c>
      <c r="L729" s="6">
        <f>Table3[[#This Row],[Profit]]/Table3[[#This Row],[Sales]]</f>
        <v>0.33773287863392121</v>
      </c>
    </row>
    <row r="730" spans="1:12" x14ac:dyDescent="0.25">
      <c r="A730" t="s">
        <v>745</v>
      </c>
      <c r="B730" s="2">
        <v>45102</v>
      </c>
      <c r="C730" s="2" t="str">
        <f>TEXT(Table3[[#This Row],[Order Date]],"mmmm")</f>
        <v>June</v>
      </c>
      <c r="D730" t="s">
        <v>3216</v>
      </c>
      <c r="E730" t="s">
        <v>3224</v>
      </c>
      <c r="F730" t="s">
        <v>3226</v>
      </c>
      <c r="G730" s="4">
        <v>276580.58</v>
      </c>
      <c r="H730" s="4">
        <v>229944.94</v>
      </c>
      <c r="I730" s="3" t="s">
        <v>3734</v>
      </c>
      <c r="J730">
        <v>5</v>
      </c>
      <c r="K730" s="4">
        <f>Table3[[#This Row],[Sales]]-Table3[[#This Row],[Cost]]</f>
        <v>46635.640000000014</v>
      </c>
      <c r="L730" s="6">
        <f>Table3[[#This Row],[Profit]]/Table3[[#This Row],[Sales]]</f>
        <v>0.16861501989763711</v>
      </c>
    </row>
    <row r="731" spans="1:12" x14ac:dyDescent="0.25">
      <c r="A731" t="s">
        <v>746</v>
      </c>
      <c r="B731" s="2">
        <v>44941</v>
      </c>
      <c r="C731" s="2" t="str">
        <f>TEXT(Table3[[#This Row],[Order Date]],"mmmm")</f>
        <v>January</v>
      </c>
      <c r="D731" t="s">
        <v>3731</v>
      </c>
      <c r="E731" t="s">
        <v>3225</v>
      </c>
      <c r="F731" t="s">
        <v>3226</v>
      </c>
      <c r="G731" s="4">
        <v>77304.789999999994</v>
      </c>
      <c r="H731" s="4">
        <v>54168.480000000003</v>
      </c>
      <c r="I731" s="3" t="s">
        <v>3734</v>
      </c>
      <c r="J731">
        <v>4</v>
      </c>
      <c r="K731" s="4">
        <f>Table3[[#This Row],[Sales]]-Table3[[#This Row],[Cost]]</f>
        <v>23136.30999999999</v>
      </c>
      <c r="L731" s="6">
        <f>Table3[[#This Row],[Profit]]/Table3[[#This Row],[Sales]]</f>
        <v>0.29928688765599121</v>
      </c>
    </row>
    <row r="732" spans="1:12" x14ac:dyDescent="0.25">
      <c r="A732" t="s">
        <v>747</v>
      </c>
      <c r="B732" s="2">
        <v>45102</v>
      </c>
      <c r="C732" s="2" t="str">
        <f>TEXT(Table3[[#This Row],[Order Date]],"mmmm")</f>
        <v>June</v>
      </c>
      <c r="D732" t="s">
        <v>3730</v>
      </c>
      <c r="E732" t="s">
        <v>3223</v>
      </c>
      <c r="F732" t="s">
        <v>3226</v>
      </c>
      <c r="G732" s="4">
        <v>48633.2</v>
      </c>
      <c r="H732" s="4">
        <v>36903.699999999997</v>
      </c>
      <c r="I732" s="3" t="s">
        <v>3734</v>
      </c>
      <c r="J732">
        <v>5</v>
      </c>
      <c r="K732" s="4">
        <f>Table3[[#This Row],[Sales]]-Table3[[#This Row],[Cost]]</f>
        <v>11729.5</v>
      </c>
      <c r="L732" s="6">
        <f>Table3[[#This Row],[Profit]]/Table3[[#This Row],[Sales]]</f>
        <v>0.24118297788342122</v>
      </c>
    </row>
    <row r="733" spans="1:12" x14ac:dyDescent="0.25">
      <c r="A733" t="s">
        <v>748</v>
      </c>
      <c r="B733" s="2">
        <v>45102</v>
      </c>
      <c r="C733" s="2" t="str">
        <f>TEXT(Table3[[#This Row],[Order Date]],"mmmm")</f>
        <v>June</v>
      </c>
      <c r="D733" t="s">
        <v>3730</v>
      </c>
      <c r="E733" t="s">
        <v>3225</v>
      </c>
      <c r="F733" t="s">
        <v>3226</v>
      </c>
      <c r="G733" s="4">
        <v>33202.29</v>
      </c>
      <c r="H733" s="4">
        <v>24739.42</v>
      </c>
      <c r="I733" s="3" t="s">
        <v>3734</v>
      </c>
      <c r="J733">
        <v>2</v>
      </c>
      <c r="K733" s="4">
        <f>Table3[[#This Row],[Sales]]-Table3[[#This Row],[Cost]]</f>
        <v>8462.8700000000026</v>
      </c>
      <c r="L733" s="6">
        <f>Table3[[#This Row],[Profit]]/Table3[[#This Row],[Sales]]</f>
        <v>0.25488814175166841</v>
      </c>
    </row>
    <row r="734" spans="1:12" x14ac:dyDescent="0.25">
      <c r="A734" t="s">
        <v>749</v>
      </c>
      <c r="B734" s="2">
        <v>44941</v>
      </c>
      <c r="C734" s="2" t="str">
        <f>TEXT(Table3[[#This Row],[Order Date]],"mmmm")</f>
        <v>January</v>
      </c>
      <c r="D734" t="s">
        <v>3216</v>
      </c>
      <c r="E734" t="s">
        <v>3222</v>
      </c>
      <c r="F734" t="s">
        <v>3226</v>
      </c>
      <c r="G734" s="4">
        <v>86778.34</v>
      </c>
      <c r="H734" s="4">
        <v>48233.120000000003</v>
      </c>
      <c r="I734" s="3" t="s">
        <v>3734</v>
      </c>
      <c r="J734">
        <v>5</v>
      </c>
      <c r="K734" s="4">
        <f>Table3[[#This Row],[Sales]]-Table3[[#This Row],[Cost]]</f>
        <v>38545.219999999994</v>
      </c>
      <c r="L734" s="6">
        <f>Table3[[#This Row],[Profit]]/Table3[[#This Row],[Sales]]</f>
        <v>0.44418019519617447</v>
      </c>
    </row>
    <row r="735" spans="1:12" x14ac:dyDescent="0.25">
      <c r="A735" t="s">
        <v>750</v>
      </c>
      <c r="B735" s="2">
        <v>45102</v>
      </c>
      <c r="C735" s="2" t="str">
        <f>TEXT(Table3[[#This Row],[Order Date]],"mmmm")</f>
        <v>June</v>
      </c>
      <c r="D735" t="s">
        <v>3731</v>
      </c>
      <c r="E735" t="s">
        <v>3224</v>
      </c>
      <c r="F735" t="s">
        <v>3226</v>
      </c>
      <c r="G735" s="4">
        <v>293608.74</v>
      </c>
      <c r="H735" s="4">
        <v>210541.87</v>
      </c>
      <c r="I735" s="3" t="s">
        <v>3734</v>
      </c>
      <c r="J735">
        <v>5</v>
      </c>
      <c r="K735" s="4">
        <f>Table3[[#This Row],[Sales]]-Table3[[#This Row],[Cost]]</f>
        <v>83066.87</v>
      </c>
      <c r="L735" s="6">
        <f>Table3[[#This Row],[Profit]]/Table3[[#This Row],[Sales]]</f>
        <v>0.28291688455868175</v>
      </c>
    </row>
    <row r="736" spans="1:12" x14ac:dyDescent="0.25">
      <c r="A736" t="s">
        <v>3361</v>
      </c>
      <c r="B736" s="2">
        <v>44941</v>
      </c>
      <c r="C736" s="2" t="str">
        <f>TEXT(Table3[[#This Row],[Order Date]],"mmmm")</f>
        <v>January</v>
      </c>
      <c r="D736" t="s">
        <v>3730</v>
      </c>
      <c r="E736" t="s">
        <v>3224</v>
      </c>
      <c r="F736" t="s">
        <v>3226</v>
      </c>
      <c r="G736" s="4">
        <v>281599.62</v>
      </c>
      <c r="H736" s="4">
        <v>191643.41</v>
      </c>
      <c r="I736" s="3" t="s">
        <v>3734</v>
      </c>
      <c r="J736">
        <v>4</v>
      </c>
      <c r="K736" s="4">
        <f>Table3[[#This Row],[Sales]]-Table3[[#This Row],[Cost]]</f>
        <v>89956.209999999992</v>
      </c>
      <c r="L736" s="6">
        <f>Table3[[#This Row],[Profit]]/Table3[[#This Row],[Sales]]</f>
        <v>0.31944719953812434</v>
      </c>
    </row>
    <row r="737" spans="1:12" x14ac:dyDescent="0.25">
      <c r="A737" t="s">
        <v>752</v>
      </c>
      <c r="B737" s="2">
        <v>44972</v>
      </c>
      <c r="C737" s="2" t="str">
        <f>TEXT(Table3[[#This Row],[Order Date]],"mmmm")</f>
        <v>February</v>
      </c>
      <c r="D737" t="s">
        <v>3220</v>
      </c>
      <c r="E737" t="s">
        <v>3224</v>
      </c>
      <c r="F737" t="s">
        <v>3226</v>
      </c>
      <c r="G737" s="4">
        <v>283456.59999999998</v>
      </c>
      <c r="H737" s="4">
        <v>171218.7</v>
      </c>
      <c r="I737" s="3" t="s">
        <v>3734</v>
      </c>
      <c r="J737">
        <v>4</v>
      </c>
      <c r="K737" s="4">
        <f>Table3[[#This Row],[Sales]]-Table3[[#This Row],[Cost]]</f>
        <v>112237.89999999997</v>
      </c>
      <c r="L737" s="6">
        <f>Table3[[#This Row],[Profit]]/Table3[[#This Row],[Sales]]</f>
        <v>0.39596149816232884</v>
      </c>
    </row>
    <row r="738" spans="1:12" x14ac:dyDescent="0.25">
      <c r="A738" t="s">
        <v>753</v>
      </c>
      <c r="B738" s="2" t="s">
        <v>3729</v>
      </c>
      <c r="C738" s="2" t="str">
        <f>TEXT(Table3[[#This Row],[Order Date]],"mmmm")</f>
        <v>Not Mentioned</v>
      </c>
      <c r="D738" t="s">
        <v>3216</v>
      </c>
      <c r="E738" t="s">
        <v>3223</v>
      </c>
      <c r="F738" t="s">
        <v>3226</v>
      </c>
      <c r="G738" s="4">
        <v>20491.82</v>
      </c>
      <c r="H738" s="4">
        <v>12550.77</v>
      </c>
      <c r="I738" s="3" t="s">
        <v>3734</v>
      </c>
      <c r="J738">
        <v>2</v>
      </c>
      <c r="K738" s="4">
        <f>Table3[[#This Row],[Sales]]-Table3[[#This Row],[Cost]]</f>
        <v>7941.0499999999993</v>
      </c>
      <c r="L738" s="6">
        <f>Table3[[#This Row],[Profit]]/Table3[[#This Row],[Sales]]</f>
        <v>0.38752292378129416</v>
      </c>
    </row>
    <row r="739" spans="1:12" x14ac:dyDescent="0.25">
      <c r="A739" t="s">
        <v>754</v>
      </c>
      <c r="B739" s="2" t="s">
        <v>3729</v>
      </c>
      <c r="C739" s="2" t="str">
        <f>TEXT(Table3[[#This Row],[Order Date]],"mmmm")</f>
        <v>Not Mentioned</v>
      </c>
      <c r="D739" t="s">
        <v>3730</v>
      </c>
      <c r="E739" t="s">
        <v>3225</v>
      </c>
      <c r="F739" t="s">
        <v>3226</v>
      </c>
      <c r="G739" s="4">
        <v>87947.55</v>
      </c>
      <c r="H739" s="4">
        <v>58575</v>
      </c>
      <c r="I739" s="3" t="s">
        <v>3734</v>
      </c>
      <c r="J739">
        <v>4</v>
      </c>
      <c r="K739" s="4">
        <f>Table3[[#This Row],[Sales]]-Table3[[#This Row],[Cost]]</f>
        <v>29372.550000000003</v>
      </c>
      <c r="L739" s="6">
        <f>Table3[[#This Row],[Profit]]/Table3[[#This Row],[Sales]]</f>
        <v>0.3339780357724576</v>
      </c>
    </row>
    <row r="740" spans="1:12" x14ac:dyDescent="0.25">
      <c r="A740" t="s">
        <v>755</v>
      </c>
      <c r="B740" s="2" t="s">
        <v>3729</v>
      </c>
      <c r="C740" s="2" t="str">
        <f>TEXT(Table3[[#This Row],[Order Date]],"mmmm")</f>
        <v>Not Mentioned</v>
      </c>
      <c r="D740" t="s">
        <v>3731</v>
      </c>
      <c r="E740" t="s">
        <v>3222</v>
      </c>
      <c r="F740" t="s">
        <v>3226</v>
      </c>
      <c r="G740" s="4">
        <v>31024.51</v>
      </c>
      <c r="H740" s="4">
        <v>19738.080000000002</v>
      </c>
      <c r="I740" s="3" t="s">
        <v>3734</v>
      </c>
      <c r="J740">
        <v>2</v>
      </c>
      <c r="K740" s="4">
        <f>Table3[[#This Row],[Sales]]-Table3[[#This Row],[Cost]]</f>
        <v>11286.429999999997</v>
      </c>
      <c r="L740" s="6">
        <f>Table3[[#This Row],[Profit]]/Table3[[#This Row],[Sales]]</f>
        <v>0.36379075769448083</v>
      </c>
    </row>
    <row r="741" spans="1:12" x14ac:dyDescent="0.25">
      <c r="A741" t="s">
        <v>756</v>
      </c>
      <c r="B741" s="2">
        <v>44972</v>
      </c>
      <c r="C741" s="2" t="str">
        <f>TEXT(Table3[[#This Row],[Order Date]],"mmmm")</f>
        <v>February</v>
      </c>
      <c r="D741" t="s">
        <v>3220</v>
      </c>
      <c r="E741" t="s">
        <v>3224</v>
      </c>
      <c r="F741" t="s">
        <v>3226</v>
      </c>
      <c r="G741" s="4">
        <v>334684.87</v>
      </c>
      <c r="H741" s="4">
        <v>210992.38</v>
      </c>
      <c r="I741" s="3" t="s">
        <v>3734</v>
      </c>
      <c r="J741">
        <v>5</v>
      </c>
      <c r="K741" s="4">
        <f>Table3[[#This Row],[Sales]]-Table3[[#This Row],[Cost]]</f>
        <v>123692.48999999999</v>
      </c>
      <c r="L741" s="6">
        <f>Table3[[#This Row],[Profit]]/Table3[[#This Row],[Sales]]</f>
        <v>0.36957897140674445</v>
      </c>
    </row>
    <row r="742" spans="1:12" x14ac:dyDescent="0.25">
      <c r="A742" t="s">
        <v>757</v>
      </c>
      <c r="B742" s="2">
        <v>45021</v>
      </c>
      <c r="C742" s="2" t="str">
        <f>TEXT(Table3[[#This Row],[Order Date]],"mmmm")</f>
        <v>April</v>
      </c>
      <c r="D742" t="s">
        <v>3220</v>
      </c>
      <c r="E742" t="s">
        <v>3225</v>
      </c>
      <c r="F742" t="s">
        <v>3226</v>
      </c>
      <c r="G742" s="4">
        <v>81867.39</v>
      </c>
      <c r="H742" s="4">
        <v>73141.8</v>
      </c>
      <c r="I742" s="3" t="s">
        <v>3734</v>
      </c>
      <c r="J742">
        <v>5</v>
      </c>
      <c r="K742" s="4">
        <f>Table3[[#This Row],[Sales]]-Table3[[#This Row],[Cost]]</f>
        <v>8725.5899999999965</v>
      </c>
      <c r="L742" s="6">
        <f>Table3[[#This Row],[Profit]]/Table3[[#This Row],[Sales]]</f>
        <v>0.10658199803364925</v>
      </c>
    </row>
    <row r="743" spans="1:12" x14ac:dyDescent="0.25">
      <c r="A743" t="s">
        <v>3340</v>
      </c>
      <c r="B743" s="2">
        <v>44941</v>
      </c>
      <c r="C743" s="2" t="str">
        <f>TEXT(Table3[[#This Row],[Order Date]],"mmmm")</f>
        <v>January</v>
      </c>
      <c r="D743" t="s">
        <v>3730</v>
      </c>
      <c r="E743" t="s">
        <v>3222</v>
      </c>
      <c r="F743" t="s">
        <v>3226</v>
      </c>
      <c r="G743" s="4">
        <v>73487.97</v>
      </c>
      <c r="H743" s="4">
        <v>44857.9</v>
      </c>
      <c r="I743" s="3" t="s">
        <v>3734</v>
      </c>
      <c r="J743">
        <v>5</v>
      </c>
      <c r="K743" s="4">
        <f>Table3[[#This Row],[Sales]]-Table3[[#This Row],[Cost]]</f>
        <v>28630.07</v>
      </c>
      <c r="L743" s="6">
        <f>Table3[[#This Row],[Profit]]/Table3[[#This Row],[Sales]]</f>
        <v>0.38958852721064413</v>
      </c>
    </row>
    <row r="744" spans="1:12" x14ac:dyDescent="0.25">
      <c r="A744" t="s">
        <v>3255</v>
      </c>
      <c r="B744" s="2">
        <v>45021</v>
      </c>
      <c r="C744" s="2" t="str">
        <f>TEXT(Table3[[#This Row],[Order Date]],"mmmm")</f>
        <v>April</v>
      </c>
      <c r="D744" t="s">
        <v>3220</v>
      </c>
      <c r="E744" t="s">
        <v>3222</v>
      </c>
      <c r="F744" t="s">
        <v>3226</v>
      </c>
      <c r="G744" s="4">
        <v>65145.3</v>
      </c>
      <c r="H744" s="4">
        <v>43166.43</v>
      </c>
      <c r="I744" s="3" t="s">
        <v>3734</v>
      </c>
      <c r="J744">
        <v>4</v>
      </c>
      <c r="K744" s="4">
        <f>Table3[[#This Row],[Sales]]-Table3[[#This Row],[Cost]]</f>
        <v>21978.870000000003</v>
      </c>
      <c r="L744" s="6">
        <f>Table3[[#This Row],[Profit]]/Table3[[#This Row],[Sales]]</f>
        <v>0.33738228237493728</v>
      </c>
    </row>
    <row r="745" spans="1:12" x14ac:dyDescent="0.25">
      <c r="A745" t="s">
        <v>759</v>
      </c>
      <c r="B745" s="2">
        <v>44972</v>
      </c>
      <c r="C745" s="2" t="str">
        <f>TEXT(Table3[[#This Row],[Order Date]],"mmmm")</f>
        <v>February</v>
      </c>
      <c r="D745" t="s">
        <v>3220</v>
      </c>
      <c r="E745" t="s">
        <v>3224</v>
      </c>
      <c r="F745" t="s">
        <v>3226</v>
      </c>
      <c r="G745" s="4">
        <v>135582.06</v>
      </c>
      <c r="H745" s="4">
        <v>90187.88</v>
      </c>
      <c r="I745" s="3" t="s">
        <v>3734</v>
      </c>
      <c r="J745" t="s">
        <v>3732</v>
      </c>
      <c r="K745" s="4">
        <f>Table3[[#This Row],[Sales]]-Table3[[#This Row],[Cost]]</f>
        <v>45394.179999999993</v>
      </c>
      <c r="L745" s="6">
        <f>Table3[[#This Row],[Profit]]/Table3[[#This Row],[Sales]]</f>
        <v>0.33480963484401988</v>
      </c>
    </row>
    <row r="746" spans="1:12" x14ac:dyDescent="0.25">
      <c r="A746" t="s">
        <v>216</v>
      </c>
      <c r="B746" s="2">
        <v>44941</v>
      </c>
      <c r="C746" s="2" t="str">
        <f>TEXT(Table3[[#This Row],[Order Date]],"mmmm")</f>
        <v>January</v>
      </c>
      <c r="D746" t="s">
        <v>3730</v>
      </c>
      <c r="E746" t="s">
        <v>3222</v>
      </c>
      <c r="F746" t="s">
        <v>3226</v>
      </c>
      <c r="G746" s="4">
        <v>71229.179999999993</v>
      </c>
      <c r="H746" s="4">
        <v>45391.43</v>
      </c>
      <c r="I746" s="3" t="s">
        <v>3734</v>
      </c>
      <c r="J746">
        <v>5</v>
      </c>
      <c r="K746" s="4">
        <f>Table3[[#This Row],[Sales]]-Table3[[#This Row],[Cost]]</f>
        <v>25837.749999999993</v>
      </c>
      <c r="L746" s="6">
        <f>Table3[[#This Row],[Profit]]/Table3[[#This Row],[Sales]]</f>
        <v>0.36274108448251119</v>
      </c>
    </row>
    <row r="747" spans="1:12" x14ac:dyDescent="0.25">
      <c r="A747" t="s">
        <v>3362</v>
      </c>
      <c r="B747" s="2" t="s">
        <v>3729</v>
      </c>
      <c r="C747" s="2" t="str">
        <f>TEXT(Table3[[#This Row],[Order Date]],"mmmm")</f>
        <v>Not Mentioned</v>
      </c>
      <c r="D747" t="s">
        <v>3220</v>
      </c>
      <c r="E747" t="s">
        <v>3224</v>
      </c>
      <c r="F747" t="s">
        <v>3226</v>
      </c>
      <c r="G747" s="4">
        <v>68343.37</v>
      </c>
      <c r="H747" s="4">
        <v>46930.16</v>
      </c>
      <c r="I747" s="3" t="s">
        <v>3734</v>
      </c>
      <c r="J747">
        <v>1</v>
      </c>
      <c r="K747" s="4">
        <f>Table3[[#This Row],[Sales]]-Table3[[#This Row],[Cost]]</f>
        <v>21413.209999999992</v>
      </c>
      <c r="L747" s="6">
        <f>Table3[[#This Row],[Profit]]/Table3[[#This Row],[Sales]]</f>
        <v>0.31331802923970525</v>
      </c>
    </row>
    <row r="748" spans="1:12" x14ac:dyDescent="0.25">
      <c r="A748" t="s">
        <v>761</v>
      </c>
      <c r="B748" s="2">
        <v>44941</v>
      </c>
      <c r="C748" s="2" t="str">
        <f>TEXT(Table3[[#This Row],[Order Date]],"mmmm")</f>
        <v>January</v>
      </c>
      <c r="D748" t="s">
        <v>3731</v>
      </c>
      <c r="E748" t="s">
        <v>3222</v>
      </c>
      <c r="F748" t="s">
        <v>3226</v>
      </c>
      <c r="G748" s="4">
        <v>63325.05</v>
      </c>
      <c r="H748" s="4">
        <v>34505.97</v>
      </c>
      <c r="I748" s="3" t="s">
        <v>3734</v>
      </c>
      <c r="J748">
        <v>4</v>
      </c>
      <c r="K748" s="4">
        <f>Table3[[#This Row],[Sales]]-Table3[[#This Row],[Cost]]</f>
        <v>28819.08</v>
      </c>
      <c r="L748" s="6">
        <f>Table3[[#This Row],[Profit]]/Table3[[#This Row],[Sales]]</f>
        <v>0.45509762724229985</v>
      </c>
    </row>
    <row r="749" spans="1:12" x14ac:dyDescent="0.25">
      <c r="A749" t="s">
        <v>762</v>
      </c>
      <c r="B749" s="2">
        <v>45102</v>
      </c>
      <c r="C749" s="2" t="str">
        <f>TEXT(Table3[[#This Row],[Order Date]],"mmmm")</f>
        <v>June</v>
      </c>
      <c r="D749" t="s">
        <v>3220</v>
      </c>
      <c r="E749" t="s">
        <v>3222</v>
      </c>
      <c r="F749" t="s">
        <v>3226</v>
      </c>
      <c r="G749" s="4">
        <v>15080.61</v>
      </c>
      <c r="H749" s="4">
        <v>10126.52</v>
      </c>
      <c r="I749" s="3" t="s">
        <v>3734</v>
      </c>
      <c r="J749">
        <v>1</v>
      </c>
      <c r="K749" s="4">
        <f>Table3[[#This Row],[Sales]]-Table3[[#This Row],[Cost]]</f>
        <v>4954.09</v>
      </c>
      <c r="L749" s="6">
        <f>Table3[[#This Row],[Profit]]/Table3[[#This Row],[Sales]]</f>
        <v>0.32850726860518242</v>
      </c>
    </row>
    <row r="750" spans="1:12" x14ac:dyDescent="0.25">
      <c r="A750" t="s">
        <v>3363</v>
      </c>
      <c r="B750" s="2">
        <v>44972</v>
      </c>
      <c r="C750" s="2" t="str">
        <f>TEXT(Table3[[#This Row],[Order Date]],"mmmm")</f>
        <v>February</v>
      </c>
      <c r="D750" t="s">
        <v>3220</v>
      </c>
      <c r="E750" t="s">
        <v>3223</v>
      </c>
      <c r="F750" t="s">
        <v>3226</v>
      </c>
      <c r="G750" s="4">
        <v>23090.95</v>
      </c>
      <c r="H750" s="4">
        <v>14832.56</v>
      </c>
      <c r="I750" s="3" t="s">
        <v>3734</v>
      </c>
      <c r="J750">
        <v>2</v>
      </c>
      <c r="K750" s="4">
        <f>Table3[[#This Row],[Sales]]-Table3[[#This Row],[Cost]]</f>
        <v>8258.3900000000012</v>
      </c>
      <c r="L750" s="6">
        <f>Table3[[#This Row],[Profit]]/Table3[[#This Row],[Sales]]</f>
        <v>0.35764617739850463</v>
      </c>
    </row>
    <row r="751" spans="1:12" x14ac:dyDescent="0.25">
      <c r="A751" t="s">
        <v>764</v>
      </c>
      <c r="B751" s="2">
        <v>45021</v>
      </c>
      <c r="C751" s="2" t="str">
        <f>TEXT(Table3[[#This Row],[Order Date]],"mmmm")</f>
        <v>April</v>
      </c>
      <c r="D751" t="s">
        <v>3730</v>
      </c>
      <c r="E751" t="s">
        <v>3224</v>
      </c>
      <c r="F751" t="s">
        <v>3226</v>
      </c>
      <c r="G751" s="4">
        <v>58519.17</v>
      </c>
      <c r="H751" s="4">
        <v>41205.300000000003</v>
      </c>
      <c r="I751" s="3" t="s">
        <v>3734</v>
      </c>
      <c r="J751">
        <v>1</v>
      </c>
      <c r="K751" s="4">
        <f>Table3[[#This Row],[Sales]]-Table3[[#This Row],[Cost]]</f>
        <v>17313.869999999995</v>
      </c>
      <c r="L751" s="6">
        <f>Table3[[#This Row],[Profit]]/Table3[[#This Row],[Sales]]</f>
        <v>0.2958666365226984</v>
      </c>
    </row>
    <row r="752" spans="1:12" x14ac:dyDescent="0.25">
      <c r="A752" t="s">
        <v>3364</v>
      </c>
      <c r="B752" s="2">
        <v>45102</v>
      </c>
      <c r="C752" s="2" t="str">
        <f>TEXT(Table3[[#This Row],[Order Date]],"mmmm")</f>
        <v>June</v>
      </c>
      <c r="D752" t="s">
        <v>3220</v>
      </c>
      <c r="E752" t="s">
        <v>3223</v>
      </c>
      <c r="F752" t="s">
        <v>3226</v>
      </c>
      <c r="G752" s="4">
        <v>17179.62</v>
      </c>
      <c r="H752" s="4">
        <v>12156.36</v>
      </c>
      <c r="I752" s="3" t="s">
        <v>3734</v>
      </c>
      <c r="J752">
        <v>2</v>
      </c>
      <c r="K752" s="4">
        <f>Table3[[#This Row],[Sales]]-Table3[[#This Row],[Cost]]</f>
        <v>5023.2599999999984</v>
      </c>
      <c r="L752" s="6">
        <f>Table3[[#This Row],[Profit]]/Table3[[#This Row],[Sales]]</f>
        <v>0.29239645580053569</v>
      </c>
    </row>
    <row r="753" spans="1:12" x14ac:dyDescent="0.25">
      <c r="A753" t="s">
        <v>3365</v>
      </c>
      <c r="B753" s="2">
        <v>45005</v>
      </c>
      <c r="C753" s="2" t="str">
        <f>TEXT(Table3[[#This Row],[Order Date]],"mmmm")</f>
        <v>March</v>
      </c>
      <c r="D753" t="s">
        <v>3731</v>
      </c>
      <c r="E753" t="s">
        <v>3223</v>
      </c>
      <c r="F753" t="s">
        <v>3226</v>
      </c>
      <c r="G753" s="4">
        <v>46445.21</v>
      </c>
      <c r="H753" s="4">
        <v>38275.17</v>
      </c>
      <c r="I753" s="3" t="s">
        <v>3734</v>
      </c>
      <c r="J753">
        <v>5</v>
      </c>
      <c r="K753" s="4">
        <f>Table3[[#This Row],[Sales]]-Table3[[#This Row],[Cost]]</f>
        <v>8170.0400000000009</v>
      </c>
      <c r="L753" s="6">
        <f>Table3[[#This Row],[Profit]]/Table3[[#This Row],[Sales]]</f>
        <v>0.17590705263255352</v>
      </c>
    </row>
    <row r="754" spans="1:12" x14ac:dyDescent="0.25">
      <c r="A754" t="s">
        <v>768</v>
      </c>
      <c r="B754" s="2">
        <v>44941</v>
      </c>
      <c r="C754" s="2" t="str">
        <f>TEXT(Table3[[#This Row],[Order Date]],"mmmm")</f>
        <v>January</v>
      </c>
      <c r="D754" t="s">
        <v>3730</v>
      </c>
      <c r="E754" t="s">
        <v>3222</v>
      </c>
      <c r="F754" t="s">
        <v>3226</v>
      </c>
      <c r="G754" s="4">
        <v>62757.67</v>
      </c>
      <c r="H754" s="4">
        <v>50206.135999999999</v>
      </c>
      <c r="I754" s="3" t="s">
        <v>3735</v>
      </c>
      <c r="J754">
        <v>4</v>
      </c>
      <c r="K754" s="4">
        <f>Table3[[#This Row],[Sales]]-Table3[[#This Row],[Cost]]</f>
        <v>12551.534</v>
      </c>
      <c r="L754" s="6">
        <f>Table3[[#This Row],[Profit]]/Table3[[#This Row],[Sales]]</f>
        <v>0.2</v>
      </c>
    </row>
    <row r="755" spans="1:12" x14ac:dyDescent="0.25">
      <c r="A755" t="s">
        <v>769</v>
      </c>
      <c r="B755" s="2">
        <v>45021</v>
      </c>
      <c r="C755" s="2" t="str">
        <f>TEXT(Table3[[#This Row],[Order Date]],"mmmm")</f>
        <v>April</v>
      </c>
      <c r="D755" t="s">
        <v>3220</v>
      </c>
      <c r="E755" t="s">
        <v>3225</v>
      </c>
      <c r="F755" t="s">
        <v>3226</v>
      </c>
      <c r="G755" s="4">
        <v>92195.36</v>
      </c>
      <c r="H755" s="4">
        <v>51193.26</v>
      </c>
      <c r="I755" s="3" t="s">
        <v>3734</v>
      </c>
      <c r="J755">
        <v>4</v>
      </c>
      <c r="K755" s="4">
        <f>Table3[[#This Row],[Sales]]-Table3[[#This Row],[Cost]]</f>
        <v>41002.1</v>
      </c>
      <c r="L755" s="6">
        <f>Table3[[#This Row],[Profit]]/Table3[[#This Row],[Sales]]</f>
        <v>0.44473062418759468</v>
      </c>
    </row>
    <row r="756" spans="1:12" x14ac:dyDescent="0.25">
      <c r="A756" t="s">
        <v>770</v>
      </c>
      <c r="B756" s="2" t="s">
        <v>3729</v>
      </c>
      <c r="C756" s="2" t="str">
        <f>TEXT(Table3[[#This Row],[Order Date]],"mmmm")</f>
        <v>Not Mentioned</v>
      </c>
      <c r="D756" t="s">
        <v>3216</v>
      </c>
      <c r="E756" t="s">
        <v>3223</v>
      </c>
      <c r="F756" t="s">
        <v>3226</v>
      </c>
      <c r="G756" s="4">
        <v>59933.67</v>
      </c>
      <c r="H756" s="4">
        <v>36319.410000000003</v>
      </c>
      <c r="I756" s="3" t="s">
        <v>3734</v>
      </c>
      <c r="J756" t="s">
        <v>3732</v>
      </c>
      <c r="K756" s="4">
        <f>Table3[[#This Row],[Sales]]-Table3[[#This Row],[Cost]]</f>
        <v>23614.259999999995</v>
      </c>
      <c r="L756" s="6">
        <f>Table3[[#This Row],[Profit]]/Table3[[#This Row],[Sales]]</f>
        <v>0.39400657426785302</v>
      </c>
    </row>
    <row r="757" spans="1:12" x14ac:dyDescent="0.25">
      <c r="A757" t="s">
        <v>3366</v>
      </c>
      <c r="B757" s="2">
        <v>45005</v>
      </c>
      <c r="C757" s="2" t="str">
        <f>TEXT(Table3[[#This Row],[Order Date]],"mmmm")</f>
        <v>March</v>
      </c>
      <c r="D757" t="s">
        <v>3220</v>
      </c>
      <c r="E757" t="s">
        <v>3225</v>
      </c>
      <c r="F757" t="s">
        <v>3226</v>
      </c>
      <c r="G757" s="4">
        <v>48380.49</v>
      </c>
      <c r="H757" s="4">
        <v>36665.839999999997</v>
      </c>
      <c r="I757" s="3" t="s">
        <v>3734</v>
      </c>
      <c r="J757">
        <v>3</v>
      </c>
      <c r="K757" s="4">
        <f>Table3[[#This Row],[Sales]]-Table3[[#This Row],[Cost]]</f>
        <v>11714.650000000001</v>
      </c>
      <c r="L757" s="6">
        <f>Table3[[#This Row],[Profit]]/Table3[[#This Row],[Sales]]</f>
        <v>0.24213582789260715</v>
      </c>
    </row>
    <row r="758" spans="1:12" x14ac:dyDescent="0.25">
      <c r="A758" t="s">
        <v>772</v>
      </c>
      <c r="B758" s="2">
        <v>44972</v>
      </c>
      <c r="C758" s="2" t="str">
        <f>TEXT(Table3[[#This Row],[Order Date]],"mmmm")</f>
        <v>February</v>
      </c>
      <c r="D758" t="s">
        <v>3220</v>
      </c>
      <c r="E758" t="s">
        <v>3225</v>
      </c>
      <c r="F758" t="s">
        <v>3226</v>
      </c>
      <c r="G758" s="4">
        <v>38814.29</v>
      </c>
      <c r="H758" s="4">
        <v>30698.67</v>
      </c>
      <c r="I758" s="3" t="s">
        <v>3734</v>
      </c>
      <c r="J758" t="s">
        <v>3732</v>
      </c>
      <c r="K758" s="4">
        <f>Table3[[#This Row],[Sales]]-Table3[[#This Row],[Cost]]</f>
        <v>8115.6200000000026</v>
      </c>
      <c r="L758" s="6">
        <f>Table3[[#This Row],[Profit]]/Table3[[#This Row],[Sales]]</f>
        <v>0.20908845685442146</v>
      </c>
    </row>
    <row r="759" spans="1:12" x14ac:dyDescent="0.25">
      <c r="A759" t="s">
        <v>773</v>
      </c>
      <c r="B759" s="2" t="s">
        <v>3729</v>
      </c>
      <c r="C759" s="2" t="str">
        <f>TEXT(Table3[[#This Row],[Order Date]],"mmmm")</f>
        <v>Not Mentioned</v>
      </c>
      <c r="D759" t="s">
        <v>3730</v>
      </c>
      <c r="E759" t="s">
        <v>3223</v>
      </c>
      <c r="F759" t="s">
        <v>3226</v>
      </c>
      <c r="G759" s="4">
        <v>32490.43</v>
      </c>
      <c r="H759" s="4">
        <v>20279.11</v>
      </c>
      <c r="I759" s="3" t="s">
        <v>3734</v>
      </c>
      <c r="J759">
        <v>3</v>
      </c>
      <c r="K759" s="4">
        <f>Table3[[#This Row],[Sales]]-Table3[[#This Row],[Cost]]</f>
        <v>12211.32</v>
      </c>
      <c r="L759" s="6">
        <f>Table3[[#This Row],[Profit]]/Table3[[#This Row],[Sales]]</f>
        <v>0.37584359455999811</v>
      </c>
    </row>
    <row r="760" spans="1:12" x14ac:dyDescent="0.25">
      <c r="A760" t="s">
        <v>774</v>
      </c>
      <c r="B760" s="2">
        <v>44941</v>
      </c>
      <c r="C760" s="2" t="str">
        <f>TEXT(Table3[[#This Row],[Order Date]],"mmmm")</f>
        <v>January</v>
      </c>
      <c r="D760" t="s">
        <v>3730</v>
      </c>
      <c r="E760" t="s">
        <v>3224</v>
      </c>
      <c r="F760" t="s">
        <v>3226</v>
      </c>
      <c r="G760" s="4">
        <v>106015.29</v>
      </c>
      <c r="H760" s="4">
        <v>84812.232000000004</v>
      </c>
      <c r="I760" s="3" t="s">
        <v>3735</v>
      </c>
      <c r="J760">
        <v>2</v>
      </c>
      <c r="K760" s="4">
        <f>Table3[[#This Row],[Sales]]-Table3[[#This Row],[Cost]]</f>
        <v>21203.05799999999</v>
      </c>
      <c r="L760" s="6">
        <f>Table3[[#This Row],[Profit]]/Table3[[#This Row],[Sales]]</f>
        <v>0.19999999999999993</v>
      </c>
    </row>
    <row r="761" spans="1:12" x14ac:dyDescent="0.25">
      <c r="A761" t="s">
        <v>775</v>
      </c>
      <c r="B761" s="2">
        <v>44941</v>
      </c>
      <c r="C761" s="2" t="str">
        <f>TEXT(Table3[[#This Row],[Order Date]],"mmmm")</f>
        <v>January</v>
      </c>
      <c r="D761" t="s">
        <v>3730</v>
      </c>
      <c r="E761" t="s">
        <v>3224</v>
      </c>
      <c r="F761" t="s">
        <v>3226</v>
      </c>
      <c r="G761" s="4">
        <v>263197.23</v>
      </c>
      <c r="H761" s="4">
        <v>166618.82</v>
      </c>
      <c r="I761" s="3" t="s">
        <v>3734</v>
      </c>
      <c r="J761">
        <v>4</v>
      </c>
      <c r="K761" s="4">
        <f>Table3[[#This Row],[Sales]]-Table3[[#This Row],[Cost]]</f>
        <v>96578.409999999974</v>
      </c>
      <c r="L761" s="6">
        <f>Table3[[#This Row],[Profit]]/Table3[[#This Row],[Sales]]</f>
        <v>0.36694310954564369</v>
      </c>
    </row>
    <row r="762" spans="1:12" x14ac:dyDescent="0.25">
      <c r="A762" t="s">
        <v>776</v>
      </c>
      <c r="B762" s="2" t="s">
        <v>3729</v>
      </c>
      <c r="C762" s="2" t="str">
        <f>TEXT(Table3[[#This Row],[Order Date]],"mmmm")</f>
        <v>Not Mentioned</v>
      </c>
      <c r="D762" t="s">
        <v>3731</v>
      </c>
      <c r="E762" t="s">
        <v>3225</v>
      </c>
      <c r="F762" t="s">
        <v>3226</v>
      </c>
      <c r="G762" s="4">
        <v>35143.06</v>
      </c>
      <c r="H762" s="4">
        <v>28114.448</v>
      </c>
      <c r="I762" s="3" t="s">
        <v>3735</v>
      </c>
      <c r="J762">
        <v>2</v>
      </c>
      <c r="K762" s="4">
        <f>Table3[[#This Row],[Sales]]-Table3[[#This Row],[Cost]]</f>
        <v>7028.6119999999974</v>
      </c>
      <c r="L762" s="6">
        <f>Table3[[#This Row],[Profit]]/Table3[[#This Row],[Sales]]</f>
        <v>0.19999999999999993</v>
      </c>
    </row>
    <row r="763" spans="1:12" x14ac:dyDescent="0.25">
      <c r="A763" t="s">
        <v>777</v>
      </c>
      <c r="B763" s="2">
        <v>44972</v>
      </c>
      <c r="C763" s="2" t="str">
        <f>TEXT(Table3[[#This Row],[Order Date]],"mmmm")</f>
        <v>February</v>
      </c>
      <c r="D763" t="s">
        <v>3731</v>
      </c>
      <c r="E763" t="s">
        <v>3224</v>
      </c>
      <c r="F763" t="s">
        <v>3226</v>
      </c>
      <c r="G763" s="4">
        <v>326282.74</v>
      </c>
      <c r="H763" s="4">
        <v>219593.74</v>
      </c>
      <c r="I763" s="3" t="s">
        <v>3734</v>
      </c>
      <c r="J763">
        <v>5</v>
      </c>
      <c r="K763" s="4">
        <f>Table3[[#This Row],[Sales]]-Table3[[#This Row],[Cost]]</f>
        <v>106689</v>
      </c>
      <c r="L763" s="6">
        <f>Table3[[#This Row],[Profit]]/Table3[[#This Row],[Sales]]</f>
        <v>0.32698327836771263</v>
      </c>
    </row>
    <row r="764" spans="1:12" x14ac:dyDescent="0.25">
      <c r="A764" t="s">
        <v>778</v>
      </c>
      <c r="B764" s="2" t="s">
        <v>3729</v>
      </c>
      <c r="C764" s="2" t="str">
        <f>TEXT(Table3[[#This Row],[Order Date]],"mmmm")</f>
        <v>Not Mentioned</v>
      </c>
      <c r="D764" t="s">
        <v>3731</v>
      </c>
      <c r="E764" t="s">
        <v>3224</v>
      </c>
      <c r="F764" t="s">
        <v>3226</v>
      </c>
      <c r="G764" s="4">
        <v>175489.03</v>
      </c>
      <c r="H764" s="4">
        <v>146226.64000000001</v>
      </c>
      <c r="I764" s="3" t="s">
        <v>3734</v>
      </c>
      <c r="J764">
        <v>3</v>
      </c>
      <c r="K764" s="4">
        <f>Table3[[#This Row],[Sales]]-Table3[[#This Row],[Cost]]</f>
        <v>29262.389999999985</v>
      </c>
      <c r="L764" s="6">
        <f>Table3[[#This Row],[Profit]]/Table3[[#This Row],[Sales]]</f>
        <v>0.16674768787541869</v>
      </c>
    </row>
    <row r="765" spans="1:12" x14ac:dyDescent="0.25">
      <c r="A765" t="s">
        <v>779</v>
      </c>
      <c r="B765" s="2">
        <v>44941</v>
      </c>
      <c r="C765" s="2" t="str">
        <f>TEXT(Table3[[#This Row],[Order Date]],"mmmm")</f>
        <v>January</v>
      </c>
      <c r="D765" t="s">
        <v>3731</v>
      </c>
      <c r="E765" t="s">
        <v>3225</v>
      </c>
      <c r="F765" t="s">
        <v>3226</v>
      </c>
      <c r="G765" s="4">
        <v>80975.64</v>
      </c>
      <c r="H765" s="4">
        <v>69674.94</v>
      </c>
      <c r="I765" s="3" t="s">
        <v>3734</v>
      </c>
      <c r="J765">
        <v>5</v>
      </c>
      <c r="K765" s="4">
        <f>Table3[[#This Row],[Sales]]-Table3[[#This Row],[Cost]]</f>
        <v>11300.699999999997</v>
      </c>
      <c r="L765" s="6">
        <f>Table3[[#This Row],[Profit]]/Table3[[#This Row],[Sales]]</f>
        <v>0.13955678522577897</v>
      </c>
    </row>
    <row r="766" spans="1:12" x14ac:dyDescent="0.25">
      <c r="A766" t="s">
        <v>780</v>
      </c>
      <c r="B766" s="2">
        <v>45102</v>
      </c>
      <c r="C766" s="2" t="str">
        <f>TEXT(Table3[[#This Row],[Order Date]],"mmmm")</f>
        <v>June</v>
      </c>
      <c r="D766" t="s">
        <v>3730</v>
      </c>
      <c r="E766" t="s">
        <v>3223</v>
      </c>
      <c r="F766" t="s">
        <v>3226</v>
      </c>
      <c r="G766" s="4">
        <v>8934.32</v>
      </c>
      <c r="H766" s="4">
        <v>7147.4560000000001</v>
      </c>
      <c r="I766" s="3" t="s">
        <v>3735</v>
      </c>
      <c r="J766">
        <v>1</v>
      </c>
      <c r="K766" s="4">
        <f>Table3[[#This Row],[Sales]]-Table3[[#This Row],[Cost]]</f>
        <v>1786.8639999999996</v>
      </c>
      <c r="L766" s="6">
        <f>Table3[[#This Row],[Profit]]/Table3[[#This Row],[Sales]]</f>
        <v>0.19999999999999996</v>
      </c>
    </row>
    <row r="767" spans="1:12" x14ac:dyDescent="0.25">
      <c r="A767" t="s">
        <v>3367</v>
      </c>
      <c r="B767" s="2">
        <v>44941</v>
      </c>
      <c r="C767" s="2" t="str">
        <f>TEXT(Table3[[#This Row],[Order Date]],"mmmm")</f>
        <v>January</v>
      </c>
      <c r="D767" t="s">
        <v>3730</v>
      </c>
      <c r="E767" t="s">
        <v>3222</v>
      </c>
      <c r="F767" t="s">
        <v>3226</v>
      </c>
      <c r="G767" s="4">
        <v>53942.81</v>
      </c>
      <c r="H767" s="4">
        <v>39064.559999999998</v>
      </c>
      <c r="I767" s="3" t="s">
        <v>3734</v>
      </c>
      <c r="J767">
        <v>4</v>
      </c>
      <c r="K767" s="4">
        <f>Table3[[#This Row],[Sales]]-Table3[[#This Row],[Cost]]</f>
        <v>14878.25</v>
      </c>
      <c r="L767" s="6">
        <f>Table3[[#This Row],[Profit]]/Table3[[#This Row],[Sales]]</f>
        <v>0.27581525693600317</v>
      </c>
    </row>
    <row r="768" spans="1:12" x14ac:dyDescent="0.25">
      <c r="A768" t="s">
        <v>782</v>
      </c>
      <c r="B768" s="2">
        <v>44972</v>
      </c>
      <c r="C768" s="2" t="str">
        <f>TEXT(Table3[[#This Row],[Order Date]],"mmmm")</f>
        <v>February</v>
      </c>
      <c r="D768" t="s">
        <v>3220</v>
      </c>
      <c r="E768" t="s">
        <v>3222</v>
      </c>
      <c r="F768" t="s">
        <v>3226</v>
      </c>
      <c r="G768" s="4">
        <v>62984.94</v>
      </c>
      <c r="H768" s="4">
        <v>50387.952000000005</v>
      </c>
      <c r="I768" s="3" t="s">
        <v>3735</v>
      </c>
      <c r="J768">
        <v>4</v>
      </c>
      <c r="K768" s="4">
        <f>Table3[[#This Row],[Sales]]-Table3[[#This Row],[Cost]]</f>
        <v>12596.987999999998</v>
      </c>
      <c r="L768" s="6">
        <f>Table3[[#This Row],[Profit]]/Table3[[#This Row],[Sales]]</f>
        <v>0.19999999999999996</v>
      </c>
    </row>
    <row r="769" spans="1:12" x14ac:dyDescent="0.25">
      <c r="A769" t="s">
        <v>783</v>
      </c>
      <c r="B769" s="2">
        <v>45021</v>
      </c>
      <c r="C769" s="2" t="str">
        <f>TEXT(Table3[[#This Row],[Order Date]],"mmmm")</f>
        <v>April</v>
      </c>
      <c r="D769" t="s">
        <v>3220</v>
      </c>
      <c r="E769" t="s">
        <v>3224</v>
      </c>
      <c r="F769" t="s">
        <v>3226</v>
      </c>
      <c r="G769" s="4">
        <v>205684.56</v>
      </c>
      <c r="H769" s="4">
        <v>146613.20000000001</v>
      </c>
      <c r="I769" s="3" t="s">
        <v>3734</v>
      </c>
      <c r="J769">
        <v>3</v>
      </c>
      <c r="K769" s="4">
        <f>Table3[[#This Row],[Sales]]-Table3[[#This Row],[Cost]]</f>
        <v>59071.359999999986</v>
      </c>
      <c r="L769" s="6">
        <f>Table3[[#This Row],[Profit]]/Table3[[#This Row],[Sales]]</f>
        <v>0.28719394396934794</v>
      </c>
    </row>
    <row r="770" spans="1:12" x14ac:dyDescent="0.25">
      <c r="A770" t="s">
        <v>784</v>
      </c>
      <c r="B770" s="2">
        <v>45005</v>
      </c>
      <c r="C770" s="2" t="str">
        <f>TEXT(Table3[[#This Row],[Order Date]],"mmmm")</f>
        <v>March</v>
      </c>
      <c r="D770" t="s">
        <v>3730</v>
      </c>
      <c r="E770" t="s">
        <v>3225</v>
      </c>
      <c r="F770" t="s">
        <v>3226</v>
      </c>
      <c r="G770" s="4">
        <v>86331.45</v>
      </c>
      <c r="H770" s="4">
        <v>67474.06</v>
      </c>
      <c r="I770" s="3" t="s">
        <v>3734</v>
      </c>
      <c r="J770">
        <v>5</v>
      </c>
      <c r="K770" s="4">
        <f>Table3[[#This Row],[Sales]]-Table3[[#This Row],[Cost]]</f>
        <v>18857.39</v>
      </c>
      <c r="L770" s="6">
        <f>Table3[[#This Row],[Profit]]/Table3[[#This Row],[Sales]]</f>
        <v>0.21843013177700596</v>
      </c>
    </row>
    <row r="771" spans="1:12" x14ac:dyDescent="0.25">
      <c r="A771" t="s">
        <v>3346</v>
      </c>
      <c r="B771" s="2">
        <v>44941</v>
      </c>
      <c r="C771" s="2" t="str">
        <f>TEXT(Table3[[#This Row],[Order Date]],"mmmm")</f>
        <v>January</v>
      </c>
      <c r="D771" t="s">
        <v>3220</v>
      </c>
      <c r="E771" t="s">
        <v>3224</v>
      </c>
      <c r="F771" t="s">
        <v>3226</v>
      </c>
      <c r="G771" s="4">
        <v>153485.54999999999</v>
      </c>
      <c r="H771" s="4">
        <v>137708.01999999999</v>
      </c>
      <c r="I771" s="3" t="s">
        <v>3734</v>
      </c>
      <c r="J771">
        <v>3</v>
      </c>
      <c r="K771" s="4">
        <f>Table3[[#This Row],[Sales]]-Table3[[#This Row],[Cost]]</f>
        <v>15777.529999999999</v>
      </c>
      <c r="L771" s="6">
        <f>Table3[[#This Row],[Profit]]/Table3[[#This Row],[Sales]]</f>
        <v>0.10279488850904857</v>
      </c>
    </row>
    <row r="772" spans="1:12" x14ac:dyDescent="0.25">
      <c r="A772" t="s">
        <v>785</v>
      </c>
      <c r="B772" s="2">
        <v>44972</v>
      </c>
      <c r="C772" s="2" t="str">
        <f>TEXT(Table3[[#This Row],[Order Date]],"mmmm")</f>
        <v>February</v>
      </c>
      <c r="D772" t="s">
        <v>3730</v>
      </c>
      <c r="E772" t="s">
        <v>3225</v>
      </c>
      <c r="F772" t="s">
        <v>3226</v>
      </c>
      <c r="G772" s="4">
        <v>18000.66</v>
      </c>
      <c r="H772" s="4">
        <v>14827.93</v>
      </c>
      <c r="I772" s="3" t="s">
        <v>3734</v>
      </c>
      <c r="J772">
        <v>1</v>
      </c>
      <c r="K772" s="4">
        <f>Table3[[#This Row],[Sales]]-Table3[[#This Row],[Cost]]</f>
        <v>3172.7299999999996</v>
      </c>
      <c r="L772" s="6">
        <f>Table3[[#This Row],[Profit]]/Table3[[#This Row],[Sales]]</f>
        <v>0.17625631504622605</v>
      </c>
    </row>
    <row r="773" spans="1:12" x14ac:dyDescent="0.25">
      <c r="A773" t="s">
        <v>3368</v>
      </c>
      <c r="B773" s="2">
        <v>45005</v>
      </c>
      <c r="C773" s="2" t="str">
        <f>TEXT(Table3[[#This Row],[Order Date]],"mmmm")</f>
        <v>March</v>
      </c>
      <c r="D773" t="s">
        <v>3220</v>
      </c>
      <c r="E773" t="s">
        <v>3223</v>
      </c>
      <c r="F773" t="s">
        <v>3226</v>
      </c>
      <c r="G773" s="4">
        <v>38436.400000000001</v>
      </c>
      <c r="H773" s="4">
        <v>26422.54</v>
      </c>
      <c r="I773" s="3" t="s">
        <v>3734</v>
      </c>
      <c r="J773">
        <v>4</v>
      </c>
      <c r="K773" s="4">
        <f>Table3[[#This Row],[Sales]]-Table3[[#This Row],[Cost]]</f>
        <v>12013.86</v>
      </c>
      <c r="L773" s="6">
        <f>Table3[[#This Row],[Profit]]/Table3[[#This Row],[Sales]]</f>
        <v>0.31256465225671498</v>
      </c>
    </row>
    <row r="774" spans="1:12" x14ac:dyDescent="0.25">
      <c r="A774" t="s">
        <v>3369</v>
      </c>
      <c r="B774" s="2">
        <v>44972</v>
      </c>
      <c r="C774" s="2" t="str">
        <f>TEXT(Table3[[#This Row],[Order Date]],"mmmm")</f>
        <v>February</v>
      </c>
      <c r="D774" t="s">
        <v>3220</v>
      </c>
      <c r="E774" t="s">
        <v>3223</v>
      </c>
      <c r="F774" t="s">
        <v>3226</v>
      </c>
      <c r="G774" s="4">
        <v>31330.32</v>
      </c>
      <c r="H774" s="4">
        <v>25064.256000000001</v>
      </c>
      <c r="I774" s="3" t="s">
        <v>3735</v>
      </c>
      <c r="J774">
        <v>3</v>
      </c>
      <c r="K774" s="4">
        <f>Table3[[#This Row],[Sales]]-Table3[[#This Row],[Cost]]</f>
        <v>6266.0639999999985</v>
      </c>
      <c r="L774" s="6">
        <f>Table3[[#This Row],[Profit]]/Table3[[#This Row],[Sales]]</f>
        <v>0.19999999999999996</v>
      </c>
    </row>
    <row r="775" spans="1:12" x14ac:dyDescent="0.25">
      <c r="A775" t="s">
        <v>788</v>
      </c>
      <c r="B775" s="2">
        <v>44941</v>
      </c>
      <c r="C775" s="2" t="str">
        <f>TEXT(Table3[[#This Row],[Order Date]],"mmmm")</f>
        <v>January</v>
      </c>
      <c r="D775" t="s">
        <v>3220</v>
      </c>
      <c r="E775" t="s">
        <v>3223</v>
      </c>
      <c r="F775" t="s">
        <v>3226</v>
      </c>
      <c r="G775" s="4">
        <v>41027.120000000003</v>
      </c>
      <c r="H775" s="4">
        <v>27259.1</v>
      </c>
      <c r="I775" s="3" t="s">
        <v>3734</v>
      </c>
      <c r="J775">
        <v>4</v>
      </c>
      <c r="K775" s="4">
        <f>Table3[[#This Row],[Sales]]-Table3[[#This Row],[Cost]]</f>
        <v>13768.020000000004</v>
      </c>
      <c r="L775" s="6">
        <f>Table3[[#This Row],[Profit]]/Table3[[#This Row],[Sales]]</f>
        <v>0.3355833897188007</v>
      </c>
    </row>
    <row r="776" spans="1:12" x14ac:dyDescent="0.25">
      <c r="A776" t="s">
        <v>789</v>
      </c>
      <c r="B776" s="2">
        <v>45005</v>
      </c>
      <c r="C776" s="2" t="str">
        <f>TEXT(Table3[[#This Row],[Order Date]],"mmmm")</f>
        <v>March</v>
      </c>
      <c r="D776" t="s">
        <v>3730</v>
      </c>
      <c r="E776" t="s">
        <v>3222</v>
      </c>
      <c r="F776" t="s">
        <v>3226</v>
      </c>
      <c r="G776" s="4">
        <v>43947.61</v>
      </c>
      <c r="H776" s="4">
        <v>29179.599999999999</v>
      </c>
      <c r="I776" s="3" t="s">
        <v>3734</v>
      </c>
      <c r="J776">
        <v>3</v>
      </c>
      <c r="K776" s="4">
        <f>Table3[[#This Row],[Sales]]-Table3[[#This Row],[Cost]]</f>
        <v>14768.010000000002</v>
      </c>
      <c r="L776" s="6">
        <f>Table3[[#This Row],[Profit]]/Table3[[#This Row],[Sales]]</f>
        <v>0.33603670370243116</v>
      </c>
    </row>
    <row r="777" spans="1:12" x14ac:dyDescent="0.25">
      <c r="A777" t="s">
        <v>3370</v>
      </c>
      <c r="B777" s="2" t="s">
        <v>3729</v>
      </c>
      <c r="C777" s="2" t="str">
        <f>TEXT(Table3[[#This Row],[Order Date]],"mmmm")</f>
        <v>Not Mentioned</v>
      </c>
      <c r="D777" t="s">
        <v>3220</v>
      </c>
      <c r="E777" t="s">
        <v>3223</v>
      </c>
      <c r="F777" t="s">
        <v>3226</v>
      </c>
      <c r="G777" s="4">
        <v>30449.93</v>
      </c>
      <c r="H777" s="4">
        <v>24359.944000000003</v>
      </c>
      <c r="I777" s="3" t="s">
        <v>3735</v>
      </c>
      <c r="J777">
        <v>3</v>
      </c>
      <c r="K777" s="4">
        <f>Table3[[#This Row],[Sales]]-Table3[[#This Row],[Cost]]</f>
        <v>6089.9859999999971</v>
      </c>
      <c r="L777" s="6">
        <f>Table3[[#This Row],[Profit]]/Table3[[#This Row],[Sales]]</f>
        <v>0.1999999999999999</v>
      </c>
    </row>
    <row r="778" spans="1:12" x14ac:dyDescent="0.25">
      <c r="A778" t="s">
        <v>792</v>
      </c>
      <c r="B778" s="2">
        <v>44941</v>
      </c>
      <c r="C778" s="2" t="str">
        <f>TEXT(Table3[[#This Row],[Order Date]],"mmmm")</f>
        <v>January</v>
      </c>
      <c r="D778" t="s">
        <v>3216</v>
      </c>
      <c r="E778" t="s">
        <v>3222</v>
      </c>
      <c r="F778" t="s">
        <v>3226</v>
      </c>
      <c r="G778" s="4">
        <v>71326.820000000007</v>
      </c>
      <c r="H778" s="4">
        <v>34375.519999999997</v>
      </c>
      <c r="I778" s="3" t="s">
        <v>3734</v>
      </c>
      <c r="J778">
        <v>4</v>
      </c>
      <c r="K778" s="4">
        <f>Table3[[#This Row],[Sales]]-Table3[[#This Row],[Cost]]</f>
        <v>36951.30000000001</v>
      </c>
      <c r="L778" s="6">
        <f>Table3[[#This Row],[Profit]]/Table3[[#This Row],[Sales]]</f>
        <v>0.51805618139151588</v>
      </c>
    </row>
    <row r="779" spans="1:12" x14ac:dyDescent="0.25">
      <c r="A779" t="s">
        <v>793</v>
      </c>
      <c r="B779" s="2">
        <v>44972</v>
      </c>
      <c r="C779" s="2" t="str">
        <f>TEXT(Table3[[#This Row],[Order Date]],"mmmm")</f>
        <v>February</v>
      </c>
      <c r="D779" t="s">
        <v>3220</v>
      </c>
      <c r="E779" t="s">
        <v>3225</v>
      </c>
      <c r="F779" t="s">
        <v>3226</v>
      </c>
      <c r="G779" s="4">
        <v>88616.02</v>
      </c>
      <c r="H779" s="4">
        <v>55954.12</v>
      </c>
      <c r="I779" s="3" t="s">
        <v>3734</v>
      </c>
      <c r="J779">
        <v>4</v>
      </c>
      <c r="K779" s="4">
        <f>Table3[[#This Row],[Sales]]-Table3[[#This Row],[Cost]]</f>
        <v>32661.9</v>
      </c>
      <c r="L779" s="6">
        <f>Table3[[#This Row],[Profit]]/Table3[[#This Row],[Sales]]</f>
        <v>0.36857782599579625</v>
      </c>
    </row>
    <row r="780" spans="1:12" x14ac:dyDescent="0.25">
      <c r="A780" t="s">
        <v>794</v>
      </c>
      <c r="B780" s="2">
        <v>44972</v>
      </c>
      <c r="C780" s="2" t="str">
        <f>TEXT(Table3[[#This Row],[Order Date]],"mmmm")</f>
        <v>February</v>
      </c>
      <c r="D780" t="s">
        <v>3216</v>
      </c>
      <c r="E780" t="s">
        <v>3224</v>
      </c>
      <c r="F780" t="s">
        <v>3226</v>
      </c>
      <c r="G780" s="4">
        <v>51934.09</v>
      </c>
      <c r="H780" s="4">
        <v>42540.85</v>
      </c>
      <c r="I780" s="3" t="s">
        <v>3734</v>
      </c>
      <c r="J780">
        <v>1</v>
      </c>
      <c r="K780" s="4">
        <f>Table3[[#This Row],[Sales]]-Table3[[#This Row],[Cost]]</f>
        <v>9393.239999999998</v>
      </c>
      <c r="L780" s="6">
        <f>Table3[[#This Row],[Profit]]/Table3[[#This Row],[Sales]]</f>
        <v>0.18086848156962024</v>
      </c>
    </row>
    <row r="781" spans="1:12" x14ac:dyDescent="0.25">
      <c r="A781" t="s">
        <v>795</v>
      </c>
      <c r="B781" s="2">
        <v>45005</v>
      </c>
      <c r="C781" s="2" t="str">
        <f>TEXT(Table3[[#This Row],[Order Date]],"mmmm")</f>
        <v>March</v>
      </c>
      <c r="D781" t="s">
        <v>3730</v>
      </c>
      <c r="E781" t="s">
        <v>3222</v>
      </c>
      <c r="F781" t="s">
        <v>3226</v>
      </c>
      <c r="G781" s="4">
        <v>31236.17</v>
      </c>
      <c r="H781" s="4">
        <v>17285.66</v>
      </c>
      <c r="I781" s="3" t="s">
        <v>3734</v>
      </c>
      <c r="J781">
        <v>2</v>
      </c>
      <c r="K781" s="4">
        <f>Table3[[#This Row],[Sales]]-Table3[[#This Row],[Cost]]</f>
        <v>13950.509999999998</v>
      </c>
      <c r="L781" s="6">
        <f>Table3[[#This Row],[Profit]]/Table3[[#This Row],[Sales]]</f>
        <v>0.44661397348010334</v>
      </c>
    </row>
    <row r="782" spans="1:12" x14ac:dyDescent="0.25">
      <c r="A782" t="s">
        <v>796</v>
      </c>
      <c r="B782" s="2">
        <v>45102</v>
      </c>
      <c r="C782" s="2" t="str">
        <f>TEXT(Table3[[#This Row],[Order Date]],"mmmm")</f>
        <v>June</v>
      </c>
      <c r="D782" t="s">
        <v>3730</v>
      </c>
      <c r="E782" t="s">
        <v>3225</v>
      </c>
      <c r="F782" t="s">
        <v>3226</v>
      </c>
      <c r="G782" s="4">
        <v>74077.86</v>
      </c>
      <c r="H782" s="4">
        <v>49405.7</v>
      </c>
      <c r="I782" s="3" t="s">
        <v>3734</v>
      </c>
      <c r="J782" t="s">
        <v>3732</v>
      </c>
      <c r="K782" s="4">
        <f>Table3[[#This Row],[Sales]]-Table3[[#This Row],[Cost]]</f>
        <v>24672.160000000003</v>
      </c>
      <c r="L782" s="6">
        <f>Table3[[#This Row],[Profit]]/Table3[[#This Row],[Sales]]</f>
        <v>0.333057137449705</v>
      </c>
    </row>
    <row r="783" spans="1:12" x14ac:dyDescent="0.25">
      <c r="A783" t="s">
        <v>797</v>
      </c>
      <c r="B783" s="2">
        <v>45102</v>
      </c>
      <c r="C783" s="2" t="str">
        <f>TEXT(Table3[[#This Row],[Order Date]],"mmmm")</f>
        <v>June</v>
      </c>
      <c r="D783" t="s">
        <v>3730</v>
      </c>
      <c r="E783" t="s">
        <v>3224</v>
      </c>
      <c r="F783" t="s">
        <v>3226</v>
      </c>
      <c r="G783" s="4">
        <v>108985.05</v>
      </c>
      <c r="H783" s="4">
        <v>94606.33</v>
      </c>
      <c r="I783" s="3" t="s">
        <v>3734</v>
      </c>
      <c r="J783">
        <v>2</v>
      </c>
      <c r="K783" s="4">
        <f>Table3[[#This Row],[Sales]]-Table3[[#This Row],[Cost]]</f>
        <v>14378.720000000001</v>
      </c>
      <c r="L783" s="6">
        <f>Table3[[#This Row],[Profit]]/Table3[[#This Row],[Sales]]</f>
        <v>0.13193295777723643</v>
      </c>
    </row>
    <row r="784" spans="1:12" x14ac:dyDescent="0.25">
      <c r="A784" t="s">
        <v>798</v>
      </c>
      <c r="B784" s="2">
        <v>45005</v>
      </c>
      <c r="C784" s="2" t="str">
        <f>TEXT(Table3[[#This Row],[Order Date]],"mmmm")</f>
        <v>March</v>
      </c>
      <c r="D784" t="s">
        <v>3731</v>
      </c>
      <c r="E784" t="s">
        <v>3222</v>
      </c>
      <c r="F784" t="s">
        <v>3226</v>
      </c>
      <c r="G784" s="4">
        <v>83765.7</v>
      </c>
      <c r="H784" s="4">
        <v>52982.77</v>
      </c>
      <c r="I784" s="3" t="s">
        <v>3734</v>
      </c>
      <c r="J784">
        <v>5</v>
      </c>
      <c r="K784" s="4">
        <f>Table3[[#This Row],[Sales]]-Table3[[#This Row],[Cost]]</f>
        <v>30782.93</v>
      </c>
      <c r="L784" s="6">
        <f>Table3[[#This Row],[Profit]]/Table3[[#This Row],[Sales]]</f>
        <v>0.36748848275606844</v>
      </c>
    </row>
    <row r="785" spans="1:12" x14ac:dyDescent="0.25">
      <c r="A785" t="s">
        <v>799</v>
      </c>
      <c r="B785" s="2">
        <v>45021</v>
      </c>
      <c r="C785" s="2" t="str">
        <f>TEXT(Table3[[#This Row],[Order Date]],"mmmm")</f>
        <v>April</v>
      </c>
      <c r="D785" t="s">
        <v>3216</v>
      </c>
      <c r="E785" t="s">
        <v>3223</v>
      </c>
      <c r="F785" t="s">
        <v>3226</v>
      </c>
      <c r="G785" s="4">
        <v>10821.23</v>
      </c>
      <c r="H785" s="4">
        <v>7237.01</v>
      </c>
      <c r="I785" s="3" t="s">
        <v>3734</v>
      </c>
      <c r="J785">
        <v>1</v>
      </c>
      <c r="K785" s="4">
        <f>Table3[[#This Row],[Sales]]-Table3[[#This Row],[Cost]]</f>
        <v>3584.2199999999993</v>
      </c>
      <c r="L785" s="6">
        <f>Table3[[#This Row],[Profit]]/Table3[[#This Row],[Sales]]</f>
        <v>0.33122112735798054</v>
      </c>
    </row>
    <row r="786" spans="1:12" x14ac:dyDescent="0.25">
      <c r="A786" t="s">
        <v>800</v>
      </c>
      <c r="B786" s="2">
        <v>44972</v>
      </c>
      <c r="C786" s="2" t="str">
        <f>TEXT(Table3[[#This Row],[Order Date]],"mmmm")</f>
        <v>February</v>
      </c>
      <c r="D786" t="s">
        <v>3220</v>
      </c>
      <c r="E786" t="s">
        <v>3224</v>
      </c>
      <c r="F786" t="s">
        <v>3226</v>
      </c>
      <c r="G786" s="4">
        <v>129288.47</v>
      </c>
      <c r="H786" s="4">
        <v>77393.5</v>
      </c>
      <c r="I786" s="3" t="s">
        <v>3734</v>
      </c>
      <c r="J786">
        <v>2</v>
      </c>
      <c r="K786" s="4">
        <f>Table3[[#This Row],[Sales]]-Table3[[#This Row],[Cost]]</f>
        <v>51894.97</v>
      </c>
      <c r="L786" s="6">
        <f>Table3[[#This Row],[Profit]]/Table3[[#This Row],[Sales]]</f>
        <v>0.40138900243772707</v>
      </c>
    </row>
    <row r="787" spans="1:12" x14ac:dyDescent="0.25">
      <c r="A787" t="s">
        <v>801</v>
      </c>
      <c r="B787" s="2" t="s">
        <v>3729</v>
      </c>
      <c r="C787" s="2" t="str">
        <f>TEXT(Table3[[#This Row],[Order Date]],"mmmm")</f>
        <v>Not Mentioned</v>
      </c>
      <c r="D787" t="s">
        <v>3730</v>
      </c>
      <c r="E787" t="s">
        <v>3222</v>
      </c>
      <c r="F787" t="s">
        <v>3226</v>
      </c>
      <c r="G787" s="4">
        <v>32675.32</v>
      </c>
      <c r="H787" s="4">
        <v>18030.990000000002</v>
      </c>
      <c r="I787" s="3" t="s">
        <v>3734</v>
      </c>
      <c r="J787">
        <v>2</v>
      </c>
      <c r="K787" s="4">
        <f>Table3[[#This Row],[Sales]]-Table3[[#This Row],[Cost]]</f>
        <v>14644.329999999998</v>
      </c>
      <c r="L787" s="6">
        <f>Table3[[#This Row],[Profit]]/Table3[[#This Row],[Sales]]</f>
        <v>0.44817709512867809</v>
      </c>
    </row>
    <row r="788" spans="1:12" x14ac:dyDescent="0.25">
      <c r="A788" t="s">
        <v>802</v>
      </c>
      <c r="B788" s="2" t="s">
        <v>3729</v>
      </c>
      <c r="C788" s="2" t="str">
        <f>TEXT(Table3[[#This Row],[Order Date]],"mmmm")</f>
        <v>Not Mentioned</v>
      </c>
      <c r="D788" t="s">
        <v>3731</v>
      </c>
      <c r="E788" t="s">
        <v>3224</v>
      </c>
      <c r="F788" t="s">
        <v>3226</v>
      </c>
      <c r="G788" s="4">
        <v>213852.72</v>
      </c>
      <c r="H788" s="4">
        <v>176599.64</v>
      </c>
      <c r="I788" s="3" t="s">
        <v>3734</v>
      </c>
      <c r="J788">
        <v>4</v>
      </c>
      <c r="K788" s="4">
        <f>Table3[[#This Row],[Sales]]-Table3[[#This Row],[Cost]]</f>
        <v>37253.079999999987</v>
      </c>
      <c r="L788" s="6">
        <f>Table3[[#This Row],[Profit]]/Table3[[#This Row],[Sales]]</f>
        <v>0.17419970155160985</v>
      </c>
    </row>
    <row r="789" spans="1:12" x14ac:dyDescent="0.25">
      <c r="A789" t="s">
        <v>803</v>
      </c>
      <c r="B789" s="2">
        <v>45102</v>
      </c>
      <c r="C789" s="2" t="str">
        <f>TEXT(Table3[[#This Row],[Order Date]],"mmmm")</f>
        <v>June</v>
      </c>
      <c r="D789" t="s">
        <v>3731</v>
      </c>
      <c r="E789" t="s">
        <v>3225</v>
      </c>
      <c r="F789" t="s">
        <v>3226</v>
      </c>
      <c r="G789" s="4">
        <v>40535.660000000003</v>
      </c>
      <c r="H789" s="4">
        <v>24169.3</v>
      </c>
      <c r="I789" s="3" t="s">
        <v>3734</v>
      </c>
      <c r="J789">
        <v>2</v>
      </c>
      <c r="K789" s="4">
        <f>Table3[[#This Row],[Sales]]-Table3[[#This Row],[Cost]]</f>
        <v>16366.360000000004</v>
      </c>
      <c r="L789" s="6">
        <f>Table3[[#This Row],[Profit]]/Table3[[#This Row],[Sales]]</f>
        <v>0.40375215304253104</v>
      </c>
    </row>
    <row r="790" spans="1:12" x14ac:dyDescent="0.25">
      <c r="A790" t="s">
        <v>804</v>
      </c>
      <c r="B790" s="2" t="s">
        <v>3729</v>
      </c>
      <c r="C790" s="2" t="str">
        <f>TEXT(Table3[[#This Row],[Order Date]],"mmmm")</f>
        <v>Not Mentioned</v>
      </c>
      <c r="D790" t="s">
        <v>3216</v>
      </c>
      <c r="E790" t="s">
        <v>3224</v>
      </c>
      <c r="F790" t="s">
        <v>3226</v>
      </c>
      <c r="G790" s="4">
        <v>205310.64</v>
      </c>
      <c r="H790" s="4">
        <v>158729.03</v>
      </c>
      <c r="I790" s="3" t="s">
        <v>3734</v>
      </c>
      <c r="J790">
        <v>4</v>
      </c>
      <c r="K790" s="4">
        <f>Table3[[#This Row],[Sales]]-Table3[[#This Row],[Cost]]</f>
        <v>46581.610000000015</v>
      </c>
      <c r="L790" s="6">
        <f>Table3[[#This Row],[Profit]]/Table3[[#This Row],[Sales]]</f>
        <v>0.22688356531351717</v>
      </c>
    </row>
    <row r="791" spans="1:12" x14ac:dyDescent="0.25">
      <c r="A791" t="s">
        <v>805</v>
      </c>
      <c r="B791" s="2">
        <v>44941</v>
      </c>
      <c r="C791" s="2" t="str">
        <f>TEXT(Table3[[#This Row],[Order Date]],"mmmm")</f>
        <v>January</v>
      </c>
      <c r="D791" t="s">
        <v>3730</v>
      </c>
      <c r="E791" t="s">
        <v>3224</v>
      </c>
      <c r="F791" t="s">
        <v>3226</v>
      </c>
      <c r="G791" s="4">
        <v>55866.51</v>
      </c>
      <c r="H791" s="4">
        <v>47925.83</v>
      </c>
      <c r="I791" s="3" t="s">
        <v>3734</v>
      </c>
      <c r="J791">
        <v>1</v>
      </c>
      <c r="K791" s="4">
        <f>Table3[[#This Row],[Sales]]-Table3[[#This Row],[Cost]]</f>
        <v>7940.68</v>
      </c>
      <c r="L791" s="6">
        <f>Table3[[#This Row],[Profit]]/Table3[[#This Row],[Sales]]</f>
        <v>0.14213667544294425</v>
      </c>
    </row>
    <row r="792" spans="1:12" x14ac:dyDescent="0.25">
      <c r="A792" t="s">
        <v>806</v>
      </c>
      <c r="B792" s="2">
        <v>44941</v>
      </c>
      <c r="C792" s="2" t="str">
        <f>TEXT(Table3[[#This Row],[Order Date]],"mmmm")</f>
        <v>January</v>
      </c>
      <c r="D792" t="s">
        <v>3220</v>
      </c>
      <c r="E792" t="s">
        <v>3222</v>
      </c>
      <c r="F792" t="s">
        <v>3226</v>
      </c>
      <c r="G792" s="4">
        <v>16921.66</v>
      </c>
      <c r="H792" s="4">
        <v>9023.2999999999993</v>
      </c>
      <c r="I792" s="3" t="s">
        <v>3734</v>
      </c>
      <c r="J792">
        <v>1</v>
      </c>
      <c r="K792" s="4">
        <f>Table3[[#This Row],[Sales]]-Table3[[#This Row],[Cost]]</f>
        <v>7898.3600000000006</v>
      </c>
      <c r="L792" s="6">
        <f>Table3[[#This Row],[Profit]]/Table3[[#This Row],[Sales]]</f>
        <v>0.46676035329867166</v>
      </c>
    </row>
    <row r="793" spans="1:12" x14ac:dyDescent="0.25">
      <c r="A793" t="s">
        <v>331</v>
      </c>
      <c r="B793" s="2">
        <v>45021</v>
      </c>
      <c r="C793" s="2" t="str">
        <f>TEXT(Table3[[#This Row],[Order Date]],"mmmm")</f>
        <v>April</v>
      </c>
      <c r="D793" t="s">
        <v>3220</v>
      </c>
      <c r="E793" t="s">
        <v>3225</v>
      </c>
      <c r="F793" t="s">
        <v>3226</v>
      </c>
      <c r="G793" s="4">
        <v>43686.66</v>
      </c>
      <c r="H793" s="4">
        <v>27530.14</v>
      </c>
      <c r="I793" s="3" t="s">
        <v>3734</v>
      </c>
      <c r="J793">
        <v>2</v>
      </c>
      <c r="K793" s="4">
        <f>Table3[[#This Row],[Sales]]-Table3[[#This Row],[Cost]]</f>
        <v>16156.520000000004</v>
      </c>
      <c r="L793" s="6">
        <f>Table3[[#This Row],[Profit]]/Table3[[#This Row],[Sales]]</f>
        <v>0.36982731112884354</v>
      </c>
    </row>
    <row r="794" spans="1:12" x14ac:dyDescent="0.25">
      <c r="A794" t="s">
        <v>807</v>
      </c>
      <c r="B794" s="2">
        <v>45021</v>
      </c>
      <c r="C794" s="2" t="str">
        <f>TEXT(Table3[[#This Row],[Order Date]],"mmmm")</f>
        <v>April</v>
      </c>
      <c r="D794" t="s">
        <v>3220</v>
      </c>
      <c r="E794" t="s">
        <v>3223</v>
      </c>
      <c r="F794" t="s">
        <v>3226</v>
      </c>
      <c r="G794" s="4">
        <v>42571.64</v>
      </c>
      <c r="H794" s="4">
        <v>30454.240000000002</v>
      </c>
      <c r="I794" s="3" t="s">
        <v>3734</v>
      </c>
      <c r="J794">
        <v>4</v>
      </c>
      <c r="K794" s="4">
        <f>Table3[[#This Row],[Sales]]-Table3[[#This Row],[Cost]]</f>
        <v>12117.399999999998</v>
      </c>
      <c r="L794" s="6">
        <f>Table3[[#This Row],[Profit]]/Table3[[#This Row],[Sales]]</f>
        <v>0.28463549912570901</v>
      </c>
    </row>
    <row r="795" spans="1:12" x14ac:dyDescent="0.25">
      <c r="A795" t="s">
        <v>808</v>
      </c>
      <c r="B795" s="2">
        <v>44972</v>
      </c>
      <c r="C795" s="2" t="str">
        <f>TEXT(Table3[[#This Row],[Order Date]],"mmmm")</f>
        <v>February</v>
      </c>
      <c r="D795" t="s">
        <v>3730</v>
      </c>
      <c r="E795" t="s">
        <v>3224</v>
      </c>
      <c r="F795" t="s">
        <v>3226</v>
      </c>
      <c r="G795" s="4">
        <v>121550.61</v>
      </c>
      <c r="H795" s="4">
        <v>97240.488000000012</v>
      </c>
      <c r="I795" s="3" t="s">
        <v>3735</v>
      </c>
      <c r="J795">
        <v>2</v>
      </c>
      <c r="K795" s="4">
        <f>Table3[[#This Row],[Sales]]-Table3[[#This Row],[Cost]]</f>
        <v>24310.121999999988</v>
      </c>
      <c r="L795" s="6">
        <f>Table3[[#This Row],[Profit]]/Table3[[#This Row],[Sales]]</f>
        <v>0.1999999999999999</v>
      </c>
    </row>
    <row r="796" spans="1:12" x14ac:dyDescent="0.25">
      <c r="A796" t="s">
        <v>809</v>
      </c>
      <c r="B796" s="2">
        <v>44972</v>
      </c>
      <c r="C796" s="2" t="str">
        <f>TEXT(Table3[[#This Row],[Order Date]],"mmmm")</f>
        <v>February</v>
      </c>
      <c r="D796" t="s">
        <v>3220</v>
      </c>
      <c r="E796" t="s">
        <v>3223</v>
      </c>
      <c r="F796" t="s">
        <v>3226</v>
      </c>
      <c r="G796" s="4">
        <v>8189.66</v>
      </c>
      <c r="H796" s="4">
        <v>7352.05</v>
      </c>
      <c r="I796" s="3" t="s">
        <v>3734</v>
      </c>
      <c r="J796">
        <v>1</v>
      </c>
      <c r="K796" s="4">
        <f>Table3[[#This Row],[Sales]]-Table3[[#This Row],[Cost]]</f>
        <v>837.60999999999967</v>
      </c>
      <c r="L796" s="6">
        <f>Table3[[#This Row],[Profit]]/Table3[[#This Row],[Sales]]</f>
        <v>0.10227652918436171</v>
      </c>
    </row>
    <row r="797" spans="1:12" x14ac:dyDescent="0.25">
      <c r="A797" t="s">
        <v>3371</v>
      </c>
      <c r="B797" s="2">
        <v>44972</v>
      </c>
      <c r="C797" s="2" t="str">
        <f>TEXT(Table3[[#This Row],[Order Date]],"mmmm")</f>
        <v>February</v>
      </c>
      <c r="D797" t="s">
        <v>3730</v>
      </c>
      <c r="E797" t="s">
        <v>3225</v>
      </c>
      <c r="F797" t="s">
        <v>3226</v>
      </c>
      <c r="G797" s="4">
        <v>48433.45</v>
      </c>
      <c r="H797" s="4">
        <v>40768.65</v>
      </c>
      <c r="I797" s="3" t="s">
        <v>3734</v>
      </c>
      <c r="J797">
        <v>3</v>
      </c>
      <c r="K797" s="4">
        <f>Table3[[#This Row],[Sales]]-Table3[[#This Row],[Cost]]</f>
        <v>7664.7999999999956</v>
      </c>
      <c r="L797" s="6">
        <f>Table3[[#This Row],[Profit]]/Table3[[#This Row],[Sales]]</f>
        <v>0.15825426435655515</v>
      </c>
    </row>
    <row r="798" spans="1:12" x14ac:dyDescent="0.25">
      <c r="A798" t="s">
        <v>315</v>
      </c>
      <c r="B798" s="2">
        <v>45005</v>
      </c>
      <c r="C798" s="2" t="str">
        <f>TEXT(Table3[[#This Row],[Order Date]],"mmmm")</f>
        <v>March</v>
      </c>
      <c r="D798" t="s">
        <v>3730</v>
      </c>
      <c r="E798" t="s">
        <v>3224</v>
      </c>
      <c r="F798" t="s">
        <v>3226</v>
      </c>
      <c r="G798" s="4">
        <v>214916.42</v>
      </c>
      <c r="H798" s="4">
        <v>115723.23</v>
      </c>
      <c r="I798" s="3" t="s">
        <v>3734</v>
      </c>
      <c r="J798">
        <v>3</v>
      </c>
      <c r="K798" s="4">
        <f>Table3[[#This Row],[Sales]]-Table3[[#This Row],[Cost]]</f>
        <v>99193.190000000017</v>
      </c>
      <c r="L798" s="6">
        <f>Table3[[#This Row],[Profit]]/Table3[[#This Row],[Sales]]</f>
        <v>0.46154309661402332</v>
      </c>
    </row>
    <row r="799" spans="1:12" x14ac:dyDescent="0.25">
      <c r="A799" t="s">
        <v>811</v>
      </c>
      <c r="B799" s="2">
        <v>45005</v>
      </c>
      <c r="C799" s="2" t="str">
        <f>TEXT(Table3[[#This Row],[Order Date]],"mmmm")</f>
        <v>March</v>
      </c>
      <c r="D799" t="s">
        <v>3730</v>
      </c>
      <c r="E799" t="s">
        <v>3224</v>
      </c>
      <c r="F799" t="s">
        <v>3226</v>
      </c>
      <c r="G799" s="4">
        <v>250422.87</v>
      </c>
      <c r="H799" s="4">
        <v>196690.71</v>
      </c>
      <c r="I799" s="3" t="s">
        <v>3734</v>
      </c>
      <c r="J799">
        <v>4</v>
      </c>
      <c r="K799" s="4">
        <f>Table3[[#This Row],[Sales]]-Table3[[#This Row],[Cost]]</f>
        <v>53732.160000000003</v>
      </c>
      <c r="L799" s="6">
        <f>Table3[[#This Row],[Profit]]/Table3[[#This Row],[Sales]]</f>
        <v>0.21456570639894035</v>
      </c>
    </row>
    <row r="800" spans="1:12" x14ac:dyDescent="0.25">
      <c r="A800" t="s">
        <v>812</v>
      </c>
      <c r="B800" s="2">
        <v>45005</v>
      </c>
      <c r="C800" s="2" t="str">
        <f>TEXT(Table3[[#This Row],[Order Date]],"mmmm")</f>
        <v>March</v>
      </c>
      <c r="D800" t="s">
        <v>3220</v>
      </c>
      <c r="E800" t="s">
        <v>3223</v>
      </c>
      <c r="F800" t="s">
        <v>3226</v>
      </c>
      <c r="G800" s="4">
        <v>19323.95</v>
      </c>
      <c r="H800" s="4">
        <v>15459.160000000002</v>
      </c>
      <c r="I800" s="3" t="s">
        <v>3735</v>
      </c>
      <c r="J800">
        <v>2</v>
      </c>
      <c r="K800" s="4">
        <f>Table3[[#This Row],[Sales]]-Table3[[#This Row],[Cost]]</f>
        <v>3864.7899999999991</v>
      </c>
      <c r="L800" s="6">
        <f>Table3[[#This Row],[Profit]]/Table3[[#This Row],[Sales]]</f>
        <v>0.19999999999999996</v>
      </c>
    </row>
    <row r="801" spans="1:12" x14ac:dyDescent="0.25">
      <c r="A801" t="s">
        <v>813</v>
      </c>
      <c r="B801" s="2">
        <v>45005</v>
      </c>
      <c r="C801" s="2" t="str">
        <f>TEXT(Table3[[#This Row],[Order Date]],"mmmm")</f>
        <v>March</v>
      </c>
      <c r="D801" t="s">
        <v>3730</v>
      </c>
      <c r="E801" t="s">
        <v>3222</v>
      </c>
      <c r="F801" t="s">
        <v>3226</v>
      </c>
      <c r="G801" s="4">
        <v>48099.61</v>
      </c>
      <c r="H801" s="4">
        <v>26975.69</v>
      </c>
      <c r="I801" s="3" t="s">
        <v>3734</v>
      </c>
      <c r="J801">
        <v>3</v>
      </c>
      <c r="K801" s="4">
        <f>Table3[[#This Row],[Sales]]-Table3[[#This Row],[Cost]]</f>
        <v>21123.920000000002</v>
      </c>
      <c r="L801" s="6">
        <f>Table3[[#This Row],[Profit]]/Table3[[#This Row],[Sales]]</f>
        <v>0.43917029680698039</v>
      </c>
    </row>
    <row r="802" spans="1:12" x14ac:dyDescent="0.25">
      <c r="A802" t="s">
        <v>814</v>
      </c>
      <c r="B802" s="2">
        <v>45021</v>
      </c>
      <c r="C802" s="2" t="str">
        <f>TEXT(Table3[[#This Row],[Order Date]],"mmmm")</f>
        <v>April</v>
      </c>
      <c r="D802" t="s">
        <v>3730</v>
      </c>
      <c r="E802" t="s">
        <v>3222</v>
      </c>
      <c r="F802" t="s">
        <v>3226</v>
      </c>
      <c r="G802" s="4">
        <v>29896.89</v>
      </c>
      <c r="H802" s="4">
        <v>20609.88</v>
      </c>
      <c r="I802" s="3" t="s">
        <v>3734</v>
      </c>
      <c r="J802" t="s">
        <v>3732</v>
      </c>
      <c r="K802" s="4">
        <f>Table3[[#This Row],[Sales]]-Table3[[#This Row],[Cost]]</f>
        <v>9287.0099999999984</v>
      </c>
      <c r="L802" s="6">
        <f>Table3[[#This Row],[Profit]]/Table3[[#This Row],[Sales]]</f>
        <v>0.31063465129650603</v>
      </c>
    </row>
    <row r="803" spans="1:12" x14ac:dyDescent="0.25">
      <c r="A803" t="s">
        <v>3372</v>
      </c>
      <c r="B803" s="2">
        <v>44941</v>
      </c>
      <c r="C803" s="2" t="str">
        <f>TEXT(Table3[[#This Row],[Order Date]],"mmmm")</f>
        <v>January</v>
      </c>
      <c r="D803" t="s">
        <v>3731</v>
      </c>
      <c r="E803" t="s">
        <v>3225</v>
      </c>
      <c r="F803" t="s">
        <v>3226</v>
      </c>
      <c r="G803" s="4">
        <v>55162.82</v>
      </c>
      <c r="H803" s="4">
        <v>42399.97</v>
      </c>
      <c r="I803" s="3" t="s">
        <v>3734</v>
      </c>
      <c r="J803">
        <v>3</v>
      </c>
      <c r="K803" s="4">
        <f>Table3[[#This Row],[Sales]]-Table3[[#This Row],[Cost]]</f>
        <v>12762.849999999999</v>
      </c>
      <c r="L803" s="6">
        <f>Table3[[#This Row],[Profit]]/Table3[[#This Row],[Sales]]</f>
        <v>0.23136688805974748</v>
      </c>
    </row>
    <row r="804" spans="1:12" x14ac:dyDescent="0.25">
      <c r="A804" t="s">
        <v>816</v>
      </c>
      <c r="B804" s="2">
        <v>45021</v>
      </c>
      <c r="C804" s="2" t="str">
        <f>TEXT(Table3[[#This Row],[Order Date]],"mmmm")</f>
        <v>April</v>
      </c>
      <c r="D804" t="s">
        <v>3220</v>
      </c>
      <c r="E804" t="s">
        <v>3222</v>
      </c>
      <c r="F804" t="s">
        <v>3226</v>
      </c>
      <c r="G804" s="4">
        <v>89874.07</v>
      </c>
      <c r="H804" s="4">
        <v>46110.12</v>
      </c>
      <c r="I804" s="3" t="s">
        <v>3734</v>
      </c>
      <c r="J804">
        <v>5</v>
      </c>
      <c r="K804" s="4">
        <f>Table3[[#This Row],[Sales]]-Table3[[#This Row],[Cost]]</f>
        <v>43763.950000000004</v>
      </c>
      <c r="L804" s="6">
        <f>Table3[[#This Row],[Profit]]/Table3[[#This Row],[Sales]]</f>
        <v>0.48694745881654189</v>
      </c>
    </row>
    <row r="805" spans="1:12" x14ac:dyDescent="0.25">
      <c r="A805" t="s">
        <v>817</v>
      </c>
      <c r="B805" s="2">
        <v>45005</v>
      </c>
      <c r="C805" s="2" t="str">
        <f>TEXT(Table3[[#This Row],[Order Date]],"mmmm")</f>
        <v>March</v>
      </c>
      <c r="D805" t="s">
        <v>3220</v>
      </c>
      <c r="E805" t="s">
        <v>3224</v>
      </c>
      <c r="F805" t="s">
        <v>3226</v>
      </c>
      <c r="G805" s="4">
        <v>112080.41</v>
      </c>
      <c r="H805" s="4">
        <v>81163.86</v>
      </c>
      <c r="I805" s="3" t="s">
        <v>3734</v>
      </c>
      <c r="J805">
        <v>2</v>
      </c>
      <c r="K805" s="4">
        <f>Table3[[#This Row],[Sales]]-Table3[[#This Row],[Cost]]</f>
        <v>30916.550000000003</v>
      </c>
      <c r="L805" s="6">
        <f>Table3[[#This Row],[Profit]]/Table3[[#This Row],[Sales]]</f>
        <v>0.27584258480139395</v>
      </c>
    </row>
    <row r="806" spans="1:12" x14ac:dyDescent="0.25">
      <c r="A806" t="s">
        <v>3373</v>
      </c>
      <c r="B806" s="2">
        <v>44972</v>
      </c>
      <c r="C806" s="2" t="str">
        <f>TEXT(Table3[[#This Row],[Order Date]],"mmmm")</f>
        <v>February</v>
      </c>
      <c r="D806" t="s">
        <v>3216</v>
      </c>
      <c r="E806" t="s">
        <v>3222</v>
      </c>
      <c r="F806" t="s">
        <v>3226</v>
      </c>
      <c r="G806" s="4">
        <v>52756.17</v>
      </c>
      <c r="H806" s="4">
        <v>26331.9</v>
      </c>
      <c r="I806" s="3" t="s">
        <v>3734</v>
      </c>
      <c r="J806">
        <v>3</v>
      </c>
      <c r="K806" s="4">
        <f>Table3[[#This Row],[Sales]]-Table3[[#This Row],[Cost]]</f>
        <v>26424.269999999997</v>
      </c>
      <c r="L806" s="6">
        <f>Table3[[#This Row],[Profit]]/Table3[[#This Row],[Sales]]</f>
        <v>0.50087544262595252</v>
      </c>
    </row>
    <row r="807" spans="1:12" x14ac:dyDescent="0.25">
      <c r="A807" t="s">
        <v>667</v>
      </c>
      <c r="B807" s="2">
        <v>44972</v>
      </c>
      <c r="C807" s="2" t="str">
        <f>TEXT(Table3[[#This Row],[Order Date]],"mmmm")</f>
        <v>February</v>
      </c>
      <c r="D807" t="s">
        <v>3730</v>
      </c>
      <c r="E807" t="s">
        <v>3222</v>
      </c>
      <c r="F807" t="s">
        <v>3226</v>
      </c>
      <c r="G807" s="4">
        <v>86943.72</v>
      </c>
      <c r="H807" s="4">
        <v>51645.05</v>
      </c>
      <c r="I807" s="3" t="s">
        <v>3734</v>
      </c>
      <c r="J807">
        <v>5</v>
      </c>
      <c r="K807" s="4">
        <f>Table3[[#This Row],[Sales]]-Table3[[#This Row],[Cost]]</f>
        <v>35298.67</v>
      </c>
      <c r="L807" s="6">
        <f>Table3[[#This Row],[Profit]]/Table3[[#This Row],[Sales]]</f>
        <v>0.40599447550668405</v>
      </c>
    </row>
    <row r="808" spans="1:12" x14ac:dyDescent="0.25">
      <c r="A808" t="s">
        <v>367</v>
      </c>
      <c r="B808" s="2" t="s">
        <v>3729</v>
      </c>
      <c r="C808" s="2" t="str">
        <f>TEXT(Table3[[#This Row],[Order Date]],"mmmm")</f>
        <v>Not Mentioned</v>
      </c>
      <c r="D808" t="s">
        <v>3731</v>
      </c>
      <c r="E808" t="s">
        <v>3225</v>
      </c>
      <c r="F808" t="s">
        <v>3226</v>
      </c>
      <c r="G808" s="4">
        <v>87703.27</v>
      </c>
      <c r="H808" s="4">
        <v>61208.33</v>
      </c>
      <c r="I808" s="3" t="s">
        <v>3734</v>
      </c>
      <c r="J808">
        <v>5</v>
      </c>
      <c r="K808" s="4">
        <f>Table3[[#This Row],[Sales]]-Table3[[#This Row],[Cost]]</f>
        <v>26494.940000000002</v>
      </c>
      <c r="L808" s="6">
        <f>Table3[[#This Row],[Profit]]/Table3[[#This Row],[Sales]]</f>
        <v>0.30209751586229339</v>
      </c>
    </row>
    <row r="809" spans="1:12" x14ac:dyDescent="0.25">
      <c r="A809" t="s">
        <v>819</v>
      </c>
      <c r="B809" s="2" t="s">
        <v>3729</v>
      </c>
      <c r="C809" s="2" t="str">
        <f>TEXT(Table3[[#This Row],[Order Date]],"mmmm")</f>
        <v>Not Mentioned</v>
      </c>
      <c r="D809" t="s">
        <v>3730</v>
      </c>
      <c r="E809" t="s">
        <v>3225</v>
      </c>
      <c r="F809" t="s">
        <v>3226</v>
      </c>
      <c r="G809" s="4">
        <v>70495.789999999994</v>
      </c>
      <c r="H809" s="4">
        <v>53926.17</v>
      </c>
      <c r="I809" s="3" t="s">
        <v>3734</v>
      </c>
      <c r="J809">
        <v>4</v>
      </c>
      <c r="K809" s="4">
        <f>Table3[[#This Row],[Sales]]-Table3[[#This Row],[Cost]]</f>
        <v>16569.619999999995</v>
      </c>
      <c r="L809" s="6">
        <f>Table3[[#This Row],[Profit]]/Table3[[#This Row],[Sales]]</f>
        <v>0.23504410688921987</v>
      </c>
    </row>
    <row r="810" spans="1:12" x14ac:dyDescent="0.25">
      <c r="A810" t="s">
        <v>820</v>
      </c>
      <c r="B810" s="2">
        <v>45102</v>
      </c>
      <c r="C810" s="2" t="str">
        <f>TEXT(Table3[[#This Row],[Order Date]],"mmmm")</f>
        <v>June</v>
      </c>
      <c r="D810" t="s">
        <v>3730</v>
      </c>
      <c r="E810" t="s">
        <v>3225</v>
      </c>
      <c r="F810" t="s">
        <v>3226</v>
      </c>
      <c r="G810" s="4">
        <v>65572.88</v>
      </c>
      <c r="H810" s="4">
        <v>47674.400000000001</v>
      </c>
      <c r="I810" s="3" t="s">
        <v>3734</v>
      </c>
      <c r="J810">
        <v>4</v>
      </c>
      <c r="K810" s="4">
        <f>Table3[[#This Row],[Sales]]-Table3[[#This Row],[Cost]]</f>
        <v>17898.480000000003</v>
      </c>
      <c r="L810" s="6">
        <f>Table3[[#This Row],[Profit]]/Table3[[#This Row],[Sales]]</f>
        <v>0.27295552673605311</v>
      </c>
    </row>
    <row r="811" spans="1:12" x14ac:dyDescent="0.25">
      <c r="A811" t="s">
        <v>822</v>
      </c>
      <c r="B811" s="2">
        <v>45005</v>
      </c>
      <c r="C811" s="2" t="str">
        <f>TEXT(Table3[[#This Row],[Order Date]],"mmmm")</f>
        <v>March</v>
      </c>
      <c r="D811" t="s">
        <v>3220</v>
      </c>
      <c r="E811" t="s">
        <v>3223</v>
      </c>
      <c r="F811" t="s">
        <v>3226</v>
      </c>
      <c r="G811" s="4">
        <v>10784.13</v>
      </c>
      <c r="H811" s="4">
        <v>6549.33</v>
      </c>
      <c r="I811" s="3" t="s">
        <v>3734</v>
      </c>
      <c r="J811">
        <v>1</v>
      </c>
      <c r="K811" s="4">
        <f>Table3[[#This Row],[Sales]]-Table3[[#This Row],[Cost]]</f>
        <v>4234.7999999999993</v>
      </c>
      <c r="L811" s="6">
        <f>Table3[[#This Row],[Profit]]/Table3[[#This Row],[Sales]]</f>
        <v>0.39268814452348028</v>
      </c>
    </row>
    <row r="812" spans="1:12" x14ac:dyDescent="0.25">
      <c r="A812" t="s">
        <v>823</v>
      </c>
      <c r="B812" s="2">
        <v>45102</v>
      </c>
      <c r="C812" s="2" t="str">
        <f>TEXT(Table3[[#This Row],[Order Date]],"mmmm")</f>
        <v>June</v>
      </c>
      <c r="D812" t="s">
        <v>3216</v>
      </c>
      <c r="E812" t="s">
        <v>3224</v>
      </c>
      <c r="F812" t="s">
        <v>3226</v>
      </c>
      <c r="G812" s="4">
        <v>243173.63</v>
      </c>
      <c r="H812" s="4">
        <v>210125.09</v>
      </c>
      <c r="I812" s="3" t="s">
        <v>3734</v>
      </c>
      <c r="J812">
        <v>5</v>
      </c>
      <c r="K812" s="4">
        <f>Table3[[#This Row],[Sales]]-Table3[[#This Row],[Cost]]</f>
        <v>33048.540000000008</v>
      </c>
      <c r="L812" s="6">
        <f>Table3[[#This Row],[Profit]]/Table3[[#This Row],[Sales]]</f>
        <v>0.13590511438267383</v>
      </c>
    </row>
    <row r="813" spans="1:12" x14ac:dyDescent="0.25">
      <c r="A813" t="s">
        <v>3374</v>
      </c>
      <c r="B813" s="2">
        <v>45021</v>
      </c>
      <c r="C813" s="2" t="str">
        <f>TEXT(Table3[[#This Row],[Order Date]],"mmmm")</f>
        <v>April</v>
      </c>
      <c r="D813" t="s">
        <v>3216</v>
      </c>
      <c r="E813" t="s">
        <v>3224</v>
      </c>
      <c r="F813" t="s">
        <v>3226</v>
      </c>
      <c r="G813" s="4">
        <v>128269.38</v>
      </c>
      <c r="H813" s="4">
        <v>96694.39</v>
      </c>
      <c r="I813" s="3" t="s">
        <v>3734</v>
      </c>
      <c r="J813">
        <v>2</v>
      </c>
      <c r="K813" s="4">
        <f>Table3[[#This Row],[Sales]]-Table3[[#This Row],[Cost]]</f>
        <v>31574.990000000005</v>
      </c>
      <c r="L813" s="6">
        <f>Table3[[#This Row],[Profit]]/Table3[[#This Row],[Sales]]</f>
        <v>0.24616155469060508</v>
      </c>
    </row>
    <row r="814" spans="1:12" x14ac:dyDescent="0.25">
      <c r="A814" t="s">
        <v>826</v>
      </c>
      <c r="B814" s="2">
        <v>44972</v>
      </c>
      <c r="C814" s="2" t="str">
        <f>TEXT(Table3[[#This Row],[Order Date]],"mmmm")</f>
        <v>February</v>
      </c>
      <c r="D814" t="s">
        <v>3216</v>
      </c>
      <c r="E814" t="s">
        <v>3224</v>
      </c>
      <c r="F814" t="s">
        <v>3226</v>
      </c>
      <c r="G814" s="4">
        <v>265368.53999999998</v>
      </c>
      <c r="H814" s="4">
        <v>197691.93</v>
      </c>
      <c r="I814" s="3" t="s">
        <v>3734</v>
      </c>
      <c r="J814">
        <v>4</v>
      </c>
      <c r="K814" s="4">
        <f>Table3[[#This Row],[Sales]]-Table3[[#This Row],[Cost]]</f>
        <v>67676.609999999986</v>
      </c>
      <c r="L814" s="6">
        <f>Table3[[#This Row],[Profit]]/Table3[[#This Row],[Sales]]</f>
        <v>0.25502876113347872</v>
      </c>
    </row>
    <row r="815" spans="1:12" x14ac:dyDescent="0.25">
      <c r="A815" t="s">
        <v>827</v>
      </c>
      <c r="B815" s="2">
        <v>44941</v>
      </c>
      <c r="C815" s="2" t="str">
        <f>TEXT(Table3[[#This Row],[Order Date]],"mmmm")</f>
        <v>January</v>
      </c>
      <c r="D815" t="s">
        <v>3220</v>
      </c>
      <c r="E815" t="s">
        <v>3222</v>
      </c>
      <c r="F815" t="s">
        <v>3226</v>
      </c>
      <c r="G815" s="4">
        <v>51604.94</v>
      </c>
      <c r="H815" s="4">
        <v>31100.57</v>
      </c>
      <c r="I815" s="3" t="s">
        <v>3734</v>
      </c>
      <c r="J815">
        <v>3</v>
      </c>
      <c r="K815" s="4">
        <f>Table3[[#This Row],[Sales]]-Table3[[#This Row],[Cost]]</f>
        <v>20504.370000000003</v>
      </c>
      <c r="L815" s="6">
        <f>Table3[[#This Row],[Profit]]/Table3[[#This Row],[Sales]]</f>
        <v>0.39733347233811339</v>
      </c>
    </row>
    <row r="816" spans="1:12" x14ac:dyDescent="0.25">
      <c r="A816" t="s">
        <v>828</v>
      </c>
      <c r="B816" s="2" t="s">
        <v>3729</v>
      </c>
      <c r="C816" s="2" t="str">
        <f>TEXT(Table3[[#This Row],[Order Date]],"mmmm")</f>
        <v>Not Mentioned</v>
      </c>
      <c r="D816" t="s">
        <v>3730</v>
      </c>
      <c r="E816" t="s">
        <v>3224</v>
      </c>
      <c r="F816" t="s">
        <v>3226</v>
      </c>
      <c r="G816" s="4">
        <v>339037.01</v>
      </c>
      <c r="H816" s="4">
        <v>198334.16</v>
      </c>
      <c r="I816" s="3" t="s">
        <v>3734</v>
      </c>
      <c r="J816">
        <v>5</v>
      </c>
      <c r="K816" s="4">
        <f>Table3[[#This Row],[Sales]]-Table3[[#This Row],[Cost]]</f>
        <v>140702.85</v>
      </c>
      <c r="L816" s="6">
        <f>Table3[[#This Row],[Profit]]/Table3[[#This Row],[Sales]]</f>
        <v>0.41500734683803397</v>
      </c>
    </row>
    <row r="817" spans="1:12" x14ac:dyDescent="0.25">
      <c r="A817" t="s">
        <v>829</v>
      </c>
      <c r="B817" s="2">
        <v>45005</v>
      </c>
      <c r="C817" s="2" t="str">
        <f>TEXT(Table3[[#This Row],[Order Date]],"mmmm")</f>
        <v>March</v>
      </c>
      <c r="D817" t="s">
        <v>3730</v>
      </c>
      <c r="E817" t="s">
        <v>3224</v>
      </c>
      <c r="F817" t="s">
        <v>3226</v>
      </c>
      <c r="G817" s="4">
        <v>133718.81</v>
      </c>
      <c r="H817" s="4">
        <v>86905.279999999999</v>
      </c>
      <c r="I817" s="3" t="s">
        <v>3734</v>
      </c>
      <c r="J817">
        <v>2</v>
      </c>
      <c r="K817" s="4">
        <f>Table3[[#This Row],[Sales]]-Table3[[#This Row],[Cost]]</f>
        <v>46813.53</v>
      </c>
      <c r="L817" s="6">
        <f>Table3[[#This Row],[Profit]]/Table3[[#This Row],[Sales]]</f>
        <v>0.35008934046002954</v>
      </c>
    </row>
    <row r="818" spans="1:12" x14ac:dyDescent="0.25">
      <c r="A818" t="s">
        <v>830</v>
      </c>
      <c r="B818" s="2">
        <v>45021</v>
      </c>
      <c r="C818" s="2" t="str">
        <f>TEXT(Table3[[#This Row],[Order Date]],"mmmm")</f>
        <v>April</v>
      </c>
      <c r="D818" t="s">
        <v>3220</v>
      </c>
      <c r="E818" t="s">
        <v>3224</v>
      </c>
      <c r="F818" t="s">
        <v>3226</v>
      </c>
      <c r="G818" s="4">
        <v>66071.67</v>
      </c>
      <c r="H818" s="4">
        <v>52857.336000000003</v>
      </c>
      <c r="I818" s="3" t="s">
        <v>3735</v>
      </c>
      <c r="J818">
        <v>1</v>
      </c>
      <c r="K818" s="4">
        <f>Table3[[#This Row],[Sales]]-Table3[[#This Row],[Cost]]</f>
        <v>13214.333999999995</v>
      </c>
      <c r="L818" s="6">
        <f>Table3[[#This Row],[Profit]]/Table3[[#This Row],[Sales]]</f>
        <v>0.19999999999999993</v>
      </c>
    </row>
    <row r="819" spans="1:12" x14ac:dyDescent="0.25">
      <c r="A819" t="s">
        <v>831</v>
      </c>
      <c r="B819" s="2">
        <v>44941</v>
      </c>
      <c r="C819" s="2" t="str">
        <f>TEXT(Table3[[#This Row],[Order Date]],"mmmm")</f>
        <v>January</v>
      </c>
      <c r="D819" t="s">
        <v>3216</v>
      </c>
      <c r="E819" t="s">
        <v>3225</v>
      </c>
      <c r="F819" t="s">
        <v>3226</v>
      </c>
      <c r="G819" s="4">
        <v>17578.509999999998</v>
      </c>
      <c r="H819" s="4">
        <v>13010.39</v>
      </c>
      <c r="I819" s="3" t="s">
        <v>3734</v>
      </c>
      <c r="J819">
        <v>1</v>
      </c>
      <c r="K819" s="4">
        <f>Table3[[#This Row],[Sales]]-Table3[[#This Row],[Cost]]</f>
        <v>4568.119999999999</v>
      </c>
      <c r="L819" s="6">
        <f>Table3[[#This Row],[Profit]]/Table3[[#This Row],[Sales]]</f>
        <v>0.25986957938983446</v>
      </c>
    </row>
    <row r="820" spans="1:12" x14ac:dyDescent="0.25">
      <c r="A820" t="s">
        <v>3375</v>
      </c>
      <c r="B820" s="2">
        <v>45021</v>
      </c>
      <c r="C820" s="2" t="str">
        <f>TEXT(Table3[[#This Row],[Order Date]],"mmmm")</f>
        <v>April</v>
      </c>
      <c r="D820" t="s">
        <v>3220</v>
      </c>
      <c r="E820" t="s">
        <v>3223</v>
      </c>
      <c r="F820" t="s">
        <v>3226</v>
      </c>
      <c r="G820" s="4">
        <v>50342.42</v>
      </c>
      <c r="H820" s="4">
        <v>36431.589999999997</v>
      </c>
      <c r="I820" s="3" t="s">
        <v>3734</v>
      </c>
      <c r="J820">
        <v>5</v>
      </c>
      <c r="K820" s="4">
        <f>Table3[[#This Row],[Sales]]-Table3[[#This Row],[Cost]]</f>
        <v>13910.830000000002</v>
      </c>
      <c r="L820" s="6">
        <f>Table3[[#This Row],[Profit]]/Table3[[#This Row],[Sales]]</f>
        <v>0.27632422120350991</v>
      </c>
    </row>
    <row r="821" spans="1:12" x14ac:dyDescent="0.25">
      <c r="A821" t="s">
        <v>833</v>
      </c>
      <c r="B821" s="2">
        <v>45005</v>
      </c>
      <c r="C821" s="2" t="str">
        <f>TEXT(Table3[[#This Row],[Order Date]],"mmmm")</f>
        <v>March</v>
      </c>
      <c r="D821" t="s">
        <v>3216</v>
      </c>
      <c r="E821" t="s">
        <v>3224</v>
      </c>
      <c r="F821" t="s">
        <v>3226</v>
      </c>
      <c r="G821" s="4">
        <v>123875.38</v>
      </c>
      <c r="H821" s="4">
        <v>85232.99</v>
      </c>
      <c r="I821" s="3" t="s">
        <v>3734</v>
      </c>
      <c r="J821">
        <v>2</v>
      </c>
      <c r="K821" s="4">
        <f>Table3[[#This Row],[Sales]]-Table3[[#This Row],[Cost]]</f>
        <v>38642.39</v>
      </c>
      <c r="L821" s="6">
        <f>Table3[[#This Row],[Profit]]/Table3[[#This Row],[Sales]]</f>
        <v>0.31194568283059959</v>
      </c>
    </row>
    <row r="822" spans="1:12" x14ac:dyDescent="0.25">
      <c r="A822" t="s">
        <v>3376</v>
      </c>
      <c r="B822" s="2">
        <v>45005</v>
      </c>
      <c r="C822" s="2" t="str">
        <f>TEXT(Table3[[#This Row],[Order Date]],"mmmm")</f>
        <v>March</v>
      </c>
      <c r="D822" t="s">
        <v>3216</v>
      </c>
      <c r="E822" t="s">
        <v>3224</v>
      </c>
      <c r="F822" t="s">
        <v>3226</v>
      </c>
      <c r="G822" s="4">
        <v>256399.35999999999</v>
      </c>
      <c r="H822" s="4">
        <v>184639.23</v>
      </c>
      <c r="I822" s="3" t="s">
        <v>3734</v>
      </c>
      <c r="J822">
        <v>4</v>
      </c>
      <c r="K822" s="4">
        <f>Table3[[#This Row],[Sales]]-Table3[[#This Row],[Cost]]</f>
        <v>71760.129999999976</v>
      </c>
      <c r="L822" s="6">
        <f>Table3[[#This Row],[Profit]]/Table3[[#This Row],[Sales]]</f>
        <v>0.279876400627521</v>
      </c>
    </row>
    <row r="823" spans="1:12" x14ac:dyDescent="0.25">
      <c r="A823" t="s">
        <v>835</v>
      </c>
      <c r="B823" s="2">
        <v>44972</v>
      </c>
      <c r="C823" s="2" t="str">
        <f>TEXT(Table3[[#This Row],[Order Date]],"mmmm")</f>
        <v>February</v>
      </c>
      <c r="D823" t="s">
        <v>3730</v>
      </c>
      <c r="E823" t="s">
        <v>3222</v>
      </c>
      <c r="F823" t="s">
        <v>3226</v>
      </c>
      <c r="G823" s="4">
        <v>12387.22</v>
      </c>
      <c r="H823" s="4">
        <v>9944.15</v>
      </c>
      <c r="I823" s="3" t="s">
        <v>3734</v>
      </c>
      <c r="J823">
        <v>1</v>
      </c>
      <c r="K823" s="4">
        <f>Table3[[#This Row],[Sales]]-Table3[[#This Row],[Cost]]</f>
        <v>2443.0699999999997</v>
      </c>
      <c r="L823" s="6">
        <f>Table3[[#This Row],[Profit]]/Table3[[#This Row],[Sales]]</f>
        <v>0.1972250432300387</v>
      </c>
    </row>
    <row r="824" spans="1:12" x14ac:dyDescent="0.25">
      <c r="A824" t="s">
        <v>836</v>
      </c>
      <c r="B824" s="2">
        <v>44941</v>
      </c>
      <c r="C824" s="2" t="str">
        <f>TEXT(Table3[[#This Row],[Order Date]],"mmmm")</f>
        <v>January</v>
      </c>
      <c r="D824" t="s">
        <v>3216</v>
      </c>
      <c r="E824" t="s">
        <v>3224</v>
      </c>
      <c r="F824" t="s">
        <v>3226</v>
      </c>
      <c r="G824" s="4">
        <v>113105.60000000001</v>
      </c>
      <c r="H824" s="4">
        <v>95231.22</v>
      </c>
      <c r="I824" s="3" t="s">
        <v>3734</v>
      </c>
      <c r="J824">
        <v>2</v>
      </c>
      <c r="K824" s="4">
        <f>Table3[[#This Row],[Sales]]-Table3[[#This Row],[Cost]]</f>
        <v>17874.380000000005</v>
      </c>
      <c r="L824" s="6">
        <f>Table3[[#This Row],[Profit]]/Table3[[#This Row],[Sales]]</f>
        <v>0.15803267035407623</v>
      </c>
    </row>
    <row r="825" spans="1:12" x14ac:dyDescent="0.25">
      <c r="A825" t="s">
        <v>837</v>
      </c>
      <c r="B825" s="2">
        <v>44941</v>
      </c>
      <c r="C825" s="2" t="str">
        <f>TEXT(Table3[[#This Row],[Order Date]],"mmmm")</f>
        <v>January</v>
      </c>
      <c r="D825" t="s">
        <v>3730</v>
      </c>
      <c r="E825" t="s">
        <v>3225</v>
      </c>
      <c r="F825" t="s">
        <v>3226</v>
      </c>
      <c r="G825" s="4">
        <v>71297.98</v>
      </c>
      <c r="H825" s="4">
        <v>47761.36</v>
      </c>
      <c r="I825" s="3" t="s">
        <v>3734</v>
      </c>
      <c r="J825">
        <v>4</v>
      </c>
      <c r="K825" s="4">
        <f>Table3[[#This Row],[Sales]]-Table3[[#This Row],[Cost]]</f>
        <v>23536.619999999995</v>
      </c>
      <c r="L825" s="6">
        <f>Table3[[#This Row],[Profit]]/Table3[[#This Row],[Sales]]</f>
        <v>0.33011622489164483</v>
      </c>
    </row>
    <row r="826" spans="1:12" x14ac:dyDescent="0.25">
      <c r="A826" t="s">
        <v>838</v>
      </c>
      <c r="B826" s="2">
        <v>45021</v>
      </c>
      <c r="C826" s="2" t="str">
        <f>TEXT(Table3[[#This Row],[Order Date]],"mmmm")</f>
        <v>April</v>
      </c>
      <c r="D826" t="s">
        <v>3220</v>
      </c>
      <c r="E826" t="s">
        <v>3222</v>
      </c>
      <c r="F826" t="s">
        <v>3226</v>
      </c>
      <c r="G826" s="4">
        <v>36832.65</v>
      </c>
      <c r="H826" s="4">
        <v>27496.84</v>
      </c>
      <c r="I826" s="3" t="s">
        <v>3734</v>
      </c>
      <c r="J826">
        <v>3</v>
      </c>
      <c r="K826" s="4">
        <f>Table3[[#This Row],[Sales]]-Table3[[#This Row],[Cost]]</f>
        <v>9335.8100000000013</v>
      </c>
      <c r="L826" s="6">
        <f>Table3[[#This Row],[Profit]]/Table3[[#This Row],[Sales]]</f>
        <v>0.25346560728049711</v>
      </c>
    </row>
    <row r="827" spans="1:12" x14ac:dyDescent="0.25">
      <c r="A827" t="s">
        <v>3243</v>
      </c>
      <c r="B827" s="2">
        <v>44972</v>
      </c>
      <c r="C827" s="2" t="str">
        <f>TEXT(Table3[[#This Row],[Order Date]],"mmmm")</f>
        <v>February</v>
      </c>
      <c r="D827" t="s">
        <v>3220</v>
      </c>
      <c r="E827" t="s">
        <v>3222</v>
      </c>
      <c r="F827" t="s">
        <v>3226</v>
      </c>
      <c r="G827" s="4">
        <v>61591.38</v>
      </c>
      <c r="H827" s="4">
        <v>49286.58</v>
      </c>
      <c r="I827" s="3" t="s">
        <v>3734</v>
      </c>
      <c r="J827">
        <v>5</v>
      </c>
      <c r="K827" s="4">
        <f>Table3[[#This Row],[Sales]]-Table3[[#This Row],[Cost]]</f>
        <v>12304.799999999996</v>
      </c>
      <c r="L827" s="6">
        <f>Table3[[#This Row],[Profit]]/Table3[[#This Row],[Sales]]</f>
        <v>0.19978120314888215</v>
      </c>
    </row>
    <row r="828" spans="1:12" x14ac:dyDescent="0.25">
      <c r="A828" t="s">
        <v>839</v>
      </c>
      <c r="B828" s="2">
        <v>45102</v>
      </c>
      <c r="C828" s="2" t="str">
        <f>TEXT(Table3[[#This Row],[Order Date]],"mmmm")</f>
        <v>June</v>
      </c>
      <c r="D828" t="s">
        <v>3730</v>
      </c>
      <c r="E828" t="s">
        <v>3222</v>
      </c>
      <c r="F828" t="s">
        <v>3226</v>
      </c>
      <c r="G828" s="4">
        <v>43947.85</v>
      </c>
      <c r="H828" s="4">
        <v>32587.39</v>
      </c>
      <c r="I828" s="3" t="s">
        <v>3734</v>
      </c>
      <c r="J828">
        <v>3</v>
      </c>
      <c r="K828" s="4">
        <f>Table3[[#This Row],[Sales]]-Table3[[#This Row],[Cost]]</f>
        <v>11360.46</v>
      </c>
      <c r="L828" s="6">
        <f>Table3[[#This Row],[Profit]]/Table3[[#This Row],[Sales]]</f>
        <v>0.25849865238003678</v>
      </c>
    </row>
    <row r="829" spans="1:12" x14ac:dyDescent="0.25">
      <c r="A829" t="s">
        <v>840</v>
      </c>
      <c r="B829" s="2">
        <v>44941</v>
      </c>
      <c r="C829" s="2" t="str">
        <f>TEXT(Table3[[#This Row],[Order Date]],"mmmm")</f>
        <v>January</v>
      </c>
      <c r="D829" t="s">
        <v>3216</v>
      </c>
      <c r="E829" t="s">
        <v>3222</v>
      </c>
      <c r="F829" t="s">
        <v>3226</v>
      </c>
      <c r="G829" s="4">
        <v>15196.11</v>
      </c>
      <c r="H829" s="4">
        <v>10096.82</v>
      </c>
      <c r="I829" s="3" t="s">
        <v>3734</v>
      </c>
      <c r="J829">
        <v>1</v>
      </c>
      <c r="K829" s="4">
        <f>Table3[[#This Row],[Sales]]-Table3[[#This Row],[Cost]]</f>
        <v>5099.2900000000009</v>
      </c>
      <c r="L829" s="6">
        <f>Table3[[#This Row],[Profit]]/Table3[[#This Row],[Sales]]</f>
        <v>0.33556548353493104</v>
      </c>
    </row>
    <row r="830" spans="1:12" x14ac:dyDescent="0.25">
      <c r="A830" t="s">
        <v>841</v>
      </c>
      <c r="B830" s="2">
        <v>45102</v>
      </c>
      <c r="C830" s="2" t="str">
        <f>TEXT(Table3[[#This Row],[Order Date]],"mmmm")</f>
        <v>June</v>
      </c>
      <c r="D830" t="s">
        <v>3220</v>
      </c>
      <c r="E830" t="s">
        <v>3225</v>
      </c>
      <c r="F830" t="s">
        <v>3226</v>
      </c>
      <c r="G830" s="4">
        <v>65676.98</v>
      </c>
      <c r="H830" s="4">
        <v>60309.42</v>
      </c>
      <c r="I830" s="3" t="s">
        <v>3734</v>
      </c>
      <c r="J830">
        <v>4</v>
      </c>
      <c r="K830" s="4">
        <f>Table3[[#This Row],[Sales]]-Table3[[#This Row],[Cost]]</f>
        <v>5367.5599999999977</v>
      </c>
      <c r="L830" s="6">
        <f>Table3[[#This Row],[Profit]]/Table3[[#This Row],[Sales]]</f>
        <v>8.1726656737261635E-2</v>
      </c>
    </row>
    <row r="831" spans="1:12" x14ac:dyDescent="0.25">
      <c r="A831" t="s">
        <v>843</v>
      </c>
      <c r="B831" s="2">
        <v>44941</v>
      </c>
      <c r="C831" s="2" t="str">
        <f>TEXT(Table3[[#This Row],[Order Date]],"mmmm")</f>
        <v>January</v>
      </c>
      <c r="D831" t="s">
        <v>3220</v>
      </c>
      <c r="E831" t="s">
        <v>3223</v>
      </c>
      <c r="F831" t="s">
        <v>3226</v>
      </c>
      <c r="G831" s="4">
        <v>42700.76</v>
      </c>
      <c r="H831" s="4">
        <v>33850.699999999997</v>
      </c>
      <c r="I831" s="3" t="s">
        <v>3734</v>
      </c>
      <c r="J831">
        <v>5</v>
      </c>
      <c r="K831" s="4">
        <f>Table3[[#This Row],[Sales]]-Table3[[#This Row],[Cost]]</f>
        <v>8850.0600000000049</v>
      </c>
      <c r="L831" s="6">
        <f>Table3[[#This Row],[Profit]]/Table3[[#This Row],[Sales]]</f>
        <v>0.20725766941853035</v>
      </c>
    </row>
    <row r="832" spans="1:12" x14ac:dyDescent="0.25">
      <c r="A832" t="s">
        <v>3377</v>
      </c>
      <c r="B832" s="2">
        <v>45021</v>
      </c>
      <c r="C832" s="2" t="str">
        <f>TEXT(Table3[[#This Row],[Order Date]],"mmmm")</f>
        <v>April</v>
      </c>
      <c r="D832" t="s">
        <v>3220</v>
      </c>
      <c r="E832" t="s">
        <v>3222</v>
      </c>
      <c r="F832" t="s">
        <v>3226</v>
      </c>
      <c r="G832" s="4">
        <v>61299.09</v>
      </c>
      <c r="H832" s="4">
        <v>40087.230000000003</v>
      </c>
      <c r="I832" s="3" t="s">
        <v>3734</v>
      </c>
      <c r="J832">
        <v>4</v>
      </c>
      <c r="K832" s="4">
        <f>Table3[[#This Row],[Sales]]-Table3[[#This Row],[Cost]]</f>
        <v>21211.859999999993</v>
      </c>
      <c r="L832" s="6">
        <f>Table3[[#This Row],[Profit]]/Table3[[#This Row],[Sales]]</f>
        <v>0.34603874217382335</v>
      </c>
    </row>
    <row r="833" spans="1:12" x14ac:dyDescent="0.25">
      <c r="A833" t="s">
        <v>845</v>
      </c>
      <c r="B833" s="2">
        <v>45102</v>
      </c>
      <c r="C833" s="2" t="str">
        <f>TEXT(Table3[[#This Row],[Order Date]],"mmmm")</f>
        <v>June</v>
      </c>
      <c r="D833" t="s">
        <v>3730</v>
      </c>
      <c r="E833" t="s">
        <v>3223</v>
      </c>
      <c r="F833" t="s">
        <v>3226</v>
      </c>
      <c r="G833" s="4">
        <v>58458.6</v>
      </c>
      <c r="H833" s="4">
        <v>37485.660000000003</v>
      </c>
      <c r="I833" s="3" t="s">
        <v>3734</v>
      </c>
      <c r="J833" t="s">
        <v>3732</v>
      </c>
      <c r="K833" s="4">
        <f>Table3[[#This Row],[Sales]]-Table3[[#This Row],[Cost]]</f>
        <v>20972.939999999995</v>
      </c>
      <c r="L833" s="6">
        <f>Table3[[#This Row],[Profit]]/Table3[[#This Row],[Sales]]</f>
        <v>0.35876569059129015</v>
      </c>
    </row>
    <row r="834" spans="1:12" x14ac:dyDescent="0.25">
      <c r="A834" t="s">
        <v>846</v>
      </c>
      <c r="B834" s="2">
        <v>44941</v>
      </c>
      <c r="C834" s="2" t="str">
        <f>TEXT(Table3[[#This Row],[Order Date]],"mmmm")</f>
        <v>January</v>
      </c>
      <c r="D834" t="s">
        <v>3731</v>
      </c>
      <c r="E834" t="s">
        <v>3222</v>
      </c>
      <c r="F834" t="s">
        <v>3226</v>
      </c>
      <c r="G834" s="4">
        <v>56555.44</v>
      </c>
      <c r="H834" s="4">
        <v>35627.760000000002</v>
      </c>
      <c r="I834" s="3" t="s">
        <v>3734</v>
      </c>
      <c r="J834">
        <v>4</v>
      </c>
      <c r="K834" s="4">
        <f>Table3[[#This Row],[Sales]]-Table3[[#This Row],[Cost]]</f>
        <v>20927.68</v>
      </c>
      <c r="L834" s="6">
        <f>Table3[[#This Row],[Profit]]/Table3[[#This Row],[Sales]]</f>
        <v>0.37003831992112518</v>
      </c>
    </row>
    <row r="835" spans="1:12" x14ac:dyDescent="0.25">
      <c r="A835" t="s">
        <v>848</v>
      </c>
      <c r="B835" s="2">
        <v>45021</v>
      </c>
      <c r="C835" s="2" t="str">
        <f>TEXT(Table3[[#This Row],[Order Date]],"mmmm")</f>
        <v>April</v>
      </c>
      <c r="D835" t="s">
        <v>3220</v>
      </c>
      <c r="E835" t="s">
        <v>3225</v>
      </c>
      <c r="F835" t="s">
        <v>3226</v>
      </c>
      <c r="G835" s="4">
        <v>94587.839999999997</v>
      </c>
      <c r="H835" s="4">
        <v>57877.52</v>
      </c>
      <c r="I835" s="3" t="s">
        <v>3734</v>
      </c>
      <c r="J835">
        <v>4</v>
      </c>
      <c r="K835" s="4">
        <f>Table3[[#This Row],[Sales]]-Table3[[#This Row],[Cost]]</f>
        <v>36710.32</v>
      </c>
      <c r="L835" s="6">
        <f>Table3[[#This Row],[Profit]]/Table3[[#This Row],[Sales]]</f>
        <v>0.38810823886030171</v>
      </c>
    </row>
    <row r="836" spans="1:12" x14ac:dyDescent="0.25">
      <c r="A836" t="s">
        <v>849</v>
      </c>
      <c r="B836" s="2">
        <v>44972</v>
      </c>
      <c r="C836" s="2" t="str">
        <f>TEXT(Table3[[#This Row],[Order Date]],"mmmm")</f>
        <v>February</v>
      </c>
      <c r="D836" t="s">
        <v>3216</v>
      </c>
      <c r="E836" t="s">
        <v>3222</v>
      </c>
      <c r="F836" t="s">
        <v>3226</v>
      </c>
      <c r="G836" s="4">
        <v>50772.43</v>
      </c>
      <c r="H836" s="4">
        <v>43693.61</v>
      </c>
      <c r="I836" s="3" t="s">
        <v>3734</v>
      </c>
      <c r="J836">
        <v>4</v>
      </c>
      <c r="K836" s="4">
        <f>Table3[[#This Row],[Sales]]-Table3[[#This Row],[Cost]]</f>
        <v>7078.82</v>
      </c>
      <c r="L836" s="6">
        <f>Table3[[#This Row],[Profit]]/Table3[[#This Row],[Sales]]</f>
        <v>0.13942251729925079</v>
      </c>
    </row>
    <row r="837" spans="1:12" x14ac:dyDescent="0.25">
      <c r="A837" t="s">
        <v>850</v>
      </c>
      <c r="B837" s="2">
        <v>44972</v>
      </c>
      <c r="C837" s="2" t="str">
        <f>TEXT(Table3[[#This Row],[Order Date]],"mmmm")</f>
        <v>February</v>
      </c>
      <c r="D837" t="s">
        <v>3216</v>
      </c>
      <c r="E837" t="s">
        <v>3222</v>
      </c>
      <c r="F837" t="s">
        <v>3226</v>
      </c>
      <c r="G837" s="4">
        <v>79924.58</v>
      </c>
      <c r="H837" s="4">
        <v>47742.35</v>
      </c>
      <c r="I837" s="3" t="s">
        <v>3734</v>
      </c>
      <c r="J837">
        <v>5</v>
      </c>
      <c r="K837" s="4">
        <f>Table3[[#This Row],[Sales]]-Table3[[#This Row],[Cost]]</f>
        <v>32182.230000000003</v>
      </c>
      <c r="L837" s="6">
        <f>Table3[[#This Row],[Profit]]/Table3[[#This Row],[Sales]]</f>
        <v>0.4026574803395902</v>
      </c>
    </row>
    <row r="838" spans="1:12" x14ac:dyDescent="0.25">
      <c r="A838" t="s">
        <v>851</v>
      </c>
      <c r="B838" s="2">
        <v>44972</v>
      </c>
      <c r="C838" s="2" t="str">
        <f>TEXT(Table3[[#This Row],[Order Date]],"mmmm")</f>
        <v>February</v>
      </c>
      <c r="D838" t="s">
        <v>3730</v>
      </c>
      <c r="E838" t="s">
        <v>3224</v>
      </c>
      <c r="F838" t="s">
        <v>3226</v>
      </c>
      <c r="G838" s="4">
        <v>293779.3</v>
      </c>
      <c r="H838" s="4">
        <v>206685.71</v>
      </c>
      <c r="I838" s="3" t="s">
        <v>3734</v>
      </c>
      <c r="J838">
        <v>5</v>
      </c>
      <c r="K838" s="4">
        <f>Table3[[#This Row],[Sales]]-Table3[[#This Row],[Cost]]</f>
        <v>87093.59</v>
      </c>
      <c r="L838" s="6">
        <f>Table3[[#This Row],[Profit]]/Table3[[#This Row],[Sales]]</f>
        <v>0.29645924678832036</v>
      </c>
    </row>
    <row r="839" spans="1:12" x14ac:dyDescent="0.25">
      <c r="A839" t="s">
        <v>3321</v>
      </c>
      <c r="B839" s="2">
        <v>44941</v>
      </c>
      <c r="C839" s="2" t="str">
        <f>TEXT(Table3[[#This Row],[Order Date]],"mmmm")</f>
        <v>January</v>
      </c>
      <c r="D839" t="s">
        <v>3220</v>
      </c>
      <c r="E839" t="s">
        <v>3225</v>
      </c>
      <c r="F839" t="s">
        <v>3226</v>
      </c>
      <c r="G839" s="4">
        <v>55891.24</v>
      </c>
      <c r="H839" s="4">
        <v>42622.95</v>
      </c>
      <c r="I839" s="3" t="s">
        <v>3734</v>
      </c>
      <c r="J839">
        <v>3</v>
      </c>
      <c r="K839" s="4">
        <f>Table3[[#This Row],[Sales]]-Table3[[#This Row],[Cost]]</f>
        <v>13268.29</v>
      </c>
      <c r="L839" s="6">
        <f>Table3[[#This Row],[Profit]]/Table3[[#This Row],[Sales]]</f>
        <v>0.2373948046241236</v>
      </c>
    </row>
    <row r="840" spans="1:12" x14ac:dyDescent="0.25">
      <c r="A840" t="s">
        <v>852</v>
      </c>
      <c r="B840" s="2">
        <v>45102</v>
      </c>
      <c r="C840" s="2" t="str">
        <f>TEXT(Table3[[#This Row],[Order Date]],"mmmm")</f>
        <v>June</v>
      </c>
      <c r="D840" t="s">
        <v>3731</v>
      </c>
      <c r="E840" t="s">
        <v>3222</v>
      </c>
      <c r="F840" t="s">
        <v>3226</v>
      </c>
      <c r="G840" s="4">
        <v>33153.589999999997</v>
      </c>
      <c r="H840" s="4">
        <v>19565.39</v>
      </c>
      <c r="I840" s="3" t="s">
        <v>3734</v>
      </c>
      <c r="J840" t="s">
        <v>3732</v>
      </c>
      <c r="K840" s="4">
        <f>Table3[[#This Row],[Sales]]-Table3[[#This Row],[Cost]]</f>
        <v>13588.199999999997</v>
      </c>
      <c r="L840" s="6">
        <f>Table3[[#This Row],[Profit]]/Table3[[#This Row],[Sales]]</f>
        <v>0.4098560668693797</v>
      </c>
    </row>
    <row r="841" spans="1:12" x14ac:dyDescent="0.25">
      <c r="A841" t="s">
        <v>853</v>
      </c>
      <c r="B841" s="2">
        <v>44972</v>
      </c>
      <c r="C841" s="2" t="str">
        <f>TEXT(Table3[[#This Row],[Order Date]],"mmmm")</f>
        <v>February</v>
      </c>
      <c r="D841" t="s">
        <v>3216</v>
      </c>
      <c r="E841" t="s">
        <v>3224</v>
      </c>
      <c r="F841" t="s">
        <v>3226</v>
      </c>
      <c r="G841" s="4">
        <v>210781.23</v>
      </c>
      <c r="H841" s="4">
        <v>116987.29</v>
      </c>
      <c r="I841" s="3" t="s">
        <v>3734</v>
      </c>
      <c r="J841" t="s">
        <v>3732</v>
      </c>
      <c r="K841" s="4">
        <f>Table3[[#This Row],[Sales]]-Table3[[#This Row],[Cost]]</f>
        <v>93793.940000000017</v>
      </c>
      <c r="L841" s="6">
        <f>Table3[[#This Row],[Profit]]/Table3[[#This Row],[Sales]]</f>
        <v>0.44498241138454314</v>
      </c>
    </row>
    <row r="842" spans="1:12" x14ac:dyDescent="0.25">
      <c r="A842" t="s">
        <v>3378</v>
      </c>
      <c r="B842" s="2" t="s">
        <v>3729</v>
      </c>
      <c r="C842" s="2" t="str">
        <f>TEXT(Table3[[#This Row],[Order Date]],"mmmm")</f>
        <v>Not Mentioned</v>
      </c>
      <c r="D842" t="s">
        <v>3216</v>
      </c>
      <c r="E842" t="s">
        <v>3224</v>
      </c>
      <c r="F842" t="s">
        <v>3226</v>
      </c>
      <c r="G842" s="4">
        <v>161990.46</v>
      </c>
      <c r="H842" s="4">
        <v>136358.47</v>
      </c>
      <c r="I842" s="3" t="s">
        <v>3734</v>
      </c>
      <c r="J842">
        <v>3</v>
      </c>
      <c r="K842" s="4">
        <f>Table3[[#This Row],[Sales]]-Table3[[#This Row],[Cost]]</f>
        <v>25631.989999999991</v>
      </c>
      <c r="L842" s="6">
        <f>Table3[[#This Row],[Profit]]/Table3[[#This Row],[Sales]]</f>
        <v>0.15823147856978734</v>
      </c>
    </row>
    <row r="843" spans="1:12" x14ac:dyDescent="0.25">
      <c r="A843" t="s">
        <v>855</v>
      </c>
      <c r="B843" s="2">
        <v>45102</v>
      </c>
      <c r="C843" s="2" t="str">
        <f>TEXT(Table3[[#This Row],[Order Date]],"mmmm")</f>
        <v>June</v>
      </c>
      <c r="D843" t="s">
        <v>3220</v>
      </c>
      <c r="E843" t="s">
        <v>3225</v>
      </c>
      <c r="F843" t="s">
        <v>3226</v>
      </c>
      <c r="G843" s="4">
        <v>60275.55</v>
      </c>
      <c r="H843" s="4">
        <v>42462.28</v>
      </c>
      <c r="I843" s="3" t="s">
        <v>3734</v>
      </c>
      <c r="J843">
        <v>3</v>
      </c>
      <c r="K843" s="4">
        <f>Table3[[#This Row],[Sales]]-Table3[[#This Row],[Cost]]</f>
        <v>17813.270000000004</v>
      </c>
      <c r="L843" s="6">
        <f>Table3[[#This Row],[Profit]]/Table3[[#This Row],[Sales]]</f>
        <v>0.29553060901144829</v>
      </c>
    </row>
    <row r="844" spans="1:12" x14ac:dyDescent="0.25">
      <c r="A844" t="s">
        <v>856</v>
      </c>
      <c r="B844" s="2">
        <v>45005</v>
      </c>
      <c r="C844" s="2" t="str">
        <f>TEXT(Table3[[#This Row],[Order Date]],"mmmm")</f>
        <v>March</v>
      </c>
      <c r="D844" t="s">
        <v>3731</v>
      </c>
      <c r="E844" t="s">
        <v>3223</v>
      </c>
      <c r="F844" t="s">
        <v>3226</v>
      </c>
      <c r="G844" s="4">
        <v>18267.689999999999</v>
      </c>
      <c r="H844" s="4">
        <v>14303.65</v>
      </c>
      <c r="I844" s="3" t="s">
        <v>3734</v>
      </c>
      <c r="J844" t="s">
        <v>3732</v>
      </c>
      <c r="K844" s="4">
        <f>Table3[[#This Row],[Sales]]-Table3[[#This Row],[Cost]]</f>
        <v>3964.0399999999991</v>
      </c>
      <c r="L844" s="6">
        <f>Table3[[#This Row],[Profit]]/Table3[[#This Row],[Sales]]</f>
        <v>0.21699733244871133</v>
      </c>
    </row>
    <row r="845" spans="1:12" x14ac:dyDescent="0.25">
      <c r="A845" t="s">
        <v>857</v>
      </c>
      <c r="B845" s="2">
        <v>45102</v>
      </c>
      <c r="C845" s="2" t="str">
        <f>TEXT(Table3[[#This Row],[Order Date]],"mmmm")</f>
        <v>June</v>
      </c>
      <c r="D845" t="s">
        <v>3220</v>
      </c>
      <c r="E845" t="s">
        <v>3223</v>
      </c>
      <c r="F845" t="s">
        <v>3226</v>
      </c>
      <c r="G845" s="4">
        <v>35364.480000000003</v>
      </c>
      <c r="H845" s="4">
        <v>20500.59</v>
      </c>
      <c r="I845" s="3" t="s">
        <v>3734</v>
      </c>
      <c r="J845">
        <v>3</v>
      </c>
      <c r="K845" s="4">
        <f>Table3[[#This Row],[Sales]]-Table3[[#This Row],[Cost]]</f>
        <v>14863.890000000003</v>
      </c>
      <c r="L845" s="6">
        <f>Table3[[#This Row],[Profit]]/Table3[[#This Row],[Sales]]</f>
        <v>0.42030562869862648</v>
      </c>
    </row>
    <row r="846" spans="1:12" x14ac:dyDescent="0.25">
      <c r="A846" t="s">
        <v>858</v>
      </c>
      <c r="B846" s="2">
        <v>44972</v>
      </c>
      <c r="C846" s="2" t="str">
        <f>TEXT(Table3[[#This Row],[Order Date]],"mmmm")</f>
        <v>February</v>
      </c>
      <c r="D846" t="s">
        <v>3216</v>
      </c>
      <c r="E846" t="s">
        <v>3224</v>
      </c>
      <c r="F846" t="s">
        <v>3226</v>
      </c>
      <c r="G846" s="4">
        <v>58779.56</v>
      </c>
      <c r="H846" s="4">
        <v>47023.648000000001</v>
      </c>
      <c r="I846" s="3" t="s">
        <v>3735</v>
      </c>
      <c r="J846">
        <v>1</v>
      </c>
      <c r="K846" s="4">
        <f>Table3[[#This Row],[Sales]]-Table3[[#This Row],[Cost]]</f>
        <v>11755.911999999997</v>
      </c>
      <c r="L846" s="6">
        <f>Table3[[#This Row],[Profit]]/Table3[[#This Row],[Sales]]</f>
        <v>0.19999999999999996</v>
      </c>
    </row>
    <row r="847" spans="1:12" x14ac:dyDescent="0.25">
      <c r="A847" t="s">
        <v>859</v>
      </c>
      <c r="B847" s="2">
        <v>45005</v>
      </c>
      <c r="C847" s="2" t="str">
        <f>TEXT(Table3[[#This Row],[Order Date]],"mmmm")</f>
        <v>March</v>
      </c>
      <c r="D847" t="s">
        <v>3220</v>
      </c>
      <c r="E847" t="s">
        <v>3223</v>
      </c>
      <c r="F847" t="s">
        <v>3226</v>
      </c>
      <c r="G847" s="4">
        <v>18971.71</v>
      </c>
      <c r="H847" s="4">
        <v>13471.19</v>
      </c>
      <c r="I847" s="3" t="s">
        <v>3734</v>
      </c>
      <c r="J847">
        <v>2</v>
      </c>
      <c r="K847" s="4">
        <f>Table3[[#This Row],[Sales]]-Table3[[#This Row],[Cost]]</f>
        <v>5500.5199999999986</v>
      </c>
      <c r="L847" s="6">
        <f>Table3[[#This Row],[Profit]]/Table3[[#This Row],[Sales]]</f>
        <v>0.28993274723258994</v>
      </c>
    </row>
    <row r="848" spans="1:12" x14ac:dyDescent="0.25">
      <c r="A848" t="s">
        <v>861</v>
      </c>
      <c r="B848" s="2">
        <v>45102</v>
      </c>
      <c r="C848" s="2" t="str">
        <f>TEXT(Table3[[#This Row],[Order Date]],"mmmm")</f>
        <v>June</v>
      </c>
      <c r="D848" t="s">
        <v>3730</v>
      </c>
      <c r="E848" t="s">
        <v>3223</v>
      </c>
      <c r="F848" t="s">
        <v>3226</v>
      </c>
      <c r="G848" s="4">
        <v>17087.46</v>
      </c>
      <c r="H848" s="4">
        <v>13641.77</v>
      </c>
      <c r="I848" s="3" t="s">
        <v>3734</v>
      </c>
      <c r="J848">
        <v>2</v>
      </c>
      <c r="K848" s="4">
        <f>Table3[[#This Row],[Sales]]-Table3[[#This Row],[Cost]]</f>
        <v>3445.6899999999987</v>
      </c>
      <c r="L848" s="6">
        <f>Table3[[#This Row],[Profit]]/Table3[[#This Row],[Sales]]</f>
        <v>0.20165021600635782</v>
      </c>
    </row>
    <row r="849" spans="1:12" x14ac:dyDescent="0.25">
      <c r="A849" t="s">
        <v>862</v>
      </c>
      <c r="B849" s="2">
        <v>44941</v>
      </c>
      <c r="C849" s="2" t="str">
        <f>TEXT(Table3[[#This Row],[Order Date]],"mmmm")</f>
        <v>January</v>
      </c>
      <c r="D849" t="s">
        <v>3216</v>
      </c>
      <c r="E849" t="s">
        <v>3222</v>
      </c>
      <c r="F849" t="s">
        <v>3226</v>
      </c>
      <c r="G849" s="4">
        <v>51870.14</v>
      </c>
      <c r="H849" s="4">
        <v>28459.95</v>
      </c>
      <c r="I849" s="3" t="s">
        <v>3734</v>
      </c>
      <c r="J849">
        <v>3</v>
      </c>
      <c r="K849" s="4">
        <f>Table3[[#This Row],[Sales]]-Table3[[#This Row],[Cost]]</f>
        <v>23410.19</v>
      </c>
      <c r="L849" s="6">
        <f>Table3[[#This Row],[Profit]]/Table3[[#This Row],[Sales]]</f>
        <v>0.45132305407311413</v>
      </c>
    </row>
    <row r="850" spans="1:12" x14ac:dyDescent="0.25">
      <c r="A850" t="s">
        <v>863</v>
      </c>
      <c r="B850" s="2">
        <v>45021</v>
      </c>
      <c r="C850" s="2" t="str">
        <f>TEXT(Table3[[#This Row],[Order Date]],"mmmm")</f>
        <v>April</v>
      </c>
      <c r="D850" t="s">
        <v>3731</v>
      </c>
      <c r="E850" t="s">
        <v>3225</v>
      </c>
      <c r="F850" t="s">
        <v>3226</v>
      </c>
      <c r="G850" s="4">
        <v>18110.45</v>
      </c>
      <c r="H850" s="4">
        <v>11942.24</v>
      </c>
      <c r="I850" s="3" t="s">
        <v>3734</v>
      </c>
      <c r="J850">
        <v>1</v>
      </c>
      <c r="K850" s="4">
        <f>Table3[[#This Row],[Sales]]-Table3[[#This Row],[Cost]]</f>
        <v>6168.2100000000009</v>
      </c>
      <c r="L850" s="6">
        <f>Table3[[#This Row],[Profit]]/Table3[[#This Row],[Sales]]</f>
        <v>0.34058844479292344</v>
      </c>
    </row>
    <row r="851" spans="1:12" x14ac:dyDescent="0.25">
      <c r="A851" t="s">
        <v>864</v>
      </c>
      <c r="B851" s="2" t="s">
        <v>3729</v>
      </c>
      <c r="C851" s="2" t="str">
        <f>TEXT(Table3[[#This Row],[Order Date]],"mmmm")</f>
        <v>Not Mentioned</v>
      </c>
      <c r="D851" t="s">
        <v>3220</v>
      </c>
      <c r="E851" t="s">
        <v>3224</v>
      </c>
      <c r="F851" t="s">
        <v>3226</v>
      </c>
      <c r="G851" s="4">
        <v>225585.62</v>
      </c>
      <c r="H851" s="4">
        <v>181237.78</v>
      </c>
      <c r="I851" s="3" t="s">
        <v>3734</v>
      </c>
      <c r="J851">
        <v>4</v>
      </c>
      <c r="K851" s="4">
        <f>Table3[[#This Row],[Sales]]-Table3[[#This Row],[Cost]]</f>
        <v>44347.839999999997</v>
      </c>
      <c r="L851" s="6">
        <f>Table3[[#This Row],[Profit]]/Table3[[#This Row],[Sales]]</f>
        <v>0.19658983582375505</v>
      </c>
    </row>
    <row r="852" spans="1:12" x14ac:dyDescent="0.25">
      <c r="A852" t="s">
        <v>865</v>
      </c>
      <c r="B852" s="2">
        <v>45102</v>
      </c>
      <c r="C852" s="2" t="str">
        <f>TEXT(Table3[[#This Row],[Order Date]],"mmmm")</f>
        <v>June</v>
      </c>
      <c r="D852" t="s">
        <v>3216</v>
      </c>
      <c r="E852" t="s">
        <v>3222</v>
      </c>
      <c r="F852" t="s">
        <v>3226</v>
      </c>
      <c r="G852" s="4">
        <v>84179.1</v>
      </c>
      <c r="H852" s="4">
        <v>46118.720000000001</v>
      </c>
      <c r="I852" s="3" t="s">
        <v>3734</v>
      </c>
      <c r="J852">
        <v>5</v>
      </c>
      <c r="K852" s="4">
        <f>Table3[[#This Row],[Sales]]-Table3[[#This Row],[Cost]]</f>
        <v>38060.380000000005</v>
      </c>
      <c r="L852" s="6">
        <f>Table3[[#This Row],[Profit]]/Table3[[#This Row],[Sales]]</f>
        <v>0.45213574390792965</v>
      </c>
    </row>
    <row r="853" spans="1:12" x14ac:dyDescent="0.25">
      <c r="A853" t="s">
        <v>612</v>
      </c>
      <c r="B853" s="2">
        <v>45021</v>
      </c>
      <c r="C853" s="2" t="str">
        <f>TEXT(Table3[[#This Row],[Order Date]],"mmmm")</f>
        <v>April</v>
      </c>
      <c r="D853" t="s">
        <v>3730</v>
      </c>
      <c r="E853" t="s">
        <v>3224</v>
      </c>
      <c r="F853" t="s">
        <v>3226</v>
      </c>
      <c r="G853" s="4">
        <v>67767.820000000007</v>
      </c>
      <c r="H853" s="4">
        <v>45930.68</v>
      </c>
      <c r="I853" s="3" t="s">
        <v>3734</v>
      </c>
      <c r="J853">
        <v>1</v>
      </c>
      <c r="K853" s="4">
        <f>Table3[[#This Row],[Sales]]-Table3[[#This Row],[Cost]]</f>
        <v>21837.140000000007</v>
      </c>
      <c r="L853" s="6">
        <f>Table3[[#This Row],[Profit]]/Table3[[#This Row],[Sales]]</f>
        <v>0.32223465355680625</v>
      </c>
    </row>
    <row r="854" spans="1:12" x14ac:dyDescent="0.25">
      <c r="A854" t="s">
        <v>866</v>
      </c>
      <c r="B854" s="2">
        <v>45005</v>
      </c>
      <c r="C854" s="2" t="str">
        <f>TEXT(Table3[[#This Row],[Order Date]],"mmmm")</f>
        <v>March</v>
      </c>
      <c r="D854" t="s">
        <v>3730</v>
      </c>
      <c r="E854" t="s">
        <v>3223</v>
      </c>
      <c r="F854" t="s">
        <v>3226</v>
      </c>
      <c r="G854" s="4">
        <v>26113.07</v>
      </c>
      <c r="H854" s="4">
        <v>21752.5</v>
      </c>
      <c r="I854" s="3" t="s">
        <v>3734</v>
      </c>
      <c r="J854">
        <v>3</v>
      </c>
      <c r="K854" s="4">
        <f>Table3[[#This Row],[Sales]]-Table3[[#This Row],[Cost]]</f>
        <v>4360.57</v>
      </c>
      <c r="L854" s="6">
        <f>Table3[[#This Row],[Profit]]/Table3[[#This Row],[Sales]]</f>
        <v>0.16698802553663739</v>
      </c>
    </row>
    <row r="855" spans="1:12" x14ac:dyDescent="0.25">
      <c r="A855" t="s">
        <v>3379</v>
      </c>
      <c r="B855" s="2">
        <v>45005</v>
      </c>
      <c r="C855" s="2" t="str">
        <f>TEXT(Table3[[#This Row],[Order Date]],"mmmm")</f>
        <v>March</v>
      </c>
      <c r="D855" t="s">
        <v>3220</v>
      </c>
      <c r="E855" t="s">
        <v>3224</v>
      </c>
      <c r="F855" t="s">
        <v>3226</v>
      </c>
      <c r="G855" s="4">
        <v>207390.77</v>
      </c>
      <c r="H855" s="4">
        <v>165697</v>
      </c>
      <c r="I855" s="3" t="s">
        <v>3734</v>
      </c>
      <c r="J855" t="s">
        <v>3732</v>
      </c>
      <c r="K855" s="4">
        <f>Table3[[#This Row],[Sales]]-Table3[[#This Row],[Cost]]</f>
        <v>41693.76999999999</v>
      </c>
      <c r="L855" s="6">
        <f>Table3[[#This Row],[Profit]]/Table3[[#This Row],[Sales]]</f>
        <v>0.20103966054034128</v>
      </c>
    </row>
    <row r="856" spans="1:12" x14ac:dyDescent="0.25">
      <c r="A856" t="s">
        <v>868</v>
      </c>
      <c r="B856" s="2" t="s">
        <v>3729</v>
      </c>
      <c r="C856" s="2" t="str">
        <f>TEXT(Table3[[#This Row],[Order Date]],"mmmm")</f>
        <v>Not Mentioned</v>
      </c>
      <c r="D856" t="s">
        <v>3220</v>
      </c>
      <c r="E856" t="s">
        <v>3222</v>
      </c>
      <c r="F856" t="s">
        <v>3226</v>
      </c>
      <c r="G856" s="4">
        <v>46974.75</v>
      </c>
      <c r="H856" s="4">
        <v>26973.62</v>
      </c>
      <c r="I856" s="3" t="s">
        <v>3734</v>
      </c>
      <c r="J856">
        <v>3</v>
      </c>
      <c r="K856" s="4">
        <f>Table3[[#This Row],[Sales]]-Table3[[#This Row],[Cost]]</f>
        <v>20001.13</v>
      </c>
      <c r="L856" s="6">
        <f>Table3[[#This Row],[Profit]]/Table3[[#This Row],[Sales]]</f>
        <v>0.42578470348431874</v>
      </c>
    </row>
    <row r="857" spans="1:12" x14ac:dyDescent="0.25">
      <c r="A857" t="s">
        <v>869</v>
      </c>
      <c r="B857" s="2">
        <v>44941</v>
      </c>
      <c r="C857" s="2" t="str">
        <f>TEXT(Table3[[#This Row],[Order Date]],"mmmm")</f>
        <v>January</v>
      </c>
      <c r="D857" t="s">
        <v>3730</v>
      </c>
      <c r="E857" t="s">
        <v>3224</v>
      </c>
      <c r="F857" t="s">
        <v>3226</v>
      </c>
      <c r="G857" s="4">
        <v>216307.92</v>
      </c>
      <c r="H857" s="4">
        <v>164201.79999999999</v>
      </c>
      <c r="I857" s="3" t="s">
        <v>3734</v>
      </c>
      <c r="J857" t="s">
        <v>3732</v>
      </c>
      <c r="K857" s="4">
        <f>Table3[[#This Row],[Sales]]-Table3[[#This Row],[Cost]]</f>
        <v>52106.120000000024</v>
      </c>
      <c r="L857" s="6">
        <f>Table3[[#This Row],[Profit]]/Table3[[#This Row],[Sales]]</f>
        <v>0.24088863690243068</v>
      </c>
    </row>
    <row r="858" spans="1:12" x14ac:dyDescent="0.25">
      <c r="A858" t="s">
        <v>870</v>
      </c>
      <c r="B858" s="2" t="s">
        <v>3729</v>
      </c>
      <c r="C858" s="2" t="str">
        <f>TEXT(Table3[[#This Row],[Order Date]],"mmmm")</f>
        <v>Not Mentioned</v>
      </c>
      <c r="D858" t="s">
        <v>3216</v>
      </c>
      <c r="E858" t="s">
        <v>3222</v>
      </c>
      <c r="F858" t="s">
        <v>3226</v>
      </c>
      <c r="G858" s="4">
        <v>46012.26</v>
      </c>
      <c r="H858" s="4">
        <v>28585.58</v>
      </c>
      <c r="I858" s="3" t="s">
        <v>3734</v>
      </c>
      <c r="J858">
        <v>3</v>
      </c>
      <c r="K858" s="4">
        <f>Table3[[#This Row],[Sales]]-Table3[[#This Row],[Cost]]</f>
        <v>17426.68</v>
      </c>
      <c r="L858" s="6">
        <f>Table3[[#This Row],[Profit]]/Table3[[#This Row],[Sales]]</f>
        <v>0.37873992714115756</v>
      </c>
    </row>
    <row r="859" spans="1:12" x14ac:dyDescent="0.25">
      <c r="A859" t="s">
        <v>3380</v>
      </c>
      <c r="B859" s="2">
        <v>45005</v>
      </c>
      <c r="C859" s="2" t="str">
        <f>TEXT(Table3[[#This Row],[Order Date]],"mmmm")</f>
        <v>March</v>
      </c>
      <c r="D859" t="s">
        <v>3730</v>
      </c>
      <c r="E859" t="s">
        <v>3222</v>
      </c>
      <c r="F859" t="s">
        <v>3226</v>
      </c>
      <c r="G859" s="4">
        <v>33743.78</v>
      </c>
      <c r="H859" s="4">
        <v>18597.61</v>
      </c>
      <c r="I859" s="3" t="s">
        <v>3734</v>
      </c>
      <c r="J859">
        <v>2</v>
      </c>
      <c r="K859" s="4">
        <f>Table3[[#This Row],[Sales]]-Table3[[#This Row],[Cost]]</f>
        <v>15146.169999999998</v>
      </c>
      <c r="L859" s="6">
        <f>Table3[[#This Row],[Profit]]/Table3[[#This Row],[Sales]]</f>
        <v>0.44885813029838384</v>
      </c>
    </row>
    <row r="860" spans="1:12" x14ac:dyDescent="0.25">
      <c r="A860" t="s">
        <v>872</v>
      </c>
      <c r="B860" s="2">
        <v>44941</v>
      </c>
      <c r="C860" s="2" t="str">
        <f>TEXT(Table3[[#This Row],[Order Date]],"mmmm")</f>
        <v>January</v>
      </c>
      <c r="D860" t="s">
        <v>3730</v>
      </c>
      <c r="E860" t="s">
        <v>3224</v>
      </c>
      <c r="F860" t="s">
        <v>3226</v>
      </c>
      <c r="G860" s="4">
        <v>60221.34</v>
      </c>
      <c r="H860" s="4">
        <v>45310.01</v>
      </c>
      <c r="I860" s="3" t="s">
        <v>3734</v>
      </c>
      <c r="J860" t="s">
        <v>3732</v>
      </c>
      <c r="K860" s="4">
        <f>Table3[[#This Row],[Sales]]-Table3[[#This Row],[Cost]]</f>
        <v>14911.329999999994</v>
      </c>
      <c r="L860" s="6">
        <f>Table3[[#This Row],[Profit]]/Table3[[#This Row],[Sales]]</f>
        <v>0.24760873803206629</v>
      </c>
    </row>
    <row r="861" spans="1:12" x14ac:dyDescent="0.25">
      <c r="A861" t="s">
        <v>705</v>
      </c>
      <c r="B861" s="2">
        <v>45102</v>
      </c>
      <c r="C861" s="2" t="str">
        <f>TEXT(Table3[[#This Row],[Order Date]],"mmmm")</f>
        <v>June</v>
      </c>
      <c r="D861" t="s">
        <v>3220</v>
      </c>
      <c r="E861" t="s">
        <v>3224</v>
      </c>
      <c r="F861" t="s">
        <v>3226</v>
      </c>
      <c r="G861" s="4">
        <v>331633.84000000003</v>
      </c>
      <c r="H861" s="4">
        <v>205777.37</v>
      </c>
      <c r="I861" s="3" t="s">
        <v>3734</v>
      </c>
      <c r="J861">
        <v>5</v>
      </c>
      <c r="K861" s="4">
        <f>Table3[[#This Row],[Sales]]-Table3[[#This Row],[Cost]]</f>
        <v>125856.47000000003</v>
      </c>
      <c r="L861" s="6">
        <f>Table3[[#This Row],[Profit]]/Table3[[#This Row],[Sales]]</f>
        <v>0.37950430510951483</v>
      </c>
    </row>
    <row r="862" spans="1:12" x14ac:dyDescent="0.25">
      <c r="A862" t="s">
        <v>873</v>
      </c>
      <c r="B862" s="2">
        <v>45021</v>
      </c>
      <c r="C862" s="2" t="str">
        <f>TEXT(Table3[[#This Row],[Order Date]],"mmmm")</f>
        <v>April</v>
      </c>
      <c r="D862" t="s">
        <v>3730</v>
      </c>
      <c r="E862" t="s">
        <v>3223</v>
      </c>
      <c r="F862" t="s">
        <v>3226</v>
      </c>
      <c r="G862" s="4">
        <v>16983.29</v>
      </c>
      <c r="H862" s="4">
        <v>12610.75</v>
      </c>
      <c r="I862" s="3" t="s">
        <v>3734</v>
      </c>
      <c r="J862">
        <v>2</v>
      </c>
      <c r="K862" s="4">
        <f>Table3[[#This Row],[Sales]]-Table3[[#This Row],[Cost]]</f>
        <v>4372.5400000000009</v>
      </c>
      <c r="L862" s="6">
        <f>Table3[[#This Row],[Profit]]/Table3[[#This Row],[Sales]]</f>
        <v>0.25746130461176842</v>
      </c>
    </row>
    <row r="863" spans="1:12" x14ac:dyDescent="0.25">
      <c r="A863" t="s">
        <v>874</v>
      </c>
      <c r="B863" s="2">
        <v>44972</v>
      </c>
      <c r="C863" s="2" t="str">
        <f>TEXT(Table3[[#This Row],[Order Date]],"mmmm")</f>
        <v>February</v>
      </c>
      <c r="D863" t="s">
        <v>3731</v>
      </c>
      <c r="E863" t="s">
        <v>3222</v>
      </c>
      <c r="F863" t="s">
        <v>3226</v>
      </c>
      <c r="G863" s="4">
        <v>55537.06</v>
      </c>
      <c r="H863" s="4">
        <v>38596</v>
      </c>
      <c r="I863" s="3" t="s">
        <v>3734</v>
      </c>
      <c r="J863">
        <v>4</v>
      </c>
      <c r="K863" s="4">
        <f>Table3[[#This Row],[Sales]]-Table3[[#This Row],[Cost]]</f>
        <v>16941.059999999998</v>
      </c>
      <c r="L863" s="6">
        <f>Table3[[#This Row],[Profit]]/Table3[[#This Row],[Sales]]</f>
        <v>0.30504063412791382</v>
      </c>
    </row>
    <row r="864" spans="1:12" x14ac:dyDescent="0.25">
      <c r="A864" t="s">
        <v>875</v>
      </c>
      <c r="B864" s="2">
        <v>45102</v>
      </c>
      <c r="C864" s="2" t="str">
        <f>TEXT(Table3[[#This Row],[Order Date]],"mmmm")</f>
        <v>June</v>
      </c>
      <c r="D864" t="s">
        <v>3730</v>
      </c>
      <c r="E864" t="s">
        <v>3223</v>
      </c>
      <c r="F864" t="s">
        <v>3226</v>
      </c>
      <c r="G864" s="4">
        <v>50684.94</v>
      </c>
      <c r="H864" s="4">
        <v>37116.89</v>
      </c>
      <c r="I864" s="3" t="s">
        <v>3734</v>
      </c>
      <c r="J864">
        <v>5</v>
      </c>
      <c r="K864" s="4">
        <f>Table3[[#This Row],[Sales]]-Table3[[#This Row],[Cost]]</f>
        <v>13568.050000000003</v>
      </c>
      <c r="L864" s="6">
        <f>Table3[[#This Row],[Profit]]/Table3[[#This Row],[Sales]]</f>
        <v>0.26769391460264136</v>
      </c>
    </row>
    <row r="865" spans="1:12" x14ac:dyDescent="0.25">
      <c r="A865" t="s">
        <v>3381</v>
      </c>
      <c r="B865" s="2">
        <v>45005</v>
      </c>
      <c r="C865" s="2" t="str">
        <f>TEXT(Table3[[#This Row],[Order Date]],"mmmm")</f>
        <v>March</v>
      </c>
      <c r="D865" t="s">
        <v>3730</v>
      </c>
      <c r="E865" t="s">
        <v>3224</v>
      </c>
      <c r="F865" t="s">
        <v>3226</v>
      </c>
      <c r="G865" s="4">
        <v>245899.02</v>
      </c>
      <c r="H865" s="4">
        <v>223509.35</v>
      </c>
      <c r="I865" s="3" t="s">
        <v>3734</v>
      </c>
      <c r="J865">
        <v>5</v>
      </c>
      <c r="K865" s="4">
        <f>Table3[[#This Row],[Sales]]-Table3[[#This Row],[Cost]]</f>
        <v>22389.669999999984</v>
      </c>
      <c r="L865" s="6">
        <f>Table3[[#This Row],[Profit]]/Table3[[#This Row],[Sales]]</f>
        <v>9.1052294555708208E-2</v>
      </c>
    </row>
    <row r="866" spans="1:12" x14ac:dyDescent="0.25">
      <c r="A866" t="s">
        <v>877</v>
      </c>
      <c r="B866" s="2">
        <v>45102</v>
      </c>
      <c r="C866" s="2" t="str">
        <f>TEXT(Table3[[#This Row],[Order Date]],"mmmm")</f>
        <v>June</v>
      </c>
      <c r="D866" t="s">
        <v>3731</v>
      </c>
      <c r="E866" t="s">
        <v>3225</v>
      </c>
      <c r="F866" t="s">
        <v>3226</v>
      </c>
      <c r="G866" s="4">
        <v>21220.91</v>
      </c>
      <c r="H866" s="4">
        <v>12114.55</v>
      </c>
      <c r="I866" s="3" t="s">
        <v>3734</v>
      </c>
      <c r="J866">
        <v>1</v>
      </c>
      <c r="K866" s="4">
        <f>Table3[[#This Row],[Sales]]-Table3[[#This Row],[Cost]]</f>
        <v>9106.36</v>
      </c>
      <c r="L866" s="6">
        <f>Table3[[#This Row],[Profit]]/Table3[[#This Row],[Sales]]</f>
        <v>0.42912203105333374</v>
      </c>
    </row>
    <row r="867" spans="1:12" x14ac:dyDescent="0.25">
      <c r="A867" t="s">
        <v>878</v>
      </c>
      <c r="B867" s="2">
        <v>45102</v>
      </c>
      <c r="C867" s="2" t="str">
        <f>TEXT(Table3[[#This Row],[Order Date]],"mmmm")</f>
        <v>June</v>
      </c>
      <c r="D867" t="s">
        <v>3731</v>
      </c>
      <c r="E867" t="s">
        <v>3222</v>
      </c>
      <c r="F867" t="s">
        <v>3226</v>
      </c>
      <c r="G867" s="4">
        <v>50514.3</v>
      </c>
      <c r="H867" s="4">
        <v>38542.28</v>
      </c>
      <c r="I867" s="3" t="s">
        <v>3734</v>
      </c>
      <c r="J867">
        <v>4</v>
      </c>
      <c r="K867" s="4">
        <f>Table3[[#This Row],[Sales]]-Table3[[#This Row],[Cost]]</f>
        <v>11972.020000000004</v>
      </c>
      <c r="L867" s="6">
        <f>Table3[[#This Row],[Profit]]/Table3[[#This Row],[Sales]]</f>
        <v>0.23700259134542107</v>
      </c>
    </row>
    <row r="868" spans="1:12" x14ac:dyDescent="0.25">
      <c r="A868" t="s">
        <v>879</v>
      </c>
      <c r="B868" s="2">
        <v>45005</v>
      </c>
      <c r="C868" s="2" t="str">
        <f>TEXT(Table3[[#This Row],[Order Date]],"mmmm")</f>
        <v>March</v>
      </c>
      <c r="D868" t="s">
        <v>3731</v>
      </c>
      <c r="E868" t="s">
        <v>3223</v>
      </c>
      <c r="F868" t="s">
        <v>3226</v>
      </c>
      <c r="G868" s="4">
        <v>53836.94</v>
      </c>
      <c r="H868" s="4">
        <v>35327.18</v>
      </c>
      <c r="I868" s="3" t="s">
        <v>3734</v>
      </c>
      <c r="J868">
        <v>5</v>
      </c>
      <c r="K868" s="4">
        <f>Table3[[#This Row],[Sales]]-Table3[[#This Row],[Cost]]</f>
        <v>18509.760000000002</v>
      </c>
      <c r="L868" s="6">
        <f>Table3[[#This Row],[Profit]]/Table3[[#This Row],[Sales]]</f>
        <v>0.34381151677639926</v>
      </c>
    </row>
    <row r="869" spans="1:12" x14ac:dyDescent="0.25">
      <c r="A869" t="s">
        <v>880</v>
      </c>
      <c r="B869" s="2" t="s">
        <v>3729</v>
      </c>
      <c r="C869" s="2" t="str">
        <f>TEXT(Table3[[#This Row],[Order Date]],"mmmm")</f>
        <v>Not Mentioned</v>
      </c>
      <c r="D869" t="s">
        <v>3220</v>
      </c>
      <c r="E869" t="s">
        <v>3222</v>
      </c>
      <c r="F869" t="s">
        <v>3226</v>
      </c>
      <c r="G869" s="4">
        <v>34979.160000000003</v>
      </c>
      <c r="H869" s="4">
        <v>17847.82</v>
      </c>
      <c r="I869" s="3" t="s">
        <v>3734</v>
      </c>
      <c r="J869">
        <v>2</v>
      </c>
      <c r="K869" s="4">
        <f>Table3[[#This Row],[Sales]]-Table3[[#This Row],[Cost]]</f>
        <v>17131.340000000004</v>
      </c>
      <c r="L869" s="6">
        <f>Table3[[#This Row],[Profit]]/Table3[[#This Row],[Sales]]</f>
        <v>0.48975847333097772</v>
      </c>
    </row>
    <row r="870" spans="1:12" x14ac:dyDescent="0.25">
      <c r="A870" t="s">
        <v>881</v>
      </c>
      <c r="B870" s="2">
        <v>45021</v>
      </c>
      <c r="C870" s="2" t="str">
        <f>TEXT(Table3[[#This Row],[Order Date]],"mmmm")</f>
        <v>April</v>
      </c>
      <c r="D870" t="s">
        <v>3220</v>
      </c>
      <c r="E870" t="s">
        <v>3223</v>
      </c>
      <c r="F870" t="s">
        <v>3226</v>
      </c>
      <c r="G870" s="4">
        <v>9243.89</v>
      </c>
      <c r="H870" s="4">
        <v>6124.41</v>
      </c>
      <c r="I870" s="3" t="s">
        <v>3734</v>
      </c>
      <c r="J870">
        <v>1</v>
      </c>
      <c r="K870" s="4">
        <f>Table3[[#This Row],[Sales]]-Table3[[#This Row],[Cost]]</f>
        <v>3119.4799999999996</v>
      </c>
      <c r="L870" s="6">
        <f>Table3[[#This Row],[Profit]]/Table3[[#This Row],[Sales]]</f>
        <v>0.33746398972726849</v>
      </c>
    </row>
    <row r="871" spans="1:12" x14ac:dyDescent="0.25">
      <c r="A871" t="s">
        <v>3358</v>
      </c>
      <c r="B871" s="2">
        <v>45005</v>
      </c>
      <c r="C871" s="2" t="str">
        <f>TEXT(Table3[[#This Row],[Order Date]],"mmmm")</f>
        <v>March</v>
      </c>
      <c r="D871" t="s">
        <v>3731</v>
      </c>
      <c r="E871" t="s">
        <v>3222</v>
      </c>
      <c r="F871" t="s">
        <v>3226</v>
      </c>
      <c r="G871" s="4">
        <v>12311.29</v>
      </c>
      <c r="H871" s="4">
        <v>10855.58</v>
      </c>
      <c r="I871" s="3" t="s">
        <v>3734</v>
      </c>
      <c r="J871">
        <v>1</v>
      </c>
      <c r="K871" s="4">
        <f>Table3[[#This Row],[Sales]]-Table3[[#This Row],[Cost]]</f>
        <v>1455.7100000000009</v>
      </c>
      <c r="L871" s="6">
        <f>Table3[[#This Row],[Profit]]/Table3[[#This Row],[Sales]]</f>
        <v>0.11824187392222918</v>
      </c>
    </row>
    <row r="872" spans="1:12" x14ac:dyDescent="0.25">
      <c r="A872" t="s">
        <v>882</v>
      </c>
      <c r="B872" s="2">
        <v>44941</v>
      </c>
      <c r="C872" s="2" t="str">
        <f>TEXT(Table3[[#This Row],[Order Date]],"mmmm")</f>
        <v>January</v>
      </c>
      <c r="D872" t="s">
        <v>3730</v>
      </c>
      <c r="E872" t="s">
        <v>3225</v>
      </c>
      <c r="F872" t="s">
        <v>3226</v>
      </c>
      <c r="G872" s="4">
        <v>105148.86</v>
      </c>
      <c r="H872" s="4">
        <v>69190.240000000005</v>
      </c>
      <c r="I872" s="3" t="s">
        <v>3734</v>
      </c>
      <c r="J872">
        <v>5</v>
      </c>
      <c r="K872" s="4">
        <f>Table3[[#This Row],[Sales]]-Table3[[#This Row],[Cost]]</f>
        <v>35958.619999999995</v>
      </c>
      <c r="L872" s="6">
        <f>Table3[[#This Row],[Profit]]/Table3[[#This Row],[Sales]]</f>
        <v>0.3419782202108515</v>
      </c>
    </row>
    <row r="873" spans="1:12" x14ac:dyDescent="0.25">
      <c r="A873" t="s">
        <v>828</v>
      </c>
      <c r="B873" s="2">
        <v>45102</v>
      </c>
      <c r="C873" s="2" t="str">
        <f>TEXT(Table3[[#This Row],[Order Date]],"mmmm")</f>
        <v>June</v>
      </c>
      <c r="D873" t="s">
        <v>3220</v>
      </c>
      <c r="E873" t="s">
        <v>3224</v>
      </c>
      <c r="F873" t="s">
        <v>3226</v>
      </c>
      <c r="G873" s="4">
        <v>202395.78</v>
      </c>
      <c r="H873" s="4">
        <v>171939.48</v>
      </c>
      <c r="I873" s="3" t="s">
        <v>3734</v>
      </c>
      <c r="J873">
        <v>4</v>
      </c>
      <c r="K873" s="4">
        <f>Table3[[#This Row],[Sales]]-Table3[[#This Row],[Cost]]</f>
        <v>30456.299999999988</v>
      </c>
      <c r="L873" s="6">
        <f>Table3[[#This Row],[Profit]]/Table3[[#This Row],[Sales]]</f>
        <v>0.15047892796974319</v>
      </c>
    </row>
    <row r="874" spans="1:12" x14ac:dyDescent="0.25">
      <c r="A874" t="s">
        <v>884</v>
      </c>
      <c r="B874" s="2" t="s">
        <v>3729</v>
      </c>
      <c r="C874" s="2" t="str">
        <f>TEXT(Table3[[#This Row],[Order Date]],"mmmm")</f>
        <v>Not Mentioned</v>
      </c>
      <c r="D874" t="s">
        <v>3730</v>
      </c>
      <c r="E874" t="s">
        <v>3225</v>
      </c>
      <c r="F874" t="s">
        <v>3226</v>
      </c>
      <c r="G874" s="4">
        <v>78795.570000000007</v>
      </c>
      <c r="H874" s="4">
        <v>53060.92</v>
      </c>
      <c r="I874" s="3" t="s">
        <v>3734</v>
      </c>
      <c r="J874">
        <v>4</v>
      </c>
      <c r="K874" s="4">
        <f>Table3[[#This Row],[Sales]]-Table3[[#This Row],[Cost]]</f>
        <v>25734.650000000009</v>
      </c>
      <c r="L874" s="6">
        <f>Table3[[#This Row],[Profit]]/Table3[[#This Row],[Sales]]</f>
        <v>0.32660021369221653</v>
      </c>
    </row>
    <row r="875" spans="1:12" x14ac:dyDescent="0.25">
      <c r="A875" t="s">
        <v>885</v>
      </c>
      <c r="B875" s="2">
        <v>45021</v>
      </c>
      <c r="C875" s="2" t="str">
        <f>TEXT(Table3[[#This Row],[Order Date]],"mmmm")</f>
        <v>April</v>
      </c>
      <c r="D875" t="s">
        <v>3731</v>
      </c>
      <c r="E875" t="s">
        <v>3222</v>
      </c>
      <c r="F875" t="s">
        <v>3226</v>
      </c>
      <c r="G875" s="4">
        <v>30777.83</v>
      </c>
      <c r="H875" s="4">
        <v>18696.02</v>
      </c>
      <c r="I875" s="3" t="s">
        <v>3734</v>
      </c>
      <c r="J875">
        <v>2</v>
      </c>
      <c r="K875" s="4">
        <f>Table3[[#This Row],[Sales]]-Table3[[#This Row],[Cost]]</f>
        <v>12081.810000000001</v>
      </c>
      <c r="L875" s="6">
        <f>Table3[[#This Row],[Profit]]/Table3[[#This Row],[Sales]]</f>
        <v>0.39254911733543268</v>
      </c>
    </row>
    <row r="876" spans="1:12" x14ac:dyDescent="0.25">
      <c r="A876" t="s">
        <v>886</v>
      </c>
      <c r="B876" s="2">
        <v>44941</v>
      </c>
      <c r="C876" s="2" t="str">
        <f>TEXT(Table3[[#This Row],[Order Date]],"mmmm")</f>
        <v>January</v>
      </c>
      <c r="D876" t="s">
        <v>3216</v>
      </c>
      <c r="E876" t="s">
        <v>3224</v>
      </c>
      <c r="F876" t="s">
        <v>3226</v>
      </c>
      <c r="G876" s="4">
        <v>144838.43</v>
      </c>
      <c r="H876" s="4">
        <v>133542.41</v>
      </c>
      <c r="I876" s="3" t="s">
        <v>3734</v>
      </c>
      <c r="J876">
        <v>3</v>
      </c>
      <c r="K876" s="4">
        <f>Table3[[#This Row],[Sales]]-Table3[[#This Row],[Cost]]</f>
        <v>11296.01999999999</v>
      </c>
      <c r="L876" s="6">
        <f>Table3[[#This Row],[Profit]]/Table3[[#This Row],[Sales]]</f>
        <v>7.7990489126400983E-2</v>
      </c>
    </row>
    <row r="877" spans="1:12" x14ac:dyDescent="0.25">
      <c r="A877" t="s">
        <v>887</v>
      </c>
      <c r="B877" s="2">
        <v>44941</v>
      </c>
      <c r="C877" s="2" t="str">
        <f>TEXT(Table3[[#This Row],[Order Date]],"mmmm")</f>
        <v>January</v>
      </c>
      <c r="D877" t="s">
        <v>3220</v>
      </c>
      <c r="E877" t="s">
        <v>3224</v>
      </c>
      <c r="F877" t="s">
        <v>3226</v>
      </c>
      <c r="G877" s="4">
        <v>57455.47</v>
      </c>
      <c r="H877" s="4">
        <v>41234.769999999997</v>
      </c>
      <c r="I877" s="3" t="s">
        <v>3734</v>
      </c>
      <c r="J877">
        <v>1</v>
      </c>
      <c r="K877" s="4">
        <f>Table3[[#This Row],[Sales]]-Table3[[#This Row],[Cost]]</f>
        <v>16220.700000000004</v>
      </c>
      <c r="L877" s="6">
        <f>Table3[[#This Row],[Profit]]/Table3[[#This Row],[Sales]]</f>
        <v>0.28231776713339918</v>
      </c>
    </row>
    <row r="878" spans="1:12" x14ac:dyDescent="0.25">
      <c r="A878" t="s">
        <v>888</v>
      </c>
      <c r="B878" s="2">
        <v>44941</v>
      </c>
      <c r="C878" s="2" t="str">
        <f>TEXT(Table3[[#This Row],[Order Date]],"mmmm")</f>
        <v>January</v>
      </c>
      <c r="D878" t="s">
        <v>3730</v>
      </c>
      <c r="E878" t="s">
        <v>3223</v>
      </c>
      <c r="F878" t="s">
        <v>3226</v>
      </c>
      <c r="G878" s="4">
        <v>20427.419999999998</v>
      </c>
      <c r="H878" s="4">
        <v>11939.86</v>
      </c>
      <c r="I878" s="3" t="s">
        <v>3734</v>
      </c>
      <c r="J878">
        <v>2</v>
      </c>
      <c r="K878" s="4">
        <f>Table3[[#This Row],[Sales]]-Table3[[#This Row],[Cost]]</f>
        <v>8487.5599999999977</v>
      </c>
      <c r="L878" s="6">
        <f>Table3[[#This Row],[Profit]]/Table3[[#This Row],[Sales]]</f>
        <v>0.41549838403479239</v>
      </c>
    </row>
    <row r="879" spans="1:12" x14ac:dyDescent="0.25">
      <c r="A879" t="s">
        <v>889</v>
      </c>
      <c r="B879" s="2">
        <v>44941</v>
      </c>
      <c r="C879" s="2" t="str">
        <f>TEXT(Table3[[#This Row],[Order Date]],"mmmm")</f>
        <v>January</v>
      </c>
      <c r="D879" t="s">
        <v>3220</v>
      </c>
      <c r="E879" t="s">
        <v>3222</v>
      </c>
      <c r="F879" t="s">
        <v>3226</v>
      </c>
      <c r="G879" s="4">
        <v>76761.88</v>
      </c>
      <c r="H879" s="4">
        <v>61409.504000000008</v>
      </c>
      <c r="I879" s="3" t="s">
        <v>3735</v>
      </c>
      <c r="J879">
        <v>5</v>
      </c>
      <c r="K879" s="4">
        <f>Table3[[#This Row],[Sales]]-Table3[[#This Row],[Cost]]</f>
        <v>15352.375999999997</v>
      </c>
      <c r="L879" s="6">
        <f>Table3[[#This Row],[Profit]]/Table3[[#This Row],[Sales]]</f>
        <v>0.19999999999999996</v>
      </c>
    </row>
    <row r="880" spans="1:12" x14ac:dyDescent="0.25">
      <c r="A880" t="s">
        <v>890</v>
      </c>
      <c r="B880" s="2">
        <v>44941</v>
      </c>
      <c r="C880" s="2" t="str">
        <f>TEXT(Table3[[#This Row],[Order Date]],"mmmm")</f>
        <v>January</v>
      </c>
      <c r="D880" t="s">
        <v>3220</v>
      </c>
      <c r="E880" t="s">
        <v>3222</v>
      </c>
      <c r="F880" t="s">
        <v>3226</v>
      </c>
      <c r="G880" s="4">
        <v>30710.23</v>
      </c>
      <c r="H880" s="4">
        <v>19660.66</v>
      </c>
      <c r="I880" s="3" t="s">
        <v>3734</v>
      </c>
      <c r="J880">
        <v>2</v>
      </c>
      <c r="K880" s="4">
        <f>Table3[[#This Row],[Sales]]-Table3[[#This Row],[Cost]]</f>
        <v>11049.57</v>
      </c>
      <c r="L880" s="6">
        <f>Table3[[#This Row],[Profit]]/Table3[[#This Row],[Sales]]</f>
        <v>0.35980095232109949</v>
      </c>
    </row>
    <row r="881" spans="1:12" x14ac:dyDescent="0.25">
      <c r="A881" t="s">
        <v>891</v>
      </c>
      <c r="B881" s="2">
        <v>45005</v>
      </c>
      <c r="C881" s="2" t="str">
        <f>TEXT(Table3[[#This Row],[Order Date]],"mmmm")</f>
        <v>March</v>
      </c>
      <c r="D881" t="s">
        <v>3216</v>
      </c>
      <c r="E881" t="s">
        <v>3222</v>
      </c>
      <c r="F881" t="s">
        <v>3226</v>
      </c>
      <c r="G881" s="4">
        <v>17486.75</v>
      </c>
      <c r="H881" s="4">
        <v>8725.2800000000007</v>
      </c>
      <c r="I881" s="3" t="s">
        <v>3734</v>
      </c>
      <c r="J881">
        <v>1</v>
      </c>
      <c r="K881" s="4">
        <f>Table3[[#This Row],[Sales]]-Table3[[#This Row],[Cost]]</f>
        <v>8761.4699999999993</v>
      </c>
      <c r="L881" s="6">
        <f>Table3[[#This Row],[Profit]]/Table3[[#This Row],[Sales]]</f>
        <v>0.50103478347891972</v>
      </c>
    </row>
    <row r="882" spans="1:12" x14ac:dyDescent="0.25">
      <c r="A882" t="s">
        <v>3382</v>
      </c>
      <c r="B882" s="2">
        <v>44972</v>
      </c>
      <c r="C882" s="2" t="str">
        <f>TEXT(Table3[[#This Row],[Order Date]],"mmmm")</f>
        <v>February</v>
      </c>
      <c r="D882" t="s">
        <v>3216</v>
      </c>
      <c r="E882" t="s">
        <v>3222</v>
      </c>
      <c r="F882" t="s">
        <v>3226</v>
      </c>
      <c r="G882" s="4">
        <v>55333.84</v>
      </c>
      <c r="H882" s="4">
        <v>39176.39</v>
      </c>
      <c r="I882" s="3" t="s">
        <v>3734</v>
      </c>
      <c r="J882">
        <v>4</v>
      </c>
      <c r="K882" s="4">
        <f>Table3[[#This Row],[Sales]]-Table3[[#This Row],[Cost]]</f>
        <v>16157.449999999997</v>
      </c>
      <c r="L882" s="6">
        <f>Table3[[#This Row],[Profit]]/Table3[[#This Row],[Sales]]</f>
        <v>0.29199943470397133</v>
      </c>
    </row>
    <row r="883" spans="1:12" x14ac:dyDescent="0.25">
      <c r="A883" t="s">
        <v>497</v>
      </c>
      <c r="B883" s="2">
        <v>45021</v>
      </c>
      <c r="C883" s="2" t="str">
        <f>TEXT(Table3[[#This Row],[Order Date]],"mmmm")</f>
        <v>April</v>
      </c>
      <c r="D883" t="s">
        <v>3730</v>
      </c>
      <c r="E883" t="s">
        <v>3225</v>
      </c>
      <c r="F883" t="s">
        <v>3226</v>
      </c>
      <c r="G883" s="4">
        <v>37822.39</v>
      </c>
      <c r="H883" s="4">
        <v>29632.92</v>
      </c>
      <c r="I883" s="3" t="s">
        <v>3734</v>
      </c>
      <c r="J883">
        <v>2</v>
      </c>
      <c r="K883" s="4">
        <f>Table3[[#This Row],[Sales]]-Table3[[#This Row],[Cost]]</f>
        <v>8189.4700000000012</v>
      </c>
      <c r="L883" s="6">
        <f>Table3[[#This Row],[Profit]]/Table3[[#This Row],[Sales]]</f>
        <v>0.21652439203339613</v>
      </c>
    </row>
    <row r="884" spans="1:12" x14ac:dyDescent="0.25">
      <c r="A884" t="s">
        <v>894</v>
      </c>
      <c r="B884" s="2" t="s">
        <v>3729</v>
      </c>
      <c r="C884" s="2" t="str">
        <f>TEXT(Table3[[#This Row],[Order Date]],"mmmm")</f>
        <v>Not Mentioned</v>
      </c>
      <c r="D884" t="s">
        <v>3220</v>
      </c>
      <c r="E884" t="s">
        <v>3223</v>
      </c>
      <c r="F884" t="s">
        <v>3226</v>
      </c>
      <c r="G884" s="4">
        <v>18461.79</v>
      </c>
      <c r="H884" s="4">
        <v>12290.58</v>
      </c>
      <c r="I884" s="3" t="s">
        <v>3734</v>
      </c>
      <c r="J884">
        <v>2</v>
      </c>
      <c r="K884" s="4">
        <f>Table3[[#This Row],[Sales]]-Table3[[#This Row],[Cost]]</f>
        <v>6171.2100000000009</v>
      </c>
      <c r="L884" s="6">
        <f>Table3[[#This Row],[Profit]]/Table3[[#This Row],[Sales]]</f>
        <v>0.33426932058050712</v>
      </c>
    </row>
    <row r="885" spans="1:12" x14ac:dyDescent="0.25">
      <c r="A885" t="s">
        <v>895</v>
      </c>
      <c r="B885" s="2">
        <v>45102</v>
      </c>
      <c r="C885" s="2" t="str">
        <f>TEXT(Table3[[#This Row],[Order Date]],"mmmm")</f>
        <v>June</v>
      </c>
      <c r="D885" t="s">
        <v>3216</v>
      </c>
      <c r="E885" t="s">
        <v>3225</v>
      </c>
      <c r="F885" t="s">
        <v>3226</v>
      </c>
      <c r="G885" s="4">
        <v>70139.97</v>
      </c>
      <c r="H885" s="4">
        <v>44652.99</v>
      </c>
      <c r="I885" s="3" t="s">
        <v>3734</v>
      </c>
      <c r="J885">
        <v>3</v>
      </c>
      <c r="K885" s="4">
        <f>Table3[[#This Row],[Sales]]-Table3[[#This Row],[Cost]]</f>
        <v>25486.980000000003</v>
      </c>
      <c r="L885" s="6">
        <f>Table3[[#This Row],[Profit]]/Table3[[#This Row],[Sales]]</f>
        <v>0.36337312376951403</v>
      </c>
    </row>
    <row r="886" spans="1:12" x14ac:dyDescent="0.25">
      <c r="A886" t="s">
        <v>896</v>
      </c>
      <c r="B886" s="2">
        <v>45021</v>
      </c>
      <c r="C886" s="2" t="str">
        <f>TEXT(Table3[[#This Row],[Order Date]],"mmmm")</f>
        <v>April</v>
      </c>
      <c r="D886" t="s">
        <v>3220</v>
      </c>
      <c r="E886" t="s">
        <v>3222</v>
      </c>
      <c r="F886" t="s">
        <v>3226</v>
      </c>
      <c r="G886" s="4">
        <v>38372.589999999997</v>
      </c>
      <c r="H886" s="4">
        <v>32149.42</v>
      </c>
      <c r="I886" s="3" t="s">
        <v>3734</v>
      </c>
      <c r="J886">
        <v>3</v>
      </c>
      <c r="K886" s="4">
        <f>Table3[[#This Row],[Sales]]-Table3[[#This Row],[Cost]]</f>
        <v>6223.1699999999983</v>
      </c>
      <c r="L886" s="6">
        <f>Table3[[#This Row],[Profit]]/Table3[[#This Row],[Sales]]</f>
        <v>0.16217748137407453</v>
      </c>
    </row>
    <row r="887" spans="1:12" x14ac:dyDescent="0.25">
      <c r="A887" t="s">
        <v>897</v>
      </c>
      <c r="B887" s="2">
        <v>45102</v>
      </c>
      <c r="C887" s="2" t="str">
        <f>TEXT(Table3[[#This Row],[Order Date]],"mmmm")</f>
        <v>June</v>
      </c>
      <c r="D887" t="s">
        <v>3216</v>
      </c>
      <c r="E887" t="s">
        <v>3224</v>
      </c>
      <c r="F887" t="s">
        <v>3226</v>
      </c>
      <c r="G887" s="4">
        <v>280556.40000000002</v>
      </c>
      <c r="H887" s="4">
        <v>217678.81</v>
      </c>
      <c r="I887" s="3" t="s">
        <v>3734</v>
      </c>
      <c r="J887">
        <v>5</v>
      </c>
      <c r="K887" s="4">
        <f>Table3[[#This Row],[Sales]]-Table3[[#This Row],[Cost]]</f>
        <v>62877.590000000026</v>
      </c>
      <c r="L887" s="6">
        <f>Table3[[#This Row],[Profit]]/Table3[[#This Row],[Sales]]</f>
        <v>0.22411746800286866</v>
      </c>
    </row>
    <row r="888" spans="1:12" x14ac:dyDescent="0.25">
      <c r="A888" t="s">
        <v>3383</v>
      </c>
      <c r="B888" s="2">
        <v>45021</v>
      </c>
      <c r="C888" s="2" t="str">
        <f>TEXT(Table3[[#This Row],[Order Date]],"mmmm")</f>
        <v>April</v>
      </c>
      <c r="D888" t="s">
        <v>3220</v>
      </c>
      <c r="E888" t="s">
        <v>3223</v>
      </c>
      <c r="F888" t="s">
        <v>3226</v>
      </c>
      <c r="G888" s="4">
        <v>31345.9</v>
      </c>
      <c r="H888" s="4">
        <v>25076.720000000001</v>
      </c>
      <c r="I888" s="3" t="s">
        <v>3735</v>
      </c>
      <c r="J888">
        <v>3</v>
      </c>
      <c r="K888" s="4">
        <f>Table3[[#This Row],[Sales]]-Table3[[#This Row],[Cost]]</f>
        <v>6269.18</v>
      </c>
      <c r="L888" s="6">
        <f>Table3[[#This Row],[Profit]]/Table3[[#This Row],[Sales]]</f>
        <v>0.2</v>
      </c>
    </row>
    <row r="889" spans="1:12" x14ac:dyDescent="0.25">
      <c r="A889" t="s">
        <v>899</v>
      </c>
      <c r="B889" s="2">
        <v>44941</v>
      </c>
      <c r="C889" s="2" t="str">
        <f>TEXT(Table3[[#This Row],[Order Date]],"mmmm")</f>
        <v>January</v>
      </c>
      <c r="D889" t="s">
        <v>3730</v>
      </c>
      <c r="E889" t="s">
        <v>3222</v>
      </c>
      <c r="F889" t="s">
        <v>3226</v>
      </c>
      <c r="G889" s="4">
        <v>66517.710000000006</v>
      </c>
      <c r="H889" s="4">
        <v>39226.94</v>
      </c>
      <c r="I889" s="3" t="s">
        <v>3734</v>
      </c>
      <c r="J889">
        <v>4</v>
      </c>
      <c r="K889" s="4">
        <f>Table3[[#This Row],[Sales]]-Table3[[#This Row],[Cost]]</f>
        <v>27290.770000000004</v>
      </c>
      <c r="L889" s="6">
        <f>Table3[[#This Row],[Profit]]/Table3[[#This Row],[Sales]]</f>
        <v>0.4102782552195498</v>
      </c>
    </row>
    <row r="890" spans="1:12" x14ac:dyDescent="0.25">
      <c r="A890" t="s">
        <v>191</v>
      </c>
      <c r="B890" s="2" t="s">
        <v>3729</v>
      </c>
      <c r="C890" s="2" t="str">
        <f>TEXT(Table3[[#This Row],[Order Date]],"mmmm")</f>
        <v>Not Mentioned</v>
      </c>
      <c r="D890" t="s">
        <v>3216</v>
      </c>
      <c r="E890" t="s">
        <v>3224</v>
      </c>
      <c r="F890" t="s">
        <v>3226</v>
      </c>
      <c r="G890" s="4">
        <v>299169.21000000002</v>
      </c>
      <c r="H890" s="4">
        <v>206190.53</v>
      </c>
      <c r="I890" s="3" t="s">
        <v>3734</v>
      </c>
      <c r="J890">
        <v>5</v>
      </c>
      <c r="K890" s="4">
        <f>Table3[[#This Row],[Sales]]-Table3[[#This Row],[Cost]]</f>
        <v>92978.680000000022</v>
      </c>
      <c r="L890" s="6">
        <f>Table3[[#This Row],[Profit]]/Table3[[#This Row],[Sales]]</f>
        <v>0.31078960298086833</v>
      </c>
    </row>
    <row r="891" spans="1:12" x14ac:dyDescent="0.25">
      <c r="A891" t="s">
        <v>900</v>
      </c>
      <c r="B891" s="2" t="s">
        <v>3729</v>
      </c>
      <c r="C891" s="2" t="str">
        <f>TEXT(Table3[[#This Row],[Order Date]],"mmmm")</f>
        <v>Not Mentioned</v>
      </c>
      <c r="D891" t="s">
        <v>3730</v>
      </c>
      <c r="E891" t="s">
        <v>3222</v>
      </c>
      <c r="F891" t="s">
        <v>3226</v>
      </c>
      <c r="G891" s="4">
        <v>52879.76</v>
      </c>
      <c r="H891" s="4">
        <v>31966.15</v>
      </c>
      <c r="I891" s="3" t="s">
        <v>3734</v>
      </c>
      <c r="J891">
        <v>3</v>
      </c>
      <c r="K891" s="4">
        <f>Table3[[#This Row],[Sales]]-Table3[[#This Row],[Cost]]</f>
        <v>20913.61</v>
      </c>
      <c r="L891" s="6">
        <f>Table3[[#This Row],[Profit]]/Table3[[#This Row],[Sales]]</f>
        <v>0.39549366336004549</v>
      </c>
    </row>
    <row r="892" spans="1:12" x14ac:dyDescent="0.25">
      <c r="A892" t="s">
        <v>901</v>
      </c>
      <c r="B892" s="2" t="s">
        <v>3729</v>
      </c>
      <c r="C892" s="2" t="str">
        <f>TEXT(Table3[[#This Row],[Order Date]],"mmmm")</f>
        <v>Not Mentioned</v>
      </c>
      <c r="D892" t="s">
        <v>3216</v>
      </c>
      <c r="E892" t="s">
        <v>3222</v>
      </c>
      <c r="F892" t="s">
        <v>3226</v>
      </c>
      <c r="G892" s="4">
        <v>31019.91</v>
      </c>
      <c r="H892" s="4">
        <v>20446.310000000001</v>
      </c>
      <c r="I892" s="3" t="s">
        <v>3734</v>
      </c>
      <c r="J892">
        <v>2</v>
      </c>
      <c r="K892" s="4">
        <f>Table3[[#This Row],[Sales]]-Table3[[#This Row],[Cost]]</f>
        <v>10573.599999999999</v>
      </c>
      <c r="L892" s="6">
        <f>Table3[[#This Row],[Profit]]/Table3[[#This Row],[Sales]]</f>
        <v>0.34086494770616671</v>
      </c>
    </row>
    <row r="893" spans="1:12" x14ac:dyDescent="0.25">
      <c r="A893" t="s">
        <v>902</v>
      </c>
      <c r="B893" s="2">
        <v>44972</v>
      </c>
      <c r="C893" s="2" t="str">
        <f>TEXT(Table3[[#This Row],[Order Date]],"mmmm")</f>
        <v>February</v>
      </c>
      <c r="D893" t="s">
        <v>3730</v>
      </c>
      <c r="E893" t="s">
        <v>3224</v>
      </c>
      <c r="F893" t="s">
        <v>3226</v>
      </c>
      <c r="G893" s="4">
        <v>191590.12</v>
      </c>
      <c r="H893" s="4">
        <v>125647.91</v>
      </c>
      <c r="I893" s="3" t="s">
        <v>3734</v>
      </c>
      <c r="J893">
        <v>3</v>
      </c>
      <c r="K893" s="4">
        <f>Table3[[#This Row],[Sales]]-Table3[[#This Row],[Cost]]</f>
        <v>65942.209999999992</v>
      </c>
      <c r="L893" s="6">
        <f>Table3[[#This Row],[Profit]]/Table3[[#This Row],[Sales]]</f>
        <v>0.34418377106293369</v>
      </c>
    </row>
    <row r="894" spans="1:12" x14ac:dyDescent="0.25">
      <c r="A894" t="s">
        <v>903</v>
      </c>
      <c r="B894" s="2">
        <v>44972</v>
      </c>
      <c r="C894" s="2" t="str">
        <f>TEXT(Table3[[#This Row],[Order Date]],"mmmm")</f>
        <v>February</v>
      </c>
      <c r="D894" t="s">
        <v>3216</v>
      </c>
      <c r="E894" t="s">
        <v>3224</v>
      </c>
      <c r="F894" t="s">
        <v>3226</v>
      </c>
      <c r="G894" s="4">
        <v>174230.67</v>
      </c>
      <c r="H894" s="4">
        <v>139384.53600000002</v>
      </c>
      <c r="I894" s="3" t="s">
        <v>3735</v>
      </c>
      <c r="J894">
        <v>3</v>
      </c>
      <c r="K894" s="4">
        <f>Table3[[#This Row],[Sales]]-Table3[[#This Row],[Cost]]</f>
        <v>34846.133999999991</v>
      </c>
      <c r="L894" s="6">
        <f>Table3[[#This Row],[Profit]]/Table3[[#This Row],[Sales]]</f>
        <v>0.19999999999999993</v>
      </c>
    </row>
    <row r="895" spans="1:12" x14ac:dyDescent="0.25">
      <c r="A895" t="s">
        <v>756</v>
      </c>
      <c r="B895" s="2">
        <v>44941</v>
      </c>
      <c r="C895" s="2" t="str">
        <f>TEXT(Table3[[#This Row],[Order Date]],"mmmm")</f>
        <v>January</v>
      </c>
      <c r="D895" t="s">
        <v>3216</v>
      </c>
      <c r="E895" t="s">
        <v>3224</v>
      </c>
      <c r="F895" t="s">
        <v>3226</v>
      </c>
      <c r="G895" s="4">
        <v>208233.97</v>
      </c>
      <c r="H895" s="4">
        <v>158676.10999999999</v>
      </c>
      <c r="I895" s="3" t="s">
        <v>3734</v>
      </c>
      <c r="J895">
        <v>4</v>
      </c>
      <c r="K895" s="4">
        <f>Table3[[#This Row],[Sales]]-Table3[[#This Row],[Cost]]</f>
        <v>49557.860000000015</v>
      </c>
      <c r="L895" s="6">
        <f>Table3[[#This Row],[Profit]]/Table3[[#This Row],[Sales]]</f>
        <v>0.23799123649229764</v>
      </c>
    </row>
    <row r="896" spans="1:12" x14ac:dyDescent="0.25">
      <c r="A896" t="s">
        <v>904</v>
      </c>
      <c r="B896" s="2">
        <v>45021</v>
      </c>
      <c r="C896" s="2" t="str">
        <f>TEXT(Table3[[#This Row],[Order Date]],"mmmm")</f>
        <v>April</v>
      </c>
      <c r="D896" t="s">
        <v>3220</v>
      </c>
      <c r="E896" t="s">
        <v>3222</v>
      </c>
      <c r="F896" t="s">
        <v>3226</v>
      </c>
      <c r="G896" s="4">
        <v>68309.929999999993</v>
      </c>
      <c r="H896" s="4">
        <v>49186.3</v>
      </c>
      <c r="I896" s="3" t="s">
        <v>3734</v>
      </c>
      <c r="J896">
        <v>5</v>
      </c>
      <c r="K896" s="4">
        <f>Table3[[#This Row],[Sales]]-Table3[[#This Row],[Cost]]</f>
        <v>19123.62999999999</v>
      </c>
      <c r="L896" s="6">
        <f>Table3[[#This Row],[Profit]]/Table3[[#This Row],[Sales]]</f>
        <v>0.27995388079009875</v>
      </c>
    </row>
    <row r="897" spans="1:12" x14ac:dyDescent="0.25">
      <c r="A897" t="s">
        <v>905</v>
      </c>
      <c r="B897" s="2">
        <v>44941</v>
      </c>
      <c r="C897" s="2" t="str">
        <f>TEXT(Table3[[#This Row],[Order Date]],"mmmm")</f>
        <v>January</v>
      </c>
      <c r="D897" t="s">
        <v>3220</v>
      </c>
      <c r="E897" t="s">
        <v>3222</v>
      </c>
      <c r="F897" t="s">
        <v>3226</v>
      </c>
      <c r="G897" s="4">
        <v>13643.49</v>
      </c>
      <c r="H897" s="4">
        <v>8999.68</v>
      </c>
      <c r="I897" s="3" t="s">
        <v>3734</v>
      </c>
      <c r="J897">
        <v>1</v>
      </c>
      <c r="K897" s="4">
        <f>Table3[[#This Row],[Sales]]-Table3[[#This Row],[Cost]]</f>
        <v>4643.8099999999995</v>
      </c>
      <c r="L897" s="6">
        <f>Table3[[#This Row],[Profit]]/Table3[[#This Row],[Sales]]</f>
        <v>0.34036819025044174</v>
      </c>
    </row>
    <row r="898" spans="1:12" x14ac:dyDescent="0.25">
      <c r="A898" t="s">
        <v>906</v>
      </c>
      <c r="B898" s="2">
        <v>45021</v>
      </c>
      <c r="C898" s="2" t="str">
        <f>TEXT(Table3[[#This Row],[Order Date]],"mmmm")</f>
        <v>April</v>
      </c>
      <c r="D898" t="s">
        <v>3216</v>
      </c>
      <c r="E898" t="s">
        <v>3225</v>
      </c>
      <c r="F898" t="s">
        <v>3226</v>
      </c>
      <c r="G898" s="4">
        <v>21375.55</v>
      </c>
      <c r="H898" s="4">
        <v>13508.19</v>
      </c>
      <c r="I898" s="3" t="s">
        <v>3734</v>
      </c>
      <c r="J898">
        <v>1</v>
      </c>
      <c r="K898" s="4">
        <f>Table3[[#This Row],[Sales]]-Table3[[#This Row],[Cost]]</f>
        <v>7867.3599999999988</v>
      </c>
      <c r="L898" s="6">
        <f>Table3[[#This Row],[Profit]]/Table3[[#This Row],[Sales]]</f>
        <v>0.36805415533167563</v>
      </c>
    </row>
    <row r="899" spans="1:12" x14ac:dyDescent="0.25">
      <c r="A899" t="s">
        <v>907</v>
      </c>
      <c r="B899" s="2">
        <v>45021</v>
      </c>
      <c r="C899" s="2" t="str">
        <f>TEXT(Table3[[#This Row],[Order Date]],"mmmm")</f>
        <v>April</v>
      </c>
      <c r="D899" t="s">
        <v>3220</v>
      </c>
      <c r="E899" t="s">
        <v>3225</v>
      </c>
      <c r="F899" t="s">
        <v>3226</v>
      </c>
      <c r="G899" s="4">
        <v>79391.37</v>
      </c>
      <c r="H899" s="4">
        <v>50484.33</v>
      </c>
      <c r="I899" s="3" t="s">
        <v>3734</v>
      </c>
      <c r="J899">
        <v>4</v>
      </c>
      <c r="K899" s="4">
        <f>Table3[[#This Row],[Sales]]-Table3[[#This Row],[Cost]]</f>
        <v>28907.039999999994</v>
      </c>
      <c r="L899" s="6">
        <f>Table3[[#This Row],[Profit]]/Table3[[#This Row],[Sales]]</f>
        <v>0.36410808882627915</v>
      </c>
    </row>
    <row r="900" spans="1:12" x14ac:dyDescent="0.25">
      <c r="A900" t="s">
        <v>908</v>
      </c>
      <c r="B900" s="2">
        <v>44941</v>
      </c>
      <c r="C900" s="2" t="str">
        <f>TEXT(Table3[[#This Row],[Order Date]],"mmmm")</f>
        <v>January</v>
      </c>
      <c r="D900" t="s">
        <v>3220</v>
      </c>
      <c r="E900" t="s">
        <v>3223</v>
      </c>
      <c r="F900" t="s">
        <v>3226</v>
      </c>
      <c r="G900" s="4">
        <v>28852.37</v>
      </c>
      <c r="H900" s="4">
        <v>18700.330000000002</v>
      </c>
      <c r="I900" s="3" t="s">
        <v>3734</v>
      </c>
      <c r="J900">
        <v>3</v>
      </c>
      <c r="K900" s="4">
        <f>Table3[[#This Row],[Sales]]-Table3[[#This Row],[Cost]]</f>
        <v>10152.039999999997</v>
      </c>
      <c r="L900" s="6">
        <f>Table3[[#This Row],[Profit]]/Table3[[#This Row],[Sales]]</f>
        <v>0.35186156284561709</v>
      </c>
    </row>
    <row r="901" spans="1:12" x14ac:dyDescent="0.25">
      <c r="A901" t="s">
        <v>909</v>
      </c>
      <c r="B901" s="2">
        <v>44972</v>
      </c>
      <c r="C901" s="2" t="str">
        <f>TEXT(Table3[[#This Row],[Order Date]],"mmmm")</f>
        <v>February</v>
      </c>
      <c r="D901" t="s">
        <v>3731</v>
      </c>
      <c r="E901" t="s">
        <v>3224</v>
      </c>
      <c r="F901" t="s">
        <v>3226</v>
      </c>
      <c r="G901" s="4">
        <v>189459.18</v>
      </c>
      <c r="H901" s="4">
        <v>134882.42000000001</v>
      </c>
      <c r="I901" s="3" t="s">
        <v>3734</v>
      </c>
      <c r="J901">
        <v>3</v>
      </c>
      <c r="K901" s="4">
        <f>Table3[[#This Row],[Sales]]-Table3[[#This Row],[Cost]]</f>
        <v>54576.75999999998</v>
      </c>
      <c r="L901" s="6">
        <f>Table3[[#This Row],[Profit]]/Table3[[#This Row],[Sales]]</f>
        <v>0.28806606256820061</v>
      </c>
    </row>
    <row r="902" spans="1:12" x14ac:dyDescent="0.25">
      <c r="A902" t="s">
        <v>707</v>
      </c>
      <c r="B902" s="2">
        <v>44972</v>
      </c>
      <c r="C902" s="2" t="str">
        <f>TEXT(Table3[[#This Row],[Order Date]],"mmmm")</f>
        <v>February</v>
      </c>
      <c r="D902" t="s">
        <v>3731</v>
      </c>
      <c r="E902" t="s">
        <v>3223</v>
      </c>
      <c r="F902" t="s">
        <v>3226</v>
      </c>
      <c r="G902" s="4">
        <v>9165.5400000000009</v>
      </c>
      <c r="H902" s="4">
        <v>7389.79</v>
      </c>
      <c r="I902" s="3" t="s">
        <v>3734</v>
      </c>
      <c r="J902">
        <v>1</v>
      </c>
      <c r="K902" s="4">
        <f>Table3[[#This Row],[Sales]]-Table3[[#This Row],[Cost]]</f>
        <v>1775.7500000000009</v>
      </c>
      <c r="L902" s="6">
        <f>Table3[[#This Row],[Profit]]/Table3[[#This Row],[Sales]]</f>
        <v>0.1937419944705932</v>
      </c>
    </row>
    <row r="903" spans="1:12" x14ac:dyDescent="0.25">
      <c r="A903" t="s">
        <v>910</v>
      </c>
      <c r="B903" s="2">
        <v>45005</v>
      </c>
      <c r="C903" s="2" t="str">
        <f>TEXT(Table3[[#This Row],[Order Date]],"mmmm")</f>
        <v>March</v>
      </c>
      <c r="D903" t="s">
        <v>3730</v>
      </c>
      <c r="E903" t="s">
        <v>3222</v>
      </c>
      <c r="F903" t="s">
        <v>3226</v>
      </c>
      <c r="G903" s="4">
        <v>70270.42</v>
      </c>
      <c r="H903" s="4">
        <v>38540.97</v>
      </c>
      <c r="I903" s="3" t="s">
        <v>3734</v>
      </c>
      <c r="J903" t="s">
        <v>3732</v>
      </c>
      <c r="K903" s="4">
        <f>Table3[[#This Row],[Sales]]-Table3[[#This Row],[Cost]]</f>
        <v>31729.449999999997</v>
      </c>
      <c r="L903" s="6">
        <f>Table3[[#This Row],[Profit]]/Table3[[#This Row],[Sales]]</f>
        <v>0.45153351865550251</v>
      </c>
    </row>
    <row r="904" spans="1:12" x14ac:dyDescent="0.25">
      <c r="A904" t="s">
        <v>911</v>
      </c>
      <c r="B904" s="2" t="s">
        <v>3729</v>
      </c>
      <c r="C904" s="2" t="str">
        <f>TEXT(Table3[[#This Row],[Order Date]],"mmmm")</f>
        <v>Not Mentioned</v>
      </c>
      <c r="D904" t="s">
        <v>3220</v>
      </c>
      <c r="E904" t="s">
        <v>3223</v>
      </c>
      <c r="F904" t="s">
        <v>3226</v>
      </c>
      <c r="G904" s="4">
        <v>21563.91</v>
      </c>
      <c r="H904" s="4">
        <v>14345.22</v>
      </c>
      <c r="I904" s="3" t="s">
        <v>3734</v>
      </c>
      <c r="J904">
        <v>2</v>
      </c>
      <c r="K904" s="4">
        <f>Table3[[#This Row],[Sales]]-Table3[[#This Row],[Cost]]</f>
        <v>7218.6900000000005</v>
      </c>
      <c r="L904" s="6">
        <f>Table3[[#This Row],[Profit]]/Table3[[#This Row],[Sales]]</f>
        <v>0.33475793582889191</v>
      </c>
    </row>
    <row r="905" spans="1:12" x14ac:dyDescent="0.25">
      <c r="A905" t="s">
        <v>912</v>
      </c>
      <c r="B905" s="2">
        <v>45005</v>
      </c>
      <c r="C905" s="2" t="str">
        <f>TEXT(Table3[[#This Row],[Order Date]],"mmmm")</f>
        <v>March</v>
      </c>
      <c r="D905" t="s">
        <v>3220</v>
      </c>
      <c r="E905" t="s">
        <v>3222</v>
      </c>
      <c r="F905" t="s">
        <v>3226</v>
      </c>
      <c r="G905" s="4">
        <v>63204.85</v>
      </c>
      <c r="H905" s="4">
        <v>36485.360000000001</v>
      </c>
      <c r="I905" s="3" t="s">
        <v>3734</v>
      </c>
      <c r="J905">
        <v>4</v>
      </c>
      <c r="K905" s="4">
        <f>Table3[[#This Row],[Sales]]-Table3[[#This Row],[Cost]]</f>
        <v>26719.489999999998</v>
      </c>
      <c r="L905" s="6">
        <f>Table3[[#This Row],[Profit]]/Table3[[#This Row],[Sales]]</f>
        <v>0.42274429889478415</v>
      </c>
    </row>
    <row r="906" spans="1:12" x14ac:dyDescent="0.25">
      <c r="A906" t="s">
        <v>856</v>
      </c>
      <c r="B906" s="2">
        <v>45102</v>
      </c>
      <c r="C906" s="2" t="str">
        <f>TEXT(Table3[[#This Row],[Order Date]],"mmmm")</f>
        <v>June</v>
      </c>
      <c r="D906" t="s">
        <v>3730</v>
      </c>
      <c r="E906" t="s">
        <v>3223</v>
      </c>
      <c r="F906" t="s">
        <v>3226</v>
      </c>
      <c r="G906" s="4">
        <v>39260.06</v>
      </c>
      <c r="H906" s="4">
        <v>27348.51</v>
      </c>
      <c r="I906" s="3" t="s">
        <v>3734</v>
      </c>
      <c r="J906">
        <v>4</v>
      </c>
      <c r="K906" s="4">
        <f>Table3[[#This Row],[Sales]]-Table3[[#This Row],[Cost]]</f>
        <v>11911.55</v>
      </c>
      <c r="L906" s="6">
        <f>Table3[[#This Row],[Profit]]/Table3[[#This Row],[Sales]]</f>
        <v>0.30340121742045223</v>
      </c>
    </row>
    <row r="907" spans="1:12" x14ac:dyDescent="0.25">
      <c r="A907" t="s">
        <v>913</v>
      </c>
      <c r="B907" s="2">
        <v>45021</v>
      </c>
      <c r="C907" s="2" t="str">
        <f>TEXT(Table3[[#This Row],[Order Date]],"mmmm")</f>
        <v>April</v>
      </c>
      <c r="D907" t="s">
        <v>3220</v>
      </c>
      <c r="E907" t="s">
        <v>3223</v>
      </c>
      <c r="F907" t="s">
        <v>3226</v>
      </c>
      <c r="G907" s="4">
        <v>18313.43</v>
      </c>
      <c r="H907" s="4">
        <v>12984.18</v>
      </c>
      <c r="I907" s="3" t="s">
        <v>3734</v>
      </c>
      <c r="J907">
        <v>2</v>
      </c>
      <c r="K907" s="4">
        <f>Table3[[#This Row],[Sales]]-Table3[[#This Row],[Cost]]</f>
        <v>5329.25</v>
      </c>
      <c r="L907" s="6">
        <f>Table3[[#This Row],[Profit]]/Table3[[#This Row],[Sales]]</f>
        <v>0.29100228630027253</v>
      </c>
    </row>
    <row r="908" spans="1:12" x14ac:dyDescent="0.25">
      <c r="A908" t="s">
        <v>727</v>
      </c>
      <c r="B908" s="2">
        <v>45102</v>
      </c>
      <c r="C908" s="2" t="str">
        <f>TEXT(Table3[[#This Row],[Order Date]],"mmmm")</f>
        <v>June</v>
      </c>
      <c r="D908" t="s">
        <v>3220</v>
      </c>
      <c r="E908" t="s">
        <v>3222</v>
      </c>
      <c r="F908" t="s">
        <v>3226</v>
      </c>
      <c r="G908" s="4">
        <v>49914.94</v>
      </c>
      <c r="H908" s="4">
        <v>38179.699999999997</v>
      </c>
      <c r="I908" s="3" t="s">
        <v>3734</v>
      </c>
      <c r="J908">
        <v>4</v>
      </c>
      <c r="K908" s="4">
        <f>Table3[[#This Row],[Sales]]-Table3[[#This Row],[Cost]]</f>
        <v>11735.240000000005</v>
      </c>
      <c r="L908" s="6">
        <f>Table3[[#This Row],[Profit]]/Table3[[#This Row],[Sales]]</f>
        <v>0.2351047602180831</v>
      </c>
    </row>
    <row r="909" spans="1:12" x14ac:dyDescent="0.25">
      <c r="A909" t="s">
        <v>914</v>
      </c>
      <c r="B909" s="2">
        <v>44941</v>
      </c>
      <c r="C909" s="2" t="str">
        <f>TEXT(Table3[[#This Row],[Order Date]],"mmmm")</f>
        <v>January</v>
      </c>
      <c r="D909" t="s">
        <v>3730</v>
      </c>
      <c r="E909" t="s">
        <v>3223</v>
      </c>
      <c r="F909" t="s">
        <v>3226</v>
      </c>
      <c r="G909" s="4">
        <v>39477.72</v>
      </c>
      <c r="H909" s="4">
        <v>28185.4</v>
      </c>
      <c r="I909" s="3" t="s">
        <v>3734</v>
      </c>
      <c r="J909">
        <v>4</v>
      </c>
      <c r="K909" s="4">
        <f>Table3[[#This Row],[Sales]]-Table3[[#This Row],[Cost]]</f>
        <v>11292.32</v>
      </c>
      <c r="L909" s="6">
        <f>Table3[[#This Row],[Profit]]/Table3[[#This Row],[Sales]]</f>
        <v>0.28604286164449211</v>
      </c>
    </row>
    <row r="910" spans="1:12" x14ac:dyDescent="0.25">
      <c r="A910" t="s">
        <v>3384</v>
      </c>
      <c r="B910" s="2">
        <v>44972</v>
      </c>
      <c r="C910" s="2" t="str">
        <f>TEXT(Table3[[#This Row],[Order Date]],"mmmm")</f>
        <v>February</v>
      </c>
      <c r="D910" t="s">
        <v>3730</v>
      </c>
      <c r="E910" t="s">
        <v>3224</v>
      </c>
      <c r="F910" t="s">
        <v>3226</v>
      </c>
      <c r="G910" s="4">
        <v>211926.82</v>
      </c>
      <c r="H910" s="4">
        <v>118074.19</v>
      </c>
      <c r="I910" s="3" t="s">
        <v>3734</v>
      </c>
      <c r="J910">
        <v>3</v>
      </c>
      <c r="K910" s="4">
        <f>Table3[[#This Row],[Sales]]-Table3[[#This Row],[Cost]]</f>
        <v>93852.63</v>
      </c>
      <c r="L910" s="6">
        <f>Table3[[#This Row],[Profit]]/Table3[[#This Row],[Sales]]</f>
        <v>0.44285395307682152</v>
      </c>
    </row>
    <row r="911" spans="1:12" x14ac:dyDescent="0.25">
      <c r="A911" t="s">
        <v>916</v>
      </c>
      <c r="B911" s="2">
        <v>45102</v>
      </c>
      <c r="C911" s="2" t="str">
        <f>TEXT(Table3[[#This Row],[Order Date]],"mmmm")</f>
        <v>June</v>
      </c>
      <c r="D911" t="s">
        <v>3731</v>
      </c>
      <c r="E911" t="s">
        <v>3223</v>
      </c>
      <c r="F911" t="s">
        <v>3226</v>
      </c>
      <c r="G911" s="4">
        <v>9588.9699999999993</v>
      </c>
      <c r="H911" s="4">
        <v>6420.23</v>
      </c>
      <c r="I911" s="3" t="s">
        <v>3734</v>
      </c>
      <c r="J911">
        <v>1</v>
      </c>
      <c r="K911" s="4">
        <f>Table3[[#This Row],[Sales]]-Table3[[#This Row],[Cost]]</f>
        <v>3168.74</v>
      </c>
      <c r="L911" s="6">
        <f>Table3[[#This Row],[Profit]]/Table3[[#This Row],[Sales]]</f>
        <v>0.33045676438658167</v>
      </c>
    </row>
    <row r="912" spans="1:12" x14ac:dyDescent="0.25">
      <c r="A912" t="s">
        <v>917</v>
      </c>
      <c r="B912" s="2">
        <v>45005</v>
      </c>
      <c r="C912" s="2" t="str">
        <f>TEXT(Table3[[#This Row],[Order Date]],"mmmm")</f>
        <v>March</v>
      </c>
      <c r="D912" t="s">
        <v>3220</v>
      </c>
      <c r="E912" t="s">
        <v>3223</v>
      </c>
      <c r="F912" t="s">
        <v>3226</v>
      </c>
      <c r="G912" s="4">
        <v>11790.14</v>
      </c>
      <c r="H912" s="4">
        <v>6572.73</v>
      </c>
      <c r="I912" s="3" t="s">
        <v>3734</v>
      </c>
      <c r="J912">
        <v>1</v>
      </c>
      <c r="K912" s="4">
        <f>Table3[[#This Row],[Sales]]-Table3[[#This Row],[Cost]]</f>
        <v>5217.41</v>
      </c>
      <c r="L912" s="6">
        <f>Table3[[#This Row],[Profit]]/Table3[[#This Row],[Sales]]</f>
        <v>0.44252315918216412</v>
      </c>
    </row>
    <row r="913" spans="1:12" x14ac:dyDescent="0.25">
      <c r="A913" t="s">
        <v>918</v>
      </c>
      <c r="B913" s="2">
        <v>44941</v>
      </c>
      <c r="C913" s="2" t="str">
        <f>TEXT(Table3[[#This Row],[Order Date]],"mmmm")</f>
        <v>January</v>
      </c>
      <c r="D913" t="s">
        <v>3730</v>
      </c>
      <c r="E913" t="s">
        <v>3224</v>
      </c>
      <c r="F913" t="s">
        <v>3226</v>
      </c>
      <c r="G913" s="4">
        <v>158977.76999999999</v>
      </c>
      <c r="H913" s="4">
        <v>126147.74</v>
      </c>
      <c r="I913" s="3" t="s">
        <v>3734</v>
      </c>
      <c r="J913">
        <v>3</v>
      </c>
      <c r="K913" s="4">
        <f>Table3[[#This Row],[Sales]]-Table3[[#This Row],[Cost]]</f>
        <v>32830.029999999984</v>
      </c>
      <c r="L913" s="6">
        <f>Table3[[#This Row],[Profit]]/Table3[[#This Row],[Sales]]</f>
        <v>0.20650704812377219</v>
      </c>
    </row>
    <row r="914" spans="1:12" x14ac:dyDescent="0.25">
      <c r="A914" t="s">
        <v>919</v>
      </c>
      <c r="B914" s="2">
        <v>45005</v>
      </c>
      <c r="C914" s="2" t="str">
        <f>TEXT(Table3[[#This Row],[Order Date]],"mmmm")</f>
        <v>March</v>
      </c>
      <c r="D914" t="s">
        <v>3730</v>
      </c>
      <c r="E914" t="s">
        <v>3224</v>
      </c>
      <c r="F914" t="s">
        <v>3226</v>
      </c>
      <c r="G914" s="4">
        <v>315921.24</v>
      </c>
      <c r="H914" s="4">
        <v>246150.78</v>
      </c>
      <c r="I914" s="3" t="s">
        <v>3734</v>
      </c>
      <c r="J914">
        <v>5</v>
      </c>
      <c r="K914" s="4">
        <f>Table3[[#This Row],[Sales]]-Table3[[#This Row],[Cost]]</f>
        <v>69770.459999999992</v>
      </c>
      <c r="L914" s="6">
        <f>Table3[[#This Row],[Profit]]/Table3[[#This Row],[Sales]]</f>
        <v>0.22084763911410324</v>
      </c>
    </row>
    <row r="915" spans="1:12" x14ac:dyDescent="0.25">
      <c r="A915" t="s">
        <v>920</v>
      </c>
      <c r="B915" s="2">
        <v>44941</v>
      </c>
      <c r="C915" s="2" t="str">
        <f>TEXT(Table3[[#This Row],[Order Date]],"mmmm")</f>
        <v>January</v>
      </c>
      <c r="D915" t="s">
        <v>3730</v>
      </c>
      <c r="E915" t="s">
        <v>3223</v>
      </c>
      <c r="F915" t="s">
        <v>3226</v>
      </c>
      <c r="G915" s="4">
        <v>31250.47</v>
      </c>
      <c r="H915" s="4">
        <v>22469.22</v>
      </c>
      <c r="I915" s="3" t="s">
        <v>3734</v>
      </c>
      <c r="J915">
        <v>3</v>
      </c>
      <c r="K915" s="4">
        <f>Table3[[#This Row],[Sales]]-Table3[[#This Row],[Cost]]</f>
        <v>8781.25</v>
      </c>
      <c r="L915" s="6">
        <f>Table3[[#This Row],[Profit]]/Table3[[#This Row],[Sales]]</f>
        <v>0.28099577382356167</v>
      </c>
    </row>
    <row r="916" spans="1:12" x14ac:dyDescent="0.25">
      <c r="A916" t="s">
        <v>921</v>
      </c>
      <c r="B916" s="2" t="s">
        <v>3729</v>
      </c>
      <c r="C916" s="2" t="str">
        <f>TEXT(Table3[[#This Row],[Order Date]],"mmmm")</f>
        <v>Not Mentioned</v>
      </c>
      <c r="D916" t="s">
        <v>3730</v>
      </c>
      <c r="E916" t="s">
        <v>3223</v>
      </c>
      <c r="F916" t="s">
        <v>3226</v>
      </c>
      <c r="G916" s="4">
        <v>55762.38</v>
      </c>
      <c r="H916" s="4">
        <v>37060.5</v>
      </c>
      <c r="I916" s="3" t="s">
        <v>3734</v>
      </c>
      <c r="J916">
        <v>5</v>
      </c>
      <c r="K916" s="4">
        <f>Table3[[#This Row],[Sales]]-Table3[[#This Row],[Cost]]</f>
        <v>18701.879999999997</v>
      </c>
      <c r="L916" s="6">
        <f>Table3[[#This Row],[Profit]]/Table3[[#This Row],[Sales]]</f>
        <v>0.33538525435965966</v>
      </c>
    </row>
    <row r="917" spans="1:12" x14ac:dyDescent="0.25">
      <c r="A917" t="s">
        <v>922</v>
      </c>
      <c r="B917" s="2">
        <v>44972</v>
      </c>
      <c r="C917" s="2" t="str">
        <f>TEXT(Table3[[#This Row],[Order Date]],"mmmm")</f>
        <v>February</v>
      </c>
      <c r="D917" t="s">
        <v>3730</v>
      </c>
      <c r="E917" t="s">
        <v>3223</v>
      </c>
      <c r="F917" t="s">
        <v>3226</v>
      </c>
      <c r="G917" s="4">
        <v>33110.33</v>
      </c>
      <c r="H917" s="4">
        <v>29418.75</v>
      </c>
      <c r="I917" s="3" t="s">
        <v>3734</v>
      </c>
      <c r="J917">
        <v>4</v>
      </c>
      <c r="K917" s="4">
        <f>Table3[[#This Row],[Sales]]-Table3[[#This Row],[Cost]]</f>
        <v>3691.5800000000017</v>
      </c>
      <c r="L917" s="6">
        <f>Table3[[#This Row],[Profit]]/Table3[[#This Row],[Sales]]</f>
        <v>0.11149330133526308</v>
      </c>
    </row>
    <row r="918" spans="1:12" x14ac:dyDescent="0.25">
      <c r="A918" t="s">
        <v>923</v>
      </c>
      <c r="B918" s="2">
        <v>44941</v>
      </c>
      <c r="C918" s="2" t="str">
        <f>TEXT(Table3[[#This Row],[Order Date]],"mmmm")</f>
        <v>January</v>
      </c>
      <c r="D918" t="s">
        <v>3730</v>
      </c>
      <c r="E918" t="s">
        <v>3223</v>
      </c>
      <c r="F918" t="s">
        <v>3226</v>
      </c>
      <c r="G918" s="4">
        <v>20513.02</v>
      </c>
      <c r="H918" s="4">
        <v>14188.76</v>
      </c>
      <c r="I918" s="3" t="s">
        <v>3734</v>
      </c>
      <c r="J918" t="s">
        <v>3732</v>
      </c>
      <c r="K918" s="4">
        <f>Table3[[#This Row],[Sales]]-Table3[[#This Row],[Cost]]</f>
        <v>6324.26</v>
      </c>
      <c r="L918" s="6">
        <f>Table3[[#This Row],[Profit]]/Table3[[#This Row],[Sales]]</f>
        <v>0.30830467673701872</v>
      </c>
    </row>
    <row r="919" spans="1:12" x14ac:dyDescent="0.25">
      <c r="A919" t="s">
        <v>924</v>
      </c>
      <c r="B919" s="2">
        <v>44941</v>
      </c>
      <c r="C919" s="2" t="str">
        <f>TEXT(Table3[[#This Row],[Order Date]],"mmmm")</f>
        <v>January</v>
      </c>
      <c r="D919" t="s">
        <v>3731</v>
      </c>
      <c r="E919" t="s">
        <v>3222</v>
      </c>
      <c r="F919" t="s">
        <v>3226</v>
      </c>
      <c r="G919" s="4">
        <v>69098.649999999994</v>
      </c>
      <c r="H919" s="4">
        <v>42127.57</v>
      </c>
      <c r="I919" s="3" t="s">
        <v>3734</v>
      </c>
      <c r="J919">
        <v>4</v>
      </c>
      <c r="K919" s="4">
        <f>Table3[[#This Row],[Sales]]-Table3[[#This Row],[Cost]]</f>
        <v>26971.079999999994</v>
      </c>
      <c r="L919" s="6">
        <f>Table3[[#This Row],[Profit]]/Table3[[#This Row],[Sales]]</f>
        <v>0.39032716268696999</v>
      </c>
    </row>
    <row r="920" spans="1:12" x14ac:dyDescent="0.25">
      <c r="A920" t="s">
        <v>925</v>
      </c>
      <c r="B920" s="2">
        <v>45021</v>
      </c>
      <c r="C920" s="2" t="str">
        <f>TEXT(Table3[[#This Row],[Order Date]],"mmmm")</f>
        <v>April</v>
      </c>
      <c r="D920" t="s">
        <v>3220</v>
      </c>
      <c r="E920" t="s">
        <v>3223</v>
      </c>
      <c r="F920" t="s">
        <v>3226</v>
      </c>
      <c r="G920" s="4">
        <v>11056.98</v>
      </c>
      <c r="H920" s="4">
        <v>6894.33</v>
      </c>
      <c r="I920" s="3" t="s">
        <v>3734</v>
      </c>
      <c r="J920">
        <v>1</v>
      </c>
      <c r="K920" s="4">
        <f>Table3[[#This Row],[Sales]]-Table3[[#This Row],[Cost]]</f>
        <v>4162.6499999999996</v>
      </c>
      <c r="L920" s="6">
        <f>Table3[[#This Row],[Profit]]/Table3[[#This Row],[Sales]]</f>
        <v>0.37647259920882553</v>
      </c>
    </row>
    <row r="921" spans="1:12" x14ac:dyDescent="0.25">
      <c r="A921" t="s">
        <v>926</v>
      </c>
      <c r="B921" s="2">
        <v>44941</v>
      </c>
      <c r="C921" s="2" t="str">
        <f>TEXT(Table3[[#This Row],[Order Date]],"mmmm")</f>
        <v>January</v>
      </c>
      <c r="D921" t="s">
        <v>3220</v>
      </c>
      <c r="E921" t="s">
        <v>3222</v>
      </c>
      <c r="F921" t="s">
        <v>3226</v>
      </c>
      <c r="G921" s="4">
        <v>24151.14</v>
      </c>
      <c r="H921" s="4">
        <v>17480.03</v>
      </c>
      <c r="I921" s="3" t="s">
        <v>3734</v>
      </c>
      <c r="J921">
        <v>2</v>
      </c>
      <c r="K921" s="4">
        <f>Table3[[#This Row],[Sales]]-Table3[[#This Row],[Cost]]</f>
        <v>6671.1100000000006</v>
      </c>
      <c r="L921" s="6">
        <f>Table3[[#This Row],[Profit]]/Table3[[#This Row],[Sales]]</f>
        <v>0.27622339980638599</v>
      </c>
    </row>
    <row r="922" spans="1:12" x14ac:dyDescent="0.25">
      <c r="A922" t="s">
        <v>927</v>
      </c>
      <c r="B922" s="2">
        <v>44972</v>
      </c>
      <c r="C922" s="2" t="str">
        <f>TEXT(Table3[[#This Row],[Order Date]],"mmmm")</f>
        <v>February</v>
      </c>
      <c r="D922" t="s">
        <v>3220</v>
      </c>
      <c r="E922" t="s">
        <v>3225</v>
      </c>
      <c r="F922" t="s">
        <v>3226</v>
      </c>
      <c r="G922" s="4">
        <v>115862.86</v>
      </c>
      <c r="H922" s="4">
        <v>70724.38</v>
      </c>
      <c r="I922" s="3" t="s">
        <v>3734</v>
      </c>
      <c r="J922">
        <v>5</v>
      </c>
      <c r="K922" s="4">
        <f>Table3[[#This Row],[Sales]]-Table3[[#This Row],[Cost]]</f>
        <v>45138.479999999996</v>
      </c>
      <c r="L922" s="6">
        <f>Table3[[#This Row],[Profit]]/Table3[[#This Row],[Sales]]</f>
        <v>0.38958541158055304</v>
      </c>
    </row>
    <row r="923" spans="1:12" x14ac:dyDescent="0.25">
      <c r="A923" t="s">
        <v>928</v>
      </c>
      <c r="B923" s="2">
        <v>45005</v>
      </c>
      <c r="C923" s="2" t="str">
        <f>TEXT(Table3[[#This Row],[Order Date]],"mmmm")</f>
        <v>March</v>
      </c>
      <c r="D923" t="s">
        <v>3220</v>
      </c>
      <c r="E923" t="s">
        <v>3224</v>
      </c>
      <c r="F923" t="s">
        <v>3226</v>
      </c>
      <c r="G923" s="4">
        <v>66652.460000000006</v>
      </c>
      <c r="H923" s="4">
        <v>41460.81</v>
      </c>
      <c r="I923" s="3" t="s">
        <v>3734</v>
      </c>
      <c r="J923">
        <v>1</v>
      </c>
      <c r="K923" s="4">
        <f>Table3[[#This Row],[Sales]]-Table3[[#This Row],[Cost]]</f>
        <v>25191.650000000009</v>
      </c>
      <c r="L923" s="6">
        <f>Table3[[#This Row],[Profit]]/Table3[[#This Row],[Sales]]</f>
        <v>0.37795529227278341</v>
      </c>
    </row>
    <row r="924" spans="1:12" x14ac:dyDescent="0.25">
      <c r="A924" t="s">
        <v>829</v>
      </c>
      <c r="B924" s="2" t="s">
        <v>3729</v>
      </c>
      <c r="C924" s="2" t="str">
        <f>TEXT(Table3[[#This Row],[Order Date]],"mmmm")</f>
        <v>Not Mentioned</v>
      </c>
      <c r="D924" t="s">
        <v>3730</v>
      </c>
      <c r="E924" t="s">
        <v>3224</v>
      </c>
      <c r="F924" t="s">
        <v>3226</v>
      </c>
      <c r="G924" s="4">
        <v>215963.74</v>
      </c>
      <c r="H924" s="4">
        <v>123628.6</v>
      </c>
      <c r="I924" s="3" t="s">
        <v>3734</v>
      </c>
      <c r="J924">
        <v>3</v>
      </c>
      <c r="K924" s="4">
        <f>Table3[[#This Row],[Sales]]-Table3[[#This Row],[Cost]]</f>
        <v>92335.139999999985</v>
      </c>
      <c r="L924" s="6">
        <f>Table3[[#This Row],[Profit]]/Table3[[#This Row],[Sales]]</f>
        <v>0.42754927285478567</v>
      </c>
    </row>
    <row r="925" spans="1:12" x14ac:dyDescent="0.25">
      <c r="A925" t="s">
        <v>572</v>
      </c>
      <c r="B925" s="2" t="s">
        <v>3729</v>
      </c>
      <c r="C925" s="2" t="str">
        <f>TEXT(Table3[[#This Row],[Order Date]],"mmmm")</f>
        <v>Not Mentioned</v>
      </c>
      <c r="D925" t="s">
        <v>3731</v>
      </c>
      <c r="E925" t="s">
        <v>3222</v>
      </c>
      <c r="F925" t="s">
        <v>3226</v>
      </c>
      <c r="G925" s="4">
        <v>48342.65</v>
      </c>
      <c r="H925" s="4">
        <v>40013.17</v>
      </c>
      <c r="I925" s="3" t="s">
        <v>3734</v>
      </c>
      <c r="J925">
        <v>4</v>
      </c>
      <c r="K925" s="4">
        <f>Table3[[#This Row],[Sales]]-Table3[[#This Row],[Cost]]</f>
        <v>8329.4800000000032</v>
      </c>
      <c r="L925" s="6">
        <f>Table3[[#This Row],[Profit]]/Table3[[#This Row],[Sales]]</f>
        <v>0.17230085649007662</v>
      </c>
    </row>
    <row r="926" spans="1:12" x14ac:dyDescent="0.25">
      <c r="A926" t="s">
        <v>929</v>
      </c>
      <c r="B926" s="2">
        <v>45102</v>
      </c>
      <c r="C926" s="2" t="str">
        <f>TEXT(Table3[[#This Row],[Order Date]],"mmmm")</f>
        <v>June</v>
      </c>
      <c r="D926" t="s">
        <v>3216</v>
      </c>
      <c r="E926" t="s">
        <v>3223</v>
      </c>
      <c r="F926" t="s">
        <v>3226</v>
      </c>
      <c r="G926" s="4">
        <v>33160.75</v>
      </c>
      <c r="H926" s="4">
        <v>28512.43</v>
      </c>
      <c r="I926" s="3" t="s">
        <v>3734</v>
      </c>
      <c r="J926">
        <v>4</v>
      </c>
      <c r="K926" s="4">
        <f>Table3[[#This Row],[Sales]]-Table3[[#This Row],[Cost]]</f>
        <v>4648.32</v>
      </c>
      <c r="L926" s="6">
        <f>Table3[[#This Row],[Profit]]/Table3[[#This Row],[Sales]]</f>
        <v>0.14017535791560806</v>
      </c>
    </row>
    <row r="927" spans="1:12" x14ac:dyDescent="0.25">
      <c r="A927" t="s">
        <v>930</v>
      </c>
      <c r="B927" s="2" t="s">
        <v>3729</v>
      </c>
      <c r="C927" s="2" t="str">
        <f>TEXT(Table3[[#This Row],[Order Date]],"mmmm")</f>
        <v>Not Mentioned</v>
      </c>
      <c r="D927" t="s">
        <v>3730</v>
      </c>
      <c r="E927" t="s">
        <v>3224</v>
      </c>
      <c r="F927" t="s">
        <v>3226</v>
      </c>
      <c r="G927" s="4">
        <v>238753.54</v>
      </c>
      <c r="H927" s="4">
        <v>189593.2</v>
      </c>
      <c r="I927" s="3" t="s">
        <v>3734</v>
      </c>
      <c r="J927">
        <v>4</v>
      </c>
      <c r="K927" s="4">
        <f>Table3[[#This Row],[Sales]]-Table3[[#This Row],[Cost]]</f>
        <v>49160.34</v>
      </c>
      <c r="L927" s="6">
        <f>Table3[[#This Row],[Profit]]/Table3[[#This Row],[Sales]]</f>
        <v>0.20590413025917853</v>
      </c>
    </row>
    <row r="928" spans="1:12" x14ac:dyDescent="0.25">
      <c r="A928" t="s">
        <v>3385</v>
      </c>
      <c r="B928" s="2">
        <v>45005</v>
      </c>
      <c r="C928" s="2" t="str">
        <f>TEXT(Table3[[#This Row],[Order Date]],"mmmm")</f>
        <v>March</v>
      </c>
      <c r="D928" t="s">
        <v>3216</v>
      </c>
      <c r="E928" t="s">
        <v>3223</v>
      </c>
      <c r="F928" t="s">
        <v>3226</v>
      </c>
      <c r="G928" s="4">
        <v>8827.9500000000007</v>
      </c>
      <c r="H928" s="4">
        <v>7556.84</v>
      </c>
      <c r="I928" s="3" t="s">
        <v>3734</v>
      </c>
      <c r="J928">
        <v>1</v>
      </c>
      <c r="K928" s="4">
        <f>Table3[[#This Row],[Sales]]-Table3[[#This Row],[Cost]]</f>
        <v>1271.1100000000006</v>
      </c>
      <c r="L928" s="6">
        <f>Table3[[#This Row],[Profit]]/Table3[[#This Row],[Sales]]</f>
        <v>0.14398699584841335</v>
      </c>
    </row>
    <row r="929" spans="1:12" x14ac:dyDescent="0.25">
      <c r="A929" t="s">
        <v>933</v>
      </c>
      <c r="B929" s="2">
        <v>45005</v>
      </c>
      <c r="C929" s="2" t="str">
        <f>TEXT(Table3[[#This Row],[Order Date]],"mmmm")</f>
        <v>March</v>
      </c>
      <c r="D929" t="s">
        <v>3730</v>
      </c>
      <c r="E929" t="s">
        <v>3224</v>
      </c>
      <c r="F929" t="s">
        <v>3226</v>
      </c>
      <c r="G929" s="4">
        <v>254118.74</v>
      </c>
      <c r="H929" s="4">
        <v>173892.26</v>
      </c>
      <c r="I929" s="3" t="s">
        <v>3734</v>
      </c>
      <c r="J929">
        <v>4</v>
      </c>
      <c r="K929" s="4">
        <f>Table3[[#This Row],[Sales]]-Table3[[#This Row],[Cost]]</f>
        <v>80226.479999999981</v>
      </c>
      <c r="L929" s="6">
        <f>Table3[[#This Row],[Profit]]/Table3[[#This Row],[Sales]]</f>
        <v>0.31570469773303605</v>
      </c>
    </row>
    <row r="930" spans="1:12" x14ac:dyDescent="0.25">
      <c r="A930" t="s">
        <v>935</v>
      </c>
      <c r="B930" s="2">
        <v>45102</v>
      </c>
      <c r="C930" s="2" t="str">
        <f>TEXT(Table3[[#This Row],[Order Date]],"mmmm")</f>
        <v>June</v>
      </c>
      <c r="D930" t="s">
        <v>3216</v>
      </c>
      <c r="E930" t="s">
        <v>3222</v>
      </c>
      <c r="F930" t="s">
        <v>3226</v>
      </c>
      <c r="G930" s="4">
        <v>15742.63</v>
      </c>
      <c r="H930" s="4">
        <v>8972.5400000000009</v>
      </c>
      <c r="I930" s="3" t="s">
        <v>3734</v>
      </c>
      <c r="J930">
        <v>1</v>
      </c>
      <c r="K930" s="4">
        <f>Table3[[#This Row],[Sales]]-Table3[[#This Row],[Cost]]</f>
        <v>6770.0899999999983</v>
      </c>
      <c r="L930" s="6">
        <f>Table3[[#This Row],[Profit]]/Table3[[#This Row],[Sales]]</f>
        <v>0.43004821938900922</v>
      </c>
    </row>
    <row r="931" spans="1:12" x14ac:dyDescent="0.25">
      <c r="A931" t="s">
        <v>936</v>
      </c>
      <c r="B931" s="2">
        <v>44972</v>
      </c>
      <c r="C931" s="2" t="str">
        <f>TEXT(Table3[[#This Row],[Order Date]],"mmmm")</f>
        <v>February</v>
      </c>
      <c r="D931" t="s">
        <v>3220</v>
      </c>
      <c r="E931" t="s">
        <v>3222</v>
      </c>
      <c r="F931" t="s">
        <v>3226</v>
      </c>
      <c r="G931" s="4">
        <v>41122.980000000003</v>
      </c>
      <c r="H931" s="4">
        <v>28225.3</v>
      </c>
      <c r="I931" s="3" t="s">
        <v>3734</v>
      </c>
      <c r="J931">
        <v>3</v>
      </c>
      <c r="K931" s="4">
        <f>Table3[[#This Row],[Sales]]-Table3[[#This Row],[Cost]]</f>
        <v>12897.680000000004</v>
      </c>
      <c r="L931" s="6">
        <f>Table3[[#This Row],[Profit]]/Table3[[#This Row],[Sales]]</f>
        <v>0.31363680355849705</v>
      </c>
    </row>
    <row r="932" spans="1:12" x14ac:dyDescent="0.25">
      <c r="A932" t="s">
        <v>3386</v>
      </c>
      <c r="B932" s="2">
        <v>45102</v>
      </c>
      <c r="C932" s="2" t="str">
        <f>TEXT(Table3[[#This Row],[Order Date]],"mmmm")</f>
        <v>June</v>
      </c>
      <c r="D932" t="s">
        <v>3731</v>
      </c>
      <c r="E932" t="s">
        <v>3223</v>
      </c>
      <c r="F932" t="s">
        <v>3226</v>
      </c>
      <c r="G932" s="4">
        <v>44547.6</v>
      </c>
      <c r="H932" s="4">
        <v>35638.080000000002</v>
      </c>
      <c r="I932" s="3" t="s">
        <v>3735</v>
      </c>
      <c r="J932">
        <v>5</v>
      </c>
      <c r="K932" s="4">
        <f>Table3[[#This Row],[Sales]]-Table3[[#This Row],[Cost]]</f>
        <v>8909.5199999999968</v>
      </c>
      <c r="L932" s="6">
        <f>Table3[[#This Row],[Profit]]/Table3[[#This Row],[Sales]]</f>
        <v>0.19999999999999993</v>
      </c>
    </row>
    <row r="933" spans="1:12" x14ac:dyDescent="0.25">
      <c r="A933" t="s">
        <v>3387</v>
      </c>
      <c r="B933" s="2">
        <v>44972</v>
      </c>
      <c r="C933" s="2" t="str">
        <f>TEXT(Table3[[#This Row],[Order Date]],"mmmm")</f>
        <v>February</v>
      </c>
      <c r="D933" t="s">
        <v>3730</v>
      </c>
      <c r="E933" t="s">
        <v>3223</v>
      </c>
      <c r="F933" t="s">
        <v>3226</v>
      </c>
      <c r="G933" s="4">
        <v>39504.97</v>
      </c>
      <c r="H933" s="4">
        <v>26138.95</v>
      </c>
      <c r="I933" s="3" t="s">
        <v>3734</v>
      </c>
      <c r="J933" t="s">
        <v>3732</v>
      </c>
      <c r="K933" s="4">
        <f>Table3[[#This Row],[Sales]]-Table3[[#This Row],[Cost]]</f>
        <v>13366.02</v>
      </c>
      <c r="L933" s="6">
        <f>Table3[[#This Row],[Profit]]/Table3[[#This Row],[Sales]]</f>
        <v>0.33833768257512914</v>
      </c>
    </row>
    <row r="934" spans="1:12" x14ac:dyDescent="0.25">
      <c r="A934" t="s">
        <v>939</v>
      </c>
      <c r="B934" s="2">
        <v>44941</v>
      </c>
      <c r="C934" s="2" t="str">
        <f>TEXT(Table3[[#This Row],[Order Date]],"mmmm")</f>
        <v>January</v>
      </c>
      <c r="D934" t="s">
        <v>3216</v>
      </c>
      <c r="E934" t="s">
        <v>3225</v>
      </c>
      <c r="F934" t="s">
        <v>3226</v>
      </c>
      <c r="G934" s="4">
        <v>35975.5</v>
      </c>
      <c r="H934" s="4">
        <v>28297.72</v>
      </c>
      <c r="I934" s="3" t="s">
        <v>3734</v>
      </c>
      <c r="J934">
        <v>2</v>
      </c>
      <c r="K934" s="4">
        <f>Table3[[#This Row],[Sales]]-Table3[[#This Row],[Cost]]</f>
        <v>7677.7799999999988</v>
      </c>
      <c r="L934" s="6">
        <f>Table3[[#This Row],[Profit]]/Table3[[#This Row],[Sales]]</f>
        <v>0.21341690872955202</v>
      </c>
    </row>
    <row r="935" spans="1:12" x14ac:dyDescent="0.25">
      <c r="A935" t="s">
        <v>3388</v>
      </c>
      <c r="B935" s="2">
        <v>45021</v>
      </c>
      <c r="C935" s="2" t="str">
        <f>TEXT(Table3[[#This Row],[Order Date]],"mmmm")</f>
        <v>April</v>
      </c>
      <c r="D935" t="s">
        <v>3220</v>
      </c>
      <c r="E935" t="s">
        <v>3224</v>
      </c>
      <c r="F935" t="s">
        <v>3226</v>
      </c>
      <c r="G935" s="4">
        <v>168499.8</v>
      </c>
      <c r="H935" s="4">
        <v>135703.1</v>
      </c>
      <c r="I935" s="3" t="s">
        <v>3734</v>
      </c>
      <c r="J935">
        <v>3</v>
      </c>
      <c r="K935" s="4">
        <f>Table3[[#This Row],[Sales]]-Table3[[#This Row],[Cost]]</f>
        <v>32796.699999999983</v>
      </c>
      <c r="L935" s="6">
        <f>Table3[[#This Row],[Profit]]/Table3[[#This Row],[Sales]]</f>
        <v>0.19463940016546005</v>
      </c>
    </row>
    <row r="936" spans="1:12" x14ac:dyDescent="0.25">
      <c r="A936" t="s">
        <v>941</v>
      </c>
      <c r="B936" s="2">
        <v>45005</v>
      </c>
      <c r="C936" s="2" t="str">
        <f>TEXT(Table3[[#This Row],[Order Date]],"mmmm")</f>
        <v>March</v>
      </c>
      <c r="D936" t="s">
        <v>3730</v>
      </c>
      <c r="E936" t="s">
        <v>3225</v>
      </c>
      <c r="F936" t="s">
        <v>3226</v>
      </c>
      <c r="G936" s="4">
        <v>43486.99</v>
      </c>
      <c r="H936" s="4">
        <v>34789.591999999997</v>
      </c>
      <c r="I936" s="3" t="s">
        <v>3735</v>
      </c>
      <c r="J936">
        <v>2</v>
      </c>
      <c r="K936" s="4">
        <f>Table3[[#This Row],[Sales]]-Table3[[#This Row],[Cost]]</f>
        <v>8697.398000000001</v>
      </c>
      <c r="L936" s="6">
        <f>Table3[[#This Row],[Profit]]/Table3[[#This Row],[Sales]]</f>
        <v>0.20000000000000004</v>
      </c>
    </row>
    <row r="937" spans="1:12" x14ac:dyDescent="0.25">
      <c r="A937" t="s">
        <v>859</v>
      </c>
      <c r="B937" s="2" t="s">
        <v>3729</v>
      </c>
      <c r="C937" s="2" t="str">
        <f>TEXT(Table3[[#This Row],[Order Date]],"mmmm")</f>
        <v>Not Mentioned</v>
      </c>
      <c r="D937" t="s">
        <v>3730</v>
      </c>
      <c r="E937" t="s">
        <v>3224</v>
      </c>
      <c r="F937" t="s">
        <v>3226</v>
      </c>
      <c r="G937" s="4">
        <v>116214.52</v>
      </c>
      <c r="H937" s="4">
        <v>78041.31</v>
      </c>
      <c r="I937" s="3" t="s">
        <v>3734</v>
      </c>
      <c r="J937">
        <v>2</v>
      </c>
      <c r="K937" s="4">
        <f>Table3[[#This Row],[Sales]]-Table3[[#This Row],[Cost]]</f>
        <v>38173.210000000006</v>
      </c>
      <c r="L937" s="6">
        <f>Table3[[#This Row],[Profit]]/Table3[[#This Row],[Sales]]</f>
        <v>0.32847194997664669</v>
      </c>
    </row>
    <row r="938" spans="1:12" x14ac:dyDescent="0.25">
      <c r="A938" t="s">
        <v>942</v>
      </c>
      <c r="B938" s="2">
        <v>45102</v>
      </c>
      <c r="C938" s="2" t="str">
        <f>TEXT(Table3[[#This Row],[Order Date]],"mmmm")</f>
        <v>June</v>
      </c>
      <c r="D938" t="s">
        <v>3220</v>
      </c>
      <c r="E938" t="s">
        <v>3224</v>
      </c>
      <c r="F938" t="s">
        <v>3226</v>
      </c>
      <c r="G938" s="4">
        <v>258395.54</v>
      </c>
      <c r="H938" s="4">
        <v>206716.43200000003</v>
      </c>
      <c r="I938" s="3" t="s">
        <v>3735</v>
      </c>
      <c r="J938">
        <v>5</v>
      </c>
      <c r="K938" s="4">
        <f>Table3[[#This Row],[Sales]]-Table3[[#This Row],[Cost]]</f>
        <v>51679.107999999978</v>
      </c>
      <c r="L938" s="6">
        <f>Table3[[#This Row],[Profit]]/Table3[[#This Row],[Sales]]</f>
        <v>0.1999999999999999</v>
      </c>
    </row>
    <row r="939" spans="1:12" x14ac:dyDescent="0.25">
      <c r="A939" t="s">
        <v>943</v>
      </c>
      <c r="B939" s="2">
        <v>45102</v>
      </c>
      <c r="C939" s="2" t="str">
        <f>TEXT(Table3[[#This Row],[Order Date]],"mmmm")</f>
        <v>June</v>
      </c>
      <c r="D939" t="s">
        <v>3216</v>
      </c>
      <c r="E939" t="s">
        <v>3225</v>
      </c>
      <c r="F939" t="s">
        <v>3226</v>
      </c>
      <c r="G939" s="4">
        <v>94331.58</v>
      </c>
      <c r="H939" s="4">
        <v>75465.26400000001</v>
      </c>
      <c r="I939" s="3" t="s">
        <v>3735</v>
      </c>
      <c r="J939">
        <v>5</v>
      </c>
      <c r="K939" s="4">
        <f>Table3[[#This Row],[Sales]]-Table3[[#This Row],[Cost]]</f>
        <v>18866.315999999992</v>
      </c>
      <c r="L939" s="6">
        <f>Table3[[#This Row],[Profit]]/Table3[[#This Row],[Sales]]</f>
        <v>0.1999999999999999</v>
      </c>
    </row>
    <row r="940" spans="1:12" x14ac:dyDescent="0.25">
      <c r="A940" t="s">
        <v>3389</v>
      </c>
      <c r="B940" s="2" t="s">
        <v>3729</v>
      </c>
      <c r="C940" s="2" t="str">
        <f>TEXT(Table3[[#This Row],[Order Date]],"mmmm")</f>
        <v>Not Mentioned</v>
      </c>
      <c r="D940" t="s">
        <v>3731</v>
      </c>
      <c r="E940" t="s">
        <v>3222</v>
      </c>
      <c r="F940" t="s">
        <v>3226</v>
      </c>
      <c r="G940" s="4">
        <v>53494.64</v>
      </c>
      <c r="H940" s="4">
        <v>31877.01</v>
      </c>
      <c r="I940" s="3" t="s">
        <v>3734</v>
      </c>
      <c r="J940">
        <v>3</v>
      </c>
      <c r="K940" s="4">
        <f>Table3[[#This Row],[Sales]]-Table3[[#This Row],[Cost]]</f>
        <v>21617.63</v>
      </c>
      <c r="L940" s="6">
        <f>Table3[[#This Row],[Profit]]/Table3[[#This Row],[Sales]]</f>
        <v>0.40410833683524183</v>
      </c>
    </row>
    <row r="941" spans="1:12" x14ac:dyDescent="0.25">
      <c r="A941" t="s">
        <v>3390</v>
      </c>
      <c r="B941" s="2">
        <v>44972</v>
      </c>
      <c r="C941" s="2" t="str">
        <f>TEXT(Table3[[#This Row],[Order Date]],"mmmm")</f>
        <v>February</v>
      </c>
      <c r="D941" t="s">
        <v>3730</v>
      </c>
      <c r="E941" t="s">
        <v>3223</v>
      </c>
      <c r="F941" t="s">
        <v>3226</v>
      </c>
      <c r="G941" s="4">
        <v>10966.41</v>
      </c>
      <c r="H941" s="4">
        <v>6626.28</v>
      </c>
      <c r="I941" s="3" t="s">
        <v>3734</v>
      </c>
      <c r="J941">
        <v>1</v>
      </c>
      <c r="K941" s="4">
        <f>Table3[[#This Row],[Sales]]-Table3[[#This Row],[Cost]]</f>
        <v>4340.13</v>
      </c>
      <c r="L941" s="6">
        <f>Table3[[#This Row],[Profit]]/Table3[[#This Row],[Sales]]</f>
        <v>0.39576579755817992</v>
      </c>
    </row>
    <row r="942" spans="1:12" x14ac:dyDescent="0.25">
      <c r="A942" t="s">
        <v>947</v>
      </c>
      <c r="B942" s="2">
        <v>44941</v>
      </c>
      <c r="C942" s="2" t="str">
        <f>TEXT(Table3[[#This Row],[Order Date]],"mmmm")</f>
        <v>January</v>
      </c>
      <c r="D942" t="s">
        <v>3216</v>
      </c>
      <c r="E942" t="s">
        <v>3225</v>
      </c>
      <c r="F942" t="s">
        <v>3226</v>
      </c>
      <c r="G942" s="4">
        <v>80251.199999999997</v>
      </c>
      <c r="H942" s="4">
        <v>49871.3</v>
      </c>
      <c r="I942" s="3" t="s">
        <v>3734</v>
      </c>
      <c r="J942">
        <v>4</v>
      </c>
      <c r="K942" s="4">
        <f>Table3[[#This Row],[Sales]]-Table3[[#This Row],[Cost]]</f>
        <v>30379.899999999994</v>
      </c>
      <c r="L942" s="6">
        <f>Table3[[#This Row],[Profit]]/Table3[[#This Row],[Sales]]</f>
        <v>0.37856007137587966</v>
      </c>
    </row>
    <row r="943" spans="1:12" x14ac:dyDescent="0.25">
      <c r="A943" t="s">
        <v>948</v>
      </c>
      <c r="B943" s="2">
        <v>44941</v>
      </c>
      <c r="C943" s="2" t="str">
        <f>TEXT(Table3[[#This Row],[Order Date]],"mmmm")</f>
        <v>January</v>
      </c>
      <c r="D943" t="s">
        <v>3220</v>
      </c>
      <c r="E943" t="s">
        <v>3225</v>
      </c>
      <c r="F943" t="s">
        <v>3226</v>
      </c>
      <c r="G943" s="4">
        <v>43185.7</v>
      </c>
      <c r="H943" s="4">
        <v>30252.52</v>
      </c>
      <c r="I943" s="3" t="s">
        <v>3734</v>
      </c>
      <c r="J943">
        <v>2</v>
      </c>
      <c r="K943" s="4">
        <f>Table3[[#This Row],[Sales]]-Table3[[#This Row],[Cost]]</f>
        <v>12933.179999999997</v>
      </c>
      <c r="L943" s="6">
        <f>Table3[[#This Row],[Profit]]/Table3[[#This Row],[Sales]]</f>
        <v>0.29947829952970539</v>
      </c>
    </row>
    <row r="944" spans="1:12" x14ac:dyDescent="0.25">
      <c r="A944" t="s">
        <v>949</v>
      </c>
      <c r="B944" s="2">
        <v>44972</v>
      </c>
      <c r="C944" s="2" t="str">
        <f>TEXT(Table3[[#This Row],[Order Date]],"mmmm")</f>
        <v>February</v>
      </c>
      <c r="D944" t="s">
        <v>3220</v>
      </c>
      <c r="E944" t="s">
        <v>3224</v>
      </c>
      <c r="F944" t="s">
        <v>3226</v>
      </c>
      <c r="G944" s="4">
        <v>98280.85</v>
      </c>
      <c r="H944" s="4">
        <v>81434.14</v>
      </c>
      <c r="I944" s="3" t="s">
        <v>3734</v>
      </c>
      <c r="J944">
        <v>2</v>
      </c>
      <c r="K944" s="4">
        <f>Table3[[#This Row],[Sales]]-Table3[[#This Row],[Cost]]</f>
        <v>16846.710000000006</v>
      </c>
      <c r="L944" s="6">
        <f>Table3[[#This Row],[Profit]]/Table3[[#This Row],[Sales]]</f>
        <v>0.17141396314744944</v>
      </c>
    </row>
    <row r="945" spans="1:12" x14ac:dyDescent="0.25">
      <c r="A945" t="s">
        <v>3391</v>
      </c>
      <c r="B945" s="2">
        <v>45021</v>
      </c>
      <c r="C945" s="2" t="str">
        <f>TEXT(Table3[[#This Row],[Order Date]],"mmmm")</f>
        <v>April</v>
      </c>
      <c r="D945" t="s">
        <v>3730</v>
      </c>
      <c r="E945" t="s">
        <v>3224</v>
      </c>
      <c r="F945" t="s">
        <v>3226</v>
      </c>
      <c r="G945" s="4">
        <v>247676.91</v>
      </c>
      <c r="H945" s="4">
        <v>198141.52800000002</v>
      </c>
      <c r="I945" s="3" t="s">
        <v>3735</v>
      </c>
      <c r="J945">
        <v>4</v>
      </c>
      <c r="K945" s="4">
        <f>Table3[[#This Row],[Sales]]-Table3[[#This Row],[Cost]]</f>
        <v>49535.381999999983</v>
      </c>
      <c r="L945" s="6">
        <f>Table3[[#This Row],[Profit]]/Table3[[#This Row],[Sales]]</f>
        <v>0.19999999999999993</v>
      </c>
    </row>
    <row r="946" spans="1:12" x14ac:dyDescent="0.25">
      <c r="A946" t="s">
        <v>458</v>
      </c>
      <c r="B946" s="2">
        <v>45102</v>
      </c>
      <c r="C946" s="2" t="str">
        <f>TEXT(Table3[[#This Row],[Order Date]],"mmmm")</f>
        <v>June</v>
      </c>
      <c r="D946" t="s">
        <v>3216</v>
      </c>
      <c r="E946" t="s">
        <v>3225</v>
      </c>
      <c r="F946" t="s">
        <v>3226</v>
      </c>
      <c r="G946" s="4">
        <v>88276.65</v>
      </c>
      <c r="H946" s="4">
        <v>75254.11</v>
      </c>
      <c r="I946" s="3" t="s">
        <v>3734</v>
      </c>
      <c r="J946">
        <v>5</v>
      </c>
      <c r="K946" s="4">
        <f>Table3[[#This Row],[Sales]]-Table3[[#This Row],[Cost]]</f>
        <v>13022.539999999994</v>
      </c>
      <c r="L946" s="6">
        <f>Table3[[#This Row],[Profit]]/Table3[[#This Row],[Sales]]</f>
        <v>0.14751964420942565</v>
      </c>
    </row>
    <row r="947" spans="1:12" x14ac:dyDescent="0.25">
      <c r="A947" t="s">
        <v>21</v>
      </c>
      <c r="B947" s="2">
        <v>44972</v>
      </c>
      <c r="C947" s="2" t="str">
        <f>TEXT(Table3[[#This Row],[Order Date]],"mmmm")</f>
        <v>February</v>
      </c>
      <c r="D947" t="s">
        <v>3220</v>
      </c>
      <c r="E947" t="s">
        <v>3223</v>
      </c>
      <c r="F947" t="s">
        <v>3226</v>
      </c>
      <c r="G947" s="4">
        <v>34939.42</v>
      </c>
      <c r="H947" s="4">
        <v>20486.349999999999</v>
      </c>
      <c r="I947" s="3" t="s">
        <v>3734</v>
      </c>
      <c r="J947">
        <v>3</v>
      </c>
      <c r="K947" s="4">
        <f>Table3[[#This Row],[Sales]]-Table3[[#This Row],[Cost]]</f>
        <v>14453.07</v>
      </c>
      <c r="L947" s="6">
        <f>Table3[[#This Row],[Profit]]/Table3[[#This Row],[Sales]]</f>
        <v>0.41366084497109568</v>
      </c>
    </row>
    <row r="948" spans="1:12" x14ac:dyDescent="0.25">
      <c r="A948" t="s">
        <v>952</v>
      </c>
      <c r="B948" s="2">
        <v>45021</v>
      </c>
      <c r="C948" s="2" t="str">
        <f>TEXT(Table3[[#This Row],[Order Date]],"mmmm")</f>
        <v>April</v>
      </c>
      <c r="D948" t="s">
        <v>3220</v>
      </c>
      <c r="E948" t="s">
        <v>3224</v>
      </c>
      <c r="F948" t="s">
        <v>3226</v>
      </c>
      <c r="G948" s="4">
        <v>54186.13</v>
      </c>
      <c r="H948" s="4">
        <v>40797.33</v>
      </c>
      <c r="I948" s="3" t="s">
        <v>3734</v>
      </c>
      <c r="J948">
        <v>1</v>
      </c>
      <c r="K948" s="4">
        <f>Table3[[#This Row],[Sales]]-Table3[[#This Row],[Cost]]</f>
        <v>13388.799999999996</v>
      </c>
      <c r="L948" s="6">
        <f>Table3[[#This Row],[Profit]]/Table3[[#This Row],[Sales]]</f>
        <v>0.24708906135204703</v>
      </c>
    </row>
    <row r="949" spans="1:12" x14ac:dyDescent="0.25">
      <c r="A949" t="s">
        <v>953</v>
      </c>
      <c r="B949" s="2" t="s">
        <v>3729</v>
      </c>
      <c r="C949" s="2" t="str">
        <f>TEXT(Table3[[#This Row],[Order Date]],"mmmm")</f>
        <v>Not Mentioned</v>
      </c>
      <c r="D949" t="s">
        <v>3216</v>
      </c>
      <c r="E949" t="s">
        <v>3224</v>
      </c>
      <c r="F949" t="s">
        <v>3226</v>
      </c>
      <c r="G949" s="4">
        <v>302236.64</v>
      </c>
      <c r="H949" s="4">
        <v>235072.55</v>
      </c>
      <c r="I949" s="3" t="s">
        <v>3734</v>
      </c>
      <c r="J949">
        <v>5</v>
      </c>
      <c r="K949" s="4">
        <f>Table3[[#This Row],[Sales]]-Table3[[#This Row],[Cost]]</f>
        <v>67164.090000000026</v>
      </c>
      <c r="L949" s="6">
        <f>Table3[[#This Row],[Profit]]/Table3[[#This Row],[Sales]]</f>
        <v>0.22222351995443049</v>
      </c>
    </row>
    <row r="950" spans="1:12" x14ac:dyDescent="0.25">
      <c r="A950" t="s">
        <v>954</v>
      </c>
      <c r="B950" s="2">
        <v>45102</v>
      </c>
      <c r="C950" s="2" t="str">
        <f>TEXT(Table3[[#This Row],[Order Date]],"mmmm")</f>
        <v>June</v>
      </c>
      <c r="D950" t="s">
        <v>3220</v>
      </c>
      <c r="E950" t="s">
        <v>3223</v>
      </c>
      <c r="F950" t="s">
        <v>3226</v>
      </c>
      <c r="G950" s="4">
        <v>36292.519999999997</v>
      </c>
      <c r="H950" s="4">
        <v>29694.17</v>
      </c>
      <c r="I950" s="3" t="s">
        <v>3734</v>
      </c>
      <c r="J950">
        <v>4</v>
      </c>
      <c r="K950" s="4">
        <f>Table3[[#This Row],[Sales]]-Table3[[#This Row],[Cost]]</f>
        <v>6598.3499999999985</v>
      </c>
      <c r="L950" s="6">
        <f>Table3[[#This Row],[Profit]]/Table3[[#This Row],[Sales]]</f>
        <v>0.18181019119091205</v>
      </c>
    </row>
    <row r="951" spans="1:12" x14ac:dyDescent="0.25">
      <c r="A951" t="s">
        <v>955</v>
      </c>
      <c r="B951" s="2" t="s">
        <v>3729</v>
      </c>
      <c r="C951" s="2" t="str">
        <f>TEXT(Table3[[#This Row],[Order Date]],"mmmm")</f>
        <v>Not Mentioned</v>
      </c>
      <c r="D951" t="s">
        <v>3220</v>
      </c>
      <c r="E951" t="s">
        <v>3222</v>
      </c>
      <c r="F951" t="s">
        <v>3226</v>
      </c>
      <c r="G951" s="4">
        <v>47480.800000000003</v>
      </c>
      <c r="H951" s="4">
        <v>37984.640000000007</v>
      </c>
      <c r="I951" s="3" t="s">
        <v>3735</v>
      </c>
      <c r="J951">
        <v>3</v>
      </c>
      <c r="K951" s="4">
        <f>Table3[[#This Row],[Sales]]-Table3[[#This Row],[Cost]]</f>
        <v>9496.1599999999962</v>
      </c>
      <c r="L951" s="6">
        <f>Table3[[#This Row],[Profit]]/Table3[[#This Row],[Sales]]</f>
        <v>0.1999999999999999</v>
      </c>
    </row>
    <row r="952" spans="1:12" x14ac:dyDescent="0.25">
      <c r="A952" t="s">
        <v>956</v>
      </c>
      <c r="B952" s="2">
        <v>45021</v>
      </c>
      <c r="C952" s="2" t="str">
        <f>TEXT(Table3[[#This Row],[Order Date]],"mmmm")</f>
        <v>April</v>
      </c>
      <c r="D952" t="s">
        <v>3731</v>
      </c>
      <c r="E952" t="s">
        <v>3222</v>
      </c>
      <c r="F952" t="s">
        <v>3226</v>
      </c>
      <c r="G952" s="4">
        <v>87930.58</v>
      </c>
      <c r="H952" s="4">
        <v>53017.71</v>
      </c>
      <c r="I952" s="3" t="s">
        <v>3734</v>
      </c>
      <c r="J952">
        <v>5</v>
      </c>
      <c r="K952" s="4">
        <f>Table3[[#This Row],[Sales]]-Table3[[#This Row],[Cost]]</f>
        <v>34912.870000000003</v>
      </c>
      <c r="L952" s="6">
        <f>Table3[[#This Row],[Profit]]/Table3[[#This Row],[Sales]]</f>
        <v>0.39705037769567769</v>
      </c>
    </row>
    <row r="953" spans="1:12" x14ac:dyDescent="0.25">
      <c r="A953" t="s">
        <v>958</v>
      </c>
      <c r="B953" s="2">
        <v>44972</v>
      </c>
      <c r="C953" s="2" t="str">
        <f>TEXT(Table3[[#This Row],[Order Date]],"mmmm")</f>
        <v>February</v>
      </c>
      <c r="D953" t="s">
        <v>3220</v>
      </c>
      <c r="E953" t="s">
        <v>3223</v>
      </c>
      <c r="F953" t="s">
        <v>3226</v>
      </c>
      <c r="G953" s="4">
        <v>59720.56</v>
      </c>
      <c r="H953" s="4">
        <v>31328.71</v>
      </c>
      <c r="I953" s="3" t="s">
        <v>3734</v>
      </c>
      <c r="J953">
        <v>5</v>
      </c>
      <c r="K953" s="4">
        <f>Table3[[#This Row],[Sales]]-Table3[[#This Row],[Cost]]</f>
        <v>28391.85</v>
      </c>
      <c r="L953" s="6">
        <f>Table3[[#This Row],[Profit]]/Table3[[#This Row],[Sales]]</f>
        <v>0.47541165052705464</v>
      </c>
    </row>
    <row r="954" spans="1:12" x14ac:dyDescent="0.25">
      <c r="A954" t="s">
        <v>3392</v>
      </c>
      <c r="B954" s="2">
        <v>45021</v>
      </c>
      <c r="C954" s="2" t="str">
        <f>TEXT(Table3[[#This Row],[Order Date]],"mmmm")</f>
        <v>April</v>
      </c>
      <c r="D954" t="s">
        <v>3220</v>
      </c>
      <c r="E954" t="s">
        <v>3222</v>
      </c>
      <c r="F954" t="s">
        <v>3226</v>
      </c>
      <c r="G954" s="4">
        <v>57578.62</v>
      </c>
      <c r="H954" s="4">
        <v>40154.01</v>
      </c>
      <c r="I954" s="3" t="s">
        <v>3734</v>
      </c>
      <c r="J954">
        <v>4</v>
      </c>
      <c r="K954" s="4">
        <f>Table3[[#This Row],[Sales]]-Table3[[#This Row],[Cost]]</f>
        <v>17424.61</v>
      </c>
      <c r="L954" s="6">
        <f>Table3[[#This Row],[Profit]]/Table3[[#This Row],[Sales]]</f>
        <v>0.30262291802061253</v>
      </c>
    </row>
    <row r="955" spans="1:12" x14ac:dyDescent="0.25">
      <c r="A955" t="s">
        <v>960</v>
      </c>
      <c r="B955" s="2" t="s">
        <v>3729</v>
      </c>
      <c r="C955" s="2" t="str">
        <f>TEXT(Table3[[#This Row],[Order Date]],"mmmm")</f>
        <v>Not Mentioned</v>
      </c>
      <c r="D955" t="s">
        <v>3216</v>
      </c>
      <c r="E955" t="s">
        <v>3223</v>
      </c>
      <c r="F955" t="s">
        <v>3226</v>
      </c>
      <c r="G955" s="4">
        <v>44223.16</v>
      </c>
      <c r="H955" s="4">
        <v>35378.528000000006</v>
      </c>
      <c r="I955" s="3" t="s">
        <v>3735</v>
      </c>
      <c r="J955">
        <v>5</v>
      </c>
      <c r="K955" s="4">
        <f>Table3[[#This Row],[Sales]]-Table3[[#This Row],[Cost]]</f>
        <v>8844.6319999999978</v>
      </c>
      <c r="L955" s="6">
        <f>Table3[[#This Row],[Profit]]/Table3[[#This Row],[Sales]]</f>
        <v>0.19999999999999993</v>
      </c>
    </row>
    <row r="956" spans="1:12" x14ac:dyDescent="0.25">
      <c r="A956" t="s">
        <v>961</v>
      </c>
      <c r="B956" s="2">
        <v>44972</v>
      </c>
      <c r="C956" s="2" t="str">
        <f>TEXT(Table3[[#This Row],[Order Date]],"mmmm")</f>
        <v>February</v>
      </c>
      <c r="D956" t="s">
        <v>3220</v>
      </c>
      <c r="E956" t="s">
        <v>3225</v>
      </c>
      <c r="F956" t="s">
        <v>3226</v>
      </c>
      <c r="G956" s="4">
        <v>93624.05</v>
      </c>
      <c r="H956" s="4">
        <v>56634.84</v>
      </c>
      <c r="I956" s="3" t="s">
        <v>3734</v>
      </c>
      <c r="J956">
        <v>4</v>
      </c>
      <c r="K956" s="4">
        <f>Table3[[#This Row],[Sales]]-Table3[[#This Row],[Cost]]</f>
        <v>36989.210000000006</v>
      </c>
      <c r="L956" s="6">
        <f>Table3[[#This Row],[Profit]]/Table3[[#This Row],[Sales]]</f>
        <v>0.39508235330558766</v>
      </c>
    </row>
    <row r="957" spans="1:12" x14ac:dyDescent="0.25">
      <c r="A957" t="s">
        <v>3393</v>
      </c>
      <c r="B957" s="2">
        <v>44972</v>
      </c>
      <c r="C957" s="2" t="str">
        <f>TEXT(Table3[[#This Row],[Order Date]],"mmmm")</f>
        <v>February</v>
      </c>
      <c r="D957" t="s">
        <v>3731</v>
      </c>
      <c r="E957" t="s">
        <v>3224</v>
      </c>
      <c r="F957" t="s">
        <v>3226</v>
      </c>
      <c r="G957" s="4">
        <v>233202.3</v>
      </c>
      <c r="H957" s="4">
        <v>166716.59</v>
      </c>
      <c r="I957" s="3" t="s">
        <v>3734</v>
      </c>
      <c r="J957" t="s">
        <v>3732</v>
      </c>
      <c r="K957" s="4">
        <f>Table3[[#This Row],[Sales]]-Table3[[#This Row],[Cost]]</f>
        <v>66485.709999999992</v>
      </c>
      <c r="L957" s="6">
        <f>Table3[[#This Row],[Profit]]/Table3[[#This Row],[Sales]]</f>
        <v>0.28509886051724187</v>
      </c>
    </row>
    <row r="958" spans="1:12" x14ac:dyDescent="0.25">
      <c r="A958" t="s">
        <v>963</v>
      </c>
      <c r="B958" s="2">
        <v>45102</v>
      </c>
      <c r="C958" s="2" t="str">
        <f>TEXT(Table3[[#This Row],[Order Date]],"mmmm")</f>
        <v>June</v>
      </c>
      <c r="D958" t="s">
        <v>3220</v>
      </c>
      <c r="E958" t="s">
        <v>3223</v>
      </c>
      <c r="F958" t="s">
        <v>3226</v>
      </c>
      <c r="G958" s="4">
        <v>23022.44</v>
      </c>
      <c r="H958" s="4">
        <v>18417.952000000001</v>
      </c>
      <c r="I958" s="3" t="s">
        <v>3735</v>
      </c>
      <c r="J958">
        <v>2</v>
      </c>
      <c r="K958" s="4">
        <f>Table3[[#This Row],[Sales]]-Table3[[#This Row],[Cost]]</f>
        <v>4604.4879999999976</v>
      </c>
      <c r="L958" s="6">
        <f>Table3[[#This Row],[Profit]]/Table3[[#This Row],[Sales]]</f>
        <v>0.1999999999999999</v>
      </c>
    </row>
    <row r="959" spans="1:12" x14ac:dyDescent="0.25">
      <c r="A959" t="s">
        <v>964</v>
      </c>
      <c r="B959" s="2">
        <v>45021</v>
      </c>
      <c r="C959" s="2" t="str">
        <f>TEXT(Table3[[#This Row],[Order Date]],"mmmm")</f>
        <v>April</v>
      </c>
      <c r="D959" t="s">
        <v>3220</v>
      </c>
      <c r="E959" t="s">
        <v>3225</v>
      </c>
      <c r="F959" t="s">
        <v>3226</v>
      </c>
      <c r="G959" s="4">
        <v>71519.67</v>
      </c>
      <c r="H959" s="4">
        <v>44962.75</v>
      </c>
      <c r="I959" s="3" t="s">
        <v>3734</v>
      </c>
      <c r="J959">
        <v>3</v>
      </c>
      <c r="K959" s="4">
        <f>Table3[[#This Row],[Sales]]-Table3[[#This Row],[Cost]]</f>
        <v>26556.92</v>
      </c>
      <c r="L959" s="6">
        <f>Table3[[#This Row],[Profit]]/Table3[[#This Row],[Sales]]</f>
        <v>0.37132330168749378</v>
      </c>
    </row>
    <row r="960" spans="1:12" x14ac:dyDescent="0.25">
      <c r="A960" t="s">
        <v>965</v>
      </c>
      <c r="B960" s="2">
        <v>45005</v>
      </c>
      <c r="C960" s="2" t="str">
        <f>TEXT(Table3[[#This Row],[Order Date]],"mmmm")</f>
        <v>March</v>
      </c>
      <c r="D960" t="s">
        <v>3730</v>
      </c>
      <c r="E960" t="s">
        <v>3224</v>
      </c>
      <c r="F960" t="s">
        <v>3226</v>
      </c>
      <c r="G960" s="4">
        <v>139988.26999999999</v>
      </c>
      <c r="H960" s="4">
        <v>77625.5</v>
      </c>
      <c r="I960" s="3" t="s">
        <v>3734</v>
      </c>
      <c r="J960">
        <v>2</v>
      </c>
      <c r="K960" s="4">
        <f>Table3[[#This Row],[Sales]]-Table3[[#This Row],[Cost]]</f>
        <v>62362.76999999999</v>
      </c>
      <c r="L960" s="6">
        <f>Table3[[#This Row],[Profit]]/Table3[[#This Row],[Sales]]</f>
        <v>0.44548568247896764</v>
      </c>
    </row>
    <row r="961" spans="1:12" x14ac:dyDescent="0.25">
      <c r="A961" t="s">
        <v>3351</v>
      </c>
      <c r="B961" s="2">
        <v>44941</v>
      </c>
      <c r="C961" s="2" t="str">
        <f>TEXT(Table3[[#This Row],[Order Date]],"mmmm")</f>
        <v>January</v>
      </c>
      <c r="D961" t="s">
        <v>3220</v>
      </c>
      <c r="E961" t="s">
        <v>3225</v>
      </c>
      <c r="F961" t="s">
        <v>3226</v>
      </c>
      <c r="G961" s="4">
        <v>90347.12</v>
      </c>
      <c r="H961" s="4">
        <v>57128.45</v>
      </c>
      <c r="I961" s="3" t="s">
        <v>3734</v>
      </c>
      <c r="J961">
        <v>4</v>
      </c>
      <c r="K961" s="4">
        <f>Table3[[#This Row],[Sales]]-Table3[[#This Row],[Cost]]</f>
        <v>33218.67</v>
      </c>
      <c r="L961" s="6">
        <f>Table3[[#This Row],[Profit]]/Table3[[#This Row],[Sales]]</f>
        <v>0.36767823921780796</v>
      </c>
    </row>
    <row r="962" spans="1:12" x14ac:dyDescent="0.25">
      <c r="A962" t="s">
        <v>3394</v>
      </c>
      <c r="B962" s="2">
        <v>44941</v>
      </c>
      <c r="C962" s="2" t="str">
        <f>TEXT(Table3[[#This Row],[Order Date]],"mmmm")</f>
        <v>January</v>
      </c>
      <c r="D962" t="s">
        <v>3220</v>
      </c>
      <c r="E962" t="s">
        <v>3225</v>
      </c>
      <c r="F962" t="s">
        <v>3226</v>
      </c>
      <c r="G962" s="4">
        <v>109436.08</v>
      </c>
      <c r="H962" s="4">
        <v>74173.77</v>
      </c>
      <c r="I962" s="3" t="s">
        <v>3734</v>
      </c>
      <c r="J962">
        <v>5</v>
      </c>
      <c r="K962" s="4">
        <f>Table3[[#This Row],[Sales]]-Table3[[#This Row],[Cost]]</f>
        <v>35262.31</v>
      </c>
      <c r="L962" s="6">
        <f>Table3[[#This Row],[Profit]]/Table3[[#This Row],[Sales]]</f>
        <v>0.32221832141648343</v>
      </c>
    </row>
    <row r="963" spans="1:12" x14ac:dyDescent="0.25">
      <c r="A963" t="s">
        <v>967</v>
      </c>
      <c r="B963" s="2">
        <v>45005</v>
      </c>
      <c r="C963" s="2" t="str">
        <f>TEXT(Table3[[#This Row],[Order Date]],"mmmm")</f>
        <v>March</v>
      </c>
      <c r="D963" t="s">
        <v>3216</v>
      </c>
      <c r="E963" t="s">
        <v>3223</v>
      </c>
      <c r="F963" t="s">
        <v>3226</v>
      </c>
      <c r="G963" s="4">
        <v>10662.04</v>
      </c>
      <c r="H963" s="4">
        <v>7662.07</v>
      </c>
      <c r="I963" s="3" t="s">
        <v>3734</v>
      </c>
      <c r="J963">
        <v>1</v>
      </c>
      <c r="K963" s="4">
        <f>Table3[[#This Row],[Sales]]-Table3[[#This Row],[Cost]]</f>
        <v>2999.9700000000012</v>
      </c>
      <c r="L963" s="6">
        <f>Table3[[#This Row],[Profit]]/Table3[[#This Row],[Sales]]</f>
        <v>0.28136923140412162</v>
      </c>
    </row>
    <row r="964" spans="1:12" x14ac:dyDescent="0.25">
      <c r="A964" t="s">
        <v>968</v>
      </c>
      <c r="B964" s="2">
        <v>44941</v>
      </c>
      <c r="C964" s="2" t="str">
        <f>TEXT(Table3[[#This Row],[Order Date]],"mmmm")</f>
        <v>January</v>
      </c>
      <c r="D964" t="s">
        <v>3730</v>
      </c>
      <c r="E964" t="s">
        <v>3225</v>
      </c>
      <c r="F964" t="s">
        <v>3226</v>
      </c>
      <c r="G964" s="4">
        <v>43395.01</v>
      </c>
      <c r="H964" s="4">
        <v>27858.46</v>
      </c>
      <c r="I964" s="3" t="s">
        <v>3734</v>
      </c>
      <c r="J964">
        <v>2</v>
      </c>
      <c r="K964" s="4">
        <f>Table3[[#This Row],[Sales]]-Table3[[#This Row],[Cost]]</f>
        <v>15536.550000000003</v>
      </c>
      <c r="L964" s="6">
        <f>Table3[[#This Row],[Profit]]/Table3[[#This Row],[Sales]]</f>
        <v>0.35802618780362078</v>
      </c>
    </row>
    <row r="965" spans="1:12" x14ac:dyDescent="0.25">
      <c r="A965" t="s">
        <v>969</v>
      </c>
      <c r="B965" s="2">
        <v>45102</v>
      </c>
      <c r="C965" s="2" t="str">
        <f>TEXT(Table3[[#This Row],[Order Date]],"mmmm")</f>
        <v>June</v>
      </c>
      <c r="D965" t="s">
        <v>3216</v>
      </c>
      <c r="E965" t="s">
        <v>3225</v>
      </c>
      <c r="F965" t="s">
        <v>3226</v>
      </c>
      <c r="G965" s="4">
        <v>22578.2</v>
      </c>
      <c r="H965" s="4">
        <v>13869.34</v>
      </c>
      <c r="I965" s="3" t="s">
        <v>3734</v>
      </c>
      <c r="J965">
        <v>1</v>
      </c>
      <c r="K965" s="4">
        <f>Table3[[#This Row],[Sales]]-Table3[[#This Row],[Cost]]</f>
        <v>8708.86</v>
      </c>
      <c r="L965" s="6">
        <f>Table3[[#This Row],[Profit]]/Table3[[#This Row],[Sales]]</f>
        <v>0.38571985366415396</v>
      </c>
    </row>
    <row r="966" spans="1:12" x14ac:dyDescent="0.25">
      <c r="A966" t="s">
        <v>970</v>
      </c>
      <c r="B966" s="2">
        <v>45102</v>
      </c>
      <c r="C966" s="2" t="str">
        <f>TEXT(Table3[[#This Row],[Order Date]],"mmmm")</f>
        <v>June</v>
      </c>
      <c r="D966" t="s">
        <v>3216</v>
      </c>
      <c r="E966" t="s">
        <v>3225</v>
      </c>
      <c r="F966" t="s">
        <v>3226</v>
      </c>
      <c r="G966" s="4">
        <v>44827.96</v>
      </c>
      <c r="H966" s="4">
        <v>29037.94</v>
      </c>
      <c r="I966" s="3" t="s">
        <v>3734</v>
      </c>
      <c r="J966">
        <v>2</v>
      </c>
      <c r="K966" s="4">
        <f>Table3[[#This Row],[Sales]]-Table3[[#This Row],[Cost]]</f>
        <v>15790.02</v>
      </c>
      <c r="L966" s="6">
        <f>Table3[[#This Row],[Profit]]/Table3[[#This Row],[Sales]]</f>
        <v>0.35223597058621453</v>
      </c>
    </row>
    <row r="967" spans="1:12" x14ac:dyDescent="0.25">
      <c r="A967" t="s">
        <v>3395</v>
      </c>
      <c r="B967" s="2">
        <v>44941</v>
      </c>
      <c r="C967" s="2" t="str">
        <f>TEXT(Table3[[#This Row],[Order Date]],"mmmm")</f>
        <v>January</v>
      </c>
      <c r="D967" t="s">
        <v>3220</v>
      </c>
      <c r="E967" t="s">
        <v>3224</v>
      </c>
      <c r="F967" t="s">
        <v>3226</v>
      </c>
      <c r="G967" s="4">
        <v>173610.17</v>
      </c>
      <c r="H967" s="4">
        <v>146135.54999999999</v>
      </c>
      <c r="I967" s="3" t="s">
        <v>3734</v>
      </c>
      <c r="J967">
        <v>3</v>
      </c>
      <c r="K967" s="4">
        <f>Table3[[#This Row],[Sales]]-Table3[[#This Row],[Cost]]</f>
        <v>27474.620000000024</v>
      </c>
      <c r="L967" s="6">
        <f>Table3[[#This Row],[Profit]]/Table3[[#This Row],[Sales]]</f>
        <v>0.15825466906691021</v>
      </c>
    </row>
    <row r="968" spans="1:12" x14ac:dyDescent="0.25">
      <c r="A968" t="s">
        <v>972</v>
      </c>
      <c r="B968" s="2">
        <v>45102</v>
      </c>
      <c r="C968" s="2" t="str">
        <f>TEXT(Table3[[#This Row],[Order Date]],"mmmm")</f>
        <v>June</v>
      </c>
      <c r="D968" t="s">
        <v>3730</v>
      </c>
      <c r="E968" t="s">
        <v>3223</v>
      </c>
      <c r="F968" t="s">
        <v>3226</v>
      </c>
      <c r="G968" s="4">
        <v>29658.48</v>
      </c>
      <c r="H968" s="4">
        <v>18636.650000000001</v>
      </c>
      <c r="I968" s="3" t="s">
        <v>3734</v>
      </c>
      <c r="J968">
        <v>3</v>
      </c>
      <c r="K968" s="4">
        <f>Table3[[#This Row],[Sales]]-Table3[[#This Row],[Cost]]</f>
        <v>11021.829999999998</v>
      </c>
      <c r="L968" s="6">
        <f>Table3[[#This Row],[Profit]]/Table3[[#This Row],[Sales]]</f>
        <v>0.3716249113238439</v>
      </c>
    </row>
    <row r="969" spans="1:12" x14ac:dyDescent="0.25">
      <c r="A969" t="s">
        <v>973</v>
      </c>
      <c r="B969" s="2">
        <v>45021</v>
      </c>
      <c r="C969" s="2" t="str">
        <f>TEXT(Table3[[#This Row],[Order Date]],"mmmm")</f>
        <v>April</v>
      </c>
      <c r="D969" t="s">
        <v>3216</v>
      </c>
      <c r="E969" t="s">
        <v>3224</v>
      </c>
      <c r="F969" t="s">
        <v>3226</v>
      </c>
      <c r="G969" s="4">
        <v>62738.18</v>
      </c>
      <c r="H969" s="4">
        <v>50190.544000000002</v>
      </c>
      <c r="I969" s="3" t="s">
        <v>3735</v>
      </c>
      <c r="J969">
        <v>1</v>
      </c>
      <c r="K969" s="4">
        <f>Table3[[#This Row],[Sales]]-Table3[[#This Row],[Cost]]</f>
        <v>12547.635999999999</v>
      </c>
      <c r="L969" s="6">
        <f>Table3[[#This Row],[Profit]]/Table3[[#This Row],[Sales]]</f>
        <v>0.19999999999999998</v>
      </c>
    </row>
    <row r="970" spans="1:12" x14ac:dyDescent="0.25">
      <c r="A970" t="s">
        <v>802</v>
      </c>
      <c r="B970" s="2">
        <v>45102</v>
      </c>
      <c r="C970" s="2" t="str">
        <f>TEXT(Table3[[#This Row],[Order Date]],"mmmm")</f>
        <v>June</v>
      </c>
      <c r="D970" t="s">
        <v>3220</v>
      </c>
      <c r="E970" t="s">
        <v>3224</v>
      </c>
      <c r="F970" t="s">
        <v>3226</v>
      </c>
      <c r="G970" s="4">
        <v>71557.899999999994</v>
      </c>
      <c r="H970" s="4">
        <v>48354.12</v>
      </c>
      <c r="I970" s="3" t="s">
        <v>3734</v>
      </c>
      <c r="J970">
        <v>1</v>
      </c>
      <c r="K970" s="4">
        <f>Table3[[#This Row],[Sales]]-Table3[[#This Row],[Cost]]</f>
        <v>23203.779999999992</v>
      </c>
      <c r="L970" s="6">
        <f>Table3[[#This Row],[Profit]]/Table3[[#This Row],[Sales]]</f>
        <v>0.32426580433467156</v>
      </c>
    </row>
    <row r="971" spans="1:12" x14ac:dyDescent="0.25">
      <c r="A971" t="s">
        <v>3373</v>
      </c>
      <c r="B971" s="2">
        <v>45021</v>
      </c>
      <c r="C971" s="2" t="str">
        <f>TEXT(Table3[[#This Row],[Order Date]],"mmmm")</f>
        <v>April</v>
      </c>
      <c r="D971" t="s">
        <v>3730</v>
      </c>
      <c r="E971" t="s">
        <v>3224</v>
      </c>
      <c r="F971" t="s">
        <v>3226</v>
      </c>
      <c r="G971" s="4">
        <v>197174.24</v>
      </c>
      <c r="H971" s="4">
        <v>153548.09</v>
      </c>
      <c r="I971" s="3" t="s">
        <v>3734</v>
      </c>
      <c r="J971">
        <v>4</v>
      </c>
      <c r="K971" s="4">
        <f>Table3[[#This Row],[Sales]]-Table3[[#This Row],[Cost]]</f>
        <v>43626.149999999994</v>
      </c>
      <c r="L971" s="6">
        <f>Table3[[#This Row],[Profit]]/Table3[[#This Row],[Sales]]</f>
        <v>0.22125684369317208</v>
      </c>
    </row>
    <row r="972" spans="1:12" x14ac:dyDescent="0.25">
      <c r="A972" t="s">
        <v>80</v>
      </c>
      <c r="B972" s="2">
        <v>44972</v>
      </c>
      <c r="C972" s="2" t="str">
        <f>TEXT(Table3[[#This Row],[Order Date]],"mmmm")</f>
        <v>February</v>
      </c>
      <c r="D972" t="s">
        <v>3730</v>
      </c>
      <c r="E972" t="s">
        <v>3225</v>
      </c>
      <c r="F972" t="s">
        <v>3226</v>
      </c>
      <c r="G972" s="4">
        <v>20099.43</v>
      </c>
      <c r="H972" s="4">
        <v>14254.5</v>
      </c>
      <c r="I972" s="3" t="s">
        <v>3734</v>
      </c>
      <c r="J972">
        <v>1</v>
      </c>
      <c r="K972" s="4">
        <f>Table3[[#This Row],[Sales]]-Table3[[#This Row],[Cost]]</f>
        <v>5844.93</v>
      </c>
      <c r="L972" s="6">
        <f>Table3[[#This Row],[Profit]]/Table3[[#This Row],[Sales]]</f>
        <v>0.2908007839028271</v>
      </c>
    </row>
    <row r="973" spans="1:12" x14ac:dyDescent="0.25">
      <c r="A973" t="s">
        <v>974</v>
      </c>
      <c r="B973" s="2">
        <v>45021</v>
      </c>
      <c r="C973" s="2" t="str">
        <f>TEXT(Table3[[#This Row],[Order Date]],"mmmm")</f>
        <v>April</v>
      </c>
      <c r="D973" t="s">
        <v>3730</v>
      </c>
      <c r="E973" t="s">
        <v>3222</v>
      </c>
      <c r="F973" t="s">
        <v>3226</v>
      </c>
      <c r="G973" s="4">
        <v>83751.490000000005</v>
      </c>
      <c r="H973" s="4">
        <v>54720.93</v>
      </c>
      <c r="I973" s="3" t="s">
        <v>3734</v>
      </c>
      <c r="J973">
        <v>5</v>
      </c>
      <c r="K973" s="4">
        <f>Table3[[#This Row],[Sales]]-Table3[[#This Row],[Cost]]</f>
        <v>29030.560000000005</v>
      </c>
      <c r="L973" s="6">
        <f>Table3[[#This Row],[Profit]]/Table3[[#This Row],[Sales]]</f>
        <v>0.34662738537547216</v>
      </c>
    </row>
    <row r="974" spans="1:12" x14ac:dyDescent="0.25">
      <c r="A974" t="s">
        <v>3396</v>
      </c>
      <c r="B974" s="2">
        <v>45021</v>
      </c>
      <c r="C974" s="2" t="str">
        <f>TEXT(Table3[[#This Row],[Order Date]],"mmmm")</f>
        <v>April</v>
      </c>
      <c r="D974" t="s">
        <v>3730</v>
      </c>
      <c r="E974" t="s">
        <v>3224</v>
      </c>
      <c r="F974" t="s">
        <v>3226</v>
      </c>
      <c r="G974" s="4">
        <v>101262.15</v>
      </c>
      <c r="H974" s="4">
        <v>93366.58</v>
      </c>
      <c r="I974" s="3" t="s">
        <v>3734</v>
      </c>
      <c r="J974">
        <v>2</v>
      </c>
      <c r="K974" s="4">
        <f>Table3[[#This Row],[Sales]]-Table3[[#This Row],[Cost]]</f>
        <v>7895.5699999999924</v>
      </c>
      <c r="L974" s="6">
        <f>Table3[[#This Row],[Profit]]/Table3[[#This Row],[Sales]]</f>
        <v>7.7971581681803057E-2</v>
      </c>
    </row>
    <row r="975" spans="1:12" x14ac:dyDescent="0.25">
      <c r="A975" t="s">
        <v>976</v>
      </c>
      <c r="B975" s="2">
        <v>44941</v>
      </c>
      <c r="C975" s="2" t="str">
        <f>TEXT(Table3[[#This Row],[Order Date]],"mmmm")</f>
        <v>January</v>
      </c>
      <c r="D975" t="s">
        <v>3731</v>
      </c>
      <c r="E975" t="s">
        <v>3222</v>
      </c>
      <c r="F975" t="s">
        <v>3226</v>
      </c>
      <c r="G975" s="4">
        <v>33962.129999999997</v>
      </c>
      <c r="H975" s="4">
        <v>21753.06</v>
      </c>
      <c r="I975" s="3" t="s">
        <v>3734</v>
      </c>
      <c r="J975">
        <v>2</v>
      </c>
      <c r="K975" s="4">
        <f>Table3[[#This Row],[Sales]]-Table3[[#This Row],[Cost]]</f>
        <v>12209.069999999996</v>
      </c>
      <c r="L975" s="6">
        <f>Table3[[#This Row],[Profit]]/Table3[[#This Row],[Sales]]</f>
        <v>0.35949070332161137</v>
      </c>
    </row>
    <row r="976" spans="1:12" x14ac:dyDescent="0.25">
      <c r="A976" t="s">
        <v>977</v>
      </c>
      <c r="B976" s="2">
        <v>45102</v>
      </c>
      <c r="C976" s="2" t="str">
        <f>TEXT(Table3[[#This Row],[Order Date]],"mmmm")</f>
        <v>June</v>
      </c>
      <c r="D976" t="s">
        <v>3220</v>
      </c>
      <c r="E976" t="s">
        <v>3225</v>
      </c>
      <c r="F976" t="s">
        <v>3226</v>
      </c>
      <c r="G976" s="4">
        <v>55795.17</v>
      </c>
      <c r="H976" s="4">
        <v>44636.135999999999</v>
      </c>
      <c r="I976" s="3" t="s">
        <v>3735</v>
      </c>
      <c r="J976">
        <v>3</v>
      </c>
      <c r="K976" s="4">
        <f>Table3[[#This Row],[Sales]]-Table3[[#This Row],[Cost]]</f>
        <v>11159.034</v>
      </c>
      <c r="L976" s="6">
        <f>Table3[[#This Row],[Profit]]/Table3[[#This Row],[Sales]]</f>
        <v>0.2</v>
      </c>
    </row>
    <row r="977" spans="1:12" x14ac:dyDescent="0.25">
      <c r="A977" t="s">
        <v>978</v>
      </c>
      <c r="B977" s="2">
        <v>45102</v>
      </c>
      <c r="C977" s="2" t="str">
        <f>TEXT(Table3[[#This Row],[Order Date]],"mmmm")</f>
        <v>June</v>
      </c>
      <c r="D977" t="s">
        <v>3220</v>
      </c>
      <c r="E977" t="s">
        <v>3223</v>
      </c>
      <c r="F977" t="s">
        <v>3226</v>
      </c>
      <c r="G977" s="4">
        <v>11430.62</v>
      </c>
      <c r="H977" s="4">
        <v>7520.64</v>
      </c>
      <c r="I977" s="3" t="s">
        <v>3734</v>
      </c>
      <c r="J977">
        <v>1</v>
      </c>
      <c r="K977" s="4">
        <f>Table3[[#This Row],[Sales]]-Table3[[#This Row],[Cost]]</f>
        <v>3909.9800000000005</v>
      </c>
      <c r="L977" s="6">
        <f>Table3[[#This Row],[Profit]]/Table3[[#This Row],[Sales]]</f>
        <v>0.34206193539807989</v>
      </c>
    </row>
    <row r="978" spans="1:12" x14ac:dyDescent="0.25">
      <c r="A978" t="s">
        <v>979</v>
      </c>
      <c r="B978" s="2" t="s">
        <v>3729</v>
      </c>
      <c r="C978" s="2" t="str">
        <f>TEXT(Table3[[#This Row],[Order Date]],"mmmm")</f>
        <v>Not Mentioned</v>
      </c>
      <c r="D978" t="s">
        <v>3731</v>
      </c>
      <c r="E978" t="s">
        <v>3222</v>
      </c>
      <c r="F978" t="s">
        <v>3226</v>
      </c>
      <c r="G978" s="4">
        <v>52800.76</v>
      </c>
      <c r="H978" s="4">
        <v>27878.05</v>
      </c>
      <c r="I978" s="3" t="s">
        <v>3734</v>
      </c>
      <c r="J978">
        <v>3</v>
      </c>
      <c r="K978" s="4">
        <f>Table3[[#This Row],[Sales]]-Table3[[#This Row],[Cost]]</f>
        <v>24922.710000000003</v>
      </c>
      <c r="L978" s="6">
        <f>Table3[[#This Row],[Profit]]/Table3[[#This Row],[Sales]]</f>
        <v>0.47201422858307346</v>
      </c>
    </row>
    <row r="979" spans="1:12" x14ac:dyDescent="0.25">
      <c r="A979" t="s">
        <v>3250</v>
      </c>
      <c r="B979" s="2">
        <v>45021</v>
      </c>
      <c r="C979" s="2" t="str">
        <f>TEXT(Table3[[#This Row],[Order Date]],"mmmm")</f>
        <v>April</v>
      </c>
      <c r="D979" t="s">
        <v>3730</v>
      </c>
      <c r="E979" t="s">
        <v>3225</v>
      </c>
      <c r="F979" t="s">
        <v>3226</v>
      </c>
      <c r="G979" s="4">
        <v>62990.33</v>
      </c>
      <c r="H979" s="4">
        <v>40076.76</v>
      </c>
      <c r="I979" s="3" t="s">
        <v>3734</v>
      </c>
      <c r="J979">
        <v>3</v>
      </c>
      <c r="K979" s="4">
        <f>Table3[[#This Row],[Sales]]-Table3[[#This Row],[Cost]]</f>
        <v>22913.57</v>
      </c>
      <c r="L979" s="6">
        <f>Table3[[#This Row],[Profit]]/Table3[[#This Row],[Sales]]</f>
        <v>0.36376329509624727</v>
      </c>
    </row>
    <row r="980" spans="1:12" x14ac:dyDescent="0.25">
      <c r="A980" t="s">
        <v>980</v>
      </c>
      <c r="B980" s="2" t="s">
        <v>3729</v>
      </c>
      <c r="C980" s="2" t="str">
        <f>TEXT(Table3[[#This Row],[Order Date]],"mmmm")</f>
        <v>Not Mentioned</v>
      </c>
      <c r="D980" t="s">
        <v>3730</v>
      </c>
      <c r="E980" t="s">
        <v>3222</v>
      </c>
      <c r="F980" t="s">
        <v>3226</v>
      </c>
      <c r="G980" s="4">
        <v>13674.51</v>
      </c>
      <c r="H980" s="4">
        <v>9948.4500000000007</v>
      </c>
      <c r="I980" s="3" t="s">
        <v>3734</v>
      </c>
      <c r="J980">
        <v>1</v>
      </c>
      <c r="K980" s="4">
        <f>Table3[[#This Row],[Sales]]-Table3[[#This Row],[Cost]]</f>
        <v>3726.0599999999995</v>
      </c>
      <c r="L980" s="6">
        <f>Table3[[#This Row],[Profit]]/Table3[[#This Row],[Sales]]</f>
        <v>0.27248215841006362</v>
      </c>
    </row>
    <row r="981" spans="1:12" x14ac:dyDescent="0.25">
      <c r="A981" t="s">
        <v>981</v>
      </c>
      <c r="B981" s="2">
        <v>45021</v>
      </c>
      <c r="C981" s="2" t="str">
        <f>TEXT(Table3[[#This Row],[Order Date]],"mmmm")</f>
        <v>April</v>
      </c>
      <c r="D981" t="s">
        <v>3731</v>
      </c>
      <c r="E981" t="s">
        <v>3223</v>
      </c>
      <c r="F981" t="s">
        <v>3226</v>
      </c>
      <c r="G981" s="4">
        <v>59864.52</v>
      </c>
      <c r="H981" s="4">
        <v>29851.26</v>
      </c>
      <c r="I981" s="3" t="s">
        <v>3734</v>
      </c>
      <c r="J981">
        <v>5</v>
      </c>
      <c r="K981" s="4">
        <f>Table3[[#This Row],[Sales]]-Table3[[#This Row],[Cost]]</f>
        <v>30013.26</v>
      </c>
      <c r="L981" s="6">
        <f>Table3[[#This Row],[Profit]]/Table3[[#This Row],[Sales]]</f>
        <v>0.50135305519863849</v>
      </c>
    </row>
    <row r="982" spans="1:12" x14ac:dyDescent="0.25">
      <c r="A982" t="s">
        <v>982</v>
      </c>
      <c r="B982" s="2">
        <v>45102</v>
      </c>
      <c r="C982" s="2" t="str">
        <f>TEXT(Table3[[#This Row],[Order Date]],"mmmm")</f>
        <v>June</v>
      </c>
      <c r="D982" t="s">
        <v>3220</v>
      </c>
      <c r="E982" t="s">
        <v>3223</v>
      </c>
      <c r="F982" t="s">
        <v>3226</v>
      </c>
      <c r="G982" s="4">
        <v>11239.65</v>
      </c>
      <c r="H982" s="4">
        <v>6755.36</v>
      </c>
      <c r="I982" s="3" t="s">
        <v>3734</v>
      </c>
      <c r="J982">
        <v>1</v>
      </c>
      <c r="K982" s="4">
        <f>Table3[[#This Row],[Sales]]-Table3[[#This Row],[Cost]]</f>
        <v>4484.29</v>
      </c>
      <c r="L982" s="6">
        <f>Table3[[#This Row],[Profit]]/Table3[[#This Row],[Sales]]</f>
        <v>0.39897060851538974</v>
      </c>
    </row>
    <row r="983" spans="1:12" x14ac:dyDescent="0.25">
      <c r="A983" t="s">
        <v>872</v>
      </c>
      <c r="B983" s="2">
        <v>44972</v>
      </c>
      <c r="C983" s="2" t="str">
        <f>TEXT(Table3[[#This Row],[Order Date]],"mmmm")</f>
        <v>February</v>
      </c>
      <c r="D983" t="s">
        <v>3731</v>
      </c>
      <c r="E983" t="s">
        <v>3225</v>
      </c>
      <c r="F983" t="s">
        <v>3226</v>
      </c>
      <c r="G983" s="4">
        <v>67886.87</v>
      </c>
      <c r="H983" s="4">
        <v>56119.49</v>
      </c>
      <c r="I983" s="3" t="s">
        <v>3734</v>
      </c>
      <c r="J983">
        <v>4</v>
      </c>
      <c r="K983" s="4">
        <f>Table3[[#This Row],[Sales]]-Table3[[#This Row],[Cost]]</f>
        <v>11767.379999999997</v>
      </c>
      <c r="L983" s="6">
        <f>Table3[[#This Row],[Profit]]/Table3[[#This Row],[Sales]]</f>
        <v>0.17333808437478407</v>
      </c>
    </row>
    <row r="984" spans="1:12" x14ac:dyDescent="0.25">
      <c r="A984" t="s">
        <v>983</v>
      </c>
      <c r="B984" s="2">
        <v>45005</v>
      </c>
      <c r="C984" s="2" t="str">
        <f>TEXT(Table3[[#This Row],[Order Date]],"mmmm")</f>
        <v>March</v>
      </c>
      <c r="D984" t="s">
        <v>3731</v>
      </c>
      <c r="E984" t="s">
        <v>3222</v>
      </c>
      <c r="F984" t="s">
        <v>3226</v>
      </c>
      <c r="G984" s="4">
        <v>53826.74</v>
      </c>
      <c r="H984" s="4">
        <v>43061.392</v>
      </c>
      <c r="I984" s="3" t="s">
        <v>3735</v>
      </c>
      <c r="J984">
        <v>3</v>
      </c>
      <c r="K984" s="4">
        <f>Table3[[#This Row],[Sales]]-Table3[[#This Row],[Cost]]</f>
        <v>10765.347999999998</v>
      </c>
      <c r="L984" s="6">
        <f>Table3[[#This Row],[Profit]]/Table3[[#This Row],[Sales]]</f>
        <v>0.19999999999999998</v>
      </c>
    </row>
    <row r="985" spans="1:12" x14ac:dyDescent="0.25">
      <c r="A985" t="s">
        <v>984</v>
      </c>
      <c r="B985" s="2">
        <v>45005</v>
      </c>
      <c r="C985" s="2" t="str">
        <f>TEXT(Table3[[#This Row],[Order Date]],"mmmm")</f>
        <v>March</v>
      </c>
      <c r="D985" t="s">
        <v>3220</v>
      </c>
      <c r="E985" t="s">
        <v>3222</v>
      </c>
      <c r="F985" t="s">
        <v>3226</v>
      </c>
      <c r="G985" s="4">
        <v>17452.939999999999</v>
      </c>
      <c r="H985" s="4">
        <v>8552.93</v>
      </c>
      <c r="I985" s="3" t="s">
        <v>3734</v>
      </c>
      <c r="J985">
        <v>1</v>
      </c>
      <c r="K985" s="4">
        <f>Table3[[#This Row],[Sales]]-Table3[[#This Row],[Cost]]</f>
        <v>8900.0099999999984</v>
      </c>
      <c r="L985" s="6">
        <f>Table3[[#This Row],[Profit]]/Table3[[#This Row],[Sales]]</f>
        <v>0.50994331041073881</v>
      </c>
    </row>
    <row r="986" spans="1:12" x14ac:dyDescent="0.25">
      <c r="A986" t="s">
        <v>985</v>
      </c>
      <c r="B986" s="2">
        <v>44941</v>
      </c>
      <c r="C986" s="2" t="str">
        <f>TEXT(Table3[[#This Row],[Order Date]],"mmmm")</f>
        <v>January</v>
      </c>
      <c r="D986" t="s">
        <v>3216</v>
      </c>
      <c r="E986" t="s">
        <v>3224</v>
      </c>
      <c r="F986" t="s">
        <v>3226</v>
      </c>
      <c r="G986" s="4">
        <v>225410.89</v>
      </c>
      <c r="H986" s="4">
        <v>174906.32</v>
      </c>
      <c r="I986" s="3" t="s">
        <v>3734</v>
      </c>
      <c r="J986">
        <v>4</v>
      </c>
      <c r="K986" s="4">
        <f>Table3[[#This Row],[Sales]]-Table3[[#This Row],[Cost]]</f>
        <v>50504.570000000007</v>
      </c>
      <c r="L986" s="6">
        <f>Table3[[#This Row],[Profit]]/Table3[[#This Row],[Sales]]</f>
        <v>0.22405559021571675</v>
      </c>
    </row>
    <row r="987" spans="1:12" x14ac:dyDescent="0.25">
      <c r="A987" t="s">
        <v>986</v>
      </c>
      <c r="B987" s="2">
        <v>44941</v>
      </c>
      <c r="C987" s="2" t="str">
        <f>TEXT(Table3[[#This Row],[Order Date]],"mmmm")</f>
        <v>January</v>
      </c>
      <c r="D987" t="s">
        <v>3731</v>
      </c>
      <c r="E987" t="s">
        <v>3224</v>
      </c>
      <c r="F987" t="s">
        <v>3226</v>
      </c>
      <c r="G987" s="4">
        <v>142660.60999999999</v>
      </c>
      <c r="H987" s="4">
        <v>90395.04</v>
      </c>
      <c r="I987" s="3" t="s">
        <v>3734</v>
      </c>
      <c r="J987">
        <v>2</v>
      </c>
      <c r="K987" s="4">
        <f>Table3[[#This Row],[Sales]]-Table3[[#This Row],[Cost]]</f>
        <v>52265.569999999992</v>
      </c>
      <c r="L987" s="6">
        <f>Table3[[#This Row],[Profit]]/Table3[[#This Row],[Sales]]</f>
        <v>0.36636300657904097</v>
      </c>
    </row>
    <row r="988" spans="1:12" x14ac:dyDescent="0.25">
      <c r="A988" t="s">
        <v>987</v>
      </c>
      <c r="B988" s="2">
        <v>44941</v>
      </c>
      <c r="C988" s="2" t="str">
        <f>TEXT(Table3[[#This Row],[Order Date]],"mmmm")</f>
        <v>January</v>
      </c>
      <c r="D988" t="s">
        <v>3730</v>
      </c>
      <c r="E988" t="s">
        <v>3222</v>
      </c>
      <c r="F988" t="s">
        <v>3226</v>
      </c>
      <c r="G988" s="4">
        <v>26011.46</v>
      </c>
      <c r="H988" s="4">
        <v>20809.168000000001</v>
      </c>
      <c r="I988" s="3" t="s">
        <v>3735</v>
      </c>
      <c r="J988">
        <v>2</v>
      </c>
      <c r="K988" s="4">
        <f>Table3[[#This Row],[Sales]]-Table3[[#This Row],[Cost]]</f>
        <v>5202.2919999999976</v>
      </c>
      <c r="L988" s="6">
        <f>Table3[[#This Row],[Profit]]/Table3[[#This Row],[Sales]]</f>
        <v>0.19999999999999993</v>
      </c>
    </row>
    <row r="989" spans="1:12" x14ac:dyDescent="0.25">
      <c r="A989" t="s">
        <v>3397</v>
      </c>
      <c r="B989" s="2" t="s">
        <v>3729</v>
      </c>
      <c r="C989" s="2" t="str">
        <f>TEXT(Table3[[#This Row],[Order Date]],"mmmm")</f>
        <v>Not Mentioned</v>
      </c>
      <c r="D989" t="s">
        <v>3730</v>
      </c>
      <c r="E989" t="s">
        <v>3223</v>
      </c>
      <c r="F989" t="s">
        <v>3226</v>
      </c>
      <c r="G989" s="4">
        <v>25130.52</v>
      </c>
      <c r="H989" s="4">
        <v>20104.416000000001</v>
      </c>
      <c r="I989" s="3" t="s">
        <v>3735</v>
      </c>
      <c r="J989">
        <v>3</v>
      </c>
      <c r="K989" s="4">
        <f>Table3[[#This Row],[Sales]]-Table3[[#This Row],[Cost]]</f>
        <v>5026.1039999999994</v>
      </c>
      <c r="L989" s="6">
        <f>Table3[[#This Row],[Profit]]/Table3[[#This Row],[Sales]]</f>
        <v>0.19999999999999998</v>
      </c>
    </row>
    <row r="990" spans="1:12" x14ac:dyDescent="0.25">
      <c r="A990" t="s">
        <v>579</v>
      </c>
      <c r="B990" s="2">
        <v>44941</v>
      </c>
      <c r="C990" s="2" t="str">
        <f>TEXT(Table3[[#This Row],[Order Date]],"mmmm")</f>
        <v>January</v>
      </c>
      <c r="D990" t="s">
        <v>3220</v>
      </c>
      <c r="E990" t="s">
        <v>3225</v>
      </c>
      <c r="F990" t="s">
        <v>3226</v>
      </c>
      <c r="G990" s="4">
        <v>21454.66</v>
      </c>
      <c r="H990" s="4">
        <v>15377.26</v>
      </c>
      <c r="I990" s="3" t="s">
        <v>3734</v>
      </c>
      <c r="J990">
        <v>1</v>
      </c>
      <c r="K990" s="4">
        <f>Table3[[#This Row],[Sales]]-Table3[[#This Row],[Cost]]</f>
        <v>6077.4</v>
      </c>
      <c r="L990" s="6">
        <f>Table3[[#This Row],[Profit]]/Table3[[#This Row],[Sales]]</f>
        <v>0.28326713170938156</v>
      </c>
    </row>
    <row r="991" spans="1:12" x14ac:dyDescent="0.25">
      <c r="A991" t="s">
        <v>989</v>
      </c>
      <c r="B991" s="2">
        <v>45021</v>
      </c>
      <c r="C991" s="2" t="str">
        <f>TEXT(Table3[[#This Row],[Order Date]],"mmmm")</f>
        <v>April</v>
      </c>
      <c r="D991" t="s">
        <v>3220</v>
      </c>
      <c r="E991" t="s">
        <v>3223</v>
      </c>
      <c r="F991" t="s">
        <v>3226</v>
      </c>
      <c r="G991" s="4">
        <v>42858.39</v>
      </c>
      <c r="H991" s="4">
        <v>24256.400000000001</v>
      </c>
      <c r="I991" s="3" t="s">
        <v>3734</v>
      </c>
      <c r="J991">
        <v>4</v>
      </c>
      <c r="K991" s="4">
        <f>Table3[[#This Row],[Sales]]-Table3[[#This Row],[Cost]]</f>
        <v>18601.989999999998</v>
      </c>
      <c r="L991" s="6">
        <f>Table3[[#This Row],[Profit]]/Table3[[#This Row],[Sales]]</f>
        <v>0.43403380294966748</v>
      </c>
    </row>
    <row r="992" spans="1:12" x14ac:dyDescent="0.25">
      <c r="A992" t="s">
        <v>990</v>
      </c>
      <c r="B992" s="2">
        <v>45021</v>
      </c>
      <c r="C992" s="2" t="str">
        <f>TEXT(Table3[[#This Row],[Order Date]],"mmmm")</f>
        <v>April</v>
      </c>
      <c r="D992" t="s">
        <v>3730</v>
      </c>
      <c r="E992" t="s">
        <v>3223</v>
      </c>
      <c r="F992" t="s">
        <v>3226</v>
      </c>
      <c r="G992" s="4">
        <v>46211.040000000001</v>
      </c>
      <c r="H992" s="4">
        <v>29783.22</v>
      </c>
      <c r="I992" s="3" t="s">
        <v>3734</v>
      </c>
      <c r="J992">
        <v>4</v>
      </c>
      <c r="K992" s="4">
        <f>Table3[[#This Row],[Sales]]-Table3[[#This Row],[Cost]]</f>
        <v>16427.82</v>
      </c>
      <c r="L992" s="6">
        <f>Table3[[#This Row],[Profit]]/Table3[[#This Row],[Sales]]</f>
        <v>0.35549556988979253</v>
      </c>
    </row>
    <row r="993" spans="1:12" x14ac:dyDescent="0.25">
      <c r="A993" t="s">
        <v>991</v>
      </c>
      <c r="B993" s="2">
        <v>44941</v>
      </c>
      <c r="C993" s="2" t="str">
        <f>TEXT(Table3[[#This Row],[Order Date]],"mmmm")</f>
        <v>January</v>
      </c>
      <c r="D993" t="s">
        <v>3216</v>
      </c>
      <c r="E993" t="s">
        <v>3223</v>
      </c>
      <c r="F993" t="s">
        <v>3226</v>
      </c>
      <c r="G993" s="4">
        <v>37859.86</v>
      </c>
      <c r="H993" s="4">
        <v>26839.31</v>
      </c>
      <c r="I993" s="3" t="s">
        <v>3734</v>
      </c>
      <c r="J993">
        <v>4</v>
      </c>
      <c r="K993" s="4">
        <f>Table3[[#This Row],[Sales]]-Table3[[#This Row],[Cost]]</f>
        <v>11020.55</v>
      </c>
      <c r="L993" s="6">
        <f>Table3[[#This Row],[Profit]]/Table3[[#This Row],[Sales]]</f>
        <v>0.29108797549700394</v>
      </c>
    </row>
    <row r="994" spans="1:12" x14ac:dyDescent="0.25">
      <c r="A994" t="s">
        <v>993</v>
      </c>
      <c r="B994" s="2" t="s">
        <v>3729</v>
      </c>
      <c r="C994" s="2" t="str">
        <f>TEXT(Table3[[#This Row],[Order Date]],"mmmm")</f>
        <v>Not Mentioned</v>
      </c>
      <c r="D994" t="s">
        <v>3216</v>
      </c>
      <c r="E994" t="s">
        <v>3222</v>
      </c>
      <c r="F994" t="s">
        <v>3226</v>
      </c>
      <c r="G994" s="4">
        <v>32275.63</v>
      </c>
      <c r="H994" s="4">
        <v>19346.62</v>
      </c>
      <c r="I994" s="3" t="s">
        <v>3734</v>
      </c>
      <c r="J994">
        <v>2</v>
      </c>
      <c r="K994" s="4">
        <f>Table3[[#This Row],[Sales]]-Table3[[#This Row],[Cost]]</f>
        <v>12929.010000000002</v>
      </c>
      <c r="L994" s="6">
        <f>Table3[[#This Row],[Profit]]/Table3[[#This Row],[Sales]]</f>
        <v>0.40058118152922195</v>
      </c>
    </row>
    <row r="995" spans="1:12" x14ac:dyDescent="0.25">
      <c r="A995" t="s">
        <v>3398</v>
      </c>
      <c r="B995" s="2">
        <v>45021</v>
      </c>
      <c r="C995" s="2" t="str">
        <f>TEXT(Table3[[#This Row],[Order Date]],"mmmm")</f>
        <v>April</v>
      </c>
      <c r="D995" t="s">
        <v>3730</v>
      </c>
      <c r="E995" t="s">
        <v>3222</v>
      </c>
      <c r="F995" t="s">
        <v>3226</v>
      </c>
      <c r="G995" s="4">
        <v>37737.910000000003</v>
      </c>
      <c r="H995" s="4">
        <v>25600.67</v>
      </c>
      <c r="I995" s="3" t="s">
        <v>3734</v>
      </c>
      <c r="J995" t="s">
        <v>3732</v>
      </c>
      <c r="K995" s="4">
        <f>Table3[[#This Row],[Sales]]-Table3[[#This Row],[Cost]]</f>
        <v>12137.240000000005</v>
      </c>
      <c r="L995" s="6">
        <f>Table3[[#This Row],[Profit]]/Table3[[#This Row],[Sales]]</f>
        <v>0.32161929476221668</v>
      </c>
    </row>
    <row r="996" spans="1:12" x14ac:dyDescent="0.25">
      <c r="A996" t="s">
        <v>995</v>
      </c>
      <c r="B996" s="2">
        <v>45102</v>
      </c>
      <c r="C996" s="2" t="str">
        <f>TEXT(Table3[[#This Row],[Order Date]],"mmmm")</f>
        <v>June</v>
      </c>
      <c r="D996" t="s">
        <v>3216</v>
      </c>
      <c r="E996" t="s">
        <v>3222</v>
      </c>
      <c r="F996" t="s">
        <v>3226</v>
      </c>
      <c r="G996" s="4">
        <v>65218.43</v>
      </c>
      <c r="H996" s="4">
        <v>41626.53</v>
      </c>
      <c r="I996" s="3" t="s">
        <v>3734</v>
      </c>
      <c r="J996">
        <v>4</v>
      </c>
      <c r="K996" s="4">
        <f>Table3[[#This Row],[Sales]]-Table3[[#This Row],[Cost]]</f>
        <v>23591.9</v>
      </c>
      <c r="L996" s="6">
        <f>Table3[[#This Row],[Profit]]/Table3[[#This Row],[Sales]]</f>
        <v>0.36173670540673858</v>
      </c>
    </row>
    <row r="997" spans="1:12" x14ac:dyDescent="0.25">
      <c r="A997" t="s">
        <v>3399</v>
      </c>
      <c r="B997" s="2" t="s">
        <v>3729</v>
      </c>
      <c r="C997" s="2" t="str">
        <f>TEXT(Table3[[#This Row],[Order Date]],"mmmm")</f>
        <v>Not Mentioned</v>
      </c>
      <c r="D997" t="s">
        <v>3730</v>
      </c>
      <c r="E997" t="s">
        <v>3224</v>
      </c>
      <c r="F997" t="s">
        <v>3226</v>
      </c>
      <c r="G997" s="4">
        <v>190408.55</v>
      </c>
      <c r="H997" s="4">
        <v>139331.91</v>
      </c>
      <c r="I997" s="3" t="s">
        <v>3734</v>
      </c>
      <c r="J997">
        <v>3</v>
      </c>
      <c r="K997" s="4">
        <f>Table3[[#This Row],[Sales]]-Table3[[#This Row],[Cost]]</f>
        <v>51076.639999999985</v>
      </c>
      <c r="L997" s="6">
        <f>Table3[[#This Row],[Profit]]/Table3[[#This Row],[Sales]]</f>
        <v>0.26824761808227621</v>
      </c>
    </row>
    <row r="998" spans="1:12" x14ac:dyDescent="0.25">
      <c r="A998" t="s">
        <v>799</v>
      </c>
      <c r="B998" s="2" t="s">
        <v>3729</v>
      </c>
      <c r="C998" s="2" t="str">
        <f>TEXT(Table3[[#This Row],[Order Date]],"mmmm")</f>
        <v>Not Mentioned</v>
      </c>
      <c r="D998" t="s">
        <v>3730</v>
      </c>
      <c r="E998" t="s">
        <v>3225</v>
      </c>
      <c r="F998" t="s">
        <v>3226</v>
      </c>
      <c r="G998" s="4">
        <v>104900.63</v>
      </c>
      <c r="H998" s="4">
        <v>65013.49</v>
      </c>
      <c r="I998" s="3" t="s">
        <v>3734</v>
      </c>
      <c r="J998">
        <v>5</v>
      </c>
      <c r="K998" s="4">
        <f>Table3[[#This Row],[Sales]]-Table3[[#This Row],[Cost]]</f>
        <v>39887.140000000007</v>
      </c>
      <c r="L998" s="6">
        <f>Table3[[#This Row],[Profit]]/Table3[[#This Row],[Sales]]</f>
        <v>0.38023737321691969</v>
      </c>
    </row>
    <row r="999" spans="1:12" x14ac:dyDescent="0.25">
      <c r="A999" t="s">
        <v>658</v>
      </c>
      <c r="B999" s="2">
        <v>45005</v>
      </c>
      <c r="C999" s="2" t="str">
        <f>TEXT(Table3[[#This Row],[Order Date]],"mmmm")</f>
        <v>March</v>
      </c>
      <c r="D999" t="s">
        <v>3731</v>
      </c>
      <c r="E999" t="s">
        <v>3224</v>
      </c>
      <c r="F999" t="s">
        <v>3226</v>
      </c>
      <c r="G999" s="4">
        <v>129925.94</v>
      </c>
      <c r="H999" s="4">
        <v>94284.17</v>
      </c>
      <c r="I999" s="3" t="s">
        <v>3734</v>
      </c>
      <c r="J999">
        <v>2</v>
      </c>
      <c r="K999" s="4">
        <f>Table3[[#This Row],[Sales]]-Table3[[#This Row],[Cost]]</f>
        <v>35641.770000000004</v>
      </c>
      <c r="L999" s="6">
        <f>Table3[[#This Row],[Profit]]/Table3[[#This Row],[Sales]]</f>
        <v>0.27432374166390489</v>
      </c>
    </row>
    <row r="1000" spans="1:12" x14ac:dyDescent="0.25">
      <c r="A1000" t="s">
        <v>997</v>
      </c>
      <c r="B1000" s="2">
        <v>45021</v>
      </c>
      <c r="C1000" s="2" t="str">
        <f>TEXT(Table3[[#This Row],[Order Date]],"mmmm")</f>
        <v>April</v>
      </c>
      <c r="D1000" t="s">
        <v>3731</v>
      </c>
      <c r="E1000" t="s">
        <v>3225</v>
      </c>
      <c r="F1000" t="s">
        <v>3226</v>
      </c>
      <c r="G1000" s="4">
        <v>82579.83</v>
      </c>
      <c r="H1000" s="4">
        <v>58423.26</v>
      </c>
      <c r="I1000" s="3" t="s">
        <v>3734</v>
      </c>
      <c r="J1000">
        <v>4</v>
      </c>
      <c r="K1000" s="4">
        <f>Table3[[#This Row],[Sales]]-Table3[[#This Row],[Cost]]</f>
        <v>24156.57</v>
      </c>
      <c r="L1000" s="6">
        <f>Table3[[#This Row],[Profit]]/Table3[[#This Row],[Sales]]</f>
        <v>0.29252385237412087</v>
      </c>
    </row>
    <row r="1001" spans="1:12" x14ac:dyDescent="0.25">
      <c r="A1001" t="s">
        <v>998</v>
      </c>
      <c r="B1001" s="2">
        <v>45102</v>
      </c>
      <c r="C1001" s="2" t="str">
        <f>TEXT(Table3[[#This Row],[Order Date]],"mmmm")</f>
        <v>June</v>
      </c>
      <c r="D1001" t="s">
        <v>3220</v>
      </c>
      <c r="E1001" t="s">
        <v>3223</v>
      </c>
      <c r="F1001" t="s">
        <v>3226</v>
      </c>
      <c r="G1001" s="4">
        <v>27200.44</v>
      </c>
      <c r="H1001" s="4">
        <v>22926.67</v>
      </c>
      <c r="I1001" s="3" t="s">
        <v>3734</v>
      </c>
      <c r="J1001">
        <v>3</v>
      </c>
      <c r="K1001" s="4">
        <f>Table3[[#This Row],[Sales]]-Table3[[#This Row],[Cost]]</f>
        <v>4273.7700000000004</v>
      </c>
      <c r="L1001" s="6">
        <f>Table3[[#This Row],[Profit]]/Table3[[#This Row],[Sales]]</f>
        <v>0.15712135538983932</v>
      </c>
    </row>
    <row r="1002" spans="1:12" x14ac:dyDescent="0.25">
      <c r="A1002" t="s">
        <v>999</v>
      </c>
      <c r="B1002" s="2">
        <v>44941</v>
      </c>
      <c r="C1002" s="2" t="str">
        <f>TEXT(Table3[[#This Row],[Order Date]],"mmmm")</f>
        <v>January</v>
      </c>
      <c r="D1002" t="s">
        <v>3216</v>
      </c>
      <c r="E1002" t="s">
        <v>3223</v>
      </c>
      <c r="F1002" t="s">
        <v>3226</v>
      </c>
      <c r="G1002" s="4">
        <v>55860.160000000003</v>
      </c>
      <c r="H1002" s="4">
        <v>37821.31</v>
      </c>
      <c r="I1002" s="3" t="s">
        <v>3734</v>
      </c>
      <c r="J1002">
        <v>5</v>
      </c>
      <c r="K1002" s="4">
        <f>Table3[[#This Row],[Sales]]-Table3[[#This Row],[Cost]]</f>
        <v>18038.850000000006</v>
      </c>
      <c r="L1002" s="6">
        <f>Table3[[#This Row],[Profit]]/Table3[[#This Row],[Sales]]</f>
        <v>0.32292872057652544</v>
      </c>
    </row>
    <row r="1003" spans="1:12" x14ac:dyDescent="0.25">
      <c r="A1003" t="s">
        <v>1000</v>
      </c>
      <c r="B1003" s="2" t="s">
        <v>3729</v>
      </c>
      <c r="C1003" s="2" t="str">
        <f>TEXT(Table3[[#This Row],[Order Date]],"mmmm")</f>
        <v>Not Mentioned</v>
      </c>
      <c r="D1003" t="s">
        <v>3216</v>
      </c>
      <c r="E1003" t="s">
        <v>3224</v>
      </c>
      <c r="F1003" t="s">
        <v>3226</v>
      </c>
      <c r="G1003" s="4">
        <v>65122.98</v>
      </c>
      <c r="H1003" s="4">
        <v>52098.384000000005</v>
      </c>
      <c r="I1003" s="3" t="s">
        <v>3735</v>
      </c>
      <c r="J1003">
        <v>1</v>
      </c>
      <c r="K1003" s="4">
        <f>Table3[[#This Row],[Sales]]-Table3[[#This Row],[Cost]]</f>
        <v>13024.595999999998</v>
      </c>
      <c r="L1003" s="6">
        <f>Table3[[#This Row],[Profit]]/Table3[[#This Row],[Sales]]</f>
        <v>0.19999999999999996</v>
      </c>
    </row>
    <row r="1004" spans="1:12" x14ac:dyDescent="0.25">
      <c r="A1004" t="s">
        <v>1002</v>
      </c>
      <c r="B1004" s="2">
        <v>45021</v>
      </c>
      <c r="C1004" s="2" t="str">
        <f>TEXT(Table3[[#This Row],[Order Date]],"mmmm")</f>
        <v>April</v>
      </c>
      <c r="D1004" t="s">
        <v>3220</v>
      </c>
      <c r="E1004" t="s">
        <v>3223</v>
      </c>
      <c r="F1004" t="s">
        <v>3226</v>
      </c>
      <c r="G1004" s="4">
        <v>23976.17</v>
      </c>
      <c r="H1004" s="4">
        <v>13495.53</v>
      </c>
      <c r="I1004" s="3" t="s">
        <v>3734</v>
      </c>
      <c r="J1004">
        <v>2</v>
      </c>
      <c r="K1004" s="4">
        <f>Table3[[#This Row],[Sales]]-Table3[[#This Row],[Cost]]</f>
        <v>10480.639999999998</v>
      </c>
      <c r="L1004" s="6">
        <f>Table3[[#This Row],[Profit]]/Table3[[#This Row],[Sales]]</f>
        <v>0.43712736437888111</v>
      </c>
    </row>
    <row r="1005" spans="1:12" x14ac:dyDescent="0.25">
      <c r="A1005" t="s">
        <v>948</v>
      </c>
      <c r="B1005" s="2">
        <v>45021</v>
      </c>
      <c r="C1005" s="2" t="str">
        <f>TEXT(Table3[[#This Row],[Order Date]],"mmmm")</f>
        <v>April</v>
      </c>
      <c r="D1005" t="s">
        <v>3220</v>
      </c>
      <c r="E1005" t="s">
        <v>3225</v>
      </c>
      <c r="F1005" t="s">
        <v>3226</v>
      </c>
      <c r="G1005" s="4">
        <v>63781.64</v>
      </c>
      <c r="H1005" s="4">
        <v>44972.75</v>
      </c>
      <c r="I1005" s="3" t="s">
        <v>3734</v>
      </c>
      <c r="J1005">
        <v>3</v>
      </c>
      <c r="K1005" s="4">
        <f>Table3[[#This Row],[Sales]]-Table3[[#This Row],[Cost]]</f>
        <v>18808.89</v>
      </c>
      <c r="L1005" s="6">
        <f>Table3[[#This Row],[Profit]]/Table3[[#This Row],[Sales]]</f>
        <v>0.29489505130316496</v>
      </c>
    </row>
    <row r="1006" spans="1:12" x14ac:dyDescent="0.25">
      <c r="A1006" t="s">
        <v>1003</v>
      </c>
      <c r="B1006" s="2">
        <v>45021</v>
      </c>
      <c r="C1006" s="2" t="str">
        <f>TEXT(Table3[[#This Row],[Order Date]],"mmmm")</f>
        <v>April</v>
      </c>
      <c r="D1006" t="s">
        <v>3216</v>
      </c>
      <c r="E1006" t="s">
        <v>3225</v>
      </c>
      <c r="F1006" t="s">
        <v>3226</v>
      </c>
      <c r="G1006" s="4">
        <v>67695.06</v>
      </c>
      <c r="H1006" s="4">
        <v>37043.47</v>
      </c>
      <c r="I1006" s="3" t="s">
        <v>3734</v>
      </c>
      <c r="J1006">
        <v>3</v>
      </c>
      <c r="K1006" s="4">
        <f>Table3[[#This Row],[Sales]]-Table3[[#This Row],[Cost]]</f>
        <v>30651.589999999997</v>
      </c>
      <c r="L1006" s="6">
        <f>Table3[[#This Row],[Profit]]/Table3[[#This Row],[Sales]]</f>
        <v>0.45278916954944715</v>
      </c>
    </row>
    <row r="1007" spans="1:12" x14ac:dyDescent="0.25">
      <c r="A1007" t="s">
        <v>3363</v>
      </c>
      <c r="B1007" s="2">
        <v>45102</v>
      </c>
      <c r="C1007" s="2" t="str">
        <f>TEXT(Table3[[#This Row],[Order Date]],"mmmm")</f>
        <v>June</v>
      </c>
      <c r="D1007" t="s">
        <v>3220</v>
      </c>
      <c r="E1007" t="s">
        <v>3225</v>
      </c>
      <c r="F1007" t="s">
        <v>3226</v>
      </c>
      <c r="G1007" s="4">
        <v>23301.61</v>
      </c>
      <c r="H1007" s="4">
        <v>12574.81</v>
      </c>
      <c r="I1007" s="3" t="s">
        <v>3734</v>
      </c>
      <c r="J1007">
        <v>1</v>
      </c>
      <c r="K1007" s="4">
        <f>Table3[[#This Row],[Sales]]-Table3[[#This Row],[Cost]]</f>
        <v>10726.800000000001</v>
      </c>
      <c r="L1007" s="6">
        <f>Table3[[#This Row],[Profit]]/Table3[[#This Row],[Sales]]</f>
        <v>0.46034587309632258</v>
      </c>
    </row>
    <row r="1008" spans="1:12" x14ac:dyDescent="0.25">
      <c r="A1008" t="s">
        <v>521</v>
      </c>
      <c r="B1008" s="2" t="s">
        <v>3729</v>
      </c>
      <c r="C1008" s="2" t="str">
        <f>TEXT(Table3[[#This Row],[Order Date]],"mmmm")</f>
        <v>Not Mentioned</v>
      </c>
      <c r="D1008" t="s">
        <v>3216</v>
      </c>
      <c r="E1008" t="s">
        <v>3225</v>
      </c>
      <c r="F1008" t="s">
        <v>3226</v>
      </c>
      <c r="G1008" s="4">
        <v>22292.39</v>
      </c>
      <c r="H1008" s="4">
        <v>17833.912</v>
      </c>
      <c r="I1008" s="3" t="s">
        <v>3735</v>
      </c>
      <c r="J1008">
        <v>1</v>
      </c>
      <c r="K1008" s="4">
        <f>Table3[[#This Row],[Sales]]-Table3[[#This Row],[Cost]]</f>
        <v>4458.4779999999992</v>
      </c>
      <c r="L1008" s="6">
        <f>Table3[[#This Row],[Profit]]/Table3[[#This Row],[Sales]]</f>
        <v>0.19999999999999996</v>
      </c>
    </row>
    <row r="1009" spans="1:12" x14ac:dyDescent="0.25">
      <c r="A1009" t="s">
        <v>1004</v>
      </c>
      <c r="B1009" s="2" t="s">
        <v>3729</v>
      </c>
      <c r="C1009" s="2" t="str">
        <f>TEXT(Table3[[#This Row],[Order Date]],"mmmm")</f>
        <v>Not Mentioned</v>
      </c>
      <c r="D1009" t="s">
        <v>3730</v>
      </c>
      <c r="E1009" t="s">
        <v>3225</v>
      </c>
      <c r="F1009" t="s">
        <v>3226</v>
      </c>
      <c r="G1009" s="4">
        <v>83560.13</v>
      </c>
      <c r="H1009" s="4">
        <v>71644.86</v>
      </c>
      <c r="I1009" s="3" t="s">
        <v>3734</v>
      </c>
      <c r="J1009">
        <v>5</v>
      </c>
      <c r="K1009" s="4">
        <f>Table3[[#This Row],[Sales]]-Table3[[#This Row],[Cost]]</f>
        <v>11915.270000000004</v>
      </c>
      <c r="L1009" s="6">
        <f>Table3[[#This Row],[Profit]]/Table3[[#This Row],[Sales]]</f>
        <v>0.1425951587198345</v>
      </c>
    </row>
    <row r="1010" spans="1:12" x14ac:dyDescent="0.25">
      <c r="A1010" t="s">
        <v>3400</v>
      </c>
      <c r="B1010" s="2">
        <v>44972</v>
      </c>
      <c r="C1010" s="2" t="str">
        <f>TEXT(Table3[[#This Row],[Order Date]],"mmmm")</f>
        <v>February</v>
      </c>
      <c r="D1010" t="s">
        <v>3216</v>
      </c>
      <c r="E1010" t="s">
        <v>3225</v>
      </c>
      <c r="F1010" t="s">
        <v>3226</v>
      </c>
      <c r="G1010" s="4">
        <v>17136.490000000002</v>
      </c>
      <c r="H1010" s="4">
        <v>14366.79</v>
      </c>
      <c r="I1010" s="3" t="s">
        <v>3734</v>
      </c>
      <c r="J1010">
        <v>1</v>
      </c>
      <c r="K1010" s="4">
        <f>Table3[[#This Row],[Sales]]-Table3[[#This Row],[Cost]]</f>
        <v>2769.7000000000007</v>
      </c>
      <c r="L1010" s="6">
        <f>Table3[[#This Row],[Profit]]/Table3[[#This Row],[Sales]]</f>
        <v>0.16162586387294017</v>
      </c>
    </row>
    <row r="1011" spans="1:12" x14ac:dyDescent="0.25">
      <c r="A1011" t="s">
        <v>1006</v>
      </c>
      <c r="B1011" s="2" t="s">
        <v>3729</v>
      </c>
      <c r="C1011" s="2" t="str">
        <f>TEXT(Table3[[#This Row],[Order Date]],"mmmm")</f>
        <v>Not Mentioned</v>
      </c>
      <c r="D1011" t="s">
        <v>3216</v>
      </c>
      <c r="E1011" t="s">
        <v>3224</v>
      </c>
      <c r="F1011" t="s">
        <v>3226</v>
      </c>
      <c r="G1011" s="4">
        <v>202260.8</v>
      </c>
      <c r="H1011" s="4">
        <v>189949.97</v>
      </c>
      <c r="I1011" s="3" t="s">
        <v>3734</v>
      </c>
      <c r="J1011">
        <v>4</v>
      </c>
      <c r="K1011" s="4">
        <f>Table3[[#This Row],[Sales]]-Table3[[#This Row],[Cost]]</f>
        <v>12310.829999999987</v>
      </c>
      <c r="L1011" s="6">
        <f>Table3[[#This Row],[Profit]]/Table3[[#This Row],[Sales]]</f>
        <v>6.0866119386455447E-2</v>
      </c>
    </row>
    <row r="1012" spans="1:12" x14ac:dyDescent="0.25">
      <c r="A1012" t="s">
        <v>1007</v>
      </c>
      <c r="B1012" s="2">
        <v>45021</v>
      </c>
      <c r="C1012" s="2" t="str">
        <f>TEXT(Table3[[#This Row],[Order Date]],"mmmm")</f>
        <v>April</v>
      </c>
      <c r="D1012" t="s">
        <v>3730</v>
      </c>
      <c r="E1012" t="s">
        <v>3222</v>
      </c>
      <c r="F1012" t="s">
        <v>3226</v>
      </c>
      <c r="G1012" s="4">
        <v>53237.94</v>
      </c>
      <c r="H1012" s="4">
        <v>42590.352000000006</v>
      </c>
      <c r="I1012" s="3" t="s">
        <v>3735</v>
      </c>
      <c r="J1012">
        <v>3</v>
      </c>
      <c r="K1012" s="4">
        <f>Table3[[#This Row],[Sales]]-Table3[[#This Row],[Cost]]</f>
        <v>10647.587999999996</v>
      </c>
      <c r="L1012" s="6">
        <f>Table3[[#This Row],[Profit]]/Table3[[#This Row],[Sales]]</f>
        <v>0.19999999999999993</v>
      </c>
    </row>
    <row r="1013" spans="1:12" x14ac:dyDescent="0.25">
      <c r="A1013" t="s">
        <v>1008</v>
      </c>
      <c r="B1013" s="2">
        <v>44972</v>
      </c>
      <c r="C1013" s="2" t="str">
        <f>TEXT(Table3[[#This Row],[Order Date]],"mmmm")</f>
        <v>February</v>
      </c>
      <c r="D1013" t="s">
        <v>3731</v>
      </c>
      <c r="E1013" t="s">
        <v>3223</v>
      </c>
      <c r="F1013" t="s">
        <v>3226</v>
      </c>
      <c r="G1013" s="4">
        <v>10219.73</v>
      </c>
      <c r="H1013" s="4">
        <v>6270.12</v>
      </c>
      <c r="I1013" s="3" t="s">
        <v>3734</v>
      </c>
      <c r="J1013">
        <v>1</v>
      </c>
      <c r="K1013" s="4">
        <f>Table3[[#This Row],[Sales]]-Table3[[#This Row],[Cost]]</f>
        <v>3949.6099999999997</v>
      </c>
      <c r="L1013" s="6">
        <f>Table3[[#This Row],[Profit]]/Table3[[#This Row],[Sales]]</f>
        <v>0.38646911415467922</v>
      </c>
    </row>
    <row r="1014" spans="1:12" x14ac:dyDescent="0.25">
      <c r="A1014" t="s">
        <v>3401</v>
      </c>
      <c r="B1014" s="2">
        <v>45102</v>
      </c>
      <c r="C1014" s="2" t="str">
        <f>TEXT(Table3[[#This Row],[Order Date]],"mmmm")</f>
        <v>June</v>
      </c>
      <c r="D1014" t="s">
        <v>3216</v>
      </c>
      <c r="E1014" t="s">
        <v>3223</v>
      </c>
      <c r="F1014" t="s">
        <v>3226</v>
      </c>
      <c r="G1014" s="4">
        <v>22308.65</v>
      </c>
      <c r="H1014" s="4">
        <v>14378.08</v>
      </c>
      <c r="I1014" s="3" t="s">
        <v>3734</v>
      </c>
      <c r="J1014">
        <v>2</v>
      </c>
      <c r="K1014" s="4">
        <f>Table3[[#This Row],[Sales]]-Table3[[#This Row],[Cost]]</f>
        <v>7930.5700000000015</v>
      </c>
      <c r="L1014" s="6">
        <f>Table3[[#This Row],[Profit]]/Table3[[#This Row],[Sales]]</f>
        <v>0.35549304866049719</v>
      </c>
    </row>
    <row r="1015" spans="1:12" x14ac:dyDescent="0.25">
      <c r="A1015" t="s">
        <v>1010</v>
      </c>
      <c r="B1015" s="2">
        <v>44941</v>
      </c>
      <c r="C1015" s="2" t="str">
        <f>TEXT(Table3[[#This Row],[Order Date]],"mmmm")</f>
        <v>January</v>
      </c>
      <c r="D1015" t="s">
        <v>3220</v>
      </c>
      <c r="E1015" t="s">
        <v>3223</v>
      </c>
      <c r="F1015" t="s">
        <v>3226</v>
      </c>
      <c r="G1015" s="4">
        <v>49942.81</v>
      </c>
      <c r="H1015" s="4">
        <v>36831.75</v>
      </c>
      <c r="I1015" s="3" t="s">
        <v>3734</v>
      </c>
      <c r="J1015">
        <v>5</v>
      </c>
      <c r="K1015" s="4">
        <f>Table3[[#This Row],[Sales]]-Table3[[#This Row],[Cost]]</f>
        <v>13111.059999999998</v>
      </c>
      <c r="L1015" s="6">
        <f>Table3[[#This Row],[Profit]]/Table3[[#This Row],[Sales]]</f>
        <v>0.26252147205974191</v>
      </c>
    </row>
    <row r="1016" spans="1:12" x14ac:dyDescent="0.25">
      <c r="A1016" t="s">
        <v>3402</v>
      </c>
      <c r="B1016" s="2">
        <v>44941</v>
      </c>
      <c r="C1016" s="2" t="str">
        <f>TEXT(Table3[[#This Row],[Order Date]],"mmmm")</f>
        <v>January</v>
      </c>
      <c r="D1016" t="s">
        <v>3216</v>
      </c>
      <c r="E1016" t="s">
        <v>3223</v>
      </c>
      <c r="F1016" t="s">
        <v>3226</v>
      </c>
      <c r="G1016" s="4">
        <v>8635.41</v>
      </c>
      <c r="H1016" s="4">
        <v>6292.42</v>
      </c>
      <c r="I1016" s="3" t="s">
        <v>3734</v>
      </c>
      <c r="J1016">
        <v>1</v>
      </c>
      <c r="K1016" s="4">
        <f>Table3[[#This Row],[Sales]]-Table3[[#This Row],[Cost]]</f>
        <v>2342.9899999999998</v>
      </c>
      <c r="L1016" s="6">
        <f>Table3[[#This Row],[Profit]]/Table3[[#This Row],[Sales]]</f>
        <v>0.27132353877812398</v>
      </c>
    </row>
    <row r="1017" spans="1:12" x14ac:dyDescent="0.25">
      <c r="A1017" t="s">
        <v>1012</v>
      </c>
      <c r="B1017" s="2">
        <v>45005</v>
      </c>
      <c r="C1017" s="2" t="str">
        <f>TEXT(Table3[[#This Row],[Order Date]],"mmmm")</f>
        <v>March</v>
      </c>
      <c r="D1017" t="s">
        <v>3220</v>
      </c>
      <c r="E1017" t="s">
        <v>3224</v>
      </c>
      <c r="F1017" t="s">
        <v>3226</v>
      </c>
      <c r="G1017" s="4">
        <v>248690.68</v>
      </c>
      <c r="H1017" s="4">
        <v>207858.41</v>
      </c>
      <c r="I1017" s="3" t="s">
        <v>3734</v>
      </c>
      <c r="J1017">
        <v>5</v>
      </c>
      <c r="K1017" s="4">
        <f>Table3[[#This Row],[Sales]]-Table3[[#This Row],[Cost]]</f>
        <v>40832.26999999999</v>
      </c>
      <c r="L1017" s="6">
        <f>Table3[[#This Row],[Profit]]/Table3[[#This Row],[Sales]]</f>
        <v>0.1641889836804499</v>
      </c>
    </row>
    <row r="1018" spans="1:12" x14ac:dyDescent="0.25">
      <c r="A1018" t="s">
        <v>3403</v>
      </c>
      <c r="B1018" s="2">
        <v>44941</v>
      </c>
      <c r="C1018" s="2" t="str">
        <f>TEXT(Table3[[#This Row],[Order Date]],"mmmm")</f>
        <v>January</v>
      </c>
      <c r="D1018" t="s">
        <v>3220</v>
      </c>
      <c r="E1018" t="s">
        <v>3222</v>
      </c>
      <c r="F1018" t="s">
        <v>3226</v>
      </c>
      <c r="G1018" s="4">
        <v>46818.47</v>
      </c>
      <c r="H1018" s="4">
        <v>27955.33</v>
      </c>
      <c r="I1018" s="3" t="s">
        <v>3734</v>
      </c>
      <c r="J1018">
        <v>3</v>
      </c>
      <c r="K1018" s="4">
        <f>Table3[[#This Row],[Sales]]-Table3[[#This Row],[Cost]]</f>
        <v>18863.14</v>
      </c>
      <c r="L1018" s="6">
        <f>Table3[[#This Row],[Profit]]/Table3[[#This Row],[Sales]]</f>
        <v>0.40289953943390289</v>
      </c>
    </row>
    <row r="1019" spans="1:12" x14ac:dyDescent="0.25">
      <c r="A1019" t="s">
        <v>1014</v>
      </c>
      <c r="B1019" s="2">
        <v>45005</v>
      </c>
      <c r="C1019" s="2" t="str">
        <f>TEXT(Table3[[#This Row],[Order Date]],"mmmm")</f>
        <v>March</v>
      </c>
      <c r="D1019" t="s">
        <v>3220</v>
      </c>
      <c r="E1019" t="s">
        <v>3222</v>
      </c>
      <c r="F1019" t="s">
        <v>3226</v>
      </c>
      <c r="G1019" s="4">
        <v>87236.72</v>
      </c>
      <c r="H1019" s="4">
        <v>47039.86</v>
      </c>
      <c r="I1019" s="3" t="s">
        <v>3734</v>
      </c>
      <c r="J1019">
        <v>5</v>
      </c>
      <c r="K1019" s="4">
        <f>Table3[[#This Row],[Sales]]-Table3[[#This Row],[Cost]]</f>
        <v>40196.86</v>
      </c>
      <c r="L1019" s="6">
        <f>Table3[[#This Row],[Profit]]/Table3[[#This Row],[Sales]]</f>
        <v>0.46077913062297621</v>
      </c>
    </row>
    <row r="1020" spans="1:12" x14ac:dyDescent="0.25">
      <c r="A1020" t="s">
        <v>3404</v>
      </c>
      <c r="B1020" s="2" t="s">
        <v>3729</v>
      </c>
      <c r="C1020" s="2" t="str">
        <f>TEXT(Table3[[#This Row],[Order Date]],"mmmm")</f>
        <v>Not Mentioned</v>
      </c>
      <c r="D1020" t="s">
        <v>3731</v>
      </c>
      <c r="E1020" t="s">
        <v>3222</v>
      </c>
      <c r="F1020" t="s">
        <v>3226</v>
      </c>
      <c r="G1020" s="4">
        <v>12619.55</v>
      </c>
      <c r="H1020" s="4">
        <v>8630.2199999999993</v>
      </c>
      <c r="I1020" s="3" t="s">
        <v>3734</v>
      </c>
      <c r="J1020">
        <v>1</v>
      </c>
      <c r="K1020" s="4">
        <f>Table3[[#This Row],[Sales]]-Table3[[#This Row],[Cost]]</f>
        <v>3989.33</v>
      </c>
      <c r="L1020" s="6">
        <f>Table3[[#This Row],[Profit]]/Table3[[#This Row],[Sales]]</f>
        <v>0.31612299963152413</v>
      </c>
    </row>
    <row r="1021" spans="1:12" x14ac:dyDescent="0.25">
      <c r="A1021" t="s">
        <v>3405</v>
      </c>
      <c r="B1021" s="2">
        <v>45005</v>
      </c>
      <c r="C1021" s="2" t="str">
        <f>TEXT(Table3[[#This Row],[Order Date]],"mmmm")</f>
        <v>March</v>
      </c>
      <c r="D1021" t="s">
        <v>3730</v>
      </c>
      <c r="E1021" t="s">
        <v>3225</v>
      </c>
      <c r="F1021" t="s">
        <v>3226</v>
      </c>
      <c r="G1021" s="4">
        <v>18613.93</v>
      </c>
      <c r="H1021" s="4">
        <v>13645.56</v>
      </c>
      <c r="I1021" s="3" t="s">
        <v>3734</v>
      </c>
      <c r="J1021">
        <v>1</v>
      </c>
      <c r="K1021" s="4">
        <f>Table3[[#This Row],[Sales]]-Table3[[#This Row],[Cost]]</f>
        <v>4968.3700000000008</v>
      </c>
      <c r="L1021" s="6">
        <f>Table3[[#This Row],[Profit]]/Table3[[#This Row],[Sales]]</f>
        <v>0.26691676609936754</v>
      </c>
    </row>
    <row r="1022" spans="1:12" x14ac:dyDescent="0.25">
      <c r="A1022" t="s">
        <v>3406</v>
      </c>
      <c r="B1022" s="2">
        <v>44941</v>
      </c>
      <c r="C1022" s="2" t="str">
        <f>TEXT(Table3[[#This Row],[Order Date]],"mmmm")</f>
        <v>January</v>
      </c>
      <c r="D1022" t="s">
        <v>3220</v>
      </c>
      <c r="E1022" t="s">
        <v>3223</v>
      </c>
      <c r="F1022" t="s">
        <v>3226</v>
      </c>
      <c r="G1022" s="4">
        <v>49059.96</v>
      </c>
      <c r="H1022" s="4">
        <v>34237.72</v>
      </c>
      <c r="I1022" s="3" t="s">
        <v>3734</v>
      </c>
      <c r="J1022">
        <v>5</v>
      </c>
      <c r="K1022" s="4">
        <f>Table3[[#This Row],[Sales]]-Table3[[#This Row],[Cost]]</f>
        <v>14822.239999999998</v>
      </c>
      <c r="L1022" s="6">
        <f>Table3[[#This Row],[Profit]]/Table3[[#This Row],[Sales]]</f>
        <v>0.30212499154096328</v>
      </c>
    </row>
    <row r="1023" spans="1:12" x14ac:dyDescent="0.25">
      <c r="A1023" t="s">
        <v>1021</v>
      </c>
      <c r="B1023" s="2">
        <v>45021</v>
      </c>
      <c r="C1023" s="2" t="str">
        <f>TEXT(Table3[[#This Row],[Order Date]],"mmmm")</f>
        <v>April</v>
      </c>
      <c r="D1023" t="s">
        <v>3731</v>
      </c>
      <c r="E1023" t="s">
        <v>3224</v>
      </c>
      <c r="F1023" t="s">
        <v>3226</v>
      </c>
      <c r="G1023" s="4">
        <v>314433.46000000002</v>
      </c>
      <c r="H1023" s="4">
        <v>221861.25</v>
      </c>
      <c r="I1023" s="3" t="s">
        <v>3734</v>
      </c>
      <c r="J1023">
        <v>5</v>
      </c>
      <c r="K1023" s="4">
        <f>Table3[[#This Row],[Sales]]-Table3[[#This Row],[Cost]]</f>
        <v>92572.210000000021</v>
      </c>
      <c r="L1023" s="6">
        <f>Table3[[#This Row],[Profit]]/Table3[[#This Row],[Sales]]</f>
        <v>0.2944095389848142</v>
      </c>
    </row>
    <row r="1024" spans="1:12" x14ac:dyDescent="0.25">
      <c r="A1024" t="s">
        <v>1022</v>
      </c>
      <c r="B1024" s="2">
        <v>44972</v>
      </c>
      <c r="C1024" s="2" t="str">
        <f>TEXT(Table3[[#This Row],[Order Date]],"mmmm")</f>
        <v>February</v>
      </c>
      <c r="D1024" t="s">
        <v>3216</v>
      </c>
      <c r="E1024" t="s">
        <v>3224</v>
      </c>
      <c r="F1024" t="s">
        <v>3226</v>
      </c>
      <c r="G1024" s="4">
        <v>137508.28</v>
      </c>
      <c r="H1024" s="4">
        <v>86522.82</v>
      </c>
      <c r="I1024" s="3" t="s">
        <v>3734</v>
      </c>
      <c r="J1024" t="s">
        <v>3732</v>
      </c>
      <c r="K1024" s="4">
        <f>Table3[[#This Row],[Sales]]-Table3[[#This Row],[Cost]]</f>
        <v>50985.459999999992</v>
      </c>
      <c r="L1024" s="6">
        <f>Table3[[#This Row],[Profit]]/Table3[[#This Row],[Sales]]</f>
        <v>0.37078101769580707</v>
      </c>
    </row>
    <row r="1025" spans="1:12" x14ac:dyDescent="0.25">
      <c r="A1025" t="s">
        <v>3407</v>
      </c>
      <c r="B1025" s="2">
        <v>45021</v>
      </c>
      <c r="C1025" s="2" t="str">
        <f>TEXT(Table3[[#This Row],[Order Date]],"mmmm")</f>
        <v>April</v>
      </c>
      <c r="D1025" t="s">
        <v>3220</v>
      </c>
      <c r="E1025" t="s">
        <v>3224</v>
      </c>
      <c r="F1025" t="s">
        <v>3226</v>
      </c>
      <c r="G1025" s="4">
        <v>224235.51</v>
      </c>
      <c r="H1025" s="4">
        <v>153142.84</v>
      </c>
      <c r="I1025" s="3" t="s">
        <v>3734</v>
      </c>
      <c r="J1025">
        <v>4</v>
      </c>
      <c r="K1025" s="4">
        <f>Table3[[#This Row],[Sales]]-Table3[[#This Row],[Cost]]</f>
        <v>71092.670000000013</v>
      </c>
      <c r="L1025" s="6">
        <f>Table3[[#This Row],[Profit]]/Table3[[#This Row],[Sales]]</f>
        <v>0.31704465541608468</v>
      </c>
    </row>
    <row r="1026" spans="1:12" x14ac:dyDescent="0.25">
      <c r="A1026" t="s">
        <v>1024</v>
      </c>
      <c r="B1026" s="2">
        <v>45005</v>
      </c>
      <c r="C1026" s="2" t="str">
        <f>TEXT(Table3[[#This Row],[Order Date]],"mmmm")</f>
        <v>March</v>
      </c>
      <c r="D1026" t="s">
        <v>3731</v>
      </c>
      <c r="E1026" t="s">
        <v>3224</v>
      </c>
      <c r="F1026" t="s">
        <v>3226</v>
      </c>
      <c r="G1026" s="4">
        <v>115654.6</v>
      </c>
      <c r="H1026" s="4">
        <v>97944.14</v>
      </c>
      <c r="I1026" s="3" t="s">
        <v>3734</v>
      </c>
      <c r="J1026">
        <v>2</v>
      </c>
      <c r="K1026" s="4">
        <f>Table3[[#This Row],[Sales]]-Table3[[#This Row],[Cost]]</f>
        <v>17710.460000000006</v>
      </c>
      <c r="L1026" s="6">
        <f>Table3[[#This Row],[Profit]]/Table3[[#This Row],[Sales]]</f>
        <v>0.15313234406586512</v>
      </c>
    </row>
    <row r="1027" spans="1:12" x14ac:dyDescent="0.25">
      <c r="A1027" t="s">
        <v>3408</v>
      </c>
      <c r="B1027" s="2">
        <v>44972</v>
      </c>
      <c r="C1027" s="2" t="str">
        <f>TEXT(Table3[[#This Row],[Order Date]],"mmmm")</f>
        <v>February</v>
      </c>
      <c r="D1027" t="s">
        <v>3220</v>
      </c>
      <c r="E1027" t="s">
        <v>3222</v>
      </c>
      <c r="F1027" t="s">
        <v>3226</v>
      </c>
      <c r="G1027" s="4">
        <v>60237.36</v>
      </c>
      <c r="H1027" s="4">
        <v>35048.230000000003</v>
      </c>
      <c r="I1027" s="3" t="s">
        <v>3734</v>
      </c>
      <c r="J1027">
        <v>4</v>
      </c>
      <c r="K1027" s="4">
        <f>Table3[[#This Row],[Sales]]-Table3[[#This Row],[Cost]]</f>
        <v>25189.129999999997</v>
      </c>
      <c r="L1027" s="6">
        <f>Table3[[#This Row],[Profit]]/Table3[[#This Row],[Sales]]</f>
        <v>0.41816457427749154</v>
      </c>
    </row>
    <row r="1028" spans="1:12" x14ac:dyDescent="0.25">
      <c r="A1028" t="s">
        <v>336</v>
      </c>
      <c r="B1028" s="2" t="s">
        <v>3729</v>
      </c>
      <c r="C1028" s="2" t="str">
        <f>TEXT(Table3[[#This Row],[Order Date]],"mmmm")</f>
        <v>Not Mentioned</v>
      </c>
      <c r="D1028" t="s">
        <v>3731</v>
      </c>
      <c r="E1028" t="s">
        <v>3225</v>
      </c>
      <c r="F1028" t="s">
        <v>3226</v>
      </c>
      <c r="G1028" s="4">
        <v>119889.09</v>
      </c>
      <c r="H1028" s="4">
        <v>68684.289999999994</v>
      </c>
      <c r="I1028" s="3" t="s">
        <v>3734</v>
      </c>
      <c r="J1028">
        <v>5</v>
      </c>
      <c r="K1028" s="4">
        <f>Table3[[#This Row],[Sales]]-Table3[[#This Row],[Cost]]</f>
        <v>51204.800000000003</v>
      </c>
      <c r="L1028" s="6">
        <f>Table3[[#This Row],[Profit]]/Table3[[#This Row],[Sales]]</f>
        <v>0.42710141514961875</v>
      </c>
    </row>
    <row r="1029" spans="1:12" x14ac:dyDescent="0.25">
      <c r="A1029" t="s">
        <v>3409</v>
      </c>
      <c r="B1029" s="2">
        <v>44941</v>
      </c>
      <c r="C1029" s="2" t="str">
        <f>TEXT(Table3[[#This Row],[Order Date]],"mmmm")</f>
        <v>January</v>
      </c>
      <c r="D1029" t="s">
        <v>3730</v>
      </c>
      <c r="E1029" t="s">
        <v>3225</v>
      </c>
      <c r="F1029" t="s">
        <v>3226</v>
      </c>
      <c r="G1029" s="4">
        <v>37668.25</v>
      </c>
      <c r="H1029" s="4">
        <v>30141.66</v>
      </c>
      <c r="I1029" s="3" t="s">
        <v>3734</v>
      </c>
      <c r="J1029">
        <v>2</v>
      </c>
      <c r="K1029" s="4">
        <f>Table3[[#This Row],[Sales]]-Table3[[#This Row],[Cost]]</f>
        <v>7526.59</v>
      </c>
      <c r="L1029" s="6">
        <f>Table3[[#This Row],[Profit]]/Table3[[#This Row],[Sales]]</f>
        <v>0.19981257425019744</v>
      </c>
    </row>
    <row r="1030" spans="1:12" x14ac:dyDescent="0.25">
      <c r="A1030" t="s">
        <v>1027</v>
      </c>
      <c r="B1030" s="2">
        <v>45021</v>
      </c>
      <c r="C1030" s="2" t="str">
        <f>TEXT(Table3[[#This Row],[Order Date]],"mmmm")</f>
        <v>April</v>
      </c>
      <c r="D1030" t="s">
        <v>3731</v>
      </c>
      <c r="E1030" t="s">
        <v>3224</v>
      </c>
      <c r="F1030" t="s">
        <v>3226</v>
      </c>
      <c r="G1030" s="4">
        <v>242858.39</v>
      </c>
      <c r="H1030" s="4">
        <v>194286.71200000003</v>
      </c>
      <c r="I1030" s="3" t="s">
        <v>3735</v>
      </c>
      <c r="J1030">
        <v>4</v>
      </c>
      <c r="K1030" s="4">
        <f>Table3[[#This Row],[Sales]]-Table3[[#This Row],[Cost]]</f>
        <v>48571.677999999985</v>
      </c>
      <c r="L1030" s="6">
        <f>Table3[[#This Row],[Profit]]/Table3[[#This Row],[Sales]]</f>
        <v>0.19999999999999993</v>
      </c>
    </row>
    <row r="1031" spans="1:12" x14ac:dyDescent="0.25">
      <c r="A1031" t="s">
        <v>3236</v>
      </c>
      <c r="B1031" s="2">
        <v>45102</v>
      </c>
      <c r="C1031" s="2" t="str">
        <f>TEXT(Table3[[#This Row],[Order Date]],"mmmm")</f>
        <v>June</v>
      </c>
      <c r="D1031" t="s">
        <v>3730</v>
      </c>
      <c r="E1031" t="s">
        <v>3224</v>
      </c>
      <c r="F1031" t="s">
        <v>3226</v>
      </c>
      <c r="G1031" s="4">
        <v>190052.43</v>
      </c>
      <c r="H1031" s="4">
        <v>152041.94399999999</v>
      </c>
      <c r="I1031" s="3" t="s">
        <v>3735</v>
      </c>
      <c r="J1031">
        <v>3</v>
      </c>
      <c r="K1031" s="4">
        <f>Table3[[#This Row],[Sales]]-Table3[[#This Row],[Cost]]</f>
        <v>38010.486000000004</v>
      </c>
      <c r="L1031" s="6">
        <f>Table3[[#This Row],[Profit]]/Table3[[#This Row],[Sales]]</f>
        <v>0.20000000000000004</v>
      </c>
    </row>
    <row r="1032" spans="1:12" x14ac:dyDescent="0.25">
      <c r="A1032" t="s">
        <v>3288</v>
      </c>
      <c r="B1032" s="2">
        <v>45102</v>
      </c>
      <c r="C1032" s="2" t="str">
        <f>TEXT(Table3[[#This Row],[Order Date]],"mmmm")</f>
        <v>June</v>
      </c>
      <c r="D1032" t="s">
        <v>3731</v>
      </c>
      <c r="E1032" t="s">
        <v>3225</v>
      </c>
      <c r="F1032" t="s">
        <v>3226</v>
      </c>
      <c r="G1032" s="4">
        <v>21290.43</v>
      </c>
      <c r="H1032" s="4">
        <v>15089.4</v>
      </c>
      <c r="I1032" s="3" t="s">
        <v>3734</v>
      </c>
      <c r="J1032">
        <v>1</v>
      </c>
      <c r="K1032" s="4">
        <f>Table3[[#This Row],[Sales]]-Table3[[#This Row],[Cost]]</f>
        <v>6201.0300000000007</v>
      </c>
      <c r="L1032" s="6">
        <f>Table3[[#This Row],[Profit]]/Table3[[#This Row],[Sales]]</f>
        <v>0.29125903046580087</v>
      </c>
    </row>
    <row r="1033" spans="1:12" x14ac:dyDescent="0.25">
      <c r="A1033" t="s">
        <v>1028</v>
      </c>
      <c r="B1033" s="2">
        <v>45005</v>
      </c>
      <c r="C1033" s="2" t="str">
        <f>TEXT(Table3[[#This Row],[Order Date]],"mmmm")</f>
        <v>March</v>
      </c>
      <c r="D1033" t="s">
        <v>3216</v>
      </c>
      <c r="E1033" t="s">
        <v>3222</v>
      </c>
      <c r="F1033" t="s">
        <v>3226</v>
      </c>
      <c r="G1033" s="4">
        <v>14089.65</v>
      </c>
      <c r="H1033" s="4">
        <v>9473.8700000000008</v>
      </c>
      <c r="I1033" s="3" t="s">
        <v>3734</v>
      </c>
      <c r="J1033">
        <v>1</v>
      </c>
      <c r="K1033" s="4">
        <f>Table3[[#This Row],[Sales]]-Table3[[#This Row],[Cost]]</f>
        <v>4615.7799999999988</v>
      </c>
      <c r="L1033" s="6">
        <f>Table3[[#This Row],[Profit]]/Table3[[#This Row],[Sales]]</f>
        <v>0.32760075658373339</v>
      </c>
    </row>
    <row r="1034" spans="1:12" x14ac:dyDescent="0.25">
      <c r="A1034" t="s">
        <v>1029</v>
      </c>
      <c r="B1034" s="2">
        <v>45102</v>
      </c>
      <c r="C1034" s="2" t="str">
        <f>TEXT(Table3[[#This Row],[Order Date]],"mmmm")</f>
        <v>June</v>
      </c>
      <c r="D1034" t="s">
        <v>3730</v>
      </c>
      <c r="E1034" t="s">
        <v>3225</v>
      </c>
      <c r="F1034" t="s">
        <v>3226</v>
      </c>
      <c r="G1034" s="4">
        <v>41836.339999999997</v>
      </c>
      <c r="H1034" s="4">
        <v>30119.43</v>
      </c>
      <c r="I1034" s="3" t="s">
        <v>3734</v>
      </c>
      <c r="J1034">
        <v>2</v>
      </c>
      <c r="K1034" s="4">
        <f>Table3[[#This Row],[Sales]]-Table3[[#This Row],[Cost]]</f>
        <v>11716.909999999996</v>
      </c>
      <c r="L1034" s="6">
        <f>Table3[[#This Row],[Profit]]/Table3[[#This Row],[Sales]]</f>
        <v>0.28006536900694462</v>
      </c>
    </row>
    <row r="1035" spans="1:12" x14ac:dyDescent="0.25">
      <c r="A1035" t="s">
        <v>1030</v>
      </c>
      <c r="B1035" s="2">
        <v>44941</v>
      </c>
      <c r="C1035" s="2" t="str">
        <f>TEXT(Table3[[#This Row],[Order Date]],"mmmm")</f>
        <v>January</v>
      </c>
      <c r="D1035" t="s">
        <v>3220</v>
      </c>
      <c r="E1035" t="s">
        <v>3225</v>
      </c>
      <c r="F1035" t="s">
        <v>3226</v>
      </c>
      <c r="G1035" s="4">
        <v>94702.07</v>
      </c>
      <c r="H1035" s="4">
        <v>53815.23</v>
      </c>
      <c r="I1035" s="3" t="s">
        <v>3734</v>
      </c>
      <c r="J1035">
        <v>4</v>
      </c>
      <c r="K1035" s="4">
        <f>Table3[[#This Row],[Sales]]-Table3[[#This Row],[Cost]]</f>
        <v>40886.840000000004</v>
      </c>
      <c r="L1035" s="6">
        <f>Table3[[#This Row],[Profit]]/Table3[[#This Row],[Sales]]</f>
        <v>0.43174177713327705</v>
      </c>
    </row>
    <row r="1036" spans="1:12" x14ac:dyDescent="0.25">
      <c r="A1036" t="s">
        <v>1031</v>
      </c>
      <c r="B1036" s="2">
        <v>45005</v>
      </c>
      <c r="C1036" s="2" t="str">
        <f>TEXT(Table3[[#This Row],[Order Date]],"mmmm")</f>
        <v>March</v>
      </c>
      <c r="D1036" t="s">
        <v>3730</v>
      </c>
      <c r="E1036" t="s">
        <v>3223</v>
      </c>
      <c r="F1036" t="s">
        <v>3226</v>
      </c>
      <c r="G1036" s="4">
        <v>17715.669999999998</v>
      </c>
      <c r="H1036" s="4">
        <v>12159.56</v>
      </c>
      <c r="I1036" s="3" t="s">
        <v>3734</v>
      </c>
      <c r="J1036">
        <v>2</v>
      </c>
      <c r="K1036" s="4">
        <f>Table3[[#This Row],[Sales]]-Table3[[#This Row],[Cost]]</f>
        <v>5556.1099999999988</v>
      </c>
      <c r="L1036" s="6">
        <f>Table3[[#This Row],[Profit]]/Table3[[#This Row],[Sales]]</f>
        <v>0.31362686254598326</v>
      </c>
    </row>
    <row r="1037" spans="1:12" x14ac:dyDescent="0.25">
      <c r="A1037" t="s">
        <v>1032</v>
      </c>
      <c r="B1037" s="2" t="s">
        <v>3729</v>
      </c>
      <c r="C1037" s="2" t="str">
        <f>TEXT(Table3[[#This Row],[Order Date]],"mmmm")</f>
        <v>Not Mentioned</v>
      </c>
      <c r="D1037" t="s">
        <v>3730</v>
      </c>
      <c r="E1037" t="s">
        <v>3222</v>
      </c>
      <c r="F1037" t="s">
        <v>3226</v>
      </c>
      <c r="G1037" s="4">
        <v>15414.85</v>
      </c>
      <c r="H1037" s="4">
        <v>9455.91</v>
      </c>
      <c r="I1037" s="3" t="s">
        <v>3734</v>
      </c>
      <c r="J1037">
        <v>1</v>
      </c>
      <c r="K1037" s="4">
        <f>Table3[[#This Row],[Sales]]-Table3[[#This Row],[Cost]]</f>
        <v>5958.9400000000005</v>
      </c>
      <c r="L1037" s="6">
        <f>Table3[[#This Row],[Profit]]/Table3[[#This Row],[Sales]]</f>
        <v>0.38657139057467316</v>
      </c>
    </row>
    <row r="1038" spans="1:12" x14ac:dyDescent="0.25">
      <c r="A1038" t="s">
        <v>3410</v>
      </c>
      <c r="B1038" s="2">
        <v>44941</v>
      </c>
      <c r="C1038" s="2" t="str">
        <f>TEXT(Table3[[#This Row],[Order Date]],"mmmm")</f>
        <v>January</v>
      </c>
      <c r="D1038" t="s">
        <v>3731</v>
      </c>
      <c r="E1038" t="s">
        <v>3225</v>
      </c>
      <c r="F1038" t="s">
        <v>3226</v>
      </c>
      <c r="G1038" s="4">
        <v>43683.91</v>
      </c>
      <c r="H1038" s="4">
        <v>27387.32</v>
      </c>
      <c r="I1038" s="3" t="s">
        <v>3734</v>
      </c>
      <c r="J1038">
        <v>2</v>
      </c>
      <c r="K1038" s="4">
        <f>Table3[[#This Row],[Sales]]-Table3[[#This Row],[Cost]]</f>
        <v>16296.590000000004</v>
      </c>
      <c r="L1038" s="6">
        <f>Table3[[#This Row],[Profit]]/Table3[[#This Row],[Sales]]</f>
        <v>0.37305703633214155</v>
      </c>
    </row>
    <row r="1039" spans="1:12" x14ac:dyDescent="0.25">
      <c r="A1039" t="s">
        <v>3411</v>
      </c>
      <c r="B1039" s="2" t="s">
        <v>3729</v>
      </c>
      <c r="C1039" s="2" t="str">
        <f>TEXT(Table3[[#This Row],[Order Date]],"mmmm")</f>
        <v>Not Mentioned</v>
      </c>
      <c r="D1039" t="s">
        <v>3220</v>
      </c>
      <c r="E1039" t="s">
        <v>3223</v>
      </c>
      <c r="F1039" t="s">
        <v>3226</v>
      </c>
      <c r="G1039" s="4">
        <v>41471.01</v>
      </c>
      <c r="H1039" s="4">
        <v>31699.05</v>
      </c>
      <c r="I1039" s="3" t="s">
        <v>3734</v>
      </c>
      <c r="J1039">
        <v>5</v>
      </c>
      <c r="K1039" s="4">
        <f>Table3[[#This Row],[Sales]]-Table3[[#This Row],[Cost]]</f>
        <v>9771.9600000000028</v>
      </c>
      <c r="L1039" s="6">
        <f>Table3[[#This Row],[Profit]]/Table3[[#This Row],[Sales]]</f>
        <v>0.23563351845059965</v>
      </c>
    </row>
    <row r="1040" spans="1:12" x14ac:dyDescent="0.25">
      <c r="A1040" t="s">
        <v>3412</v>
      </c>
      <c r="B1040" s="2">
        <v>45021</v>
      </c>
      <c r="C1040" s="2" t="str">
        <f>TEXT(Table3[[#This Row],[Order Date]],"mmmm")</f>
        <v>April</v>
      </c>
      <c r="D1040" t="s">
        <v>3220</v>
      </c>
      <c r="E1040" t="s">
        <v>3224</v>
      </c>
      <c r="F1040" t="s">
        <v>3226</v>
      </c>
      <c r="G1040" s="4">
        <v>169407.17</v>
      </c>
      <c r="H1040" s="4">
        <v>119578.3</v>
      </c>
      <c r="I1040" s="3" t="s">
        <v>3734</v>
      </c>
      <c r="J1040">
        <v>3</v>
      </c>
      <c r="K1040" s="4">
        <f>Table3[[#This Row],[Sales]]-Table3[[#This Row],[Cost]]</f>
        <v>49828.87000000001</v>
      </c>
      <c r="L1040" s="6">
        <f>Table3[[#This Row],[Profit]]/Table3[[#This Row],[Sales]]</f>
        <v>0.29413672396510732</v>
      </c>
    </row>
    <row r="1041" spans="1:12" x14ac:dyDescent="0.25">
      <c r="A1041" t="s">
        <v>1036</v>
      </c>
      <c r="B1041" s="2">
        <v>45021</v>
      </c>
      <c r="C1041" s="2" t="str">
        <f>TEXT(Table3[[#This Row],[Order Date]],"mmmm")</f>
        <v>April</v>
      </c>
      <c r="D1041" t="s">
        <v>3220</v>
      </c>
      <c r="E1041" t="s">
        <v>3223</v>
      </c>
      <c r="F1041" t="s">
        <v>3226</v>
      </c>
      <c r="G1041" s="4">
        <v>17026.21</v>
      </c>
      <c r="H1041" s="4">
        <v>12686.24</v>
      </c>
      <c r="I1041" s="3" t="s">
        <v>3734</v>
      </c>
      <c r="J1041">
        <v>2</v>
      </c>
      <c r="K1041" s="4">
        <f>Table3[[#This Row],[Sales]]-Table3[[#This Row],[Cost]]</f>
        <v>4339.9699999999993</v>
      </c>
      <c r="L1041" s="6">
        <f>Table3[[#This Row],[Profit]]/Table3[[#This Row],[Sales]]</f>
        <v>0.25489935810729453</v>
      </c>
    </row>
    <row r="1042" spans="1:12" x14ac:dyDescent="0.25">
      <c r="A1042" t="s">
        <v>1037</v>
      </c>
      <c r="B1042" s="2" t="s">
        <v>3729</v>
      </c>
      <c r="C1042" s="2" t="str">
        <f>TEXT(Table3[[#This Row],[Order Date]],"mmmm")</f>
        <v>Not Mentioned</v>
      </c>
      <c r="D1042" t="s">
        <v>3730</v>
      </c>
      <c r="E1042" t="s">
        <v>3224</v>
      </c>
      <c r="F1042" t="s">
        <v>3226</v>
      </c>
      <c r="G1042" s="4">
        <v>209699.35</v>
      </c>
      <c r="H1042" s="4">
        <v>172938.42</v>
      </c>
      <c r="I1042" s="3" t="s">
        <v>3734</v>
      </c>
      <c r="J1042">
        <v>4</v>
      </c>
      <c r="K1042" s="4">
        <f>Table3[[#This Row],[Sales]]-Table3[[#This Row],[Cost]]</f>
        <v>36760.929999999993</v>
      </c>
      <c r="L1042" s="6">
        <f>Table3[[#This Row],[Profit]]/Table3[[#This Row],[Sales]]</f>
        <v>0.17530302311380552</v>
      </c>
    </row>
    <row r="1043" spans="1:12" x14ac:dyDescent="0.25">
      <c r="A1043" t="s">
        <v>3413</v>
      </c>
      <c r="B1043" s="2">
        <v>44941</v>
      </c>
      <c r="C1043" s="2" t="str">
        <f>TEXT(Table3[[#This Row],[Order Date]],"mmmm")</f>
        <v>January</v>
      </c>
      <c r="D1043" t="s">
        <v>3216</v>
      </c>
      <c r="E1043" t="s">
        <v>3222</v>
      </c>
      <c r="F1043" t="s">
        <v>3226</v>
      </c>
      <c r="G1043" s="4">
        <v>12563.46</v>
      </c>
      <c r="H1043" s="4">
        <v>10148.44</v>
      </c>
      <c r="I1043" s="3" t="s">
        <v>3734</v>
      </c>
      <c r="J1043">
        <v>1</v>
      </c>
      <c r="K1043" s="4">
        <f>Table3[[#This Row],[Sales]]-Table3[[#This Row],[Cost]]</f>
        <v>2415.0199999999986</v>
      </c>
      <c r="L1043" s="6">
        <f>Table3[[#This Row],[Profit]]/Table3[[#This Row],[Sales]]</f>
        <v>0.1922257085229705</v>
      </c>
    </row>
    <row r="1044" spans="1:12" x14ac:dyDescent="0.25">
      <c r="A1044" t="s">
        <v>1039</v>
      </c>
      <c r="B1044" s="2">
        <v>44941</v>
      </c>
      <c r="C1044" s="2" t="str">
        <f>TEXT(Table3[[#This Row],[Order Date]],"mmmm")</f>
        <v>January</v>
      </c>
      <c r="D1044" t="s">
        <v>3220</v>
      </c>
      <c r="E1044" t="s">
        <v>3223</v>
      </c>
      <c r="F1044" t="s">
        <v>3226</v>
      </c>
      <c r="G1044" s="4">
        <v>21430.21</v>
      </c>
      <c r="H1044" s="4">
        <v>12708.81</v>
      </c>
      <c r="I1044" s="3" t="s">
        <v>3734</v>
      </c>
      <c r="J1044">
        <v>2</v>
      </c>
      <c r="K1044" s="4">
        <f>Table3[[#This Row],[Sales]]-Table3[[#This Row],[Cost]]</f>
        <v>8721.4</v>
      </c>
      <c r="L1044" s="6">
        <f>Table3[[#This Row],[Profit]]/Table3[[#This Row],[Sales]]</f>
        <v>0.40696754721488965</v>
      </c>
    </row>
    <row r="1045" spans="1:12" x14ac:dyDescent="0.25">
      <c r="A1045" t="s">
        <v>3414</v>
      </c>
      <c r="B1045" s="2">
        <v>45102</v>
      </c>
      <c r="C1045" s="2" t="str">
        <f>TEXT(Table3[[#This Row],[Order Date]],"mmmm")</f>
        <v>June</v>
      </c>
      <c r="D1045" t="s">
        <v>3730</v>
      </c>
      <c r="E1045" t="s">
        <v>3223</v>
      </c>
      <c r="F1045" t="s">
        <v>3226</v>
      </c>
      <c r="G1045" s="4">
        <v>8100.06</v>
      </c>
      <c r="H1045" s="4">
        <v>7006.79</v>
      </c>
      <c r="I1045" s="3" t="s">
        <v>3734</v>
      </c>
      <c r="J1045">
        <v>1</v>
      </c>
      <c r="K1045" s="4">
        <f>Table3[[#This Row],[Sales]]-Table3[[#This Row],[Cost]]</f>
        <v>1093.2700000000004</v>
      </c>
      <c r="L1045" s="6">
        <f>Table3[[#This Row],[Profit]]/Table3[[#This Row],[Sales]]</f>
        <v>0.13497060515601123</v>
      </c>
    </row>
    <row r="1046" spans="1:12" x14ac:dyDescent="0.25">
      <c r="A1046" t="s">
        <v>1041</v>
      </c>
      <c r="B1046" s="2">
        <v>44941</v>
      </c>
      <c r="C1046" s="2" t="str">
        <f>TEXT(Table3[[#This Row],[Order Date]],"mmmm")</f>
        <v>January</v>
      </c>
      <c r="D1046" t="s">
        <v>3730</v>
      </c>
      <c r="E1046" t="s">
        <v>3225</v>
      </c>
      <c r="F1046" t="s">
        <v>3226</v>
      </c>
      <c r="G1046" s="4">
        <v>66651.87</v>
      </c>
      <c r="H1046" s="4">
        <v>38104.370000000003</v>
      </c>
      <c r="I1046" s="3" t="s">
        <v>3734</v>
      </c>
      <c r="J1046">
        <v>3</v>
      </c>
      <c r="K1046" s="4">
        <f>Table3[[#This Row],[Sales]]-Table3[[#This Row],[Cost]]</f>
        <v>28547.499999999993</v>
      </c>
      <c r="L1046" s="6">
        <f>Table3[[#This Row],[Profit]]/Table3[[#This Row],[Sales]]</f>
        <v>0.42830756286357752</v>
      </c>
    </row>
    <row r="1047" spans="1:12" x14ac:dyDescent="0.25">
      <c r="A1047" t="s">
        <v>1042</v>
      </c>
      <c r="B1047" s="2">
        <v>45005</v>
      </c>
      <c r="C1047" s="2" t="str">
        <f>TEXT(Table3[[#This Row],[Order Date]],"mmmm")</f>
        <v>March</v>
      </c>
      <c r="D1047" t="s">
        <v>3730</v>
      </c>
      <c r="E1047" t="s">
        <v>3224</v>
      </c>
      <c r="F1047" t="s">
        <v>3226</v>
      </c>
      <c r="G1047" s="4">
        <v>125097.29</v>
      </c>
      <c r="H1047" s="4">
        <v>89049.71</v>
      </c>
      <c r="I1047" s="3" t="s">
        <v>3734</v>
      </c>
      <c r="J1047">
        <v>2</v>
      </c>
      <c r="K1047" s="4">
        <f>Table3[[#This Row],[Sales]]-Table3[[#This Row],[Cost]]</f>
        <v>36047.579999999987</v>
      </c>
      <c r="L1047" s="6">
        <f>Table3[[#This Row],[Profit]]/Table3[[#This Row],[Sales]]</f>
        <v>0.28815636214021895</v>
      </c>
    </row>
    <row r="1048" spans="1:12" x14ac:dyDescent="0.25">
      <c r="A1048" t="s">
        <v>1043</v>
      </c>
      <c r="B1048" s="2">
        <v>44941</v>
      </c>
      <c r="C1048" s="2" t="str">
        <f>TEXT(Table3[[#This Row],[Order Date]],"mmmm")</f>
        <v>January</v>
      </c>
      <c r="D1048" t="s">
        <v>3730</v>
      </c>
      <c r="E1048" t="s">
        <v>3224</v>
      </c>
      <c r="F1048" t="s">
        <v>3226</v>
      </c>
      <c r="G1048" s="4">
        <v>52464.82</v>
      </c>
      <c r="H1048" s="4">
        <v>48763.54</v>
      </c>
      <c r="I1048" s="3" t="s">
        <v>3734</v>
      </c>
      <c r="J1048">
        <v>1</v>
      </c>
      <c r="K1048" s="4">
        <f>Table3[[#This Row],[Sales]]-Table3[[#This Row],[Cost]]</f>
        <v>3701.2799999999988</v>
      </c>
      <c r="L1048" s="6">
        <f>Table3[[#This Row],[Profit]]/Table3[[#This Row],[Sales]]</f>
        <v>7.0547845203700291E-2</v>
      </c>
    </row>
    <row r="1049" spans="1:12" x14ac:dyDescent="0.25">
      <c r="A1049" t="s">
        <v>492</v>
      </c>
      <c r="B1049" s="2" t="s">
        <v>3729</v>
      </c>
      <c r="C1049" s="2" t="str">
        <f>TEXT(Table3[[#This Row],[Order Date]],"mmmm")</f>
        <v>Not Mentioned</v>
      </c>
      <c r="D1049" t="s">
        <v>3730</v>
      </c>
      <c r="E1049" t="s">
        <v>3224</v>
      </c>
      <c r="F1049" t="s">
        <v>3226</v>
      </c>
      <c r="G1049" s="4">
        <v>106791.02</v>
      </c>
      <c r="H1049" s="4">
        <v>98991.8</v>
      </c>
      <c r="I1049" s="3" t="s">
        <v>3734</v>
      </c>
      <c r="J1049" t="s">
        <v>3732</v>
      </c>
      <c r="K1049" s="4">
        <f>Table3[[#This Row],[Sales]]-Table3[[#This Row],[Cost]]</f>
        <v>7799.2200000000012</v>
      </c>
      <c r="L1049" s="6">
        <f>Table3[[#This Row],[Profit]]/Table3[[#This Row],[Sales]]</f>
        <v>7.3032545245845584E-2</v>
      </c>
    </row>
    <row r="1050" spans="1:12" x14ac:dyDescent="0.25">
      <c r="A1050" t="s">
        <v>1044</v>
      </c>
      <c r="B1050" s="2" t="s">
        <v>3729</v>
      </c>
      <c r="C1050" s="2" t="str">
        <f>TEXT(Table3[[#This Row],[Order Date]],"mmmm")</f>
        <v>Not Mentioned</v>
      </c>
      <c r="D1050" t="s">
        <v>3730</v>
      </c>
      <c r="E1050" t="s">
        <v>3223</v>
      </c>
      <c r="F1050" t="s">
        <v>3226</v>
      </c>
      <c r="G1050" s="4">
        <v>44706.6</v>
      </c>
      <c r="H1050" s="4">
        <v>25217.27</v>
      </c>
      <c r="I1050" s="3" t="s">
        <v>3734</v>
      </c>
      <c r="J1050">
        <v>4</v>
      </c>
      <c r="K1050" s="4">
        <f>Table3[[#This Row],[Sales]]-Table3[[#This Row],[Cost]]</f>
        <v>19489.329999999998</v>
      </c>
      <c r="L1050" s="6">
        <f>Table3[[#This Row],[Profit]]/Table3[[#This Row],[Sales]]</f>
        <v>0.43593854151288619</v>
      </c>
    </row>
    <row r="1051" spans="1:12" x14ac:dyDescent="0.25">
      <c r="A1051" t="s">
        <v>1045</v>
      </c>
      <c r="B1051" s="2">
        <v>44941</v>
      </c>
      <c r="C1051" s="2" t="str">
        <f>TEXT(Table3[[#This Row],[Order Date]],"mmmm")</f>
        <v>January</v>
      </c>
      <c r="D1051" t="s">
        <v>3730</v>
      </c>
      <c r="E1051" t="s">
        <v>3225</v>
      </c>
      <c r="F1051" t="s">
        <v>3226</v>
      </c>
      <c r="G1051" s="4">
        <v>16070.52</v>
      </c>
      <c r="H1051" s="4">
        <v>14406.45</v>
      </c>
      <c r="I1051" s="3" t="s">
        <v>3734</v>
      </c>
      <c r="J1051">
        <v>1</v>
      </c>
      <c r="K1051" s="4">
        <f>Table3[[#This Row],[Sales]]-Table3[[#This Row],[Cost]]</f>
        <v>1664.0699999999997</v>
      </c>
      <c r="L1051" s="6">
        <f>Table3[[#This Row],[Profit]]/Table3[[#This Row],[Sales]]</f>
        <v>0.10354798724621229</v>
      </c>
    </row>
    <row r="1052" spans="1:12" x14ac:dyDescent="0.25">
      <c r="A1052" t="s">
        <v>1046</v>
      </c>
      <c r="B1052" s="2">
        <v>45005</v>
      </c>
      <c r="C1052" s="2" t="str">
        <f>TEXT(Table3[[#This Row],[Order Date]],"mmmm")</f>
        <v>March</v>
      </c>
      <c r="D1052" t="s">
        <v>3730</v>
      </c>
      <c r="E1052" t="s">
        <v>3225</v>
      </c>
      <c r="F1052" t="s">
        <v>3226</v>
      </c>
      <c r="G1052" s="4">
        <v>21371.66</v>
      </c>
      <c r="H1052" s="4">
        <v>17097.328000000001</v>
      </c>
      <c r="I1052" s="3" t="s">
        <v>3735</v>
      </c>
      <c r="J1052">
        <v>1</v>
      </c>
      <c r="K1052" s="4">
        <f>Table3[[#This Row],[Sales]]-Table3[[#This Row],[Cost]]</f>
        <v>4274.3319999999985</v>
      </c>
      <c r="L1052" s="6">
        <f>Table3[[#This Row],[Profit]]/Table3[[#This Row],[Sales]]</f>
        <v>0.19999999999999993</v>
      </c>
    </row>
    <row r="1053" spans="1:12" x14ac:dyDescent="0.25">
      <c r="A1053" t="s">
        <v>1047</v>
      </c>
      <c r="B1053" s="2">
        <v>45005</v>
      </c>
      <c r="C1053" s="2" t="str">
        <f>TEXT(Table3[[#This Row],[Order Date]],"mmmm")</f>
        <v>March</v>
      </c>
      <c r="D1053" t="s">
        <v>3731</v>
      </c>
      <c r="E1053" t="s">
        <v>3222</v>
      </c>
      <c r="F1053" t="s">
        <v>3226</v>
      </c>
      <c r="G1053" s="4">
        <v>24766.94</v>
      </c>
      <c r="H1053" s="4">
        <v>17829.97</v>
      </c>
      <c r="I1053" s="3" t="s">
        <v>3734</v>
      </c>
      <c r="J1053">
        <v>2</v>
      </c>
      <c r="K1053" s="4">
        <f>Table3[[#This Row],[Sales]]-Table3[[#This Row],[Cost]]</f>
        <v>6936.9699999999975</v>
      </c>
      <c r="L1053" s="6">
        <f>Table3[[#This Row],[Profit]]/Table3[[#This Row],[Sales]]</f>
        <v>0.28008991017864937</v>
      </c>
    </row>
    <row r="1054" spans="1:12" x14ac:dyDescent="0.25">
      <c r="A1054" t="s">
        <v>1048</v>
      </c>
      <c r="B1054" s="2">
        <v>45021</v>
      </c>
      <c r="C1054" s="2" t="str">
        <f>TEXT(Table3[[#This Row],[Order Date]],"mmmm")</f>
        <v>April</v>
      </c>
      <c r="D1054" t="s">
        <v>3730</v>
      </c>
      <c r="E1054" t="s">
        <v>3225</v>
      </c>
      <c r="F1054" t="s">
        <v>3226</v>
      </c>
      <c r="G1054" s="4">
        <v>108224.79</v>
      </c>
      <c r="H1054" s="4">
        <v>69603.48</v>
      </c>
      <c r="I1054" s="3" t="s">
        <v>3734</v>
      </c>
      <c r="J1054">
        <v>5</v>
      </c>
      <c r="K1054" s="4">
        <f>Table3[[#This Row],[Sales]]-Table3[[#This Row],[Cost]]</f>
        <v>38621.31</v>
      </c>
      <c r="L1054" s="6">
        <f>Table3[[#This Row],[Profit]]/Table3[[#This Row],[Sales]]</f>
        <v>0.35686195371688872</v>
      </c>
    </row>
    <row r="1055" spans="1:12" x14ac:dyDescent="0.25">
      <c r="A1055" t="s">
        <v>1049</v>
      </c>
      <c r="B1055" s="2">
        <v>45102</v>
      </c>
      <c r="C1055" s="2" t="str">
        <f>TEXT(Table3[[#This Row],[Order Date]],"mmmm")</f>
        <v>June</v>
      </c>
      <c r="D1055" t="s">
        <v>3731</v>
      </c>
      <c r="E1055" t="s">
        <v>3222</v>
      </c>
      <c r="F1055" t="s">
        <v>3226</v>
      </c>
      <c r="G1055" s="4">
        <v>50562.15</v>
      </c>
      <c r="H1055" s="4">
        <v>42166.21</v>
      </c>
      <c r="I1055" s="3" t="s">
        <v>3734</v>
      </c>
      <c r="J1055">
        <v>4</v>
      </c>
      <c r="K1055" s="4">
        <f>Table3[[#This Row],[Sales]]-Table3[[#This Row],[Cost]]</f>
        <v>8395.9400000000023</v>
      </c>
      <c r="L1055" s="6">
        <f>Table3[[#This Row],[Profit]]/Table3[[#This Row],[Sales]]</f>
        <v>0.16605187872746713</v>
      </c>
    </row>
    <row r="1056" spans="1:12" x14ac:dyDescent="0.25">
      <c r="A1056" t="s">
        <v>3415</v>
      </c>
      <c r="B1056" s="2">
        <v>44941</v>
      </c>
      <c r="C1056" s="2" t="str">
        <f>TEXT(Table3[[#This Row],[Order Date]],"mmmm")</f>
        <v>January</v>
      </c>
      <c r="D1056" t="s">
        <v>3730</v>
      </c>
      <c r="E1056" t="s">
        <v>3224</v>
      </c>
      <c r="F1056" t="s">
        <v>3226</v>
      </c>
      <c r="G1056" s="4">
        <v>305874.21000000002</v>
      </c>
      <c r="H1056" s="4">
        <v>244699.36800000002</v>
      </c>
      <c r="I1056" s="3" t="s">
        <v>3735</v>
      </c>
      <c r="J1056">
        <v>5</v>
      </c>
      <c r="K1056" s="4">
        <f>Table3[[#This Row],[Sales]]-Table3[[#This Row],[Cost]]</f>
        <v>61174.842000000004</v>
      </c>
      <c r="L1056" s="6">
        <f>Table3[[#This Row],[Profit]]/Table3[[#This Row],[Sales]]</f>
        <v>0.2</v>
      </c>
    </row>
    <row r="1057" spans="1:12" x14ac:dyDescent="0.25">
      <c r="A1057" t="s">
        <v>3416</v>
      </c>
      <c r="B1057" s="2">
        <v>45102</v>
      </c>
      <c r="C1057" s="2" t="str">
        <f>TEXT(Table3[[#This Row],[Order Date]],"mmmm")</f>
        <v>June</v>
      </c>
      <c r="D1057" t="s">
        <v>3220</v>
      </c>
      <c r="E1057" t="s">
        <v>3224</v>
      </c>
      <c r="F1057" t="s">
        <v>3226</v>
      </c>
      <c r="G1057" s="4">
        <v>183602.79</v>
      </c>
      <c r="H1057" s="4">
        <v>118029.31</v>
      </c>
      <c r="I1057" s="3" t="s">
        <v>3734</v>
      </c>
      <c r="J1057">
        <v>3</v>
      </c>
      <c r="K1057" s="4">
        <f>Table3[[#This Row],[Sales]]-Table3[[#This Row],[Cost]]</f>
        <v>65573.48000000001</v>
      </c>
      <c r="L1057" s="6">
        <f>Table3[[#This Row],[Profit]]/Table3[[#This Row],[Sales]]</f>
        <v>0.35714860324290282</v>
      </c>
    </row>
    <row r="1058" spans="1:12" x14ac:dyDescent="0.25">
      <c r="A1058" t="s">
        <v>948</v>
      </c>
      <c r="B1058" s="2" t="s">
        <v>3729</v>
      </c>
      <c r="C1058" s="2" t="str">
        <f>TEXT(Table3[[#This Row],[Order Date]],"mmmm")</f>
        <v>Not Mentioned</v>
      </c>
      <c r="D1058" t="s">
        <v>3730</v>
      </c>
      <c r="E1058" t="s">
        <v>3225</v>
      </c>
      <c r="F1058" t="s">
        <v>3226</v>
      </c>
      <c r="G1058" s="4">
        <v>84178.92</v>
      </c>
      <c r="H1058" s="4">
        <v>67362.679999999993</v>
      </c>
      <c r="I1058" s="3" t="s">
        <v>3734</v>
      </c>
      <c r="J1058">
        <v>5</v>
      </c>
      <c r="K1058" s="4">
        <f>Table3[[#This Row],[Sales]]-Table3[[#This Row],[Cost]]</f>
        <v>16816.240000000005</v>
      </c>
      <c r="L1058" s="6">
        <f>Table3[[#This Row],[Profit]]/Table3[[#This Row],[Sales]]</f>
        <v>0.19976782785999161</v>
      </c>
    </row>
    <row r="1059" spans="1:12" x14ac:dyDescent="0.25">
      <c r="A1059" t="s">
        <v>1052</v>
      </c>
      <c r="B1059" s="2">
        <v>44972</v>
      </c>
      <c r="C1059" s="2" t="str">
        <f>TEXT(Table3[[#This Row],[Order Date]],"mmmm")</f>
        <v>February</v>
      </c>
      <c r="D1059" t="s">
        <v>3730</v>
      </c>
      <c r="E1059" t="s">
        <v>3223</v>
      </c>
      <c r="F1059" t="s">
        <v>3226</v>
      </c>
      <c r="G1059" s="4">
        <v>8464.07</v>
      </c>
      <c r="H1059" s="4">
        <v>7127.61</v>
      </c>
      <c r="I1059" s="3" t="s">
        <v>3734</v>
      </c>
      <c r="J1059">
        <v>1</v>
      </c>
      <c r="K1059" s="4">
        <f>Table3[[#This Row],[Sales]]-Table3[[#This Row],[Cost]]</f>
        <v>1336.46</v>
      </c>
      <c r="L1059" s="6">
        <f>Table3[[#This Row],[Profit]]/Table3[[#This Row],[Sales]]</f>
        <v>0.15789803250682002</v>
      </c>
    </row>
    <row r="1060" spans="1:12" x14ac:dyDescent="0.25">
      <c r="A1060" t="s">
        <v>3417</v>
      </c>
      <c r="B1060" s="2">
        <v>45102</v>
      </c>
      <c r="C1060" s="2" t="str">
        <f>TEXT(Table3[[#This Row],[Order Date]],"mmmm")</f>
        <v>June</v>
      </c>
      <c r="D1060" t="s">
        <v>3731</v>
      </c>
      <c r="E1060" t="s">
        <v>3225</v>
      </c>
      <c r="F1060" t="s">
        <v>3226</v>
      </c>
      <c r="G1060" s="4">
        <v>23922.13</v>
      </c>
      <c r="H1060" s="4">
        <v>14505.18</v>
      </c>
      <c r="I1060" s="3" t="s">
        <v>3734</v>
      </c>
      <c r="J1060">
        <v>1</v>
      </c>
      <c r="K1060" s="4">
        <f>Table3[[#This Row],[Sales]]-Table3[[#This Row],[Cost]]</f>
        <v>9416.9500000000007</v>
      </c>
      <c r="L1060" s="6">
        <f>Table3[[#This Row],[Profit]]/Table3[[#This Row],[Sales]]</f>
        <v>0.39365014737400056</v>
      </c>
    </row>
    <row r="1061" spans="1:12" x14ac:dyDescent="0.25">
      <c r="A1061" t="s">
        <v>1054</v>
      </c>
      <c r="B1061" s="2" t="s">
        <v>3729</v>
      </c>
      <c r="C1061" s="2" t="str">
        <f>TEXT(Table3[[#This Row],[Order Date]],"mmmm")</f>
        <v>Not Mentioned</v>
      </c>
      <c r="D1061" t="s">
        <v>3730</v>
      </c>
      <c r="E1061" t="s">
        <v>3225</v>
      </c>
      <c r="F1061" t="s">
        <v>3226</v>
      </c>
      <c r="G1061" s="4">
        <v>102233.62</v>
      </c>
      <c r="H1061" s="4">
        <v>66590.23</v>
      </c>
      <c r="I1061" s="3" t="s">
        <v>3734</v>
      </c>
      <c r="J1061">
        <v>5</v>
      </c>
      <c r="K1061" s="4">
        <f>Table3[[#This Row],[Sales]]-Table3[[#This Row],[Cost]]</f>
        <v>35643.39</v>
      </c>
      <c r="L1061" s="6">
        <f>Table3[[#This Row],[Profit]]/Table3[[#This Row],[Sales]]</f>
        <v>0.34864646287591111</v>
      </c>
    </row>
    <row r="1062" spans="1:12" x14ac:dyDescent="0.25">
      <c r="A1062" t="s">
        <v>1055</v>
      </c>
      <c r="B1062" s="2">
        <v>45005</v>
      </c>
      <c r="C1062" s="2" t="str">
        <f>TEXT(Table3[[#This Row],[Order Date]],"mmmm")</f>
        <v>March</v>
      </c>
      <c r="D1062" t="s">
        <v>3220</v>
      </c>
      <c r="E1062" t="s">
        <v>3224</v>
      </c>
      <c r="F1062" t="s">
        <v>3226</v>
      </c>
      <c r="G1062" s="4">
        <v>251027.53</v>
      </c>
      <c r="H1062" s="4">
        <v>238188.05</v>
      </c>
      <c r="I1062" s="3" t="s">
        <v>3734</v>
      </c>
      <c r="J1062">
        <v>5</v>
      </c>
      <c r="K1062" s="4">
        <f>Table3[[#This Row],[Sales]]-Table3[[#This Row],[Cost]]</f>
        <v>12839.48000000001</v>
      </c>
      <c r="L1062" s="6">
        <f>Table3[[#This Row],[Profit]]/Table3[[#This Row],[Sales]]</f>
        <v>5.1147696828312057E-2</v>
      </c>
    </row>
    <row r="1063" spans="1:12" x14ac:dyDescent="0.25">
      <c r="A1063" t="s">
        <v>1056</v>
      </c>
      <c r="B1063" s="2">
        <v>45102</v>
      </c>
      <c r="C1063" s="2" t="str">
        <f>TEXT(Table3[[#This Row],[Order Date]],"mmmm")</f>
        <v>June</v>
      </c>
      <c r="D1063" t="s">
        <v>3731</v>
      </c>
      <c r="E1063" t="s">
        <v>3222</v>
      </c>
      <c r="F1063" t="s">
        <v>3226</v>
      </c>
      <c r="G1063" s="4">
        <v>15229.17</v>
      </c>
      <c r="H1063" s="4">
        <v>10480.42</v>
      </c>
      <c r="I1063" s="3" t="s">
        <v>3734</v>
      </c>
      <c r="J1063">
        <v>1</v>
      </c>
      <c r="K1063" s="4">
        <f>Table3[[#This Row],[Sales]]-Table3[[#This Row],[Cost]]</f>
        <v>4748.75</v>
      </c>
      <c r="L1063" s="6">
        <f>Table3[[#This Row],[Profit]]/Table3[[#This Row],[Sales]]</f>
        <v>0.31181935719412152</v>
      </c>
    </row>
    <row r="1064" spans="1:12" x14ac:dyDescent="0.25">
      <c r="A1064" t="s">
        <v>3418</v>
      </c>
      <c r="B1064" s="2">
        <v>45021</v>
      </c>
      <c r="C1064" s="2" t="str">
        <f>TEXT(Table3[[#This Row],[Order Date]],"mmmm")</f>
        <v>April</v>
      </c>
      <c r="D1064" t="s">
        <v>3730</v>
      </c>
      <c r="E1064" t="s">
        <v>3222</v>
      </c>
      <c r="F1064" t="s">
        <v>3226</v>
      </c>
      <c r="G1064" s="4">
        <v>43804.91</v>
      </c>
      <c r="H1064" s="4">
        <v>31551.75</v>
      </c>
      <c r="I1064" s="3" t="s">
        <v>3734</v>
      </c>
      <c r="J1064">
        <v>3</v>
      </c>
      <c r="K1064" s="4">
        <f>Table3[[#This Row],[Sales]]-Table3[[#This Row],[Cost]]</f>
        <v>12253.160000000003</v>
      </c>
      <c r="L1064" s="6">
        <f>Table3[[#This Row],[Profit]]/Table3[[#This Row],[Sales]]</f>
        <v>0.27972115454637397</v>
      </c>
    </row>
    <row r="1065" spans="1:12" x14ac:dyDescent="0.25">
      <c r="A1065" t="s">
        <v>1058</v>
      </c>
      <c r="B1065" s="2">
        <v>44941</v>
      </c>
      <c r="C1065" s="2" t="str">
        <f>TEXT(Table3[[#This Row],[Order Date]],"mmmm")</f>
        <v>January</v>
      </c>
      <c r="D1065" t="s">
        <v>3220</v>
      </c>
      <c r="E1065" t="s">
        <v>3223</v>
      </c>
      <c r="F1065" t="s">
        <v>3226</v>
      </c>
      <c r="G1065" s="4">
        <v>20759.330000000002</v>
      </c>
      <c r="H1065" s="4">
        <v>16607.464000000004</v>
      </c>
      <c r="I1065" s="3" t="s">
        <v>3735</v>
      </c>
      <c r="J1065">
        <v>2</v>
      </c>
      <c r="K1065" s="4">
        <f>Table3[[#This Row],[Sales]]-Table3[[#This Row],[Cost]]</f>
        <v>4151.8659999999982</v>
      </c>
      <c r="L1065" s="6">
        <f>Table3[[#This Row],[Profit]]/Table3[[#This Row],[Sales]]</f>
        <v>0.1999999999999999</v>
      </c>
    </row>
    <row r="1066" spans="1:12" x14ac:dyDescent="0.25">
      <c r="A1066" t="s">
        <v>3401</v>
      </c>
      <c r="B1066" s="2" t="s">
        <v>3729</v>
      </c>
      <c r="C1066" s="2" t="str">
        <f>TEXT(Table3[[#This Row],[Order Date]],"mmmm")</f>
        <v>Not Mentioned</v>
      </c>
      <c r="D1066" t="s">
        <v>3216</v>
      </c>
      <c r="E1066" t="s">
        <v>3222</v>
      </c>
      <c r="F1066" t="s">
        <v>3226</v>
      </c>
      <c r="G1066" s="4">
        <v>40607.65</v>
      </c>
      <c r="H1066" s="4">
        <v>25740.14</v>
      </c>
      <c r="I1066" s="3" t="s">
        <v>3734</v>
      </c>
      <c r="J1066">
        <v>3</v>
      </c>
      <c r="K1066" s="4">
        <f>Table3[[#This Row],[Sales]]-Table3[[#This Row],[Cost]]</f>
        <v>14867.510000000002</v>
      </c>
      <c r="L1066" s="6">
        <f>Table3[[#This Row],[Profit]]/Table3[[#This Row],[Sales]]</f>
        <v>0.3661258408206336</v>
      </c>
    </row>
    <row r="1067" spans="1:12" x14ac:dyDescent="0.25">
      <c r="A1067" t="s">
        <v>1059</v>
      </c>
      <c r="B1067" s="2">
        <v>45005</v>
      </c>
      <c r="C1067" s="2" t="str">
        <f>TEXT(Table3[[#This Row],[Order Date]],"mmmm")</f>
        <v>March</v>
      </c>
      <c r="D1067" t="s">
        <v>3730</v>
      </c>
      <c r="E1067" t="s">
        <v>3223</v>
      </c>
      <c r="F1067" t="s">
        <v>3226</v>
      </c>
      <c r="G1067" s="4">
        <v>19845.93</v>
      </c>
      <c r="H1067" s="4">
        <v>11910.37</v>
      </c>
      <c r="I1067" s="3" t="s">
        <v>3734</v>
      </c>
      <c r="J1067">
        <v>2</v>
      </c>
      <c r="K1067" s="4">
        <f>Table3[[#This Row],[Sales]]-Table3[[#This Row],[Cost]]</f>
        <v>7935.5599999999995</v>
      </c>
      <c r="L1067" s="6">
        <f>Table3[[#This Row],[Profit]]/Table3[[#This Row],[Sales]]</f>
        <v>0.39985830847937082</v>
      </c>
    </row>
    <row r="1068" spans="1:12" x14ac:dyDescent="0.25">
      <c r="A1068" t="s">
        <v>3419</v>
      </c>
      <c r="B1068" s="2">
        <v>45021</v>
      </c>
      <c r="C1068" s="2" t="str">
        <f>TEXT(Table3[[#This Row],[Order Date]],"mmmm")</f>
        <v>April</v>
      </c>
      <c r="D1068" t="s">
        <v>3220</v>
      </c>
      <c r="E1068" t="s">
        <v>3222</v>
      </c>
      <c r="F1068" t="s">
        <v>3226</v>
      </c>
      <c r="G1068" s="4">
        <v>52305.78</v>
      </c>
      <c r="H1068" s="4">
        <v>32862.629999999997</v>
      </c>
      <c r="I1068" s="3" t="s">
        <v>3734</v>
      </c>
      <c r="J1068">
        <v>3</v>
      </c>
      <c r="K1068" s="4">
        <f>Table3[[#This Row],[Sales]]-Table3[[#This Row],[Cost]]</f>
        <v>19443.150000000001</v>
      </c>
      <c r="L1068" s="6">
        <f>Table3[[#This Row],[Profit]]/Table3[[#This Row],[Sales]]</f>
        <v>0.37172086908941998</v>
      </c>
    </row>
    <row r="1069" spans="1:12" x14ac:dyDescent="0.25">
      <c r="A1069" t="s">
        <v>1061</v>
      </c>
      <c r="B1069" s="2">
        <v>45005</v>
      </c>
      <c r="C1069" s="2" t="str">
        <f>TEXT(Table3[[#This Row],[Order Date]],"mmmm")</f>
        <v>March</v>
      </c>
      <c r="D1069" t="s">
        <v>3220</v>
      </c>
      <c r="E1069" t="s">
        <v>3222</v>
      </c>
      <c r="F1069" t="s">
        <v>3226</v>
      </c>
      <c r="G1069" s="4">
        <v>81071.88</v>
      </c>
      <c r="H1069" s="4">
        <v>49463.32</v>
      </c>
      <c r="I1069" s="3" t="s">
        <v>3734</v>
      </c>
      <c r="J1069">
        <v>5</v>
      </c>
      <c r="K1069" s="4">
        <f>Table3[[#This Row],[Sales]]-Table3[[#This Row],[Cost]]</f>
        <v>31608.560000000005</v>
      </c>
      <c r="L1069" s="6">
        <f>Table3[[#This Row],[Profit]]/Table3[[#This Row],[Sales]]</f>
        <v>0.38988315060659756</v>
      </c>
    </row>
    <row r="1070" spans="1:12" x14ac:dyDescent="0.25">
      <c r="A1070" t="s">
        <v>3420</v>
      </c>
      <c r="B1070" s="2">
        <v>44972</v>
      </c>
      <c r="C1070" s="2" t="str">
        <f>TEXT(Table3[[#This Row],[Order Date]],"mmmm")</f>
        <v>February</v>
      </c>
      <c r="D1070" t="s">
        <v>3730</v>
      </c>
      <c r="E1070" t="s">
        <v>3225</v>
      </c>
      <c r="F1070" t="s">
        <v>3226</v>
      </c>
      <c r="G1070" s="4">
        <v>46605.42</v>
      </c>
      <c r="H1070" s="4">
        <v>24447.89</v>
      </c>
      <c r="I1070" s="3" t="s">
        <v>3734</v>
      </c>
      <c r="J1070">
        <v>2</v>
      </c>
      <c r="K1070" s="4">
        <f>Table3[[#This Row],[Sales]]-Table3[[#This Row],[Cost]]</f>
        <v>22157.53</v>
      </c>
      <c r="L1070" s="6">
        <f>Table3[[#This Row],[Profit]]/Table3[[#This Row],[Sales]]</f>
        <v>0.47542817981256258</v>
      </c>
    </row>
    <row r="1071" spans="1:12" x14ac:dyDescent="0.25">
      <c r="A1071" t="s">
        <v>1063</v>
      </c>
      <c r="B1071" s="2">
        <v>44972</v>
      </c>
      <c r="C1071" s="2" t="str">
        <f>TEXT(Table3[[#This Row],[Order Date]],"mmmm")</f>
        <v>February</v>
      </c>
      <c r="D1071" t="s">
        <v>3220</v>
      </c>
      <c r="E1071" t="s">
        <v>3225</v>
      </c>
      <c r="F1071" t="s">
        <v>3226</v>
      </c>
      <c r="G1071" s="4">
        <v>65679.759999999995</v>
      </c>
      <c r="H1071" s="4">
        <v>40508.21</v>
      </c>
      <c r="I1071" s="3" t="s">
        <v>3734</v>
      </c>
      <c r="J1071">
        <v>3</v>
      </c>
      <c r="K1071" s="4">
        <f>Table3[[#This Row],[Sales]]-Table3[[#This Row],[Cost]]</f>
        <v>25171.549999999996</v>
      </c>
      <c r="L1071" s="6">
        <f>Table3[[#This Row],[Profit]]/Table3[[#This Row],[Sales]]</f>
        <v>0.38324668056034306</v>
      </c>
    </row>
    <row r="1072" spans="1:12" x14ac:dyDescent="0.25">
      <c r="A1072" t="s">
        <v>1064</v>
      </c>
      <c r="B1072" s="2">
        <v>44941</v>
      </c>
      <c r="C1072" s="2" t="str">
        <f>TEXT(Table3[[#This Row],[Order Date]],"mmmm")</f>
        <v>January</v>
      </c>
      <c r="D1072" t="s">
        <v>3731</v>
      </c>
      <c r="E1072" t="s">
        <v>3222</v>
      </c>
      <c r="F1072" t="s">
        <v>3226</v>
      </c>
      <c r="G1072" s="4">
        <v>51137.440000000002</v>
      </c>
      <c r="H1072" s="4">
        <v>39713.64</v>
      </c>
      <c r="I1072" s="3" t="s">
        <v>3734</v>
      </c>
      <c r="J1072">
        <v>4</v>
      </c>
      <c r="K1072" s="4">
        <f>Table3[[#This Row],[Sales]]-Table3[[#This Row],[Cost]]</f>
        <v>11423.800000000003</v>
      </c>
      <c r="L1072" s="6">
        <f>Table3[[#This Row],[Profit]]/Table3[[#This Row],[Sales]]</f>
        <v>0.22339405335894802</v>
      </c>
    </row>
    <row r="1073" spans="1:12" x14ac:dyDescent="0.25">
      <c r="A1073" t="s">
        <v>1065</v>
      </c>
      <c r="B1073" s="2">
        <v>45005</v>
      </c>
      <c r="C1073" s="2" t="str">
        <f>TEXT(Table3[[#This Row],[Order Date]],"mmmm")</f>
        <v>March</v>
      </c>
      <c r="D1073" t="s">
        <v>3730</v>
      </c>
      <c r="E1073" t="s">
        <v>3222</v>
      </c>
      <c r="F1073" t="s">
        <v>3226</v>
      </c>
      <c r="G1073" s="4">
        <v>67715.31</v>
      </c>
      <c r="H1073" s="4">
        <v>49551.06</v>
      </c>
      <c r="I1073" s="3" t="s">
        <v>3734</v>
      </c>
      <c r="J1073">
        <v>5</v>
      </c>
      <c r="K1073" s="4">
        <f>Table3[[#This Row],[Sales]]-Table3[[#This Row],[Cost]]</f>
        <v>18164.25</v>
      </c>
      <c r="L1073" s="6">
        <f>Table3[[#This Row],[Profit]]/Table3[[#This Row],[Sales]]</f>
        <v>0.26824436010113517</v>
      </c>
    </row>
    <row r="1074" spans="1:12" x14ac:dyDescent="0.25">
      <c r="A1074" t="s">
        <v>1066</v>
      </c>
      <c r="B1074" s="2">
        <v>44972</v>
      </c>
      <c r="C1074" s="2" t="str">
        <f>TEXT(Table3[[#This Row],[Order Date]],"mmmm")</f>
        <v>February</v>
      </c>
      <c r="D1074" t="s">
        <v>3730</v>
      </c>
      <c r="E1074" t="s">
        <v>3222</v>
      </c>
      <c r="F1074" t="s">
        <v>3226</v>
      </c>
      <c r="G1074" s="4">
        <v>48166.05</v>
      </c>
      <c r="H1074" s="4">
        <v>38532.840000000004</v>
      </c>
      <c r="I1074" s="3" t="s">
        <v>3735</v>
      </c>
      <c r="J1074">
        <v>3</v>
      </c>
      <c r="K1074" s="4">
        <f>Table3[[#This Row],[Sales]]-Table3[[#This Row],[Cost]]</f>
        <v>9633.2099999999991</v>
      </c>
      <c r="L1074" s="6">
        <f>Table3[[#This Row],[Profit]]/Table3[[#This Row],[Sales]]</f>
        <v>0.19999999999999998</v>
      </c>
    </row>
    <row r="1075" spans="1:12" x14ac:dyDescent="0.25">
      <c r="A1075" t="s">
        <v>1067</v>
      </c>
      <c r="B1075" s="2">
        <v>45021</v>
      </c>
      <c r="C1075" s="2" t="str">
        <f>TEXT(Table3[[#This Row],[Order Date]],"mmmm")</f>
        <v>April</v>
      </c>
      <c r="D1075" t="s">
        <v>3731</v>
      </c>
      <c r="E1075" t="s">
        <v>3222</v>
      </c>
      <c r="F1075" t="s">
        <v>3226</v>
      </c>
      <c r="G1075" s="4">
        <v>52643.42</v>
      </c>
      <c r="H1075" s="4">
        <v>42114.736000000004</v>
      </c>
      <c r="I1075" s="3" t="s">
        <v>3735</v>
      </c>
      <c r="J1075">
        <v>4</v>
      </c>
      <c r="K1075" s="4">
        <f>Table3[[#This Row],[Sales]]-Table3[[#This Row],[Cost]]</f>
        <v>10528.683999999994</v>
      </c>
      <c r="L1075" s="6">
        <f>Table3[[#This Row],[Profit]]/Table3[[#This Row],[Sales]]</f>
        <v>0.1999999999999999</v>
      </c>
    </row>
    <row r="1076" spans="1:12" x14ac:dyDescent="0.25">
      <c r="A1076" t="s">
        <v>3421</v>
      </c>
      <c r="B1076" s="2">
        <v>44972</v>
      </c>
      <c r="C1076" s="2" t="str">
        <f>TEXT(Table3[[#This Row],[Order Date]],"mmmm")</f>
        <v>February</v>
      </c>
      <c r="D1076" t="s">
        <v>3216</v>
      </c>
      <c r="E1076" t="s">
        <v>3224</v>
      </c>
      <c r="F1076" t="s">
        <v>3226</v>
      </c>
      <c r="G1076" s="4">
        <v>307975.99</v>
      </c>
      <c r="H1076" s="4">
        <v>199652.88</v>
      </c>
      <c r="I1076" s="3" t="s">
        <v>3734</v>
      </c>
      <c r="J1076" t="s">
        <v>3732</v>
      </c>
      <c r="K1076" s="4">
        <f>Table3[[#This Row],[Sales]]-Table3[[#This Row],[Cost]]</f>
        <v>108323.10999999999</v>
      </c>
      <c r="L1076" s="6">
        <f>Table3[[#This Row],[Profit]]/Table3[[#This Row],[Sales]]</f>
        <v>0.35172582771793343</v>
      </c>
    </row>
    <row r="1077" spans="1:12" x14ac:dyDescent="0.25">
      <c r="A1077" t="s">
        <v>906</v>
      </c>
      <c r="B1077" s="2">
        <v>44941</v>
      </c>
      <c r="C1077" s="2" t="str">
        <f>TEXT(Table3[[#This Row],[Order Date]],"mmmm")</f>
        <v>January</v>
      </c>
      <c r="D1077" t="s">
        <v>3730</v>
      </c>
      <c r="E1077" t="s">
        <v>3223</v>
      </c>
      <c r="F1077" t="s">
        <v>3226</v>
      </c>
      <c r="G1077" s="4">
        <v>58903.8</v>
      </c>
      <c r="H1077" s="4">
        <v>35074.42</v>
      </c>
      <c r="I1077" s="3" t="s">
        <v>3734</v>
      </c>
      <c r="J1077">
        <v>5</v>
      </c>
      <c r="K1077" s="4">
        <f>Table3[[#This Row],[Sales]]-Table3[[#This Row],[Cost]]</f>
        <v>23829.380000000005</v>
      </c>
      <c r="L1077" s="6">
        <f>Table3[[#This Row],[Profit]]/Table3[[#This Row],[Sales]]</f>
        <v>0.40454741459803956</v>
      </c>
    </row>
    <row r="1078" spans="1:12" x14ac:dyDescent="0.25">
      <c r="A1078" t="s">
        <v>115</v>
      </c>
      <c r="B1078" s="2">
        <v>45102</v>
      </c>
      <c r="C1078" s="2" t="str">
        <f>TEXT(Table3[[#This Row],[Order Date]],"mmmm")</f>
        <v>June</v>
      </c>
      <c r="D1078" t="s">
        <v>3730</v>
      </c>
      <c r="E1078" t="s">
        <v>3222</v>
      </c>
      <c r="F1078" t="s">
        <v>3226</v>
      </c>
      <c r="G1078" s="4">
        <v>13867</v>
      </c>
      <c r="H1078" s="4">
        <v>9725.9</v>
      </c>
      <c r="I1078" s="3" t="s">
        <v>3734</v>
      </c>
      <c r="J1078">
        <v>1</v>
      </c>
      <c r="K1078" s="4">
        <f>Table3[[#This Row],[Sales]]-Table3[[#This Row],[Cost]]</f>
        <v>4141.1000000000004</v>
      </c>
      <c r="L1078" s="6">
        <f>Table3[[#This Row],[Profit]]/Table3[[#This Row],[Sales]]</f>
        <v>0.29862984062883108</v>
      </c>
    </row>
    <row r="1079" spans="1:12" x14ac:dyDescent="0.25">
      <c r="A1079" t="s">
        <v>1069</v>
      </c>
      <c r="B1079" s="2">
        <v>45021</v>
      </c>
      <c r="C1079" s="2" t="str">
        <f>TEXT(Table3[[#This Row],[Order Date]],"mmmm")</f>
        <v>April</v>
      </c>
      <c r="D1079" t="s">
        <v>3220</v>
      </c>
      <c r="E1079" t="s">
        <v>3223</v>
      </c>
      <c r="F1079" t="s">
        <v>3226</v>
      </c>
      <c r="G1079" s="4">
        <v>18770.91</v>
      </c>
      <c r="H1079" s="4">
        <v>13997.83</v>
      </c>
      <c r="I1079" s="3" t="s">
        <v>3734</v>
      </c>
      <c r="J1079">
        <v>2</v>
      </c>
      <c r="K1079" s="4">
        <f>Table3[[#This Row],[Sales]]-Table3[[#This Row],[Cost]]</f>
        <v>4773.08</v>
      </c>
      <c r="L1079" s="6">
        <f>Table3[[#This Row],[Profit]]/Table3[[#This Row],[Sales]]</f>
        <v>0.25428069283801369</v>
      </c>
    </row>
    <row r="1080" spans="1:12" x14ac:dyDescent="0.25">
      <c r="A1080" t="s">
        <v>1070</v>
      </c>
      <c r="B1080" s="2">
        <v>45021</v>
      </c>
      <c r="C1080" s="2" t="str">
        <f>TEXT(Table3[[#This Row],[Order Date]],"mmmm")</f>
        <v>April</v>
      </c>
      <c r="D1080" t="s">
        <v>3731</v>
      </c>
      <c r="E1080" t="s">
        <v>3224</v>
      </c>
      <c r="F1080" t="s">
        <v>3226</v>
      </c>
      <c r="G1080" s="4">
        <v>318143.08</v>
      </c>
      <c r="H1080" s="4">
        <v>254514.46400000004</v>
      </c>
      <c r="I1080" s="3" t="s">
        <v>3735</v>
      </c>
      <c r="J1080">
        <v>5</v>
      </c>
      <c r="K1080" s="4">
        <f>Table3[[#This Row],[Sales]]-Table3[[#This Row],[Cost]]</f>
        <v>63628.61599999998</v>
      </c>
      <c r="L1080" s="6">
        <f>Table3[[#This Row],[Profit]]/Table3[[#This Row],[Sales]]</f>
        <v>0.19999999999999993</v>
      </c>
    </row>
    <row r="1081" spans="1:12" x14ac:dyDescent="0.25">
      <c r="A1081" t="s">
        <v>1071</v>
      </c>
      <c r="B1081" s="2">
        <v>45021</v>
      </c>
      <c r="C1081" s="2" t="str">
        <f>TEXT(Table3[[#This Row],[Order Date]],"mmmm")</f>
        <v>April</v>
      </c>
      <c r="D1081" t="s">
        <v>3731</v>
      </c>
      <c r="E1081" t="s">
        <v>3225</v>
      </c>
      <c r="F1081" t="s">
        <v>3226</v>
      </c>
      <c r="G1081" s="4">
        <v>39099.440000000002</v>
      </c>
      <c r="H1081" s="4">
        <v>31279.552000000003</v>
      </c>
      <c r="I1081" s="3" t="s">
        <v>3735</v>
      </c>
      <c r="J1081">
        <v>2</v>
      </c>
      <c r="K1081" s="4">
        <f>Table3[[#This Row],[Sales]]-Table3[[#This Row],[Cost]]</f>
        <v>7819.887999999999</v>
      </c>
      <c r="L1081" s="6">
        <f>Table3[[#This Row],[Profit]]/Table3[[#This Row],[Sales]]</f>
        <v>0.19999999999999996</v>
      </c>
    </row>
    <row r="1082" spans="1:12" x14ac:dyDescent="0.25">
      <c r="A1082" t="s">
        <v>1072</v>
      </c>
      <c r="B1082" s="2">
        <v>44941</v>
      </c>
      <c r="C1082" s="2" t="str">
        <f>TEXT(Table3[[#This Row],[Order Date]],"mmmm")</f>
        <v>January</v>
      </c>
      <c r="D1082" t="s">
        <v>3216</v>
      </c>
      <c r="E1082" t="s">
        <v>3224</v>
      </c>
      <c r="F1082" t="s">
        <v>3226</v>
      </c>
      <c r="G1082" s="4">
        <v>57141.24</v>
      </c>
      <c r="H1082" s="4">
        <v>43199.7</v>
      </c>
      <c r="I1082" s="3" t="s">
        <v>3734</v>
      </c>
      <c r="J1082">
        <v>1</v>
      </c>
      <c r="K1082" s="4">
        <f>Table3[[#This Row],[Sales]]-Table3[[#This Row],[Cost]]</f>
        <v>13941.54</v>
      </c>
      <c r="L1082" s="6">
        <f>Table3[[#This Row],[Profit]]/Table3[[#This Row],[Sales]]</f>
        <v>0.24398385474308926</v>
      </c>
    </row>
    <row r="1083" spans="1:12" x14ac:dyDescent="0.25">
      <c r="A1083" t="s">
        <v>1074</v>
      </c>
      <c r="B1083" s="2">
        <v>45005</v>
      </c>
      <c r="C1083" s="2" t="str">
        <f>TEXT(Table3[[#This Row],[Order Date]],"mmmm")</f>
        <v>March</v>
      </c>
      <c r="D1083" t="s">
        <v>3730</v>
      </c>
      <c r="E1083" t="s">
        <v>3222</v>
      </c>
      <c r="F1083" t="s">
        <v>3226</v>
      </c>
      <c r="G1083" s="4">
        <v>17815.900000000001</v>
      </c>
      <c r="H1083" s="4">
        <v>9296.69</v>
      </c>
      <c r="I1083" s="3" t="s">
        <v>3734</v>
      </c>
      <c r="J1083" t="s">
        <v>3732</v>
      </c>
      <c r="K1083" s="4">
        <f>Table3[[#This Row],[Sales]]-Table3[[#This Row],[Cost]]</f>
        <v>8519.2100000000009</v>
      </c>
      <c r="L1083" s="6">
        <f>Table3[[#This Row],[Profit]]/Table3[[#This Row],[Sales]]</f>
        <v>0.47818016490887355</v>
      </c>
    </row>
    <row r="1084" spans="1:12" x14ac:dyDescent="0.25">
      <c r="A1084" t="s">
        <v>358</v>
      </c>
      <c r="B1084" s="2">
        <v>45021</v>
      </c>
      <c r="C1084" s="2" t="str">
        <f>TEXT(Table3[[#This Row],[Order Date]],"mmmm")</f>
        <v>April</v>
      </c>
      <c r="D1084" t="s">
        <v>3730</v>
      </c>
      <c r="E1084" t="s">
        <v>3224</v>
      </c>
      <c r="F1084" t="s">
        <v>3226</v>
      </c>
      <c r="G1084" s="4">
        <v>283495.34999999998</v>
      </c>
      <c r="H1084" s="4">
        <v>172054.14</v>
      </c>
      <c r="I1084" s="3" t="s">
        <v>3734</v>
      </c>
      <c r="J1084">
        <v>4</v>
      </c>
      <c r="K1084" s="4">
        <f>Table3[[#This Row],[Sales]]-Table3[[#This Row],[Cost]]</f>
        <v>111441.20999999996</v>
      </c>
      <c r="L1084" s="6">
        <f>Table3[[#This Row],[Profit]]/Table3[[#This Row],[Sales]]</f>
        <v>0.39309713545566083</v>
      </c>
    </row>
    <row r="1085" spans="1:12" x14ac:dyDescent="0.25">
      <c r="A1085" t="s">
        <v>1075</v>
      </c>
      <c r="B1085" s="2" t="s">
        <v>3729</v>
      </c>
      <c r="C1085" s="2" t="str">
        <f>TEXT(Table3[[#This Row],[Order Date]],"mmmm")</f>
        <v>Not Mentioned</v>
      </c>
      <c r="D1085" t="s">
        <v>3220</v>
      </c>
      <c r="E1085" t="s">
        <v>3222</v>
      </c>
      <c r="F1085" t="s">
        <v>3226</v>
      </c>
      <c r="G1085" s="4">
        <v>56905.55</v>
      </c>
      <c r="H1085" s="4">
        <v>45524.44</v>
      </c>
      <c r="I1085" s="3" t="s">
        <v>3735</v>
      </c>
      <c r="J1085">
        <v>4</v>
      </c>
      <c r="K1085" s="4">
        <f>Table3[[#This Row],[Sales]]-Table3[[#This Row],[Cost]]</f>
        <v>11381.11</v>
      </c>
      <c r="L1085" s="6">
        <f>Table3[[#This Row],[Profit]]/Table3[[#This Row],[Sales]]</f>
        <v>0.2</v>
      </c>
    </row>
    <row r="1086" spans="1:12" x14ac:dyDescent="0.25">
      <c r="A1086" t="s">
        <v>1076</v>
      </c>
      <c r="B1086" s="2">
        <v>44972</v>
      </c>
      <c r="C1086" s="2" t="str">
        <f>TEXT(Table3[[#This Row],[Order Date]],"mmmm")</f>
        <v>February</v>
      </c>
      <c r="D1086" t="s">
        <v>3730</v>
      </c>
      <c r="E1086" t="s">
        <v>3225</v>
      </c>
      <c r="F1086" t="s">
        <v>3226</v>
      </c>
      <c r="G1086" s="4">
        <v>36610.39</v>
      </c>
      <c r="H1086" s="4">
        <v>26067.83</v>
      </c>
      <c r="I1086" s="3" t="s">
        <v>3734</v>
      </c>
      <c r="J1086">
        <v>2</v>
      </c>
      <c r="K1086" s="4">
        <f>Table3[[#This Row],[Sales]]-Table3[[#This Row],[Cost]]</f>
        <v>10542.559999999998</v>
      </c>
      <c r="L1086" s="6">
        <f>Table3[[#This Row],[Profit]]/Table3[[#This Row],[Sales]]</f>
        <v>0.28796633961014884</v>
      </c>
    </row>
    <row r="1087" spans="1:12" x14ac:dyDescent="0.25">
      <c r="A1087" t="s">
        <v>3422</v>
      </c>
      <c r="B1087" s="2" t="s">
        <v>3729</v>
      </c>
      <c r="C1087" s="2" t="str">
        <f>TEXT(Table3[[#This Row],[Order Date]],"mmmm")</f>
        <v>Not Mentioned</v>
      </c>
      <c r="D1087" t="s">
        <v>3220</v>
      </c>
      <c r="E1087" t="s">
        <v>3222</v>
      </c>
      <c r="F1087" t="s">
        <v>3226</v>
      </c>
      <c r="G1087" s="4">
        <v>25458.61</v>
      </c>
      <c r="H1087" s="4">
        <v>17582.009999999998</v>
      </c>
      <c r="I1087" s="3" t="s">
        <v>3734</v>
      </c>
      <c r="J1087">
        <v>2</v>
      </c>
      <c r="K1087" s="4">
        <f>Table3[[#This Row],[Sales]]-Table3[[#This Row],[Cost]]</f>
        <v>7876.6000000000022</v>
      </c>
      <c r="L1087" s="6">
        <f>Table3[[#This Row],[Profit]]/Table3[[#This Row],[Sales]]</f>
        <v>0.30938845443643631</v>
      </c>
    </row>
    <row r="1088" spans="1:12" x14ac:dyDescent="0.25">
      <c r="A1088" t="s">
        <v>3423</v>
      </c>
      <c r="B1088" s="2">
        <v>45021</v>
      </c>
      <c r="C1088" s="2" t="str">
        <f>TEXT(Table3[[#This Row],[Order Date]],"mmmm")</f>
        <v>April</v>
      </c>
      <c r="D1088" t="s">
        <v>3220</v>
      </c>
      <c r="E1088" t="s">
        <v>3224</v>
      </c>
      <c r="F1088" t="s">
        <v>3226</v>
      </c>
      <c r="G1088" s="4">
        <v>262994.34999999998</v>
      </c>
      <c r="H1088" s="4">
        <v>172509.53</v>
      </c>
      <c r="I1088" s="3" t="s">
        <v>3734</v>
      </c>
      <c r="J1088">
        <v>4</v>
      </c>
      <c r="K1088" s="4">
        <f>Table3[[#This Row],[Sales]]-Table3[[#This Row],[Cost]]</f>
        <v>90484.819999999978</v>
      </c>
      <c r="L1088" s="6">
        <f>Table3[[#This Row],[Profit]]/Table3[[#This Row],[Sales]]</f>
        <v>0.34405613656719236</v>
      </c>
    </row>
    <row r="1089" spans="1:12" x14ac:dyDescent="0.25">
      <c r="A1089" t="s">
        <v>1079</v>
      </c>
      <c r="B1089" s="2">
        <v>44941</v>
      </c>
      <c r="C1089" s="2" t="str">
        <f>TEXT(Table3[[#This Row],[Order Date]],"mmmm")</f>
        <v>January</v>
      </c>
      <c r="D1089" t="s">
        <v>3216</v>
      </c>
      <c r="E1089" t="s">
        <v>3223</v>
      </c>
      <c r="F1089" t="s">
        <v>3226</v>
      </c>
      <c r="G1089" s="4">
        <v>32190.47</v>
      </c>
      <c r="H1089" s="4">
        <v>27289.599999999999</v>
      </c>
      <c r="I1089" s="3" t="s">
        <v>3734</v>
      </c>
      <c r="J1089">
        <v>4</v>
      </c>
      <c r="K1089" s="4">
        <f>Table3[[#This Row],[Sales]]-Table3[[#This Row],[Cost]]</f>
        <v>4900.8700000000026</v>
      </c>
      <c r="L1089" s="6">
        <f>Table3[[#This Row],[Profit]]/Table3[[#This Row],[Sales]]</f>
        <v>0.15224599081653678</v>
      </c>
    </row>
    <row r="1090" spans="1:12" x14ac:dyDescent="0.25">
      <c r="A1090" t="s">
        <v>1080</v>
      </c>
      <c r="B1090" s="2">
        <v>45102</v>
      </c>
      <c r="C1090" s="2" t="str">
        <f>TEXT(Table3[[#This Row],[Order Date]],"mmmm")</f>
        <v>June</v>
      </c>
      <c r="D1090" t="s">
        <v>3220</v>
      </c>
      <c r="E1090" t="s">
        <v>3225</v>
      </c>
      <c r="F1090" t="s">
        <v>3226</v>
      </c>
      <c r="G1090" s="4">
        <v>41489.800000000003</v>
      </c>
      <c r="H1090" s="4">
        <v>26406.2</v>
      </c>
      <c r="I1090" s="3" t="s">
        <v>3734</v>
      </c>
      <c r="J1090">
        <v>2</v>
      </c>
      <c r="K1090" s="4">
        <f>Table3[[#This Row],[Sales]]-Table3[[#This Row],[Cost]]</f>
        <v>15083.600000000002</v>
      </c>
      <c r="L1090" s="6">
        <f>Table3[[#This Row],[Profit]]/Table3[[#This Row],[Sales]]</f>
        <v>0.36354959532222381</v>
      </c>
    </row>
    <row r="1091" spans="1:12" x14ac:dyDescent="0.25">
      <c r="A1091" t="s">
        <v>3424</v>
      </c>
      <c r="B1091" s="2">
        <v>45021</v>
      </c>
      <c r="C1091" s="2" t="str">
        <f>TEXT(Table3[[#This Row],[Order Date]],"mmmm")</f>
        <v>April</v>
      </c>
      <c r="D1091" t="s">
        <v>3220</v>
      </c>
      <c r="E1091" t="s">
        <v>3225</v>
      </c>
      <c r="F1091" t="s">
        <v>3226</v>
      </c>
      <c r="G1091" s="4">
        <v>50175.89</v>
      </c>
      <c r="H1091" s="4">
        <v>42706.07</v>
      </c>
      <c r="I1091" s="3" t="s">
        <v>3734</v>
      </c>
      <c r="J1091">
        <v>3</v>
      </c>
      <c r="K1091" s="4">
        <f>Table3[[#This Row],[Sales]]-Table3[[#This Row],[Cost]]</f>
        <v>7469.82</v>
      </c>
      <c r="L1091" s="6">
        <f>Table3[[#This Row],[Profit]]/Table3[[#This Row],[Sales]]</f>
        <v>0.14887269563130817</v>
      </c>
    </row>
    <row r="1092" spans="1:12" x14ac:dyDescent="0.25">
      <c r="A1092" t="s">
        <v>1082</v>
      </c>
      <c r="B1092" s="2">
        <v>44972</v>
      </c>
      <c r="C1092" s="2" t="str">
        <f>TEXT(Table3[[#This Row],[Order Date]],"mmmm")</f>
        <v>February</v>
      </c>
      <c r="D1092" t="s">
        <v>3220</v>
      </c>
      <c r="E1092" t="s">
        <v>3222</v>
      </c>
      <c r="F1092" t="s">
        <v>3226</v>
      </c>
      <c r="G1092" s="4">
        <v>65748.25</v>
      </c>
      <c r="H1092" s="4">
        <v>41836.379999999997</v>
      </c>
      <c r="I1092" s="3" t="s">
        <v>3734</v>
      </c>
      <c r="J1092">
        <v>4</v>
      </c>
      <c r="K1092" s="4">
        <f>Table3[[#This Row],[Sales]]-Table3[[#This Row],[Cost]]</f>
        <v>23911.870000000003</v>
      </c>
      <c r="L1092" s="6">
        <f>Table3[[#This Row],[Profit]]/Table3[[#This Row],[Sales]]</f>
        <v>0.36368831109573263</v>
      </c>
    </row>
    <row r="1093" spans="1:12" x14ac:dyDescent="0.25">
      <c r="A1093" t="s">
        <v>1083</v>
      </c>
      <c r="B1093" s="2">
        <v>45102</v>
      </c>
      <c r="C1093" s="2" t="str">
        <f>TEXT(Table3[[#This Row],[Order Date]],"mmmm")</f>
        <v>June</v>
      </c>
      <c r="D1093" t="s">
        <v>3730</v>
      </c>
      <c r="E1093" t="s">
        <v>3224</v>
      </c>
      <c r="F1093" t="s">
        <v>3226</v>
      </c>
      <c r="G1093" s="4">
        <v>162435.20000000001</v>
      </c>
      <c r="H1093" s="4">
        <v>118796.4</v>
      </c>
      <c r="I1093" s="3" t="s">
        <v>3734</v>
      </c>
      <c r="J1093">
        <v>3</v>
      </c>
      <c r="K1093" s="4">
        <f>Table3[[#This Row],[Sales]]-Table3[[#This Row],[Cost]]</f>
        <v>43638.800000000017</v>
      </c>
      <c r="L1093" s="6">
        <f>Table3[[#This Row],[Profit]]/Table3[[#This Row],[Sales]]</f>
        <v>0.26865359232481639</v>
      </c>
    </row>
    <row r="1094" spans="1:12" x14ac:dyDescent="0.25">
      <c r="A1094" t="s">
        <v>3337</v>
      </c>
      <c r="B1094" s="2" t="s">
        <v>3729</v>
      </c>
      <c r="C1094" s="2" t="str">
        <f>TEXT(Table3[[#This Row],[Order Date]],"mmmm")</f>
        <v>Not Mentioned</v>
      </c>
      <c r="D1094" t="s">
        <v>3216</v>
      </c>
      <c r="E1094" t="s">
        <v>3222</v>
      </c>
      <c r="F1094" t="s">
        <v>3226</v>
      </c>
      <c r="G1094" s="4">
        <v>14593.36</v>
      </c>
      <c r="H1094" s="4">
        <v>10169.83</v>
      </c>
      <c r="I1094" s="3" t="s">
        <v>3734</v>
      </c>
      <c r="J1094">
        <v>1</v>
      </c>
      <c r="K1094" s="4">
        <f>Table3[[#This Row],[Sales]]-Table3[[#This Row],[Cost]]</f>
        <v>4423.5300000000007</v>
      </c>
      <c r="L1094" s="6">
        <f>Table3[[#This Row],[Profit]]/Table3[[#This Row],[Sales]]</f>
        <v>0.30311936387507749</v>
      </c>
    </row>
    <row r="1095" spans="1:12" x14ac:dyDescent="0.25">
      <c r="A1095" t="s">
        <v>1084</v>
      </c>
      <c r="B1095" s="2">
        <v>45102</v>
      </c>
      <c r="C1095" s="2" t="str">
        <f>TEXT(Table3[[#This Row],[Order Date]],"mmmm")</f>
        <v>June</v>
      </c>
      <c r="D1095" t="s">
        <v>3731</v>
      </c>
      <c r="E1095" t="s">
        <v>3223</v>
      </c>
      <c r="F1095" t="s">
        <v>3226</v>
      </c>
      <c r="G1095" s="4">
        <v>21621.02</v>
      </c>
      <c r="H1095" s="4">
        <v>15199.7</v>
      </c>
      <c r="I1095" s="3" t="s">
        <v>3734</v>
      </c>
      <c r="J1095">
        <v>2</v>
      </c>
      <c r="K1095" s="4">
        <f>Table3[[#This Row],[Sales]]-Table3[[#This Row],[Cost]]</f>
        <v>6421.32</v>
      </c>
      <c r="L1095" s="6">
        <f>Table3[[#This Row],[Profit]]/Table3[[#This Row],[Sales]]</f>
        <v>0.29699431386678332</v>
      </c>
    </row>
    <row r="1096" spans="1:12" x14ac:dyDescent="0.25">
      <c r="A1096" t="s">
        <v>1085</v>
      </c>
      <c r="B1096" s="2">
        <v>45102</v>
      </c>
      <c r="C1096" s="2" t="str">
        <f>TEXT(Table3[[#This Row],[Order Date]],"mmmm")</f>
        <v>June</v>
      </c>
      <c r="D1096" t="s">
        <v>3220</v>
      </c>
      <c r="E1096" t="s">
        <v>3224</v>
      </c>
      <c r="F1096" t="s">
        <v>3226</v>
      </c>
      <c r="G1096" s="4">
        <v>146238.81</v>
      </c>
      <c r="H1096" s="4">
        <v>130322.29</v>
      </c>
      <c r="I1096" s="3" t="s">
        <v>3734</v>
      </c>
      <c r="J1096">
        <v>3</v>
      </c>
      <c r="K1096" s="4">
        <f>Table3[[#This Row],[Sales]]-Table3[[#This Row],[Cost]]</f>
        <v>15916.520000000004</v>
      </c>
      <c r="L1096" s="6">
        <f>Table3[[#This Row],[Profit]]/Table3[[#This Row],[Sales]]</f>
        <v>0.10883923357964964</v>
      </c>
    </row>
    <row r="1097" spans="1:12" x14ac:dyDescent="0.25">
      <c r="A1097" t="s">
        <v>1086</v>
      </c>
      <c r="B1097" s="2">
        <v>44941</v>
      </c>
      <c r="C1097" s="2" t="str">
        <f>TEXT(Table3[[#This Row],[Order Date]],"mmmm")</f>
        <v>January</v>
      </c>
      <c r="D1097" t="s">
        <v>3731</v>
      </c>
      <c r="E1097" t="s">
        <v>3223</v>
      </c>
      <c r="F1097" t="s">
        <v>3226</v>
      </c>
      <c r="G1097" s="4">
        <v>32020.38</v>
      </c>
      <c r="H1097" s="4">
        <v>19047.93</v>
      </c>
      <c r="I1097" s="3" t="s">
        <v>3734</v>
      </c>
      <c r="J1097">
        <v>3</v>
      </c>
      <c r="K1097" s="4">
        <f>Table3[[#This Row],[Sales]]-Table3[[#This Row],[Cost]]</f>
        <v>12972.45</v>
      </c>
      <c r="L1097" s="6">
        <f>Table3[[#This Row],[Profit]]/Table3[[#This Row],[Sales]]</f>
        <v>0.40513104466592842</v>
      </c>
    </row>
    <row r="1098" spans="1:12" x14ac:dyDescent="0.25">
      <c r="A1098" t="s">
        <v>1087</v>
      </c>
      <c r="B1098" s="2">
        <v>45102</v>
      </c>
      <c r="C1098" s="2" t="str">
        <f>TEXT(Table3[[#This Row],[Order Date]],"mmmm")</f>
        <v>June</v>
      </c>
      <c r="D1098" t="s">
        <v>3220</v>
      </c>
      <c r="E1098" t="s">
        <v>3222</v>
      </c>
      <c r="F1098" t="s">
        <v>3226</v>
      </c>
      <c r="G1098" s="4">
        <v>17382.23</v>
      </c>
      <c r="H1098" s="4">
        <v>10754.35</v>
      </c>
      <c r="I1098" s="3" t="s">
        <v>3734</v>
      </c>
      <c r="J1098" t="s">
        <v>3732</v>
      </c>
      <c r="K1098" s="4">
        <f>Table3[[#This Row],[Sales]]-Table3[[#This Row],[Cost]]</f>
        <v>6627.8799999999992</v>
      </c>
      <c r="L1098" s="6">
        <f>Table3[[#This Row],[Profit]]/Table3[[#This Row],[Sales]]</f>
        <v>0.38130205387916277</v>
      </c>
    </row>
    <row r="1099" spans="1:12" x14ac:dyDescent="0.25">
      <c r="A1099" t="s">
        <v>1088</v>
      </c>
      <c r="B1099" s="2">
        <v>45102</v>
      </c>
      <c r="C1099" s="2" t="str">
        <f>TEXT(Table3[[#This Row],[Order Date]],"mmmm")</f>
        <v>June</v>
      </c>
      <c r="D1099" t="s">
        <v>3730</v>
      </c>
      <c r="E1099" t="s">
        <v>3222</v>
      </c>
      <c r="F1099" t="s">
        <v>3226</v>
      </c>
      <c r="G1099" s="4">
        <v>15275.16</v>
      </c>
      <c r="H1099" s="4">
        <v>9345.36</v>
      </c>
      <c r="I1099" s="3" t="s">
        <v>3734</v>
      </c>
      <c r="J1099">
        <v>1</v>
      </c>
      <c r="K1099" s="4">
        <f>Table3[[#This Row],[Sales]]-Table3[[#This Row],[Cost]]</f>
        <v>5929.7999999999993</v>
      </c>
      <c r="L1099" s="6">
        <f>Table3[[#This Row],[Profit]]/Table3[[#This Row],[Sales]]</f>
        <v>0.38819887974986839</v>
      </c>
    </row>
    <row r="1100" spans="1:12" x14ac:dyDescent="0.25">
      <c r="A1100" t="s">
        <v>3425</v>
      </c>
      <c r="B1100" s="2">
        <v>45005</v>
      </c>
      <c r="C1100" s="2" t="str">
        <f>TEXT(Table3[[#This Row],[Order Date]],"mmmm")</f>
        <v>March</v>
      </c>
      <c r="D1100" t="s">
        <v>3220</v>
      </c>
      <c r="E1100" t="s">
        <v>3223</v>
      </c>
      <c r="F1100" t="s">
        <v>3226</v>
      </c>
      <c r="G1100" s="4">
        <v>42629.66</v>
      </c>
      <c r="H1100" s="4">
        <v>25520.87</v>
      </c>
      <c r="I1100" s="3" t="s">
        <v>3734</v>
      </c>
      <c r="J1100" t="s">
        <v>3732</v>
      </c>
      <c r="K1100" s="4">
        <f>Table3[[#This Row],[Sales]]-Table3[[#This Row],[Cost]]</f>
        <v>17108.790000000005</v>
      </c>
      <c r="L1100" s="6">
        <f>Table3[[#This Row],[Profit]]/Table3[[#This Row],[Sales]]</f>
        <v>0.40133536134231435</v>
      </c>
    </row>
    <row r="1101" spans="1:12" x14ac:dyDescent="0.25">
      <c r="A1101" t="s">
        <v>1090</v>
      </c>
      <c r="B1101" s="2">
        <v>45102</v>
      </c>
      <c r="C1101" s="2" t="str">
        <f>TEXT(Table3[[#This Row],[Order Date]],"mmmm")</f>
        <v>June</v>
      </c>
      <c r="D1101" t="s">
        <v>3730</v>
      </c>
      <c r="E1101" t="s">
        <v>3223</v>
      </c>
      <c r="F1101" t="s">
        <v>3226</v>
      </c>
      <c r="G1101" s="4">
        <v>57594.41</v>
      </c>
      <c r="H1101" s="4">
        <v>31497.62</v>
      </c>
      <c r="I1101" s="3" t="s">
        <v>3734</v>
      </c>
      <c r="J1101">
        <v>5</v>
      </c>
      <c r="K1101" s="4">
        <f>Table3[[#This Row],[Sales]]-Table3[[#This Row],[Cost]]</f>
        <v>26096.790000000005</v>
      </c>
      <c r="L1101" s="6">
        <f>Table3[[#This Row],[Profit]]/Table3[[#This Row],[Sales]]</f>
        <v>0.45311324484442156</v>
      </c>
    </row>
    <row r="1102" spans="1:12" x14ac:dyDescent="0.25">
      <c r="A1102" t="s">
        <v>1091</v>
      </c>
      <c r="B1102" s="2">
        <v>45021</v>
      </c>
      <c r="C1102" s="2" t="str">
        <f>TEXT(Table3[[#This Row],[Order Date]],"mmmm")</f>
        <v>April</v>
      </c>
      <c r="D1102" t="s">
        <v>3730</v>
      </c>
      <c r="E1102" t="s">
        <v>3225</v>
      </c>
      <c r="F1102" t="s">
        <v>3226</v>
      </c>
      <c r="G1102" s="4">
        <v>109228.28</v>
      </c>
      <c r="H1102" s="4">
        <v>87382.624000000011</v>
      </c>
      <c r="I1102" s="3" t="s">
        <v>3735</v>
      </c>
      <c r="J1102">
        <v>5</v>
      </c>
      <c r="K1102" s="4">
        <f>Table3[[#This Row],[Sales]]-Table3[[#This Row],[Cost]]</f>
        <v>21845.655999999988</v>
      </c>
      <c r="L1102" s="6">
        <f>Table3[[#This Row],[Profit]]/Table3[[#This Row],[Sales]]</f>
        <v>0.1999999999999999</v>
      </c>
    </row>
    <row r="1103" spans="1:12" x14ac:dyDescent="0.25">
      <c r="A1103" t="s">
        <v>3426</v>
      </c>
      <c r="B1103" s="2">
        <v>45102</v>
      </c>
      <c r="C1103" s="2" t="str">
        <f>TEXT(Table3[[#This Row],[Order Date]],"mmmm")</f>
        <v>June</v>
      </c>
      <c r="D1103" t="s">
        <v>3730</v>
      </c>
      <c r="E1103" t="s">
        <v>3223</v>
      </c>
      <c r="F1103" t="s">
        <v>3226</v>
      </c>
      <c r="G1103" s="4">
        <v>21161.1</v>
      </c>
      <c r="H1103" s="4">
        <v>12888.28</v>
      </c>
      <c r="I1103" s="3" t="s">
        <v>3734</v>
      </c>
      <c r="J1103">
        <v>2</v>
      </c>
      <c r="K1103" s="4">
        <f>Table3[[#This Row],[Sales]]-Table3[[#This Row],[Cost]]</f>
        <v>8272.8199999999979</v>
      </c>
      <c r="L1103" s="6">
        <f>Table3[[#This Row],[Profit]]/Table3[[#This Row],[Sales]]</f>
        <v>0.39094470514292728</v>
      </c>
    </row>
    <row r="1104" spans="1:12" x14ac:dyDescent="0.25">
      <c r="A1104" t="s">
        <v>3427</v>
      </c>
      <c r="B1104" s="2">
        <v>45102</v>
      </c>
      <c r="C1104" s="2" t="str">
        <f>TEXT(Table3[[#This Row],[Order Date]],"mmmm")</f>
        <v>June</v>
      </c>
      <c r="D1104" t="s">
        <v>3220</v>
      </c>
      <c r="E1104" t="s">
        <v>3222</v>
      </c>
      <c r="F1104" t="s">
        <v>3226</v>
      </c>
      <c r="G1104" s="4">
        <v>16677.650000000001</v>
      </c>
      <c r="H1104" s="4">
        <v>10005.25</v>
      </c>
      <c r="I1104" s="3" t="s">
        <v>3734</v>
      </c>
      <c r="J1104">
        <v>1</v>
      </c>
      <c r="K1104" s="4">
        <f>Table3[[#This Row],[Sales]]-Table3[[#This Row],[Cost]]</f>
        <v>6672.4000000000015</v>
      </c>
      <c r="L1104" s="6">
        <f>Table3[[#This Row],[Profit]]/Table3[[#This Row],[Sales]]</f>
        <v>0.40008034705129325</v>
      </c>
    </row>
    <row r="1105" spans="1:12" x14ac:dyDescent="0.25">
      <c r="A1105" t="s">
        <v>3428</v>
      </c>
      <c r="B1105" s="2">
        <v>45021</v>
      </c>
      <c r="C1105" s="2" t="str">
        <f>TEXT(Table3[[#This Row],[Order Date]],"mmmm")</f>
        <v>April</v>
      </c>
      <c r="D1105" t="s">
        <v>3730</v>
      </c>
      <c r="E1105" t="s">
        <v>3224</v>
      </c>
      <c r="F1105" t="s">
        <v>3226</v>
      </c>
      <c r="G1105" s="4">
        <v>111059.29</v>
      </c>
      <c r="H1105" s="4">
        <v>86458.25</v>
      </c>
      <c r="I1105" s="3" t="s">
        <v>3734</v>
      </c>
      <c r="J1105" t="s">
        <v>3732</v>
      </c>
      <c r="K1105" s="4">
        <f>Table3[[#This Row],[Sales]]-Table3[[#This Row],[Cost]]</f>
        <v>24601.039999999994</v>
      </c>
      <c r="L1105" s="6">
        <f>Table3[[#This Row],[Profit]]/Table3[[#This Row],[Sales]]</f>
        <v>0.22151267129476512</v>
      </c>
    </row>
    <row r="1106" spans="1:12" x14ac:dyDescent="0.25">
      <c r="A1106" t="s">
        <v>1095</v>
      </c>
      <c r="B1106" s="2">
        <v>45021</v>
      </c>
      <c r="C1106" s="2" t="str">
        <f>TEXT(Table3[[#This Row],[Order Date]],"mmmm")</f>
        <v>April</v>
      </c>
      <c r="D1106" t="s">
        <v>3220</v>
      </c>
      <c r="E1106" t="s">
        <v>3224</v>
      </c>
      <c r="F1106" t="s">
        <v>3226</v>
      </c>
      <c r="G1106" s="4">
        <v>60069.46</v>
      </c>
      <c r="H1106" s="4">
        <v>43460.08</v>
      </c>
      <c r="I1106" s="3" t="s">
        <v>3734</v>
      </c>
      <c r="J1106">
        <v>1</v>
      </c>
      <c r="K1106" s="4">
        <f>Table3[[#This Row],[Sales]]-Table3[[#This Row],[Cost]]</f>
        <v>16609.379999999997</v>
      </c>
      <c r="L1106" s="6">
        <f>Table3[[#This Row],[Profit]]/Table3[[#This Row],[Sales]]</f>
        <v>0.27650290180734099</v>
      </c>
    </row>
    <row r="1107" spans="1:12" x14ac:dyDescent="0.25">
      <c r="A1107" t="s">
        <v>1096</v>
      </c>
      <c r="B1107" s="2">
        <v>44941</v>
      </c>
      <c r="C1107" s="2" t="str">
        <f>TEXT(Table3[[#This Row],[Order Date]],"mmmm")</f>
        <v>January</v>
      </c>
      <c r="D1107" t="s">
        <v>3216</v>
      </c>
      <c r="E1107" t="s">
        <v>3223</v>
      </c>
      <c r="F1107" t="s">
        <v>3226</v>
      </c>
      <c r="G1107" s="4">
        <v>44812.53</v>
      </c>
      <c r="H1107" s="4">
        <v>27254.42</v>
      </c>
      <c r="I1107" s="3" t="s">
        <v>3734</v>
      </c>
      <c r="J1107">
        <v>4</v>
      </c>
      <c r="K1107" s="4">
        <f>Table3[[#This Row],[Sales]]-Table3[[#This Row],[Cost]]</f>
        <v>17558.11</v>
      </c>
      <c r="L1107" s="6">
        <f>Table3[[#This Row],[Profit]]/Table3[[#This Row],[Sales]]</f>
        <v>0.39181251315201354</v>
      </c>
    </row>
    <row r="1108" spans="1:12" x14ac:dyDescent="0.25">
      <c r="A1108" t="s">
        <v>3429</v>
      </c>
      <c r="B1108" s="2">
        <v>44972</v>
      </c>
      <c r="C1108" s="2" t="str">
        <f>TEXT(Table3[[#This Row],[Order Date]],"mmmm")</f>
        <v>February</v>
      </c>
      <c r="D1108" t="s">
        <v>3216</v>
      </c>
      <c r="E1108" t="s">
        <v>3223</v>
      </c>
      <c r="F1108" t="s">
        <v>3226</v>
      </c>
      <c r="G1108" s="4">
        <v>31843.63</v>
      </c>
      <c r="H1108" s="4">
        <v>17949.080000000002</v>
      </c>
      <c r="I1108" s="3" t="s">
        <v>3734</v>
      </c>
      <c r="J1108">
        <v>3</v>
      </c>
      <c r="K1108" s="4">
        <f>Table3[[#This Row],[Sales]]-Table3[[#This Row],[Cost]]</f>
        <v>13894.55</v>
      </c>
      <c r="L1108" s="6">
        <f>Table3[[#This Row],[Profit]]/Table3[[#This Row],[Sales]]</f>
        <v>0.43633687491030382</v>
      </c>
    </row>
    <row r="1109" spans="1:12" x14ac:dyDescent="0.25">
      <c r="A1109" t="s">
        <v>3250</v>
      </c>
      <c r="B1109" s="2">
        <v>44972</v>
      </c>
      <c r="C1109" s="2" t="str">
        <f>TEXT(Table3[[#This Row],[Order Date]],"mmmm")</f>
        <v>February</v>
      </c>
      <c r="D1109" t="s">
        <v>3220</v>
      </c>
      <c r="E1109" t="s">
        <v>3222</v>
      </c>
      <c r="F1109" t="s">
        <v>3226</v>
      </c>
      <c r="G1109" s="4">
        <v>42692.45</v>
      </c>
      <c r="H1109" s="4">
        <v>27330.71</v>
      </c>
      <c r="I1109" s="3" t="s">
        <v>3734</v>
      </c>
      <c r="J1109">
        <v>3</v>
      </c>
      <c r="K1109" s="4">
        <f>Table3[[#This Row],[Sales]]-Table3[[#This Row],[Cost]]</f>
        <v>15361.739999999998</v>
      </c>
      <c r="L1109" s="6">
        <f>Table3[[#This Row],[Profit]]/Table3[[#This Row],[Sales]]</f>
        <v>0.3598233411294034</v>
      </c>
    </row>
    <row r="1110" spans="1:12" x14ac:dyDescent="0.25">
      <c r="A1110" t="s">
        <v>3430</v>
      </c>
      <c r="B1110" s="2">
        <v>45005</v>
      </c>
      <c r="C1110" s="2" t="str">
        <f>TEXT(Table3[[#This Row],[Order Date]],"mmmm")</f>
        <v>March</v>
      </c>
      <c r="D1110" t="s">
        <v>3220</v>
      </c>
      <c r="E1110" t="s">
        <v>3225</v>
      </c>
      <c r="F1110" t="s">
        <v>3226</v>
      </c>
      <c r="G1110" s="4">
        <v>38947.5</v>
      </c>
      <c r="H1110" s="4">
        <v>24746.59</v>
      </c>
      <c r="I1110" s="3" t="s">
        <v>3734</v>
      </c>
      <c r="J1110">
        <v>2</v>
      </c>
      <c r="K1110" s="4">
        <f>Table3[[#This Row],[Sales]]-Table3[[#This Row],[Cost]]</f>
        <v>14200.91</v>
      </c>
      <c r="L1110" s="6">
        <f>Table3[[#This Row],[Profit]]/Table3[[#This Row],[Sales]]</f>
        <v>0.36461672764619041</v>
      </c>
    </row>
    <row r="1111" spans="1:12" x14ac:dyDescent="0.25">
      <c r="A1111" t="s">
        <v>882</v>
      </c>
      <c r="B1111" s="2">
        <v>44972</v>
      </c>
      <c r="C1111" s="2" t="str">
        <f>TEXT(Table3[[#This Row],[Order Date]],"mmmm")</f>
        <v>February</v>
      </c>
      <c r="D1111" t="s">
        <v>3731</v>
      </c>
      <c r="E1111" t="s">
        <v>3225</v>
      </c>
      <c r="F1111" t="s">
        <v>3226</v>
      </c>
      <c r="G1111" s="4">
        <v>32296.77</v>
      </c>
      <c r="H1111" s="4">
        <v>28872.93</v>
      </c>
      <c r="I1111" s="3" t="s">
        <v>3734</v>
      </c>
      <c r="J1111">
        <v>2</v>
      </c>
      <c r="K1111" s="4">
        <f>Table3[[#This Row],[Sales]]-Table3[[#This Row],[Cost]]</f>
        <v>3423.84</v>
      </c>
      <c r="L1111" s="6">
        <f>Table3[[#This Row],[Profit]]/Table3[[#This Row],[Sales]]</f>
        <v>0.10601183957405029</v>
      </c>
    </row>
    <row r="1112" spans="1:12" x14ac:dyDescent="0.25">
      <c r="A1112" t="s">
        <v>1099</v>
      </c>
      <c r="B1112" s="2">
        <v>44941</v>
      </c>
      <c r="C1112" s="2" t="str">
        <f>TEXT(Table3[[#This Row],[Order Date]],"mmmm")</f>
        <v>January</v>
      </c>
      <c r="D1112" t="s">
        <v>3730</v>
      </c>
      <c r="E1112" t="s">
        <v>3224</v>
      </c>
      <c r="F1112" t="s">
        <v>3226</v>
      </c>
      <c r="G1112" s="4">
        <v>221918.51</v>
      </c>
      <c r="H1112" s="4">
        <v>197576.77</v>
      </c>
      <c r="I1112" s="3" t="s">
        <v>3734</v>
      </c>
      <c r="J1112">
        <v>4</v>
      </c>
      <c r="K1112" s="4">
        <f>Table3[[#This Row],[Sales]]-Table3[[#This Row],[Cost]]</f>
        <v>24341.74000000002</v>
      </c>
      <c r="L1112" s="6">
        <f>Table3[[#This Row],[Profit]]/Table3[[#This Row],[Sales]]</f>
        <v>0.10968774078376796</v>
      </c>
    </row>
    <row r="1113" spans="1:12" x14ac:dyDescent="0.25">
      <c r="A1113" t="s">
        <v>1100</v>
      </c>
      <c r="B1113" s="2">
        <v>44972</v>
      </c>
      <c r="C1113" s="2" t="str">
        <f>TEXT(Table3[[#This Row],[Order Date]],"mmmm")</f>
        <v>February</v>
      </c>
      <c r="D1113" t="s">
        <v>3216</v>
      </c>
      <c r="E1113" t="s">
        <v>3224</v>
      </c>
      <c r="F1113" t="s">
        <v>3226</v>
      </c>
      <c r="G1113" s="4">
        <v>204448.8</v>
      </c>
      <c r="H1113" s="4">
        <v>134671.04999999999</v>
      </c>
      <c r="I1113" s="3" t="s">
        <v>3734</v>
      </c>
      <c r="J1113">
        <v>3</v>
      </c>
      <c r="K1113" s="4">
        <f>Table3[[#This Row],[Sales]]-Table3[[#This Row],[Cost]]</f>
        <v>69777.75</v>
      </c>
      <c r="L1113" s="6">
        <f>Table3[[#This Row],[Profit]]/Table3[[#This Row],[Sales]]</f>
        <v>0.34129694084778195</v>
      </c>
    </row>
    <row r="1114" spans="1:12" x14ac:dyDescent="0.25">
      <c r="A1114" t="s">
        <v>1101</v>
      </c>
      <c r="B1114" s="2">
        <v>45102</v>
      </c>
      <c r="C1114" s="2" t="str">
        <f>TEXT(Table3[[#This Row],[Order Date]],"mmmm")</f>
        <v>June</v>
      </c>
      <c r="D1114" t="s">
        <v>3730</v>
      </c>
      <c r="E1114" t="s">
        <v>3225</v>
      </c>
      <c r="F1114" t="s">
        <v>3226</v>
      </c>
      <c r="G1114" s="4">
        <v>21403.64</v>
      </c>
      <c r="H1114" s="4">
        <v>12207.53</v>
      </c>
      <c r="I1114" s="3" t="s">
        <v>3734</v>
      </c>
      <c r="J1114">
        <v>1</v>
      </c>
      <c r="K1114" s="4">
        <f>Table3[[#This Row],[Sales]]-Table3[[#This Row],[Cost]]</f>
        <v>9196.1099999999988</v>
      </c>
      <c r="L1114" s="6">
        <f>Table3[[#This Row],[Profit]]/Table3[[#This Row],[Sales]]</f>
        <v>0.42965168541425658</v>
      </c>
    </row>
    <row r="1115" spans="1:12" x14ac:dyDescent="0.25">
      <c r="A1115" t="s">
        <v>89</v>
      </c>
      <c r="B1115" s="2" t="s">
        <v>3729</v>
      </c>
      <c r="C1115" s="2" t="str">
        <f>TEXT(Table3[[#This Row],[Order Date]],"mmmm")</f>
        <v>Not Mentioned</v>
      </c>
      <c r="D1115" t="s">
        <v>3216</v>
      </c>
      <c r="E1115" t="s">
        <v>3224</v>
      </c>
      <c r="F1115" t="s">
        <v>3226</v>
      </c>
      <c r="G1115" s="4">
        <v>182166.37</v>
      </c>
      <c r="H1115" s="4">
        <v>142807.19</v>
      </c>
      <c r="I1115" s="3" t="s">
        <v>3734</v>
      </c>
      <c r="J1115">
        <v>3</v>
      </c>
      <c r="K1115" s="4">
        <f>Table3[[#This Row],[Sales]]-Table3[[#This Row],[Cost]]</f>
        <v>39359.179999999993</v>
      </c>
      <c r="L1115" s="6">
        <f>Table3[[#This Row],[Profit]]/Table3[[#This Row],[Sales]]</f>
        <v>0.21606172423592782</v>
      </c>
    </row>
    <row r="1116" spans="1:12" x14ac:dyDescent="0.25">
      <c r="A1116" t="s">
        <v>1102</v>
      </c>
      <c r="B1116" s="2">
        <v>45021</v>
      </c>
      <c r="C1116" s="2" t="str">
        <f>TEXT(Table3[[#This Row],[Order Date]],"mmmm")</f>
        <v>April</v>
      </c>
      <c r="D1116" t="s">
        <v>3220</v>
      </c>
      <c r="E1116" t="s">
        <v>3223</v>
      </c>
      <c r="F1116" t="s">
        <v>3226</v>
      </c>
      <c r="G1116" s="4">
        <v>44930.69</v>
      </c>
      <c r="H1116" s="4">
        <v>24714.28</v>
      </c>
      <c r="I1116" s="3" t="s">
        <v>3734</v>
      </c>
      <c r="J1116">
        <v>4</v>
      </c>
      <c r="K1116" s="4">
        <f>Table3[[#This Row],[Sales]]-Table3[[#This Row],[Cost]]</f>
        <v>20216.410000000003</v>
      </c>
      <c r="L1116" s="6">
        <f>Table3[[#This Row],[Profit]]/Table3[[#This Row],[Sales]]</f>
        <v>0.44994657326651344</v>
      </c>
    </row>
    <row r="1117" spans="1:12" x14ac:dyDescent="0.25">
      <c r="A1117" t="s">
        <v>1103</v>
      </c>
      <c r="B1117" s="2">
        <v>45005</v>
      </c>
      <c r="C1117" s="2" t="str">
        <f>TEXT(Table3[[#This Row],[Order Date]],"mmmm")</f>
        <v>March</v>
      </c>
      <c r="D1117" t="s">
        <v>3730</v>
      </c>
      <c r="E1117" t="s">
        <v>3224</v>
      </c>
      <c r="F1117" t="s">
        <v>3226</v>
      </c>
      <c r="G1117" s="4">
        <v>152431.72</v>
      </c>
      <c r="H1117" s="4">
        <v>124852.95</v>
      </c>
      <c r="I1117" s="3" t="s">
        <v>3734</v>
      </c>
      <c r="J1117">
        <v>3</v>
      </c>
      <c r="K1117" s="4">
        <f>Table3[[#This Row],[Sales]]-Table3[[#This Row],[Cost]]</f>
        <v>27578.770000000004</v>
      </c>
      <c r="L1117" s="6">
        <f>Table3[[#This Row],[Profit]]/Table3[[#This Row],[Sales]]</f>
        <v>0.18092540056623388</v>
      </c>
    </row>
    <row r="1118" spans="1:12" x14ac:dyDescent="0.25">
      <c r="A1118" t="s">
        <v>1104</v>
      </c>
      <c r="B1118" s="2">
        <v>44972</v>
      </c>
      <c r="C1118" s="2" t="str">
        <f>TEXT(Table3[[#This Row],[Order Date]],"mmmm")</f>
        <v>February</v>
      </c>
      <c r="D1118" t="s">
        <v>3730</v>
      </c>
      <c r="E1118" t="s">
        <v>3225</v>
      </c>
      <c r="F1118" t="s">
        <v>3226</v>
      </c>
      <c r="G1118" s="4">
        <v>90691.8</v>
      </c>
      <c r="H1118" s="4">
        <v>64357.07</v>
      </c>
      <c r="I1118" s="3" t="s">
        <v>3734</v>
      </c>
      <c r="J1118">
        <v>5</v>
      </c>
      <c r="K1118" s="4">
        <f>Table3[[#This Row],[Sales]]-Table3[[#This Row],[Cost]]</f>
        <v>26334.730000000003</v>
      </c>
      <c r="L1118" s="6">
        <f>Table3[[#This Row],[Profit]]/Table3[[#This Row],[Sales]]</f>
        <v>0.29037608692296329</v>
      </c>
    </row>
    <row r="1119" spans="1:12" x14ac:dyDescent="0.25">
      <c r="A1119" t="s">
        <v>1105</v>
      </c>
      <c r="B1119" s="2">
        <v>45102</v>
      </c>
      <c r="C1119" s="2" t="str">
        <f>TEXT(Table3[[#This Row],[Order Date]],"mmmm")</f>
        <v>June</v>
      </c>
      <c r="D1119" t="s">
        <v>3730</v>
      </c>
      <c r="E1119" t="s">
        <v>3222</v>
      </c>
      <c r="F1119" t="s">
        <v>3226</v>
      </c>
      <c r="G1119" s="4">
        <v>13426.19</v>
      </c>
      <c r="H1119" s="4">
        <v>8702.9699999999993</v>
      </c>
      <c r="I1119" s="3" t="s">
        <v>3734</v>
      </c>
      <c r="J1119">
        <v>1</v>
      </c>
      <c r="K1119" s="4">
        <f>Table3[[#This Row],[Sales]]-Table3[[#This Row],[Cost]]</f>
        <v>4723.2200000000012</v>
      </c>
      <c r="L1119" s="6">
        <f>Table3[[#This Row],[Profit]]/Table3[[#This Row],[Sales]]</f>
        <v>0.35179153579682704</v>
      </c>
    </row>
    <row r="1120" spans="1:12" x14ac:dyDescent="0.25">
      <c r="A1120" t="s">
        <v>1106</v>
      </c>
      <c r="B1120" s="2">
        <v>44941</v>
      </c>
      <c r="C1120" s="2" t="str">
        <f>TEXT(Table3[[#This Row],[Order Date]],"mmmm")</f>
        <v>January</v>
      </c>
      <c r="D1120" t="s">
        <v>3216</v>
      </c>
      <c r="E1120" t="s">
        <v>3223</v>
      </c>
      <c r="F1120" t="s">
        <v>3226</v>
      </c>
      <c r="G1120" s="4">
        <v>24703.09</v>
      </c>
      <c r="H1120" s="4">
        <v>18981.28</v>
      </c>
      <c r="I1120" s="3" t="s">
        <v>3734</v>
      </c>
      <c r="J1120">
        <v>3</v>
      </c>
      <c r="K1120" s="4">
        <f>Table3[[#This Row],[Sales]]-Table3[[#This Row],[Cost]]</f>
        <v>5721.8100000000013</v>
      </c>
      <c r="L1120" s="6">
        <f>Table3[[#This Row],[Profit]]/Table3[[#This Row],[Sales]]</f>
        <v>0.23162325037070267</v>
      </c>
    </row>
    <row r="1121" spans="1:12" x14ac:dyDescent="0.25">
      <c r="A1121" t="s">
        <v>1107</v>
      </c>
      <c r="B1121" s="2">
        <v>44972</v>
      </c>
      <c r="C1121" s="2" t="str">
        <f>TEXT(Table3[[#This Row],[Order Date]],"mmmm")</f>
        <v>February</v>
      </c>
      <c r="D1121" t="s">
        <v>3216</v>
      </c>
      <c r="E1121" t="s">
        <v>3225</v>
      </c>
      <c r="F1121" t="s">
        <v>3226</v>
      </c>
      <c r="G1121" s="4">
        <v>113155.88</v>
      </c>
      <c r="H1121" s="4">
        <v>70059.81</v>
      </c>
      <c r="I1121" s="3" t="s">
        <v>3734</v>
      </c>
      <c r="J1121">
        <v>5</v>
      </c>
      <c r="K1121" s="4">
        <f>Table3[[#This Row],[Sales]]-Table3[[#This Row],[Cost]]</f>
        <v>43096.070000000007</v>
      </c>
      <c r="L1121" s="6">
        <f>Table3[[#This Row],[Profit]]/Table3[[#This Row],[Sales]]</f>
        <v>0.38085577170183293</v>
      </c>
    </row>
    <row r="1122" spans="1:12" x14ac:dyDescent="0.25">
      <c r="A1122" t="s">
        <v>3431</v>
      </c>
      <c r="B1122" s="2">
        <v>45021</v>
      </c>
      <c r="C1122" s="2" t="str">
        <f>TEXT(Table3[[#This Row],[Order Date]],"mmmm")</f>
        <v>April</v>
      </c>
      <c r="D1122" t="s">
        <v>3220</v>
      </c>
      <c r="E1122" t="s">
        <v>3222</v>
      </c>
      <c r="F1122" t="s">
        <v>3226</v>
      </c>
      <c r="G1122" s="4">
        <v>30883.02</v>
      </c>
      <c r="H1122" s="4">
        <v>21716.17</v>
      </c>
      <c r="I1122" s="3" t="s">
        <v>3734</v>
      </c>
      <c r="J1122">
        <v>2</v>
      </c>
      <c r="K1122" s="4">
        <f>Table3[[#This Row],[Sales]]-Table3[[#This Row],[Cost]]</f>
        <v>9166.8500000000022</v>
      </c>
      <c r="L1122" s="6">
        <f>Table3[[#This Row],[Profit]]/Table3[[#This Row],[Sales]]</f>
        <v>0.29682492191502002</v>
      </c>
    </row>
    <row r="1123" spans="1:12" x14ac:dyDescent="0.25">
      <c r="A1123" t="s">
        <v>1109</v>
      </c>
      <c r="B1123" s="2" t="s">
        <v>3729</v>
      </c>
      <c r="C1123" s="2" t="str">
        <f>TEXT(Table3[[#This Row],[Order Date]],"mmmm")</f>
        <v>Not Mentioned</v>
      </c>
      <c r="D1123" t="s">
        <v>3730</v>
      </c>
      <c r="E1123" t="s">
        <v>3224</v>
      </c>
      <c r="F1123" t="s">
        <v>3226</v>
      </c>
      <c r="G1123" s="4">
        <v>172699.18</v>
      </c>
      <c r="H1123" s="4">
        <v>123887.26</v>
      </c>
      <c r="I1123" s="3" t="s">
        <v>3734</v>
      </c>
      <c r="J1123">
        <v>3</v>
      </c>
      <c r="K1123" s="4">
        <f>Table3[[#This Row],[Sales]]-Table3[[#This Row],[Cost]]</f>
        <v>48811.92</v>
      </c>
      <c r="L1123" s="6">
        <f>Table3[[#This Row],[Profit]]/Table3[[#This Row],[Sales]]</f>
        <v>0.28264129569115498</v>
      </c>
    </row>
    <row r="1124" spans="1:12" x14ac:dyDescent="0.25">
      <c r="A1124" t="s">
        <v>1110</v>
      </c>
      <c r="B1124" s="2">
        <v>44972</v>
      </c>
      <c r="C1124" s="2" t="str">
        <f>TEXT(Table3[[#This Row],[Order Date]],"mmmm")</f>
        <v>February</v>
      </c>
      <c r="D1124" t="s">
        <v>3730</v>
      </c>
      <c r="E1124" t="s">
        <v>3223</v>
      </c>
      <c r="F1124" t="s">
        <v>3226</v>
      </c>
      <c r="G1124" s="4">
        <v>28507.78</v>
      </c>
      <c r="H1124" s="4">
        <v>18590.560000000001</v>
      </c>
      <c r="I1124" s="3" t="s">
        <v>3734</v>
      </c>
      <c r="J1124">
        <v>3</v>
      </c>
      <c r="K1124" s="4">
        <f>Table3[[#This Row],[Sales]]-Table3[[#This Row],[Cost]]</f>
        <v>9917.2199999999975</v>
      </c>
      <c r="L1124" s="6">
        <f>Table3[[#This Row],[Profit]]/Table3[[#This Row],[Sales]]</f>
        <v>0.34787766707895174</v>
      </c>
    </row>
    <row r="1125" spans="1:12" x14ac:dyDescent="0.25">
      <c r="A1125" t="s">
        <v>3432</v>
      </c>
      <c r="B1125" s="2">
        <v>45102</v>
      </c>
      <c r="C1125" s="2" t="str">
        <f>TEXT(Table3[[#This Row],[Order Date]],"mmmm")</f>
        <v>June</v>
      </c>
      <c r="D1125" t="s">
        <v>3730</v>
      </c>
      <c r="E1125" t="s">
        <v>3224</v>
      </c>
      <c r="F1125" t="s">
        <v>3226</v>
      </c>
      <c r="G1125" s="4">
        <v>132310.93</v>
      </c>
      <c r="H1125" s="4">
        <v>78988.03</v>
      </c>
      <c r="I1125" s="3" t="s">
        <v>3734</v>
      </c>
      <c r="J1125">
        <v>2</v>
      </c>
      <c r="K1125" s="4">
        <f>Table3[[#This Row],[Sales]]-Table3[[#This Row],[Cost]]</f>
        <v>53322.899999999994</v>
      </c>
      <c r="L1125" s="6">
        <f>Table3[[#This Row],[Profit]]/Table3[[#This Row],[Sales]]</f>
        <v>0.40301205652473304</v>
      </c>
    </row>
    <row r="1126" spans="1:12" x14ac:dyDescent="0.25">
      <c r="A1126" t="s">
        <v>3433</v>
      </c>
      <c r="B1126" s="2">
        <v>45021</v>
      </c>
      <c r="C1126" s="2" t="str">
        <f>TEXT(Table3[[#This Row],[Order Date]],"mmmm")</f>
        <v>April</v>
      </c>
      <c r="D1126" t="s">
        <v>3220</v>
      </c>
      <c r="E1126" t="s">
        <v>3224</v>
      </c>
      <c r="F1126" t="s">
        <v>3226</v>
      </c>
      <c r="G1126" s="4">
        <v>205303.59</v>
      </c>
      <c r="H1126" s="4">
        <v>145336.07999999999</v>
      </c>
      <c r="I1126" s="3" t="s">
        <v>3734</v>
      </c>
      <c r="J1126">
        <v>3</v>
      </c>
      <c r="K1126" s="4">
        <f>Table3[[#This Row],[Sales]]-Table3[[#This Row],[Cost]]</f>
        <v>59967.510000000009</v>
      </c>
      <c r="L1126" s="6">
        <f>Table3[[#This Row],[Profit]]/Table3[[#This Row],[Sales]]</f>
        <v>0.2920918723340396</v>
      </c>
    </row>
    <row r="1127" spans="1:12" x14ac:dyDescent="0.25">
      <c r="A1127" t="s">
        <v>1113</v>
      </c>
      <c r="B1127" s="2">
        <v>44941</v>
      </c>
      <c r="C1127" s="2" t="str">
        <f>TEXT(Table3[[#This Row],[Order Date]],"mmmm")</f>
        <v>January</v>
      </c>
      <c r="D1127" t="s">
        <v>3730</v>
      </c>
      <c r="E1127" t="s">
        <v>3223</v>
      </c>
      <c r="F1127" t="s">
        <v>3226</v>
      </c>
      <c r="G1127" s="4">
        <v>20902.400000000001</v>
      </c>
      <c r="H1127" s="4">
        <v>12050.51</v>
      </c>
      <c r="I1127" s="3" t="s">
        <v>3734</v>
      </c>
      <c r="J1127">
        <v>2</v>
      </c>
      <c r="K1127" s="4">
        <f>Table3[[#This Row],[Sales]]-Table3[[#This Row],[Cost]]</f>
        <v>8851.8900000000012</v>
      </c>
      <c r="L1127" s="6">
        <f>Table3[[#This Row],[Profit]]/Table3[[#This Row],[Sales]]</f>
        <v>0.42348677663808942</v>
      </c>
    </row>
    <row r="1128" spans="1:12" x14ac:dyDescent="0.25">
      <c r="A1128" t="s">
        <v>1114</v>
      </c>
      <c r="B1128" s="2">
        <v>45005</v>
      </c>
      <c r="C1128" s="2" t="str">
        <f>TEXT(Table3[[#This Row],[Order Date]],"mmmm")</f>
        <v>March</v>
      </c>
      <c r="D1128" t="s">
        <v>3220</v>
      </c>
      <c r="E1128" t="s">
        <v>3225</v>
      </c>
      <c r="F1128" t="s">
        <v>3226</v>
      </c>
      <c r="G1128" s="4">
        <v>99614.02</v>
      </c>
      <c r="H1128" s="4">
        <v>65045.5</v>
      </c>
      <c r="I1128" s="3" t="s">
        <v>3734</v>
      </c>
      <c r="J1128">
        <v>5</v>
      </c>
      <c r="K1128" s="4">
        <f>Table3[[#This Row],[Sales]]-Table3[[#This Row],[Cost]]</f>
        <v>34568.520000000004</v>
      </c>
      <c r="L1128" s="6">
        <f>Table3[[#This Row],[Profit]]/Table3[[#This Row],[Sales]]</f>
        <v>0.34702464572757935</v>
      </c>
    </row>
    <row r="1129" spans="1:12" x14ac:dyDescent="0.25">
      <c r="A1129" t="s">
        <v>3428</v>
      </c>
      <c r="B1129" s="2">
        <v>44972</v>
      </c>
      <c r="C1129" s="2" t="str">
        <f>TEXT(Table3[[#This Row],[Order Date]],"mmmm")</f>
        <v>February</v>
      </c>
      <c r="D1129" t="s">
        <v>3220</v>
      </c>
      <c r="E1129" t="s">
        <v>3223</v>
      </c>
      <c r="F1129" t="s">
        <v>3226</v>
      </c>
      <c r="G1129" s="4">
        <v>56167.65</v>
      </c>
      <c r="H1129" s="4">
        <v>34304.61</v>
      </c>
      <c r="I1129" s="3" t="s">
        <v>3734</v>
      </c>
      <c r="J1129" t="s">
        <v>3732</v>
      </c>
      <c r="K1129" s="4">
        <f>Table3[[#This Row],[Sales]]-Table3[[#This Row],[Cost]]</f>
        <v>21863.040000000001</v>
      </c>
      <c r="L1129" s="6">
        <f>Table3[[#This Row],[Profit]]/Table3[[#This Row],[Sales]]</f>
        <v>0.38924612299072509</v>
      </c>
    </row>
    <row r="1130" spans="1:12" x14ac:dyDescent="0.25">
      <c r="A1130" t="s">
        <v>1115</v>
      </c>
      <c r="B1130" s="2" t="s">
        <v>3729</v>
      </c>
      <c r="C1130" s="2" t="str">
        <f>TEXT(Table3[[#This Row],[Order Date]],"mmmm")</f>
        <v>Not Mentioned</v>
      </c>
      <c r="D1130" t="s">
        <v>3730</v>
      </c>
      <c r="E1130" t="s">
        <v>3223</v>
      </c>
      <c r="F1130" t="s">
        <v>3226</v>
      </c>
      <c r="G1130" s="4">
        <v>25307.66</v>
      </c>
      <c r="H1130" s="4">
        <v>19166.34</v>
      </c>
      <c r="I1130" s="3" t="s">
        <v>3734</v>
      </c>
      <c r="J1130">
        <v>3</v>
      </c>
      <c r="K1130" s="4">
        <f>Table3[[#This Row],[Sales]]-Table3[[#This Row],[Cost]]</f>
        <v>6141.32</v>
      </c>
      <c r="L1130" s="6">
        <f>Table3[[#This Row],[Profit]]/Table3[[#This Row],[Sales]]</f>
        <v>0.24266644960458611</v>
      </c>
    </row>
    <row r="1131" spans="1:12" x14ac:dyDescent="0.25">
      <c r="A1131" t="s">
        <v>1116</v>
      </c>
      <c r="B1131" s="2">
        <v>45005</v>
      </c>
      <c r="C1131" s="2" t="str">
        <f>TEXT(Table3[[#This Row],[Order Date]],"mmmm")</f>
        <v>March</v>
      </c>
      <c r="D1131" t="s">
        <v>3730</v>
      </c>
      <c r="E1131" t="s">
        <v>3223</v>
      </c>
      <c r="F1131" t="s">
        <v>3226</v>
      </c>
      <c r="G1131" s="4">
        <v>32144.560000000001</v>
      </c>
      <c r="H1131" s="4">
        <v>20332.22</v>
      </c>
      <c r="I1131" s="3" t="s">
        <v>3734</v>
      </c>
      <c r="J1131">
        <v>3</v>
      </c>
      <c r="K1131" s="4">
        <f>Table3[[#This Row],[Sales]]-Table3[[#This Row],[Cost]]</f>
        <v>11812.34</v>
      </c>
      <c r="L1131" s="6">
        <f>Table3[[#This Row],[Profit]]/Table3[[#This Row],[Sales]]</f>
        <v>0.36747555418397387</v>
      </c>
    </row>
    <row r="1132" spans="1:12" x14ac:dyDescent="0.25">
      <c r="A1132" t="s">
        <v>1117</v>
      </c>
      <c r="B1132" s="2">
        <v>45102</v>
      </c>
      <c r="C1132" s="2" t="str">
        <f>TEXT(Table3[[#This Row],[Order Date]],"mmmm")</f>
        <v>June</v>
      </c>
      <c r="D1132" t="s">
        <v>3216</v>
      </c>
      <c r="E1132" t="s">
        <v>3225</v>
      </c>
      <c r="F1132" t="s">
        <v>3226</v>
      </c>
      <c r="G1132" s="4">
        <v>21605.64</v>
      </c>
      <c r="H1132" s="4">
        <v>12801.8</v>
      </c>
      <c r="I1132" s="3" t="s">
        <v>3734</v>
      </c>
      <c r="J1132">
        <v>1</v>
      </c>
      <c r="K1132" s="4">
        <f>Table3[[#This Row],[Sales]]-Table3[[#This Row],[Cost]]</f>
        <v>8803.84</v>
      </c>
      <c r="L1132" s="6">
        <f>Table3[[#This Row],[Profit]]/Table3[[#This Row],[Sales]]</f>
        <v>0.40747878794611037</v>
      </c>
    </row>
    <row r="1133" spans="1:12" x14ac:dyDescent="0.25">
      <c r="A1133" t="s">
        <v>1118</v>
      </c>
      <c r="B1133" s="2">
        <v>44941</v>
      </c>
      <c r="C1133" s="2" t="str">
        <f>TEXT(Table3[[#This Row],[Order Date]],"mmmm")</f>
        <v>January</v>
      </c>
      <c r="D1133" t="s">
        <v>3731</v>
      </c>
      <c r="E1133" t="s">
        <v>3222</v>
      </c>
      <c r="F1133" t="s">
        <v>3226</v>
      </c>
      <c r="G1133" s="4">
        <v>14108.65</v>
      </c>
      <c r="H1133" s="4">
        <v>11286.92</v>
      </c>
      <c r="I1133" s="3" t="s">
        <v>3735</v>
      </c>
      <c r="J1133">
        <v>1</v>
      </c>
      <c r="K1133" s="4">
        <f>Table3[[#This Row],[Sales]]-Table3[[#This Row],[Cost]]</f>
        <v>2821.7299999999996</v>
      </c>
      <c r="L1133" s="6">
        <f>Table3[[#This Row],[Profit]]/Table3[[#This Row],[Sales]]</f>
        <v>0.19999999999999998</v>
      </c>
    </row>
    <row r="1134" spans="1:12" x14ac:dyDescent="0.25">
      <c r="A1134" t="s">
        <v>1119</v>
      </c>
      <c r="B1134" s="2">
        <v>44972</v>
      </c>
      <c r="C1134" s="2" t="str">
        <f>TEXT(Table3[[#This Row],[Order Date]],"mmmm")</f>
        <v>February</v>
      </c>
      <c r="D1134" t="s">
        <v>3730</v>
      </c>
      <c r="E1134" t="s">
        <v>3225</v>
      </c>
      <c r="F1134" t="s">
        <v>3226</v>
      </c>
      <c r="G1134" s="4">
        <v>43192.94</v>
      </c>
      <c r="H1134" s="4">
        <v>25853.49</v>
      </c>
      <c r="I1134" s="3" t="s">
        <v>3734</v>
      </c>
      <c r="J1134">
        <v>2</v>
      </c>
      <c r="K1134" s="4">
        <f>Table3[[#This Row],[Sales]]-Table3[[#This Row],[Cost]]</f>
        <v>17339.45</v>
      </c>
      <c r="L1134" s="6">
        <f>Table3[[#This Row],[Profit]]/Table3[[#This Row],[Sales]]</f>
        <v>0.40144176339929627</v>
      </c>
    </row>
    <row r="1135" spans="1:12" x14ac:dyDescent="0.25">
      <c r="A1135" t="s">
        <v>1120</v>
      </c>
      <c r="B1135" s="2" t="s">
        <v>3729</v>
      </c>
      <c r="C1135" s="2" t="str">
        <f>TEXT(Table3[[#This Row],[Order Date]],"mmmm")</f>
        <v>Not Mentioned</v>
      </c>
      <c r="D1135" t="s">
        <v>3730</v>
      </c>
      <c r="E1135" t="s">
        <v>3223</v>
      </c>
      <c r="F1135" t="s">
        <v>3226</v>
      </c>
      <c r="G1135" s="4">
        <v>9371.57</v>
      </c>
      <c r="H1135" s="4">
        <v>6682.15</v>
      </c>
      <c r="I1135" s="3" t="s">
        <v>3734</v>
      </c>
      <c r="J1135">
        <v>1</v>
      </c>
      <c r="K1135" s="4">
        <f>Table3[[#This Row],[Sales]]-Table3[[#This Row],[Cost]]</f>
        <v>2689.42</v>
      </c>
      <c r="L1135" s="6">
        <f>Table3[[#This Row],[Profit]]/Table3[[#This Row],[Sales]]</f>
        <v>0.28697646178815289</v>
      </c>
    </row>
    <row r="1136" spans="1:12" x14ac:dyDescent="0.25">
      <c r="A1136" t="s">
        <v>1121</v>
      </c>
      <c r="B1136" s="2" t="s">
        <v>3729</v>
      </c>
      <c r="C1136" s="2" t="str">
        <f>TEXT(Table3[[#This Row],[Order Date]],"mmmm")</f>
        <v>Not Mentioned</v>
      </c>
      <c r="D1136" t="s">
        <v>3730</v>
      </c>
      <c r="E1136" t="s">
        <v>3224</v>
      </c>
      <c r="F1136" t="s">
        <v>3226</v>
      </c>
      <c r="G1136" s="4">
        <v>258662.14</v>
      </c>
      <c r="H1136" s="4">
        <v>187563.89</v>
      </c>
      <c r="I1136" s="3" t="s">
        <v>3734</v>
      </c>
      <c r="J1136">
        <v>4</v>
      </c>
      <c r="K1136" s="4">
        <f>Table3[[#This Row],[Sales]]-Table3[[#This Row],[Cost]]</f>
        <v>71098.25</v>
      </c>
      <c r="L1136" s="6">
        <f>Table3[[#This Row],[Profit]]/Table3[[#This Row],[Sales]]</f>
        <v>0.27486917876732947</v>
      </c>
    </row>
    <row r="1137" spans="1:12" x14ac:dyDescent="0.25">
      <c r="A1137" t="s">
        <v>1122</v>
      </c>
      <c r="B1137" s="2">
        <v>45102</v>
      </c>
      <c r="C1137" s="2" t="str">
        <f>TEXT(Table3[[#This Row],[Order Date]],"mmmm")</f>
        <v>June</v>
      </c>
      <c r="D1137" t="s">
        <v>3216</v>
      </c>
      <c r="E1137" t="s">
        <v>3222</v>
      </c>
      <c r="F1137" t="s">
        <v>3226</v>
      </c>
      <c r="G1137" s="4">
        <v>28835.67</v>
      </c>
      <c r="H1137" s="4">
        <v>17082.689999999999</v>
      </c>
      <c r="I1137" s="3" t="s">
        <v>3734</v>
      </c>
      <c r="J1137">
        <v>2</v>
      </c>
      <c r="K1137" s="4">
        <f>Table3[[#This Row],[Sales]]-Table3[[#This Row],[Cost]]</f>
        <v>11752.98</v>
      </c>
      <c r="L1137" s="6">
        <f>Table3[[#This Row],[Profit]]/Table3[[#This Row],[Sales]]</f>
        <v>0.40758477260975728</v>
      </c>
    </row>
    <row r="1138" spans="1:12" x14ac:dyDescent="0.25">
      <c r="A1138" t="s">
        <v>1123</v>
      </c>
      <c r="B1138" s="2">
        <v>44941</v>
      </c>
      <c r="C1138" s="2" t="str">
        <f>TEXT(Table3[[#This Row],[Order Date]],"mmmm")</f>
        <v>January</v>
      </c>
      <c r="D1138" t="s">
        <v>3220</v>
      </c>
      <c r="E1138" t="s">
        <v>3224</v>
      </c>
      <c r="F1138" t="s">
        <v>3226</v>
      </c>
      <c r="G1138" s="4">
        <v>98609.58</v>
      </c>
      <c r="H1138" s="4">
        <v>80291.710000000006</v>
      </c>
      <c r="I1138" s="3" t="s">
        <v>3734</v>
      </c>
      <c r="J1138">
        <v>2</v>
      </c>
      <c r="K1138" s="4">
        <f>Table3[[#This Row],[Sales]]-Table3[[#This Row],[Cost]]</f>
        <v>18317.869999999995</v>
      </c>
      <c r="L1138" s="6">
        <f>Table3[[#This Row],[Profit]]/Table3[[#This Row],[Sales]]</f>
        <v>0.18576156596549742</v>
      </c>
    </row>
    <row r="1139" spans="1:12" x14ac:dyDescent="0.25">
      <c r="A1139" t="s">
        <v>1124</v>
      </c>
      <c r="B1139" s="2">
        <v>45005</v>
      </c>
      <c r="C1139" s="2" t="str">
        <f>TEXT(Table3[[#This Row],[Order Date]],"mmmm")</f>
        <v>March</v>
      </c>
      <c r="D1139" t="s">
        <v>3220</v>
      </c>
      <c r="E1139" t="s">
        <v>3224</v>
      </c>
      <c r="F1139" t="s">
        <v>3226</v>
      </c>
      <c r="G1139" s="4">
        <v>226112.61</v>
      </c>
      <c r="H1139" s="4">
        <v>178842.17</v>
      </c>
      <c r="I1139" s="3" t="s">
        <v>3734</v>
      </c>
      <c r="J1139" t="s">
        <v>3732</v>
      </c>
      <c r="K1139" s="4">
        <f>Table3[[#This Row],[Sales]]-Table3[[#This Row],[Cost]]</f>
        <v>47270.439999999973</v>
      </c>
      <c r="L1139" s="6">
        <f>Table3[[#This Row],[Profit]]/Table3[[#This Row],[Sales]]</f>
        <v>0.20905707116467312</v>
      </c>
    </row>
    <row r="1140" spans="1:12" x14ac:dyDescent="0.25">
      <c r="A1140" t="s">
        <v>1125</v>
      </c>
      <c r="B1140" s="2">
        <v>44972</v>
      </c>
      <c r="C1140" s="2" t="str">
        <f>TEXT(Table3[[#This Row],[Order Date]],"mmmm")</f>
        <v>February</v>
      </c>
      <c r="D1140" t="s">
        <v>3730</v>
      </c>
      <c r="E1140" t="s">
        <v>3224</v>
      </c>
      <c r="F1140" t="s">
        <v>3226</v>
      </c>
      <c r="G1140" s="4">
        <v>57523.03</v>
      </c>
      <c r="H1140" s="4">
        <v>42930.57</v>
      </c>
      <c r="I1140" s="3" t="s">
        <v>3734</v>
      </c>
      <c r="J1140">
        <v>1</v>
      </c>
      <c r="K1140" s="4">
        <f>Table3[[#This Row],[Sales]]-Table3[[#This Row],[Cost]]</f>
        <v>14592.46</v>
      </c>
      <c r="L1140" s="6">
        <f>Table3[[#This Row],[Profit]]/Table3[[#This Row],[Sales]]</f>
        <v>0.25368030856510859</v>
      </c>
    </row>
    <row r="1141" spans="1:12" x14ac:dyDescent="0.25">
      <c r="A1141" t="s">
        <v>1126</v>
      </c>
      <c r="B1141" s="2">
        <v>45021</v>
      </c>
      <c r="C1141" s="2" t="str">
        <f>TEXT(Table3[[#This Row],[Order Date]],"mmmm")</f>
        <v>April</v>
      </c>
      <c r="D1141" t="s">
        <v>3730</v>
      </c>
      <c r="E1141" t="s">
        <v>3225</v>
      </c>
      <c r="F1141" t="s">
        <v>3226</v>
      </c>
      <c r="G1141" s="4">
        <v>21988.67</v>
      </c>
      <c r="H1141" s="4">
        <v>12887.8</v>
      </c>
      <c r="I1141" s="3" t="s">
        <v>3734</v>
      </c>
      <c r="J1141">
        <v>1</v>
      </c>
      <c r="K1141" s="4">
        <f>Table3[[#This Row],[Sales]]-Table3[[#This Row],[Cost]]</f>
        <v>9100.869999999999</v>
      </c>
      <c r="L1141" s="6">
        <f>Table3[[#This Row],[Profit]]/Table3[[#This Row],[Sales]]</f>
        <v>0.41388906195781733</v>
      </c>
    </row>
    <row r="1142" spans="1:12" x14ac:dyDescent="0.25">
      <c r="A1142" t="s">
        <v>3434</v>
      </c>
      <c r="B1142" s="2" t="s">
        <v>3729</v>
      </c>
      <c r="C1142" s="2" t="str">
        <f>TEXT(Table3[[#This Row],[Order Date]],"mmmm")</f>
        <v>Not Mentioned</v>
      </c>
      <c r="D1142" t="s">
        <v>3730</v>
      </c>
      <c r="E1142" t="s">
        <v>3224</v>
      </c>
      <c r="F1142" t="s">
        <v>3226</v>
      </c>
      <c r="G1142" s="4">
        <v>308489.25</v>
      </c>
      <c r="H1142" s="4">
        <v>234683.58</v>
      </c>
      <c r="I1142" s="3" t="s">
        <v>3734</v>
      </c>
      <c r="J1142">
        <v>5</v>
      </c>
      <c r="K1142" s="4">
        <f>Table3[[#This Row],[Sales]]-Table3[[#This Row],[Cost]]</f>
        <v>73805.670000000013</v>
      </c>
      <c r="L1142" s="6">
        <f>Table3[[#This Row],[Profit]]/Table3[[#This Row],[Sales]]</f>
        <v>0.23924875826305134</v>
      </c>
    </row>
    <row r="1143" spans="1:12" x14ac:dyDescent="0.25">
      <c r="A1143" t="s">
        <v>614</v>
      </c>
      <c r="B1143" s="2">
        <v>44941</v>
      </c>
      <c r="C1143" s="2" t="str">
        <f>TEXT(Table3[[#This Row],[Order Date]],"mmmm")</f>
        <v>January</v>
      </c>
      <c r="D1143" t="s">
        <v>3730</v>
      </c>
      <c r="E1143" t="s">
        <v>3223</v>
      </c>
      <c r="F1143" t="s">
        <v>3226</v>
      </c>
      <c r="G1143" s="4">
        <v>29946.11</v>
      </c>
      <c r="H1143" s="4">
        <v>18409.75</v>
      </c>
      <c r="I1143" s="3" t="s">
        <v>3734</v>
      </c>
      <c r="J1143">
        <v>3</v>
      </c>
      <c r="K1143" s="4">
        <f>Table3[[#This Row],[Sales]]-Table3[[#This Row],[Cost]]</f>
        <v>11536.36</v>
      </c>
      <c r="L1143" s="6">
        <f>Table3[[#This Row],[Profit]]/Table3[[#This Row],[Sales]]</f>
        <v>0.38523734802283172</v>
      </c>
    </row>
    <row r="1144" spans="1:12" x14ac:dyDescent="0.25">
      <c r="A1144" t="s">
        <v>3435</v>
      </c>
      <c r="B1144" s="2">
        <v>45102</v>
      </c>
      <c r="C1144" s="2" t="str">
        <f>TEXT(Table3[[#This Row],[Order Date]],"mmmm")</f>
        <v>June</v>
      </c>
      <c r="D1144" t="s">
        <v>3730</v>
      </c>
      <c r="E1144" t="s">
        <v>3225</v>
      </c>
      <c r="F1144" t="s">
        <v>3226</v>
      </c>
      <c r="G1144" s="4">
        <v>64508.59</v>
      </c>
      <c r="H1144" s="4">
        <v>55116.62</v>
      </c>
      <c r="I1144" s="3" t="s">
        <v>3734</v>
      </c>
      <c r="J1144">
        <v>4</v>
      </c>
      <c r="K1144" s="4">
        <f>Table3[[#This Row],[Sales]]-Table3[[#This Row],[Cost]]</f>
        <v>9391.9699999999939</v>
      </c>
      <c r="L1144" s="6">
        <f>Table3[[#This Row],[Profit]]/Table3[[#This Row],[Sales]]</f>
        <v>0.14559254821722184</v>
      </c>
    </row>
    <row r="1145" spans="1:12" x14ac:dyDescent="0.25">
      <c r="A1145" t="s">
        <v>3436</v>
      </c>
      <c r="B1145" s="2">
        <v>45005</v>
      </c>
      <c r="C1145" s="2" t="str">
        <f>TEXT(Table3[[#This Row],[Order Date]],"mmmm")</f>
        <v>March</v>
      </c>
      <c r="D1145" t="s">
        <v>3730</v>
      </c>
      <c r="E1145" t="s">
        <v>3223</v>
      </c>
      <c r="F1145" t="s">
        <v>3226</v>
      </c>
      <c r="G1145" s="4">
        <v>33937.300000000003</v>
      </c>
      <c r="H1145" s="4">
        <v>29852.61</v>
      </c>
      <c r="I1145" s="3" t="s">
        <v>3734</v>
      </c>
      <c r="J1145">
        <v>4</v>
      </c>
      <c r="K1145" s="4">
        <f>Table3[[#This Row],[Sales]]-Table3[[#This Row],[Cost]]</f>
        <v>4084.6900000000023</v>
      </c>
      <c r="L1145" s="6">
        <f>Table3[[#This Row],[Profit]]/Table3[[#This Row],[Sales]]</f>
        <v>0.12035989899019668</v>
      </c>
    </row>
    <row r="1146" spans="1:12" x14ac:dyDescent="0.25">
      <c r="A1146" t="s">
        <v>1130</v>
      </c>
      <c r="B1146" s="2">
        <v>45102</v>
      </c>
      <c r="C1146" s="2" t="str">
        <f>TEXT(Table3[[#This Row],[Order Date]],"mmmm")</f>
        <v>June</v>
      </c>
      <c r="D1146" t="s">
        <v>3220</v>
      </c>
      <c r="E1146" t="s">
        <v>3224</v>
      </c>
      <c r="F1146" t="s">
        <v>3226</v>
      </c>
      <c r="G1146" s="4">
        <v>195130.44</v>
      </c>
      <c r="H1146" s="4">
        <v>121798.25</v>
      </c>
      <c r="I1146" s="3" t="s">
        <v>3734</v>
      </c>
      <c r="J1146">
        <v>3</v>
      </c>
      <c r="K1146" s="4">
        <f>Table3[[#This Row],[Sales]]-Table3[[#This Row],[Cost]]</f>
        <v>73332.19</v>
      </c>
      <c r="L1146" s="6">
        <f>Table3[[#This Row],[Profit]]/Table3[[#This Row],[Sales]]</f>
        <v>0.37581112408704659</v>
      </c>
    </row>
    <row r="1147" spans="1:12" x14ac:dyDescent="0.25">
      <c r="A1147" t="s">
        <v>1131</v>
      </c>
      <c r="B1147" s="2">
        <v>44941</v>
      </c>
      <c r="C1147" s="2" t="str">
        <f>TEXT(Table3[[#This Row],[Order Date]],"mmmm")</f>
        <v>January</v>
      </c>
      <c r="D1147" t="s">
        <v>3216</v>
      </c>
      <c r="E1147" t="s">
        <v>3222</v>
      </c>
      <c r="F1147" t="s">
        <v>3226</v>
      </c>
      <c r="G1147" s="4">
        <v>49834.35</v>
      </c>
      <c r="H1147" s="4">
        <v>29937.439999999999</v>
      </c>
      <c r="I1147" s="3" t="s">
        <v>3734</v>
      </c>
      <c r="J1147" t="s">
        <v>3732</v>
      </c>
      <c r="K1147" s="4">
        <f>Table3[[#This Row],[Sales]]-Table3[[#This Row],[Cost]]</f>
        <v>19896.91</v>
      </c>
      <c r="L1147" s="6">
        <f>Table3[[#This Row],[Profit]]/Table3[[#This Row],[Sales]]</f>
        <v>0.39926095153242697</v>
      </c>
    </row>
    <row r="1148" spans="1:12" x14ac:dyDescent="0.25">
      <c r="A1148" t="s">
        <v>1132</v>
      </c>
      <c r="B1148" s="2">
        <v>44941</v>
      </c>
      <c r="C1148" s="2" t="str">
        <f>TEXT(Table3[[#This Row],[Order Date]],"mmmm")</f>
        <v>January</v>
      </c>
      <c r="D1148" t="s">
        <v>3216</v>
      </c>
      <c r="E1148" t="s">
        <v>3223</v>
      </c>
      <c r="F1148" t="s">
        <v>3226</v>
      </c>
      <c r="G1148" s="4">
        <v>48586.400000000001</v>
      </c>
      <c r="H1148" s="4">
        <v>36351.629999999997</v>
      </c>
      <c r="I1148" s="3" t="s">
        <v>3734</v>
      </c>
      <c r="J1148">
        <v>5</v>
      </c>
      <c r="K1148" s="4">
        <f>Table3[[#This Row],[Sales]]-Table3[[#This Row],[Cost]]</f>
        <v>12234.770000000004</v>
      </c>
      <c r="L1148" s="6">
        <f>Table3[[#This Row],[Profit]]/Table3[[#This Row],[Sales]]</f>
        <v>0.25181470534964523</v>
      </c>
    </row>
    <row r="1149" spans="1:12" x14ac:dyDescent="0.25">
      <c r="A1149" t="s">
        <v>3437</v>
      </c>
      <c r="B1149" s="2">
        <v>45005</v>
      </c>
      <c r="C1149" s="2" t="str">
        <f>TEXT(Table3[[#This Row],[Order Date]],"mmmm")</f>
        <v>March</v>
      </c>
      <c r="D1149" t="s">
        <v>3730</v>
      </c>
      <c r="E1149" t="s">
        <v>3224</v>
      </c>
      <c r="F1149" t="s">
        <v>3226</v>
      </c>
      <c r="G1149" s="4">
        <v>184700.81</v>
      </c>
      <c r="H1149" s="4">
        <v>123143.35</v>
      </c>
      <c r="I1149" s="3" t="s">
        <v>3734</v>
      </c>
      <c r="J1149">
        <v>3</v>
      </c>
      <c r="K1149" s="4">
        <f>Table3[[#This Row],[Sales]]-Table3[[#This Row],[Cost]]</f>
        <v>61557.459999999992</v>
      </c>
      <c r="L1149" s="6">
        <f>Table3[[#This Row],[Profit]]/Table3[[#This Row],[Sales]]</f>
        <v>0.33328202513026334</v>
      </c>
    </row>
    <row r="1150" spans="1:12" x14ac:dyDescent="0.25">
      <c r="A1150" t="s">
        <v>1134</v>
      </c>
      <c r="B1150" s="2">
        <v>45021</v>
      </c>
      <c r="C1150" s="2" t="str">
        <f>TEXT(Table3[[#This Row],[Order Date]],"mmmm")</f>
        <v>April</v>
      </c>
      <c r="D1150" t="s">
        <v>3220</v>
      </c>
      <c r="E1150" t="s">
        <v>3223</v>
      </c>
      <c r="F1150" t="s">
        <v>3226</v>
      </c>
      <c r="G1150" s="4">
        <v>17915.91</v>
      </c>
      <c r="H1150" s="4">
        <v>12674.28</v>
      </c>
      <c r="I1150" s="3" t="s">
        <v>3734</v>
      </c>
      <c r="J1150">
        <v>2</v>
      </c>
      <c r="K1150" s="4">
        <f>Table3[[#This Row],[Sales]]-Table3[[#This Row],[Cost]]</f>
        <v>5241.6299999999992</v>
      </c>
      <c r="L1150" s="6">
        <f>Table3[[#This Row],[Profit]]/Table3[[#This Row],[Sales]]</f>
        <v>0.29256844893728529</v>
      </c>
    </row>
    <row r="1151" spans="1:12" x14ac:dyDescent="0.25">
      <c r="A1151" t="s">
        <v>1135</v>
      </c>
      <c r="B1151" s="2">
        <v>45021</v>
      </c>
      <c r="C1151" s="2" t="str">
        <f>TEXT(Table3[[#This Row],[Order Date]],"mmmm")</f>
        <v>April</v>
      </c>
      <c r="D1151" t="s">
        <v>3220</v>
      </c>
      <c r="E1151" t="s">
        <v>3224</v>
      </c>
      <c r="F1151" t="s">
        <v>3226</v>
      </c>
      <c r="G1151" s="4">
        <v>71407.06</v>
      </c>
      <c r="H1151" s="4">
        <v>46174.559999999998</v>
      </c>
      <c r="I1151" s="3" t="s">
        <v>3734</v>
      </c>
      <c r="J1151">
        <v>1</v>
      </c>
      <c r="K1151" s="4">
        <f>Table3[[#This Row],[Sales]]-Table3[[#This Row],[Cost]]</f>
        <v>25232.5</v>
      </c>
      <c r="L1151" s="6">
        <f>Table3[[#This Row],[Profit]]/Table3[[#This Row],[Sales]]</f>
        <v>0.35336141832474272</v>
      </c>
    </row>
    <row r="1152" spans="1:12" x14ac:dyDescent="0.25">
      <c r="A1152" t="s">
        <v>1136</v>
      </c>
      <c r="B1152" s="2">
        <v>44972</v>
      </c>
      <c r="C1152" s="2" t="str">
        <f>TEXT(Table3[[#This Row],[Order Date]],"mmmm")</f>
        <v>February</v>
      </c>
      <c r="D1152" t="s">
        <v>3730</v>
      </c>
      <c r="E1152" t="s">
        <v>3224</v>
      </c>
      <c r="F1152" t="s">
        <v>3226</v>
      </c>
      <c r="G1152" s="4">
        <v>48135.65</v>
      </c>
      <c r="H1152" s="4">
        <v>49409.97</v>
      </c>
      <c r="I1152" s="3" t="s">
        <v>3734</v>
      </c>
      <c r="J1152">
        <v>1</v>
      </c>
      <c r="K1152" s="4">
        <f>Table3[[#This Row],[Sales]]-Table3[[#This Row],[Cost]]</f>
        <v>-1274.3199999999997</v>
      </c>
      <c r="L1152" s="6">
        <f>Table3[[#This Row],[Profit]]/Table3[[#This Row],[Sales]]</f>
        <v>-2.6473518068209315E-2</v>
      </c>
    </row>
    <row r="1153" spans="1:12" x14ac:dyDescent="0.25">
      <c r="A1153" t="s">
        <v>1137</v>
      </c>
      <c r="B1153" s="2">
        <v>45005</v>
      </c>
      <c r="C1153" s="2" t="str">
        <f>TEXT(Table3[[#This Row],[Order Date]],"mmmm")</f>
        <v>March</v>
      </c>
      <c r="D1153" t="s">
        <v>3730</v>
      </c>
      <c r="E1153" t="s">
        <v>3223</v>
      </c>
      <c r="F1153" t="s">
        <v>3226</v>
      </c>
      <c r="G1153" s="4">
        <v>8708.5400000000009</v>
      </c>
      <c r="H1153" s="4">
        <v>6586.35</v>
      </c>
      <c r="I1153" s="3" t="s">
        <v>3734</v>
      </c>
      <c r="J1153">
        <v>1</v>
      </c>
      <c r="K1153" s="4">
        <f>Table3[[#This Row],[Sales]]-Table3[[#This Row],[Cost]]</f>
        <v>2122.1900000000005</v>
      </c>
      <c r="L1153" s="6">
        <f>Table3[[#This Row],[Profit]]/Table3[[#This Row],[Sales]]</f>
        <v>0.24369067604902778</v>
      </c>
    </row>
    <row r="1154" spans="1:12" x14ac:dyDescent="0.25">
      <c r="A1154" t="s">
        <v>1138</v>
      </c>
      <c r="B1154" s="2">
        <v>44972</v>
      </c>
      <c r="C1154" s="2" t="str">
        <f>TEXT(Table3[[#This Row],[Order Date]],"mmmm")</f>
        <v>February</v>
      </c>
      <c r="D1154" t="s">
        <v>3730</v>
      </c>
      <c r="E1154" t="s">
        <v>3223</v>
      </c>
      <c r="F1154" t="s">
        <v>3226</v>
      </c>
      <c r="G1154" s="4">
        <v>43236.78</v>
      </c>
      <c r="H1154" s="4">
        <v>30568.66</v>
      </c>
      <c r="I1154" s="3" t="s">
        <v>3734</v>
      </c>
      <c r="J1154">
        <v>4</v>
      </c>
      <c r="K1154" s="4">
        <f>Table3[[#This Row],[Sales]]-Table3[[#This Row],[Cost]]</f>
        <v>12668.119999999999</v>
      </c>
      <c r="L1154" s="6">
        <f>Table3[[#This Row],[Profit]]/Table3[[#This Row],[Sales]]</f>
        <v>0.292994066625683</v>
      </c>
    </row>
    <row r="1155" spans="1:12" x14ac:dyDescent="0.25">
      <c r="A1155" t="s">
        <v>1139</v>
      </c>
      <c r="B1155" s="2">
        <v>45102</v>
      </c>
      <c r="C1155" s="2" t="str">
        <f>TEXT(Table3[[#This Row],[Order Date]],"mmmm")</f>
        <v>June</v>
      </c>
      <c r="D1155" t="s">
        <v>3730</v>
      </c>
      <c r="E1155" t="s">
        <v>3223</v>
      </c>
      <c r="F1155" t="s">
        <v>3226</v>
      </c>
      <c r="G1155" s="4">
        <v>8886.3700000000008</v>
      </c>
      <c r="H1155" s="4">
        <v>7274.09</v>
      </c>
      <c r="I1155" s="3" t="s">
        <v>3734</v>
      </c>
      <c r="J1155">
        <v>1</v>
      </c>
      <c r="K1155" s="4">
        <f>Table3[[#This Row],[Sales]]-Table3[[#This Row],[Cost]]</f>
        <v>1612.2800000000007</v>
      </c>
      <c r="L1155" s="6">
        <f>Table3[[#This Row],[Profit]]/Table3[[#This Row],[Sales]]</f>
        <v>0.18143291355187782</v>
      </c>
    </row>
    <row r="1156" spans="1:12" x14ac:dyDescent="0.25">
      <c r="A1156" t="s">
        <v>623</v>
      </c>
      <c r="B1156" s="2">
        <v>44972</v>
      </c>
      <c r="C1156" s="2" t="str">
        <f>TEXT(Table3[[#This Row],[Order Date]],"mmmm")</f>
        <v>February</v>
      </c>
      <c r="D1156" t="s">
        <v>3220</v>
      </c>
      <c r="E1156" t="s">
        <v>3224</v>
      </c>
      <c r="F1156" t="s">
        <v>3226</v>
      </c>
      <c r="G1156" s="4">
        <v>107627.31</v>
      </c>
      <c r="H1156" s="4">
        <v>81975.240000000005</v>
      </c>
      <c r="I1156" s="3" t="s">
        <v>3734</v>
      </c>
      <c r="J1156">
        <v>2</v>
      </c>
      <c r="K1156" s="4">
        <f>Table3[[#This Row],[Sales]]-Table3[[#This Row],[Cost]]</f>
        <v>25652.069999999992</v>
      </c>
      <c r="L1156" s="6">
        <f>Table3[[#This Row],[Profit]]/Table3[[#This Row],[Sales]]</f>
        <v>0.23834164395635266</v>
      </c>
    </row>
    <row r="1157" spans="1:12" x14ac:dyDescent="0.25">
      <c r="A1157" t="s">
        <v>1141</v>
      </c>
      <c r="B1157" s="2">
        <v>44972</v>
      </c>
      <c r="C1157" s="2" t="str">
        <f>TEXT(Table3[[#This Row],[Order Date]],"mmmm")</f>
        <v>February</v>
      </c>
      <c r="D1157" t="s">
        <v>3730</v>
      </c>
      <c r="E1157" t="s">
        <v>3223</v>
      </c>
      <c r="F1157" t="s">
        <v>3226</v>
      </c>
      <c r="G1157" s="4">
        <v>35638.699999999997</v>
      </c>
      <c r="H1157" s="4">
        <v>22704.720000000001</v>
      </c>
      <c r="I1157" s="3" t="s">
        <v>3734</v>
      </c>
      <c r="J1157">
        <v>3</v>
      </c>
      <c r="K1157" s="4">
        <f>Table3[[#This Row],[Sales]]-Table3[[#This Row],[Cost]]</f>
        <v>12933.979999999996</v>
      </c>
      <c r="L1157" s="6">
        <f>Table3[[#This Row],[Profit]]/Table3[[#This Row],[Sales]]</f>
        <v>0.36291952287821938</v>
      </c>
    </row>
    <row r="1158" spans="1:12" x14ac:dyDescent="0.25">
      <c r="A1158" t="s">
        <v>1142</v>
      </c>
      <c r="B1158" s="2">
        <v>45005</v>
      </c>
      <c r="C1158" s="2" t="str">
        <f>TEXT(Table3[[#This Row],[Order Date]],"mmmm")</f>
        <v>March</v>
      </c>
      <c r="D1158" t="s">
        <v>3216</v>
      </c>
      <c r="E1158" t="s">
        <v>3223</v>
      </c>
      <c r="F1158" t="s">
        <v>3226</v>
      </c>
      <c r="G1158" s="4">
        <v>44686.6</v>
      </c>
      <c r="H1158" s="4">
        <v>25711.08</v>
      </c>
      <c r="I1158" s="3" t="s">
        <v>3734</v>
      </c>
      <c r="J1158">
        <v>4</v>
      </c>
      <c r="K1158" s="4">
        <f>Table3[[#This Row],[Sales]]-Table3[[#This Row],[Cost]]</f>
        <v>18975.519999999997</v>
      </c>
      <c r="L1158" s="6">
        <f>Table3[[#This Row],[Profit]]/Table3[[#This Row],[Sales]]</f>
        <v>0.42463557308007316</v>
      </c>
    </row>
    <row r="1159" spans="1:12" x14ac:dyDescent="0.25">
      <c r="A1159" t="s">
        <v>3438</v>
      </c>
      <c r="B1159" s="2">
        <v>45021</v>
      </c>
      <c r="C1159" s="2" t="str">
        <f>TEXT(Table3[[#This Row],[Order Date]],"mmmm")</f>
        <v>April</v>
      </c>
      <c r="D1159" t="s">
        <v>3731</v>
      </c>
      <c r="E1159" t="s">
        <v>3223</v>
      </c>
      <c r="F1159" t="s">
        <v>3226</v>
      </c>
      <c r="G1159" s="4">
        <v>52574.9</v>
      </c>
      <c r="H1159" s="4">
        <v>35259.64</v>
      </c>
      <c r="I1159" s="3" t="s">
        <v>3734</v>
      </c>
      <c r="J1159">
        <v>5</v>
      </c>
      <c r="K1159" s="4">
        <f>Table3[[#This Row],[Sales]]-Table3[[#This Row],[Cost]]</f>
        <v>17315.260000000002</v>
      </c>
      <c r="L1159" s="6">
        <f>Table3[[#This Row],[Profit]]/Table3[[#This Row],[Sales]]</f>
        <v>0.32934461121181402</v>
      </c>
    </row>
    <row r="1160" spans="1:12" x14ac:dyDescent="0.25">
      <c r="A1160" t="s">
        <v>3439</v>
      </c>
      <c r="B1160" s="2">
        <v>44941</v>
      </c>
      <c r="C1160" s="2" t="str">
        <f>TEXT(Table3[[#This Row],[Order Date]],"mmmm")</f>
        <v>January</v>
      </c>
      <c r="D1160" t="s">
        <v>3220</v>
      </c>
      <c r="E1160" t="s">
        <v>3224</v>
      </c>
      <c r="F1160" t="s">
        <v>3226</v>
      </c>
      <c r="G1160" s="4">
        <v>58240.18</v>
      </c>
      <c r="H1160" s="4">
        <v>45392.79</v>
      </c>
      <c r="I1160" s="3" t="s">
        <v>3734</v>
      </c>
      <c r="J1160">
        <v>1</v>
      </c>
      <c r="K1160" s="4">
        <f>Table3[[#This Row],[Sales]]-Table3[[#This Row],[Cost]]</f>
        <v>12847.39</v>
      </c>
      <c r="L1160" s="6">
        <f>Table3[[#This Row],[Profit]]/Table3[[#This Row],[Sales]]</f>
        <v>0.22059323992473923</v>
      </c>
    </row>
    <row r="1161" spans="1:12" x14ac:dyDescent="0.25">
      <c r="A1161" t="s">
        <v>1145</v>
      </c>
      <c r="B1161" s="2">
        <v>44941</v>
      </c>
      <c r="C1161" s="2" t="str">
        <f>TEXT(Table3[[#This Row],[Order Date]],"mmmm")</f>
        <v>January</v>
      </c>
      <c r="D1161" t="s">
        <v>3730</v>
      </c>
      <c r="E1161" t="s">
        <v>3223</v>
      </c>
      <c r="F1161" t="s">
        <v>3226</v>
      </c>
      <c r="G1161" s="4">
        <v>39071.43</v>
      </c>
      <c r="H1161" s="4">
        <v>28311.599999999999</v>
      </c>
      <c r="I1161" s="3" t="s">
        <v>3734</v>
      </c>
      <c r="J1161">
        <v>4</v>
      </c>
      <c r="K1161" s="4">
        <f>Table3[[#This Row],[Sales]]-Table3[[#This Row],[Cost]]</f>
        <v>10759.830000000002</v>
      </c>
      <c r="L1161" s="6">
        <f>Table3[[#This Row],[Profit]]/Table3[[#This Row],[Sales]]</f>
        <v>0.27538869194191257</v>
      </c>
    </row>
    <row r="1162" spans="1:12" x14ac:dyDescent="0.25">
      <c r="A1162" t="s">
        <v>1146</v>
      </c>
      <c r="B1162" s="2">
        <v>45021</v>
      </c>
      <c r="C1162" s="2" t="str">
        <f>TEXT(Table3[[#This Row],[Order Date]],"mmmm")</f>
        <v>April</v>
      </c>
      <c r="D1162" t="s">
        <v>3730</v>
      </c>
      <c r="E1162" t="s">
        <v>3223</v>
      </c>
      <c r="F1162" t="s">
        <v>3226</v>
      </c>
      <c r="G1162" s="4">
        <v>41340.559999999998</v>
      </c>
      <c r="H1162" s="4">
        <v>37587.54</v>
      </c>
      <c r="I1162" s="3" t="s">
        <v>3734</v>
      </c>
      <c r="J1162">
        <v>5</v>
      </c>
      <c r="K1162" s="4">
        <f>Table3[[#This Row],[Sales]]-Table3[[#This Row],[Cost]]</f>
        <v>3753.0199999999968</v>
      </c>
      <c r="L1162" s="6">
        <f>Table3[[#This Row],[Profit]]/Table3[[#This Row],[Sales]]</f>
        <v>9.0782998585408545E-2</v>
      </c>
    </row>
    <row r="1163" spans="1:12" x14ac:dyDescent="0.25">
      <c r="A1163" t="s">
        <v>1147</v>
      </c>
      <c r="B1163" s="2">
        <v>45005</v>
      </c>
      <c r="C1163" s="2" t="str">
        <f>TEXT(Table3[[#This Row],[Order Date]],"mmmm")</f>
        <v>March</v>
      </c>
      <c r="D1163" t="s">
        <v>3216</v>
      </c>
      <c r="E1163" t="s">
        <v>3222</v>
      </c>
      <c r="F1163" t="s">
        <v>3226</v>
      </c>
      <c r="G1163" s="4">
        <v>49613.97</v>
      </c>
      <c r="H1163" s="4">
        <v>31349.72</v>
      </c>
      <c r="I1163" s="3" t="s">
        <v>3734</v>
      </c>
      <c r="J1163" t="s">
        <v>3732</v>
      </c>
      <c r="K1163" s="4">
        <f>Table3[[#This Row],[Sales]]-Table3[[#This Row],[Cost]]</f>
        <v>18264.25</v>
      </c>
      <c r="L1163" s="6">
        <f>Table3[[#This Row],[Profit]]/Table3[[#This Row],[Sales]]</f>
        <v>0.36812716257134837</v>
      </c>
    </row>
    <row r="1164" spans="1:12" x14ac:dyDescent="0.25">
      <c r="A1164" t="s">
        <v>1148</v>
      </c>
      <c r="B1164" s="2">
        <v>45102</v>
      </c>
      <c r="C1164" s="2" t="str">
        <f>TEXT(Table3[[#This Row],[Order Date]],"mmmm")</f>
        <v>June</v>
      </c>
      <c r="D1164" t="s">
        <v>3220</v>
      </c>
      <c r="E1164" t="s">
        <v>3224</v>
      </c>
      <c r="F1164" t="s">
        <v>3226</v>
      </c>
      <c r="G1164" s="4">
        <v>102255.76</v>
      </c>
      <c r="H1164" s="4">
        <v>81804.608000000007</v>
      </c>
      <c r="I1164" s="3" t="s">
        <v>3735</v>
      </c>
      <c r="J1164">
        <v>2</v>
      </c>
      <c r="K1164" s="4">
        <f>Table3[[#This Row],[Sales]]-Table3[[#This Row],[Cost]]</f>
        <v>20451.151999999987</v>
      </c>
      <c r="L1164" s="6">
        <f>Table3[[#This Row],[Profit]]/Table3[[#This Row],[Sales]]</f>
        <v>0.19999999999999987</v>
      </c>
    </row>
    <row r="1165" spans="1:12" x14ac:dyDescent="0.25">
      <c r="A1165" t="s">
        <v>1149</v>
      </c>
      <c r="B1165" s="2">
        <v>45005</v>
      </c>
      <c r="C1165" s="2" t="str">
        <f>TEXT(Table3[[#This Row],[Order Date]],"mmmm")</f>
        <v>March</v>
      </c>
      <c r="D1165" t="s">
        <v>3220</v>
      </c>
      <c r="E1165" t="s">
        <v>3225</v>
      </c>
      <c r="F1165" t="s">
        <v>3226</v>
      </c>
      <c r="G1165" s="4">
        <v>67276.81</v>
      </c>
      <c r="H1165" s="4">
        <v>57922.41</v>
      </c>
      <c r="I1165" s="3" t="s">
        <v>3734</v>
      </c>
      <c r="J1165">
        <v>4</v>
      </c>
      <c r="K1165" s="4">
        <f>Table3[[#This Row],[Sales]]-Table3[[#This Row],[Cost]]</f>
        <v>9354.3999999999942</v>
      </c>
      <c r="L1165" s="6">
        <f>Table3[[#This Row],[Profit]]/Table3[[#This Row],[Sales]]</f>
        <v>0.1390434534574394</v>
      </c>
    </row>
    <row r="1166" spans="1:12" x14ac:dyDescent="0.25">
      <c r="A1166" t="s">
        <v>3440</v>
      </c>
      <c r="B1166" s="2">
        <v>45005</v>
      </c>
      <c r="C1166" s="2" t="str">
        <f>TEXT(Table3[[#This Row],[Order Date]],"mmmm")</f>
        <v>March</v>
      </c>
      <c r="D1166" t="s">
        <v>3220</v>
      </c>
      <c r="E1166" t="s">
        <v>3224</v>
      </c>
      <c r="F1166" t="s">
        <v>3226</v>
      </c>
      <c r="G1166" s="4">
        <v>286565.90999999997</v>
      </c>
      <c r="H1166" s="4">
        <v>201690.23</v>
      </c>
      <c r="I1166" s="3" t="s">
        <v>3734</v>
      </c>
      <c r="J1166">
        <v>5</v>
      </c>
      <c r="K1166" s="4">
        <f>Table3[[#This Row],[Sales]]-Table3[[#This Row],[Cost]]</f>
        <v>84875.679999999964</v>
      </c>
      <c r="L1166" s="6">
        <f>Table3[[#This Row],[Profit]]/Table3[[#This Row],[Sales]]</f>
        <v>0.29618205459260655</v>
      </c>
    </row>
    <row r="1167" spans="1:12" x14ac:dyDescent="0.25">
      <c r="A1167" t="s">
        <v>1151</v>
      </c>
      <c r="B1167" s="2">
        <v>44972</v>
      </c>
      <c r="C1167" s="2" t="str">
        <f>TEXT(Table3[[#This Row],[Order Date]],"mmmm")</f>
        <v>February</v>
      </c>
      <c r="D1167" t="s">
        <v>3730</v>
      </c>
      <c r="E1167" t="s">
        <v>3224</v>
      </c>
      <c r="F1167" t="s">
        <v>3226</v>
      </c>
      <c r="G1167" s="4">
        <v>330164.61</v>
      </c>
      <c r="H1167" s="4">
        <v>212065.76</v>
      </c>
      <c r="I1167" s="3" t="s">
        <v>3734</v>
      </c>
      <c r="J1167">
        <v>5</v>
      </c>
      <c r="K1167" s="4">
        <f>Table3[[#This Row],[Sales]]-Table3[[#This Row],[Cost]]</f>
        <v>118098.84999999998</v>
      </c>
      <c r="L1167" s="6">
        <f>Table3[[#This Row],[Profit]]/Table3[[#This Row],[Sales]]</f>
        <v>0.35769687732431404</v>
      </c>
    </row>
    <row r="1168" spans="1:12" x14ac:dyDescent="0.25">
      <c r="A1168" t="s">
        <v>1152</v>
      </c>
      <c r="B1168" s="2">
        <v>45005</v>
      </c>
      <c r="C1168" s="2" t="str">
        <f>TEXT(Table3[[#This Row],[Order Date]],"mmmm")</f>
        <v>March</v>
      </c>
      <c r="D1168" t="s">
        <v>3730</v>
      </c>
      <c r="E1168" t="s">
        <v>3222</v>
      </c>
      <c r="F1168" t="s">
        <v>3226</v>
      </c>
      <c r="G1168" s="4">
        <v>51198.58</v>
      </c>
      <c r="H1168" s="4">
        <v>31836.86</v>
      </c>
      <c r="I1168" s="3" t="s">
        <v>3734</v>
      </c>
      <c r="J1168">
        <v>3</v>
      </c>
      <c r="K1168" s="4">
        <f>Table3[[#This Row],[Sales]]-Table3[[#This Row],[Cost]]</f>
        <v>19361.72</v>
      </c>
      <c r="L1168" s="6">
        <f>Table3[[#This Row],[Profit]]/Table3[[#This Row],[Sales]]</f>
        <v>0.37816908203313454</v>
      </c>
    </row>
    <row r="1169" spans="1:12" x14ac:dyDescent="0.25">
      <c r="A1169" t="s">
        <v>1153</v>
      </c>
      <c r="B1169" s="2">
        <v>44972</v>
      </c>
      <c r="C1169" s="2" t="str">
        <f>TEXT(Table3[[#This Row],[Order Date]],"mmmm")</f>
        <v>February</v>
      </c>
      <c r="D1169" t="s">
        <v>3220</v>
      </c>
      <c r="E1169" t="s">
        <v>3224</v>
      </c>
      <c r="F1169" t="s">
        <v>3226</v>
      </c>
      <c r="G1169" s="4">
        <v>166302.62</v>
      </c>
      <c r="H1169" s="4">
        <v>121372.28</v>
      </c>
      <c r="I1169" s="3" t="s">
        <v>3734</v>
      </c>
      <c r="J1169">
        <v>3</v>
      </c>
      <c r="K1169" s="4">
        <f>Table3[[#This Row],[Sales]]-Table3[[#This Row],[Cost]]</f>
        <v>44930.34</v>
      </c>
      <c r="L1169" s="6">
        <f>Table3[[#This Row],[Profit]]/Table3[[#This Row],[Sales]]</f>
        <v>0.27017217167113783</v>
      </c>
    </row>
    <row r="1170" spans="1:12" x14ac:dyDescent="0.25">
      <c r="A1170" t="s">
        <v>3441</v>
      </c>
      <c r="B1170" s="2">
        <v>45102</v>
      </c>
      <c r="C1170" s="2" t="str">
        <f>TEXT(Table3[[#This Row],[Order Date]],"mmmm")</f>
        <v>June</v>
      </c>
      <c r="D1170" t="s">
        <v>3730</v>
      </c>
      <c r="E1170" t="s">
        <v>3224</v>
      </c>
      <c r="F1170" t="s">
        <v>3226</v>
      </c>
      <c r="G1170" s="4">
        <v>111396.69</v>
      </c>
      <c r="H1170" s="4">
        <v>85211</v>
      </c>
      <c r="I1170" s="3" t="s">
        <v>3734</v>
      </c>
      <c r="J1170">
        <v>2</v>
      </c>
      <c r="K1170" s="4">
        <f>Table3[[#This Row],[Sales]]-Table3[[#This Row],[Cost]]</f>
        <v>26185.690000000002</v>
      </c>
      <c r="L1170" s="6">
        <f>Table3[[#This Row],[Profit]]/Table3[[#This Row],[Sales]]</f>
        <v>0.23506703834736922</v>
      </c>
    </row>
    <row r="1171" spans="1:12" x14ac:dyDescent="0.25">
      <c r="A1171" t="s">
        <v>1155</v>
      </c>
      <c r="B1171" s="2">
        <v>45005</v>
      </c>
      <c r="C1171" s="2" t="str">
        <f>TEXT(Table3[[#This Row],[Order Date]],"mmmm")</f>
        <v>March</v>
      </c>
      <c r="D1171" t="s">
        <v>3730</v>
      </c>
      <c r="E1171" t="s">
        <v>3224</v>
      </c>
      <c r="F1171" t="s">
        <v>3226</v>
      </c>
      <c r="G1171" s="4">
        <v>205615.57</v>
      </c>
      <c r="H1171" s="4">
        <v>153168.53</v>
      </c>
      <c r="I1171" s="3" t="s">
        <v>3734</v>
      </c>
      <c r="J1171">
        <v>4</v>
      </c>
      <c r="K1171" s="4">
        <f>Table3[[#This Row],[Sales]]-Table3[[#This Row],[Cost]]</f>
        <v>52447.040000000008</v>
      </c>
      <c r="L1171" s="6">
        <f>Table3[[#This Row],[Profit]]/Table3[[#This Row],[Sales]]</f>
        <v>0.25507329041278348</v>
      </c>
    </row>
    <row r="1172" spans="1:12" x14ac:dyDescent="0.25">
      <c r="A1172" t="s">
        <v>3442</v>
      </c>
      <c r="B1172" s="2">
        <v>44972</v>
      </c>
      <c r="C1172" s="2" t="str">
        <f>TEXT(Table3[[#This Row],[Order Date]],"mmmm")</f>
        <v>February</v>
      </c>
      <c r="D1172" t="s">
        <v>3220</v>
      </c>
      <c r="E1172" t="s">
        <v>3224</v>
      </c>
      <c r="F1172" t="s">
        <v>3226</v>
      </c>
      <c r="G1172" s="4">
        <v>282891.95</v>
      </c>
      <c r="H1172" s="4">
        <v>157519.82</v>
      </c>
      <c r="I1172" s="3" t="s">
        <v>3734</v>
      </c>
      <c r="J1172" t="s">
        <v>3732</v>
      </c>
      <c r="K1172" s="4">
        <f>Table3[[#This Row],[Sales]]-Table3[[#This Row],[Cost]]</f>
        <v>125372.13</v>
      </c>
      <c r="L1172" s="6">
        <f>Table3[[#This Row],[Profit]]/Table3[[#This Row],[Sales]]</f>
        <v>0.44318026723630699</v>
      </c>
    </row>
    <row r="1173" spans="1:12" x14ac:dyDescent="0.25">
      <c r="A1173" t="s">
        <v>1157</v>
      </c>
      <c r="B1173" s="2">
        <v>44972</v>
      </c>
      <c r="C1173" s="2" t="str">
        <f>TEXT(Table3[[#This Row],[Order Date]],"mmmm")</f>
        <v>February</v>
      </c>
      <c r="D1173" t="s">
        <v>3730</v>
      </c>
      <c r="E1173" t="s">
        <v>3225</v>
      </c>
      <c r="F1173" t="s">
        <v>3226</v>
      </c>
      <c r="G1173" s="4">
        <v>20327.78</v>
      </c>
      <c r="H1173" s="4">
        <v>15023.18</v>
      </c>
      <c r="I1173" s="3" t="s">
        <v>3734</v>
      </c>
      <c r="J1173">
        <v>1</v>
      </c>
      <c r="K1173" s="4">
        <f>Table3[[#This Row],[Sales]]-Table3[[#This Row],[Cost]]</f>
        <v>5304.5999999999985</v>
      </c>
      <c r="L1173" s="6">
        <f>Table3[[#This Row],[Profit]]/Table3[[#This Row],[Sales]]</f>
        <v>0.2609532373923763</v>
      </c>
    </row>
    <row r="1174" spans="1:12" x14ac:dyDescent="0.25">
      <c r="A1174" t="s">
        <v>1158</v>
      </c>
      <c r="B1174" s="2">
        <v>45102</v>
      </c>
      <c r="C1174" s="2" t="str">
        <f>TEXT(Table3[[#This Row],[Order Date]],"mmmm")</f>
        <v>June</v>
      </c>
      <c r="D1174" t="s">
        <v>3730</v>
      </c>
      <c r="E1174" t="s">
        <v>3223</v>
      </c>
      <c r="F1174" t="s">
        <v>3226</v>
      </c>
      <c r="G1174" s="4">
        <v>55831.5</v>
      </c>
      <c r="H1174" s="4">
        <v>30758.799999999999</v>
      </c>
      <c r="I1174" s="3" t="s">
        <v>3734</v>
      </c>
      <c r="J1174">
        <v>5</v>
      </c>
      <c r="K1174" s="4">
        <f>Table3[[#This Row],[Sales]]-Table3[[#This Row],[Cost]]</f>
        <v>25072.7</v>
      </c>
      <c r="L1174" s="6">
        <f>Table3[[#This Row],[Profit]]/Table3[[#This Row],[Sales]]</f>
        <v>0.44907802942783198</v>
      </c>
    </row>
    <row r="1175" spans="1:12" x14ac:dyDescent="0.25">
      <c r="A1175" t="s">
        <v>232</v>
      </c>
      <c r="B1175" s="2">
        <v>45005</v>
      </c>
      <c r="C1175" s="2" t="str">
        <f>TEXT(Table3[[#This Row],[Order Date]],"mmmm")</f>
        <v>March</v>
      </c>
      <c r="D1175" t="s">
        <v>3220</v>
      </c>
      <c r="E1175" t="s">
        <v>3225</v>
      </c>
      <c r="F1175" t="s">
        <v>3226</v>
      </c>
      <c r="G1175" s="4">
        <v>42811.92</v>
      </c>
      <c r="H1175" s="4">
        <v>29445.94</v>
      </c>
      <c r="I1175" s="3" t="s">
        <v>3734</v>
      </c>
      <c r="J1175">
        <v>2</v>
      </c>
      <c r="K1175" s="4">
        <f>Table3[[#This Row],[Sales]]-Table3[[#This Row],[Cost]]</f>
        <v>13365.98</v>
      </c>
      <c r="L1175" s="6">
        <f>Table3[[#This Row],[Profit]]/Table3[[#This Row],[Sales]]</f>
        <v>0.31220230253630299</v>
      </c>
    </row>
    <row r="1176" spans="1:12" x14ac:dyDescent="0.25">
      <c r="A1176" t="s">
        <v>1159</v>
      </c>
      <c r="B1176" s="2">
        <v>45005</v>
      </c>
      <c r="C1176" s="2" t="str">
        <f>TEXT(Table3[[#This Row],[Order Date]],"mmmm")</f>
        <v>March</v>
      </c>
      <c r="D1176" t="s">
        <v>3220</v>
      </c>
      <c r="E1176" t="s">
        <v>3222</v>
      </c>
      <c r="F1176" t="s">
        <v>3226</v>
      </c>
      <c r="G1176" s="4">
        <v>30028.78</v>
      </c>
      <c r="H1176" s="4">
        <v>18693.400000000001</v>
      </c>
      <c r="I1176" s="3" t="s">
        <v>3734</v>
      </c>
      <c r="J1176">
        <v>2</v>
      </c>
      <c r="K1176" s="4">
        <f>Table3[[#This Row],[Sales]]-Table3[[#This Row],[Cost]]</f>
        <v>11335.379999999997</v>
      </c>
      <c r="L1176" s="6">
        <f>Table3[[#This Row],[Profit]]/Table3[[#This Row],[Sales]]</f>
        <v>0.37748386714345367</v>
      </c>
    </row>
    <row r="1177" spans="1:12" x14ac:dyDescent="0.25">
      <c r="A1177" t="s">
        <v>1160</v>
      </c>
      <c r="B1177" s="2">
        <v>44941</v>
      </c>
      <c r="C1177" s="2" t="str">
        <f>TEXT(Table3[[#This Row],[Order Date]],"mmmm")</f>
        <v>January</v>
      </c>
      <c r="D1177" t="s">
        <v>3731</v>
      </c>
      <c r="E1177" t="s">
        <v>3223</v>
      </c>
      <c r="F1177" t="s">
        <v>3226</v>
      </c>
      <c r="G1177" s="4">
        <v>17574.32</v>
      </c>
      <c r="H1177" s="4">
        <v>14149.03</v>
      </c>
      <c r="I1177" s="3" t="s">
        <v>3734</v>
      </c>
      <c r="J1177" t="s">
        <v>3732</v>
      </c>
      <c r="K1177" s="4">
        <f>Table3[[#This Row],[Sales]]-Table3[[#This Row],[Cost]]</f>
        <v>3425.2899999999991</v>
      </c>
      <c r="L1177" s="6">
        <f>Table3[[#This Row],[Profit]]/Table3[[#This Row],[Sales]]</f>
        <v>0.19490313138716031</v>
      </c>
    </row>
    <row r="1178" spans="1:12" x14ac:dyDescent="0.25">
      <c r="A1178" t="s">
        <v>1161</v>
      </c>
      <c r="B1178" s="2">
        <v>45021</v>
      </c>
      <c r="C1178" s="2" t="str">
        <f>TEXT(Table3[[#This Row],[Order Date]],"mmmm")</f>
        <v>April</v>
      </c>
      <c r="D1178" t="s">
        <v>3220</v>
      </c>
      <c r="E1178" t="s">
        <v>3224</v>
      </c>
      <c r="F1178" t="s">
        <v>3226</v>
      </c>
      <c r="G1178" s="4">
        <v>103677.16</v>
      </c>
      <c r="H1178" s="4">
        <v>82749.69</v>
      </c>
      <c r="I1178" s="3" t="s">
        <v>3734</v>
      </c>
      <c r="J1178">
        <v>2</v>
      </c>
      <c r="K1178" s="4">
        <f>Table3[[#This Row],[Sales]]-Table3[[#This Row],[Cost]]</f>
        <v>20927.47</v>
      </c>
      <c r="L1178" s="6">
        <f>Table3[[#This Row],[Profit]]/Table3[[#This Row],[Sales]]</f>
        <v>0.20185226910150703</v>
      </c>
    </row>
    <row r="1179" spans="1:12" x14ac:dyDescent="0.25">
      <c r="A1179" t="s">
        <v>1162</v>
      </c>
      <c r="B1179" s="2">
        <v>44972</v>
      </c>
      <c r="C1179" s="2" t="str">
        <f>TEXT(Table3[[#This Row],[Order Date]],"mmmm")</f>
        <v>February</v>
      </c>
      <c r="D1179" t="s">
        <v>3731</v>
      </c>
      <c r="E1179" t="s">
        <v>3223</v>
      </c>
      <c r="F1179" t="s">
        <v>3226</v>
      </c>
      <c r="G1179" s="4">
        <v>16138.61</v>
      </c>
      <c r="H1179" s="4">
        <v>13912.19</v>
      </c>
      <c r="I1179" s="3" t="s">
        <v>3734</v>
      </c>
      <c r="J1179">
        <v>2</v>
      </c>
      <c r="K1179" s="4">
        <f>Table3[[#This Row],[Sales]]-Table3[[#This Row],[Cost]]</f>
        <v>2226.42</v>
      </c>
      <c r="L1179" s="6">
        <f>Table3[[#This Row],[Profit]]/Table3[[#This Row],[Sales]]</f>
        <v>0.1379561188974763</v>
      </c>
    </row>
    <row r="1180" spans="1:12" x14ac:dyDescent="0.25">
      <c r="A1180" t="s">
        <v>1163</v>
      </c>
      <c r="B1180" s="2">
        <v>44941</v>
      </c>
      <c r="C1180" s="2" t="str">
        <f>TEXT(Table3[[#This Row],[Order Date]],"mmmm")</f>
        <v>January</v>
      </c>
      <c r="D1180" t="s">
        <v>3731</v>
      </c>
      <c r="E1180" t="s">
        <v>3223</v>
      </c>
      <c r="F1180" t="s">
        <v>3226</v>
      </c>
      <c r="G1180" s="4">
        <v>35726.9</v>
      </c>
      <c r="H1180" s="4">
        <v>22383.08</v>
      </c>
      <c r="I1180" s="3" t="s">
        <v>3734</v>
      </c>
      <c r="J1180">
        <v>3</v>
      </c>
      <c r="K1180" s="4">
        <f>Table3[[#This Row],[Sales]]-Table3[[#This Row],[Cost]]</f>
        <v>13343.82</v>
      </c>
      <c r="L1180" s="6">
        <f>Table3[[#This Row],[Profit]]/Table3[[#This Row],[Sales]]</f>
        <v>0.37349504155132407</v>
      </c>
    </row>
    <row r="1181" spans="1:12" x14ac:dyDescent="0.25">
      <c r="A1181" t="s">
        <v>3443</v>
      </c>
      <c r="B1181" s="2">
        <v>44972</v>
      </c>
      <c r="C1181" s="2" t="str">
        <f>TEXT(Table3[[#This Row],[Order Date]],"mmmm")</f>
        <v>February</v>
      </c>
      <c r="D1181" t="s">
        <v>3731</v>
      </c>
      <c r="E1181" t="s">
        <v>3222</v>
      </c>
      <c r="F1181" t="s">
        <v>3226</v>
      </c>
      <c r="G1181" s="4">
        <v>65375.62</v>
      </c>
      <c r="H1181" s="4">
        <v>40619.5</v>
      </c>
      <c r="I1181" s="3" t="s">
        <v>3734</v>
      </c>
      <c r="J1181" t="s">
        <v>3732</v>
      </c>
      <c r="K1181" s="4">
        <f>Table3[[#This Row],[Sales]]-Table3[[#This Row],[Cost]]</f>
        <v>24756.120000000003</v>
      </c>
      <c r="L1181" s="6">
        <f>Table3[[#This Row],[Profit]]/Table3[[#This Row],[Sales]]</f>
        <v>0.37867510854963976</v>
      </c>
    </row>
    <row r="1182" spans="1:12" x14ac:dyDescent="0.25">
      <c r="A1182" t="s">
        <v>398</v>
      </c>
      <c r="B1182" s="2">
        <v>44972</v>
      </c>
      <c r="C1182" s="2" t="str">
        <f>TEXT(Table3[[#This Row],[Order Date]],"mmmm")</f>
        <v>February</v>
      </c>
      <c r="D1182" t="s">
        <v>3731</v>
      </c>
      <c r="E1182" t="s">
        <v>3224</v>
      </c>
      <c r="F1182" t="s">
        <v>3226</v>
      </c>
      <c r="G1182" s="4">
        <v>252234.14</v>
      </c>
      <c r="H1182" s="4">
        <v>178478.37</v>
      </c>
      <c r="I1182" s="3" t="s">
        <v>3734</v>
      </c>
      <c r="J1182">
        <v>4</v>
      </c>
      <c r="K1182" s="4">
        <f>Table3[[#This Row],[Sales]]-Table3[[#This Row],[Cost]]</f>
        <v>73755.770000000019</v>
      </c>
      <c r="L1182" s="6">
        <f>Table3[[#This Row],[Profit]]/Table3[[#This Row],[Sales]]</f>
        <v>0.29240994101750073</v>
      </c>
    </row>
    <row r="1183" spans="1:12" x14ac:dyDescent="0.25">
      <c r="A1183" t="s">
        <v>1165</v>
      </c>
      <c r="B1183" s="2">
        <v>44941</v>
      </c>
      <c r="C1183" s="2" t="str">
        <f>TEXT(Table3[[#This Row],[Order Date]],"mmmm")</f>
        <v>January</v>
      </c>
      <c r="D1183" t="s">
        <v>3220</v>
      </c>
      <c r="E1183" t="s">
        <v>3225</v>
      </c>
      <c r="F1183" t="s">
        <v>3226</v>
      </c>
      <c r="G1183" s="4">
        <v>87460.44</v>
      </c>
      <c r="H1183" s="4">
        <v>62601.16</v>
      </c>
      <c r="I1183" s="3" t="s">
        <v>3734</v>
      </c>
      <c r="J1183">
        <v>5</v>
      </c>
      <c r="K1183" s="4">
        <f>Table3[[#This Row],[Sales]]-Table3[[#This Row],[Cost]]</f>
        <v>24859.279999999999</v>
      </c>
      <c r="L1183" s="6">
        <f>Table3[[#This Row],[Profit]]/Table3[[#This Row],[Sales]]</f>
        <v>0.28423456364957689</v>
      </c>
    </row>
    <row r="1184" spans="1:12" x14ac:dyDescent="0.25">
      <c r="A1184" t="s">
        <v>3372</v>
      </c>
      <c r="B1184" s="2">
        <v>45021</v>
      </c>
      <c r="C1184" s="2" t="str">
        <f>TEXT(Table3[[#This Row],[Order Date]],"mmmm")</f>
        <v>April</v>
      </c>
      <c r="D1184" t="s">
        <v>3220</v>
      </c>
      <c r="E1184" t="s">
        <v>3223</v>
      </c>
      <c r="F1184" t="s">
        <v>3226</v>
      </c>
      <c r="G1184" s="4">
        <v>18414.23</v>
      </c>
      <c r="H1184" s="4">
        <v>14866.48</v>
      </c>
      <c r="I1184" s="3" t="s">
        <v>3734</v>
      </c>
      <c r="J1184">
        <v>2</v>
      </c>
      <c r="K1184" s="4">
        <f>Table3[[#This Row],[Sales]]-Table3[[#This Row],[Cost]]</f>
        <v>3547.75</v>
      </c>
      <c r="L1184" s="6">
        <f>Table3[[#This Row],[Profit]]/Table3[[#This Row],[Sales]]</f>
        <v>0.19266349991283915</v>
      </c>
    </row>
    <row r="1185" spans="1:12" x14ac:dyDescent="0.25">
      <c r="A1185" t="s">
        <v>1166</v>
      </c>
      <c r="B1185" s="2" t="s">
        <v>3729</v>
      </c>
      <c r="C1185" s="2" t="str">
        <f>TEXT(Table3[[#This Row],[Order Date]],"mmmm")</f>
        <v>Not Mentioned</v>
      </c>
      <c r="D1185" t="s">
        <v>3220</v>
      </c>
      <c r="E1185" t="s">
        <v>3222</v>
      </c>
      <c r="F1185" t="s">
        <v>3226</v>
      </c>
      <c r="G1185" s="4">
        <v>13418.84</v>
      </c>
      <c r="H1185" s="4">
        <v>9363.5499999999993</v>
      </c>
      <c r="I1185" s="3" t="s">
        <v>3734</v>
      </c>
      <c r="J1185">
        <v>1</v>
      </c>
      <c r="K1185" s="4">
        <f>Table3[[#This Row],[Sales]]-Table3[[#This Row],[Cost]]</f>
        <v>4055.2900000000009</v>
      </c>
      <c r="L1185" s="6">
        <f>Table3[[#This Row],[Profit]]/Table3[[#This Row],[Sales]]</f>
        <v>0.30220868569861487</v>
      </c>
    </row>
    <row r="1186" spans="1:12" x14ac:dyDescent="0.25">
      <c r="A1186" t="s">
        <v>1167</v>
      </c>
      <c r="B1186" s="2">
        <v>44972</v>
      </c>
      <c r="C1186" s="2" t="str">
        <f>TEXT(Table3[[#This Row],[Order Date]],"mmmm")</f>
        <v>February</v>
      </c>
      <c r="D1186" t="s">
        <v>3220</v>
      </c>
      <c r="E1186" t="s">
        <v>3222</v>
      </c>
      <c r="F1186" t="s">
        <v>3226</v>
      </c>
      <c r="G1186" s="4">
        <v>35077.730000000003</v>
      </c>
      <c r="H1186" s="4">
        <v>18346.78</v>
      </c>
      <c r="I1186" s="3" t="s">
        <v>3734</v>
      </c>
      <c r="J1186">
        <v>2</v>
      </c>
      <c r="K1186" s="4">
        <f>Table3[[#This Row],[Sales]]-Table3[[#This Row],[Cost]]</f>
        <v>16730.950000000004</v>
      </c>
      <c r="L1186" s="6">
        <f>Table3[[#This Row],[Profit]]/Table3[[#This Row],[Sales]]</f>
        <v>0.4769678653664306</v>
      </c>
    </row>
    <row r="1187" spans="1:12" x14ac:dyDescent="0.25">
      <c r="A1187" t="s">
        <v>1168</v>
      </c>
      <c r="B1187" s="2">
        <v>44972</v>
      </c>
      <c r="C1187" s="2" t="str">
        <f>TEXT(Table3[[#This Row],[Order Date]],"mmmm")</f>
        <v>February</v>
      </c>
      <c r="D1187" t="s">
        <v>3730</v>
      </c>
      <c r="E1187" t="s">
        <v>3222</v>
      </c>
      <c r="F1187" t="s">
        <v>3226</v>
      </c>
      <c r="G1187" s="4">
        <v>40135.69</v>
      </c>
      <c r="H1187" s="4">
        <v>25767.040000000001</v>
      </c>
      <c r="I1187" s="3" t="s">
        <v>3734</v>
      </c>
      <c r="J1187">
        <v>3</v>
      </c>
      <c r="K1187" s="4">
        <f>Table3[[#This Row],[Sales]]-Table3[[#This Row],[Cost]]</f>
        <v>14368.650000000001</v>
      </c>
      <c r="L1187" s="6">
        <f>Table3[[#This Row],[Profit]]/Table3[[#This Row],[Sales]]</f>
        <v>0.35800181833176409</v>
      </c>
    </row>
    <row r="1188" spans="1:12" x14ac:dyDescent="0.25">
      <c r="A1188" t="s">
        <v>1074</v>
      </c>
      <c r="B1188" s="2">
        <v>45005</v>
      </c>
      <c r="C1188" s="2" t="str">
        <f>TEXT(Table3[[#This Row],[Order Date]],"mmmm")</f>
        <v>March</v>
      </c>
      <c r="D1188" t="s">
        <v>3220</v>
      </c>
      <c r="E1188" t="s">
        <v>3222</v>
      </c>
      <c r="F1188" t="s">
        <v>3226</v>
      </c>
      <c r="G1188" s="4">
        <v>13944.17</v>
      </c>
      <c r="H1188" s="4">
        <v>9798.57</v>
      </c>
      <c r="I1188" s="3" t="s">
        <v>3734</v>
      </c>
      <c r="J1188">
        <v>1</v>
      </c>
      <c r="K1188" s="4">
        <f>Table3[[#This Row],[Sales]]-Table3[[#This Row],[Cost]]</f>
        <v>4145.6000000000004</v>
      </c>
      <c r="L1188" s="6">
        <f>Table3[[#This Row],[Profit]]/Table3[[#This Row],[Sales]]</f>
        <v>0.2972998751449531</v>
      </c>
    </row>
    <row r="1189" spans="1:12" x14ac:dyDescent="0.25">
      <c r="A1189" t="s">
        <v>3444</v>
      </c>
      <c r="B1189" s="2" t="s">
        <v>3729</v>
      </c>
      <c r="C1189" s="2" t="str">
        <f>TEXT(Table3[[#This Row],[Order Date]],"mmmm")</f>
        <v>Not Mentioned</v>
      </c>
      <c r="D1189" t="s">
        <v>3220</v>
      </c>
      <c r="E1189" t="s">
        <v>3223</v>
      </c>
      <c r="F1189" t="s">
        <v>3226</v>
      </c>
      <c r="G1189" s="4">
        <v>52240.99</v>
      </c>
      <c r="H1189" s="4">
        <v>41792.792000000001</v>
      </c>
      <c r="I1189" s="3" t="s">
        <v>3735</v>
      </c>
      <c r="J1189">
        <v>5</v>
      </c>
      <c r="K1189" s="4">
        <f>Table3[[#This Row],[Sales]]-Table3[[#This Row],[Cost]]</f>
        <v>10448.197999999997</v>
      </c>
      <c r="L1189" s="6">
        <f>Table3[[#This Row],[Profit]]/Table3[[#This Row],[Sales]]</f>
        <v>0.19999999999999996</v>
      </c>
    </row>
    <row r="1190" spans="1:12" x14ac:dyDescent="0.25">
      <c r="A1190" t="s">
        <v>1171</v>
      </c>
      <c r="B1190" s="2">
        <v>45005</v>
      </c>
      <c r="C1190" s="2" t="str">
        <f>TEXT(Table3[[#This Row],[Order Date]],"mmmm")</f>
        <v>March</v>
      </c>
      <c r="D1190" t="s">
        <v>3730</v>
      </c>
      <c r="E1190" t="s">
        <v>3225</v>
      </c>
      <c r="F1190" t="s">
        <v>3226</v>
      </c>
      <c r="G1190" s="4">
        <v>64347.3</v>
      </c>
      <c r="H1190" s="4">
        <v>36098.980000000003</v>
      </c>
      <c r="I1190" s="3" t="s">
        <v>3734</v>
      </c>
      <c r="J1190">
        <v>3</v>
      </c>
      <c r="K1190" s="4">
        <f>Table3[[#This Row],[Sales]]-Table3[[#This Row],[Cost]]</f>
        <v>28248.32</v>
      </c>
      <c r="L1190" s="6">
        <f>Table3[[#This Row],[Profit]]/Table3[[#This Row],[Sales]]</f>
        <v>0.43899775126539886</v>
      </c>
    </row>
    <row r="1191" spans="1:12" x14ac:dyDescent="0.25">
      <c r="A1191" t="s">
        <v>3445</v>
      </c>
      <c r="B1191" s="2">
        <v>44941</v>
      </c>
      <c r="C1191" s="2" t="str">
        <f>TEXT(Table3[[#This Row],[Order Date]],"mmmm")</f>
        <v>January</v>
      </c>
      <c r="D1191" t="s">
        <v>3220</v>
      </c>
      <c r="E1191" t="s">
        <v>3225</v>
      </c>
      <c r="F1191" t="s">
        <v>3226</v>
      </c>
      <c r="G1191" s="4">
        <v>82907.289999999994</v>
      </c>
      <c r="H1191" s="4">
        <v>71997.13</v>
      </c>
      <c r="I1191" s="3" t="s">
        <v>3734</v>
      </c>
      <c r="J1191">
        <v>5</v>
      </c>
      <c r="K1191" s="4">
        <f>Table3[[#This Row],[Sales]]-Table3[[#This Row],[Cost]]</f>
        <v>10910.159999999989</v>
      </c>
      <c r="L1191" s="6">
        <f>Table3[[#This Row],[Profit]]/Table3[[#This Row],[Sales]]</f>
        <v>0.13159470053839645</v>
      </c>
    </row>
    <row r="1192" spans="1:12" x14ac:dyDescent="0.25">
      <c r="A1192" t="s">
        <v>1173</v>
      </c>
      <c r="B1192" s="2">
        <v>44941</v>
      </c>
      <c r="C1192" s="2" t="str">
        <f>TEXT(Table3[[#This Row],[Order Date]],"mmmm")</f>
        <v>January</v>
      </c>
      <c r="D1192" t="s">
        <v>3730</v>
      </c>
      <c r="E1192" t="s">
        <v>3224</v>
      </c>
      <c r="F1192" t="s">
        <v>3226</v>
      </c>
      <c r="G1192" s="4">
        <v>277343.09000000003</v>
      </c>
      <c r="H1192" s="4">
        <v>216544.49</v>
      </c>
      <c r="I1192" s="3" t="s">
        <v>3734</v>
      </c>
      <c r="J1192">
        <v>5</v>
      </c>
      <c r="K1192" s="4">
        <f>Table3[[#This Row],[Sales]]-Table3[[#This Row],[Cost]]</f>
        <v>60798.600000000035</v>
      </c>
      <c r="L1192" s="6">
        <f>Table3[[#This Row],[Profit]]/Table3[[#This Row],[Sales]]</f>
        <v>0.21921800900105365</v>
      </c>
    </row>
    <row r="1193" spans="1:12" x14ac:dyDescent="0.25">
      <c r="A1193" t="s">
        <v>1174</v>
      </c>
      <c r="B1193" s="2">
        <v>44941</v>
      </c>
      <c r="C1193" s="2" t="str">
        <f>TEXT(Table3[[#This Row],[Order Date]],"mmmm")</f>
        <v>January</v>
      </c>
      <c r="D1193" t="s">
        <v>3220</v>
      </c>
      <c r="E1193" t="s">
        <v>3224</v>
      </c>
      <c r="F1193" t="s">
        <v>3226</v>
      </c>
      <c r="G1193" s="4">
        <v>331522.34000000003</v>
      </c>
      <c r="H1193" s="4">
        <v>265217.87200000003</v>
      </c>
      <c r="I1193" s="3" t="s">
        <v>3735</v>
      </c>
      <c r="J1193">
        <v>5</v>
      </c>
      <c r="K1193" s="4">
        <f>Table3[[#This Row],[Sales]]-Table3[[#This Row],[Cost]]</f>
        <v>66304.467999999993</v>
      </c>
      <c r="L1193" s="6">
        <f>Table3[[#This Row],[Profit]]/Table3[[#This Row],[Sales]]</f>
        <v>0.19999999999999996</v>
      </c>
    </row>
    <row r="1194" spans="1:12" x14ac:dyDescent="0.25">
      <c r="A1194" t="s">
        <v>3446</v>
      </c>
      <c r="B1194" s="2" t="s">
        <v>3729</v>
      </c>
      <c r="C1194" s="2" t="str">
        <f>TEXT(Table3[[#This Row],[Order Date]],"mmmm")</f>
        <v>Not Mentioned</v>
      </c>
      <c r="D1194" t="s">
        <v>3220</v>
      </c>
      <c r="E1194" t="s">
        <v>3225</v>
      </c>
      <c r="F1194" t="s">
        <v>3226</v>
      </c>
      <c r="G1194" s="4">
        <v>60515.73</v>
      </c>
      <c r="H1194" s="4">
        <v>44750.41</v>
      </c>
      <c r="I1194" s="3" t="s">
        <v>3734</v>
      </c>
      <c r="J1194" t="s">
        <v>3732</v>
      </c>
      <c r="K1194" s="4">
        <f>Table3[[#This Row],[Sales]]-Table3[[#This Row],[Cost]]</f>
        <v>15765.32</v>
      </c>
      <c r="L1194" s="6">
        <f>Table3[[#This Row],[Profit]]/Table3[[#This Row],[Sales]]</f>
        <v>0.26051606747534894</v>
      </c>
    </row>
    <row r="1195" spans="1:12" x14ac:dyDescent="0.25">
      <c r="A1195" t="s">
        <v>1176</v>
      </c>
      <c r="B1195" s="2">
        <v>44941</v>
      </c>
      <c r="C1195" s="2" t="str">
        <f>TEXT(Table3[[#This Row],[Order Date]],"mmmm")</f>
        <v>January</v>
      </c>
      <c r="D1195" t="s">
        <v>3220</v>
      </c>
      <c r="E1195" t="s">
        <v>3222</v>
      </c>
      <c r="F1195" t="s">
        <v>3226</v>
      </c>
      <c r="G1195" s="4">
        <v>14800.29</v>
      </c>
      <c r="H1195" s="4">
        <v>8750.7199999999993</v>
      </c>
      <c r="I1195" s="3" t="s">
        <v>3734</v>
      </c>
      <c r="J1195">
        <v>1</v>
      </c>
      <c r="K1195" s="4">
        <f>Table3[[#This Row],[Sales]]-Table3[[#This Row],[Cost]]</f>
        <v>6049.5700000000015</v>
      </c>
      <c r="L1195" s="6">
        <f>Table3[[#This Row],[Profit]]/Table3[[#This Row],[Sales]]</f>
        <v>0.40874672050344968</v>
      </c>
    </row>
    <row r="1196" spans="1:12" x14ac:dyDescent="0.25">
      <c r="A1196" t="s">
        <v>1177</v>
      </c>
      <c r="B1196" s="2" t="s">
        <v>3729</v>
      </c>
      <c r="C1196" s="2" t="str">
        <f>TEXT(Table3[[#This Row],[Order Date]],"mmmm")</f>
        <v>Not Mentioned</v>
      </c>
      <c r="D1196" t="s">
        <v>3730</v>
      </c>
      <c r="E1196" t="s">
        <v>3224</v>
      </c>
      <c r="F1196" t="s">
        <v>3226</v>
      </c>
      <c r="G1196" s="4">
        <v>214040.38</v>
      </c>
      <c r="H1196" s="4">
        <v>160911.44</v>
      </c>
      <c r="I1196" s="3" t="s">
        <v>3734</v>
      </c>
      <c r="J1196" t="s">
        <v>3732</v>
      </c>
      <c r="K1196" s="4">
        <f>Table3[[#This Row],[Sales]]-Table3[[#This Row],[Cost]]</f>
        <v>53128.94</v>
      </c>
      <c r="L1196" s="6">
        <f>Table3[[#This Row],[Profit]]/Table3[[#This Row],[Sales]]</f>
        <v>0.24821923788399181</v>
      </c>
    </row>
    <row r="1197" spans="1:12" x14ac:dyDescent="0.25">
      <c r="A1197" t="s">
        <v>1178</v>
      </c>
      <c r="B1197" s="2" t="s">
        <v>3729</v>
      </c>
      <c r="C1197" s="2" t="str">
        <f>TEXT(Table3[[#This Row],[Order Date]],"mmmm")</f>
        <v>Not Mentioned</v>
      </c>
      <c r="D1197" t="s">
        <v>3220</v>
      </c>
      <c r="E1197" t="s">
        <v>3224</v>
      </c>
      <c r="F1197" t="s">
        <v>3226</v>
      </c>
      <c r="G1197" s="4">
        <v>143617.85</v>
      </c>
      <c r="H1197" s="4">
        <v>114894.28000000001</v>
      </c>
      <c r="I1197" s="3" t="s">
        <v>3735</v>
      </c>
      <c r="J1197">
        <v>2</v>
      </c>
      <c r="K1197" s="4">
        <f>Table3[[#This Row],[Sales]]-Table3[[#This Row],[Cost]]</f>
        <v>28723.569999999992</v>
      </c>
      <c r="L1197" s="6">
        <f>Table3[[#This Row],[Profit]]/Table3[[#This Row],[Sales]]</f>
        <v>0.19999999999999993</v>
      </c>
    </row>
    <row r="1198" spans="1:12" x14ac:dyDescent="0.25">
      <c r="A1198" t="s">
        <v>1179</v>
      </c>
      <c r="B1198" s="2" t="s">
        <v>3729</v>
      </c>
      <c r="C1198" s="2" t="str">
        <f>TEXT(Table3[[#This Row],[Order Date]],"mmmm")</f>
        <v>Not Mentioned</v>
      </c>
      <c r="D1198" t="s">
        <v>3220</v>
      </c>
      <c r="E1198" t="s">
        <v>3222</v>
      </c>
      <c r="F1198" t="s">
        <v>3226</v>
      </c>
      <c r="G1198" s="4">
        <v>12054.66</v>
      </c>
      <c r="H1198" s="4">
        <v>10440.06</v>
      </c>
      <c r="I1198" s="3" t="s">
        <v>3734</v>
      </c>
      <c r="J1198">
        <v>1</v>
      </c>
      <c r="K1198" s="4">
        <f>Table3[[#This Row],[Sales]]-Table3[[#This Row],[Cost]]</f>
        <v>1614.6000000000004</v>
      </c>
      <c r="L1198" s="6">
        <f>Table3[[#This Row],[Profit]]/Table3[[#This Row],[Sales]]</f>
        <v>0.13393990373847128</v>
      </c>
    </row>
    <row r="1199" spans="1:12" x14ac:dyDescent="0.25">
      <c r="A1199" t="s">
        <v>1180</v>
      </c>
      <c r="B1199" s="2">
        <v>45102</v>
      </c>
      <c r="C1199" s="2" t="str">
        <f>TEXT(Table3[[#This Row],[Order Date]],"mmmm")</f>
        <v>June</v>
      </c>
      <c r="D1199" t="s">
        <v>3216</v>
      </c>
      <c r="E1199" t="s">
        <v>3225</v>
      </c>
      <c r="F1199" t="s">
        <v>3226</v>
      </c>
      <c r="G1199" s="4">
        <v>81072.27</v>
      </c>
      <c r="H1199" s="4">
        <v>59128.34</v>
      </c>
      <c r="I1199" s="3" t="s">
        <v>3734</v>
      </c>
      <c r="J1199">
        <v>4</v>
      </c>
      <c r="K1199" s="4">
        <f>Table3[[#This Row],[Sales]]-Table3[[#This Row],[Cost]]</f>
        <v>21943.930000000008</v>
      </c>
      <c r="L1199" s="6">
        <f>Table3[[#This Row],[Profit]]/Table3[[#This Row],[Sales]]</f>
        <v>0.27067121717450376</v>
      </c>
    </row>
    <row r="1200" spans="1:12" x14ac:dyDescent="0.25">
      <c r="A1200" t="s">
        <v>1181</v>
      </c>
      <c r="B1200" s="2">
        <v>45021</v>
      </c>
      <c r="C1200" s="2" t="str">
        <f>TEXT(Table3[[#This Row],[Order Date]],"mmmm")</f>
        <v>April</v>
      </c>
      <c r="D1200" t="s">
        <v>3731</v>
      </c>
      <c r="E1200" t="s">
        <v>3224</v>
      </c>
      <c r="F1200" t="s">
        <v>3226</v>
      </c>
      <c r="G1200" s="4">
        <v>52046.49</v>
      </c>
      <c r="H1200" s="4">
        <v>47152.1</v>
      </c>
      <c r="I1200" s="3" t="s">
        <v>3734</v>
      </c>
      <c r="J1200">
        <v>1</v>
      </c>
      <c r="K1200" s="4">
        <f>Table3[[#This Row],[Sales]]-Table3[[#This Row],[Cost]]</f>
        <v>4894.3899999999994</v>
      </c>
      <c r="L1200" s="6">
        <f>Table3[[#This Row],[Profit]]/Table3[[#This Row],[Sales]]</f>
        <v>9.4038810302097209E-2</v>
      </c>
    </row>
    <row r="1201" spans="1:12" x14ac:dyDescent="0.25">
      <c r="A1201" t="s">
        <v>1182</v>
      </c>
      <c r="B1201" s="2" t="s">
        <v>3729</v>
      </c>
      <c r="C1201" s="2" t="str">
        <f>TEXT(Table3[[#This Row],[Order Date]],"mmmm")</f>
        <v>Not Mentioned</v>
      </c>
      <c r="D1201" t="s">
        <v>3216</v>
      </c>
      <c r="E1201" t="s">
        <v>3225</v>
      </c>
      <c r="F1201" t="s">
        <v>3226</v>
      </c>
      <c r="G1201" s="4">
        <v>22524.42</v>
      </c>
      <c r="H1201" s="4">
        <v>14062.77</v>
      </c>
      <c r="I1201" s="3" t="s">
        <v>3734</v>
      </c>
      <c r="J1201">
        <v>1</v>
      </c>
      <c r="K1201" s="4">
        <f>Table3[[#This Row],[Sales]]-Table3[[#This Row],[Cost]]</f>
        <v>8461.6499999999978</v>
      </c>
      <c r="L1201" s="6">
        <f>Table3[[#This Row],[Profit]]/Table3[[#This Row],[Sales]]</f>
        <v>0.37566561092361084</v>
      </c>
    </row>
    <row r="1202" spans="1:12" x14ac:dyDescent="0.25">
      <c r="A1202" t="s">
        <v>1183</v>
      </c>
      <c r="B1202" s="2">
        <v>45102</v>
      </c>
      <c r="C1202" s="2" t="str">
        <f>TEXT(Table3[[#This Row],[Order Date]],"mmmm")</f>
        <v>June</v>
      </c>
      <c r="D1202" t="s">
        <v>3730</v>
      </c>
      <c r="E1202" t="s">
        <v>3222</v>
      </c>
      <c r="F1202" t="s">
        <v>3226</v>
      </c>
      <c r="G1202" s="4">
        <v>66362.679999999993</v>
      </c>
      <c r="H1202" s="4">
        <v>41640.129999999997</v>
      </c>
      <c r="I1202" s="3" t="s">
        <v>3734</v>
      </c>
      <c r="J1202" t="s">
        <v>3732</v>
      </c>
      <c r="K1202" s="4">
        <f>Table3[[#This Row],[Sales]]-Table3[[#This Row],[Cost]]</f>
        <v>24722.549999999996</v>
      </c>
      <c r="L1202" s="6">
        <f>Table3[[#This Row],[Profit]]/Table3[[#This Row],[Sales]]</f>
        <v>0.37253694395705533</v>
      </c>
    </row>
    <row r="1203" spans="1:12" x14ac:dyDescent="0.25">
      <c r="A1203" t="s">
        <v>1184</v>
      </c>
      <c r="B1203" s="2" t="s">
        <v>3729</v>
      </c>
      <c r="C1203" s="2" t="str">
        <f>TEXT(Table3[[#This Row],[Order Date]],"mmmm")</f>
        <v>Not Mentioned</v>
      </c>
      <c r="D1203" t="s">
        <v>3731</v>
      </c>
      <c r="E1203" t="s">
        <v>3225</v>
      </c>
      <c r="F1203" t="s">
        <v>3226</v>
      </c>
      <c r="G1203" s="4">
        <v>71565.06</v>
      </c>
      <c r="H1203" s="4">
        <v>43070.51</v>
      </c>
      <c r="I1203" s="3" t="s">
        <v>3734</v>
      </c>
      <c r="J1203">
        <v>3</v>
      </c>
      <c r="K1203" s="4">
        <f>Table3[[#This Row],[Sales]]-Table3[[#This Row],[Cost]]</f>
        <v>28494.549999999996</v>
      </c>
      <c r="L1203" s="6">
        <f>Table3[[#This Row],[Profit]]/Table3[[#This Row],[Sales]]</f>
        <v>0.39816287445298021</v>
      </c>
    </row>
    <row r="1204" spans="1:12" x14ac:dyDescent="0.25">
      <c r="A1204" t="s">
        <v>1185</v>
      </c>
      <c r="B1204" s="2" t="s">
        <v>3729</v>
      </c>
      <c r="C1204" s="2" t="str">
        <f>TEXT(Table3[[#This Row],[Order Date]],"mmmm")</f>
        <v>Not Mentioned</v>
      </c>
      <c r="D1204" t="s">
        <v>3220</v>
      </c>
      <c r="E1204" t="s">
        <v>3225</v>
      </c>
      <c r="F1204" t="s">
        <v>3226</v>
      </c>
      <c r="G1204" s="4">
        <v>72767.7</v>
      </c>
      <c r="H1204" s="4">
        <v>54671.63</v>
      </c>
      <c r="I1204" s="3" t="s">
        <v>3734</v>
      </c>
      <c r="J1204">
        <v>4</v>
      </c>
      <c r="K1204" s="4">
        <f>Table3[[#This Row],[Sales]]-Table3[[#This Row],[Cost]]</f>
        <v>18096.07</v>
      </c>
      <c r="L1204" s="6">
        <f>Table3[[#This Row],[Profit]]/Table3[[#This Row],[Sales]]</f>
        <v>0.24868272598969049</v>
      </c>
    </row>
    <row r="1205" spans="1:12" x14ac:dyDescent="0.25">
      <c r="A1205" t="s">
        <v>1186</v>
      </c>
      <c r="B1205" s="2">
        <v>45102</v>
      </c>
      <c r="C1205" s="2" t="str">
        <f>TEXT(Table3[[#This Row],[Order Date]],"mmmm")</f>
        <v>June</v>
      </c>
      <c r="D1205" t="s">
        <v>3730</v>
      </c>
      <c r="E1205" t="s">
        <v>3225</v>
      </c>
      <c r="F1205" t="s">
        <v>3226</v>
      </c>
      <c r="G1205" s="4">
        <v>98479.98</v>
      </c>
      <c r="H1205" s="4">
        <v>59716.800000000003</v>
      </c>
      <c r="I1205" s="3" t="s">
        <v>3734</v>
      </c>
      <c r="J1205">
        <v>5</v>
      </c>
      <c r="K1205" s="4">
        <f>Table3[[#This Row],[Sales]]-Table3[[#This Row],[Cost]]</f>
        <v>38763.179999999993</v>
      </c>
      <c r="L1205" s="6">
        <f>Table3[[#This Row],[Profit]]/Table3[[#This Row],[Sales]]</f>
        <v>0.39361482404850201</v>
      </c>
    </row>
    <row r="1206" spans="1:12" x14ac:dyDescent="0.25">
      <c r="A1206" t="s">
        <v>1187</v>
      </c>
      <c r="B1206" s="2">
        <v>44972</v>
      </c>
      <c r="C1206" s="2" t="str">
        <f>TEXT(Table3[[#This Row],[Order Date]],"mmmm")</f>
        <v>February</v>
      </c>
      <c r="D1206" t="s">
        <v>3220</v>
      </c>
      <c r="E1206" t="s">
        <v>3225</v>
      </c>
      <c r="F1206" t="s">
        <v>3226</v>
      </c>
      <c r="G1206" s="4">
        <v>72723.02</v>
      </c>
      <c r="H1206" s="4">
        <v>55696.31</v>
      </c>
      <c r="I1206" s="3" t="s">
        <v>3734</v>
      </c>
      <c r="J1206" t="s">
        <v>3732</v>
      </c>
      <c r="K1206" s="4">
        <f>Table3[[#This Row],[Sales]]-Table3[[#This Row],[Cost]]</f>
        <v>17026.710000000006</v>
      </c>
      <c r="L1206" s="6">
        <f>Table3[[#This Row],[Profit]]/Table3[[#This Row],[Sales]]</f>
        <v>0.23413095330749473</v>
      </c>
    </row>
    <row r="1207" spans="1:12" x14ac:dyDescent="0.25">
      <c r="A1207" t="s">
        <v>1188</v>
      </c>
      <c r="B1207" s="2">
        <v>45005</v>
      </c>
      <c r="C1207" s="2" t="str">
        <f>TEXT(Table3[[#This Row],[Order Date]],"mmmm")</f>
        <v>March</v>
      </c>
      <c r="D1207" t="s">
        <v>3730</v>
      </c>
      <c r="E1207" t="s">
        <v>3223</v>
      </c>
      <c r="F1207" t="s">
        <v>3226</v>
      </c>
      <c r="G1207" s="4">
        <v>9370.4</v>
      </c>
      <c r="H1207" s="4">
        <v>6134.76</v>
      </c>
      <c r="I1207" s="3" t="s">
        <v>3734</v>
      </c>
      <c r="J1207">
        <v>1</v>
      </c>
      <c r="K1207" s="4">
        <f>Table3[[#This Row],[Sales]]-Table3[[#This Row],[Cost]]</f>
        <v>3235.6399999999994</v>
      </c>
      <c r="L1207" s="6">
        <f>Table3[[#This Row],[Profit]]/Table3[[#This Row],[Sales]]</f>
        <v>0.34530436267395198</v>
      </c>
    </row>
    <row r="1208" spans="1:12" x14ac:dyDescent="0.25">
      <c r="A1208" t="s">
        <v>1189</v>
      </c>
      <c r="B1208" s="2">
        <v>44972</v>
      </c>
      <c r="C1208" s="2" t="str">
        <f>TEXT(Table3[[#This Row],[Order Date]],"mmmm")</f>
        <v>February</v>
      </c>
      <c r="D1208" t="s">
        <v>3730</v>
      </c>
      <c r="E1208" t="s">
        <v>3223</v>
      </c>
      <c r="F1208" t="s">
        <v>3226</v>
      </c>
      <c r="G1208" s="4">
        <v>8623.67</v>
      </c>
      <c r="H1208" s="4">
        <v>6898.9360000000006</v>
      </c>
      <c r="I1208" s="3" t="s">
        <v>3735</v>
      </c>
      <c r="J1208">
        <v>1</v>
      </c>
      <c r="K1208" s="4">
        <f>Table3[[#This Row],[Sales]]-Table3[[#This Row],[Cost]]</f>
        <v>1724.7339999999995</v>
      </c>
      <c r="L1208" s="6">
        <f>Table3[[#This Row],[Profit]]/Table3[[#This Row],[Sales]]</f>
        <v>0.19999999999999993</v>
      </c>
    </row>
    <row r="1209" spans="1:12" x14ac:dyDescent="0.25">
      <c r="A1209" t="s">
        <v>1190</v>
      </c>
      <c r="B1209" s="2">
        <v>44941</v>
      </c>
      <c r="C1209" s="2" t="str">
        <f>TEXT(Table3[[#This Row],[Order Date]],"mmmm")</f>
        <v>January</v>
      </c>
      <c r="D1209" t="s">
        <v>3216</v>
      </c>
      <c r="E1209" t="s">
        <v>3222</v>
      </c>
      <c r="F1209" t="s">
        <v>3226</v>
      </c>
      <c r="G1209" s="4">
        <v>57445.87</v>
      </c>
      <c r="H1209" s="4">
        <v>38832.49</v>
      </c>
      <c r="I1209" s="3" t="s">
        <v>3734</v>
      </c>
      <c r="J1209">
        <v>4</v>
      </c>
      <c r="K1209" s="4">
        <f>Table3[[#This Row],[Sales]]-Table3[[#This Row],[Cost]]</f>
        <v>18613.380000000005</v>
      </c>
      <c r="L1209" s="6">
        <f>Table3[[#This Row],[Profit]]/Table3[[#This Row],[Sales]]</f>
        <v>0.32401598234999318</v>
      </c>
    </row>
    <row r="1210" spans="1:12" x14ac:dyDescent="0.25">
      <c r="A1210" t="s">
        <v>1191</v>
      </c>
      <c r="B1210" s="2">
        <v>44941</v>
      </c>
      <c r="C1210" s="2" t="str">
        <f>TEXT(Table3[[#This Row],[Order Date]],"mmmm")</f>
        <v>January</v>
      </c>
      <c r="D1210" t="s">
        <v>3220</v>
      </c>
      <c r="E1210" t="s">
        <v>3222</v>
      </c>
      <c r="F1210" t="s">
        <v>3226</v>
      </c>
      <c r="G1210" s="4">
        <v>33967</v>
      </c>
      <c r="H1210" s="4">
        <v>18777.25</v>
      </c>
      <c r="I1210" s="3" t="s">
        <v>3734</v>
      </c>
      <c r="J1210">
        <v>2</v>
      </c>
      <c r="K1210" s="4">
        <f>Table3[[#This Row],[Sales]]-Table3[[#This Row],[Cost]]</f>
        <v>15189.75</v>
      </c>
      <c r="L1210" s="6">
        <f>Table3[[#This Row],[Profit]]/Table3[[#This Row],[Sales]]</f>
        <v>0.44719139164483174</v>
      </c>
    </row>
    <row r="1211" spans="1:12" x14ac:dyDescent="0.25">
      <c r="A1211" t="s">
        <v>3447</v>
      </c>
      <c r="B1211" s="2" t="s">
        <v>3729</v>
      </c>
      <c r="C1211" s="2" t="str">
        <f>TEXT(Table3[[#This Row],[Order Date]],"mmmm")</f>
        <v>Not Mentioned</v>
      </c>
      <c r="D1211" t="s">
        <v>3730</v>
      </c>
      <c r="E1211" t="s">
        <v>3222</v>
      </c>
      <c r="F1211" t="s">
        <v>3226</v>
      </c>
      <c r="G1211" s="4">
        <v>24767.08</v>
      </c>
      <c r="H1211" s="4">
        <v>20573.439999999999</v>
      </c>
      <c r="I1211" s="3" t="s">
        <v>3734</v>
      </c>
      <c r="J1211">
        <v>2</v>
      </c>
      <c r="K1211" s="4">
        <f>Table3[[#This Row],[Sales]]-Table3[[#This Row],[Cost]]</f>
        <v>4193.6400000000031</v>
      </c>
      <c r="L1211" s="6">
        <f>Table3[[#This Row],[Profit]]/Table3[[#This Row],[Sales]]</f>
        <v>0.16932314992320463</v>
      </c>
    </row>
    <row r="1212" spans="1:12" x14ac:dyDescent="0.25">
      <c r="A1212" t="s">
        <v>3448</v>
      </c>
      <c r="B1212" s="2">
        <v>45021</v>
      </c>
      <c r="C1212" s="2" t="str">
        <f>TEXT(Table3[[#This Row],[Order Date]],"mmmm")</f>
        <v>April</v>
      </c>
      <c r="D1212" t="s">
        <v>3220</v>
      </c>
      <c r="E1212" t="s">
        <v>3223</v>
      </c>
      <c r="F1212" t="s">
        <v>3226</v>
      </c>
      <c r="G1212" s="4">
        <v>8063.1</v>
      </c>
      <c r="H1212" s="4">
        <v>7391.97</v>
      </c>
      <c r="I1212" s="3" t="s">
        <v>3734</v>
      </c>
      <c r="J1212">
        <v>1</v>
      </c>
      <c r="K1212" s="4">
        <f>Table3[[#This Row],[Sales]]-Table3[[#This Row],[Cost]]</f>
        <v>671.13000000000011</v>
      </c>
      <c r="L1212" s="6">
        <f>Table3[[#This Row],[Profit]]/Table3[[#This Row],[Sales]]</f>
        <v>8.3234736019645053E-2</v>
      </c>
    </row>
    <row r="1213" spans="1:12" x14ac:dyDescent="0.25">
      <c r="A1213" t="s">
        <v>1194</v>
      </c>
      <c r="B1213" s="2">
        <v>45005</v>
      </c>
      <c r="C1213" s="2" t="str">
        <f>TEXT(Table3[[#This Row],[Order Date]],"mmmm")</f>
        <v>March</v>
      </c>
      <c r="D1213" t="s">
        <v>3730</v>
      </c>
      <c r="E1213" t="s">
        <v>3222</v>
      </c>
      <c r="F1213" t="s">
        <v>3226</v>
      </c>
      <c r="G1213" s="4">
        <v>77564.539999999994</v>
      </c>
      <c r="H1213" s="4">
        <v>62051.631999999998</v>
      </c>
      <c r="I1213" s="3" t="s">
        <v>3735</v>
      </c>
      <c r="J1213">
        <v>5</v>
      </c>
      <c r="K1213" s="4">
        <f>Table3[[#This Row],[Sales]]-Table3[[#This Row],[Cost]]</f>
        <v>15512.907999999996</v>
      </c>
      <c r="L1213" s="6">
        <f>Table3[[#This Row],[Profit]]/Table3[[#This Row],[Sales]]</f>
        <v>0.19999999999999996</v>
      </c>
    </row>
    <row r="1214" spans="1:12" x14ac:dyDescent="0.25">
      <c r="A1214" t="s">
        <v>1195</v>
      </c>
      <c r="B1214" s="2">
        <v>45021</v>
      </c>
      <c r="C1214" s="2" t="str">
        <f>TEXT(Table3[[#This Row],[Order Date]],"mmmm")</f>
        <v>April</v>
      </c>
      <c r="D1214" t="s">
        <v>3216</v>
      </c>
      <c r="E1214" t="s">
        <v>3225</v>
      </c>
      <c r="F1214" t="s">
        <v>3226</v>
      </c>
      <c r="G1214" s="4">
        <v>70073.179999999993</v>
      </c>
      <c r="H1214" s="4">
        <v>50216.21</v>
      </c>
      <c r="I1214" s="3" t="s">
        <v>3734</v>
      </c>
      <c r="J1214">
        <v>4</v>
      </c>
      <c r="K1214" s="4">
        <f>Table3[[#This Row],[Sales]]-Table3[[#This Row],[Cost]]</f>
        <v>19856.969999999994</v>
      </c>
      <c r="L1214" s="6">
        <f>Table3[[#This Row],[Profit]]/Table3[[#This Row],[Sales]]</f>
        <v>0.28337475193790257</v>
      </c>
    </row>
    <row r="1215" spans="1:12" x14ac:dyDescent="0.25">
      <c r="A1215" t="s">
        <v>1196</v>
      </c>
      <c r="B1215" s="2">
        <v>45102</v>
      </c>
      <c r="C1215" s="2" t="str">
        <f>TEXT(Table3[[#This Row],[Order Date]],"mmmm")</f>
        <v>June</v>
      </c>
      <c r="D1215" t="s">
        <v>3730</v>
      </c>
      <c r="E1215" t="s">
        <v>3225</v>
      </c>
      <c r="F1215" t="s">
        <v>3226</v>
      </c>
      <c r="G1215" s="4">
        <v>68569.119999999995</v>
      </c>
      <c r="H1215" s="4">
        <v>49015.75</v>
      </c>
      <c r="I1215" s="3" t="s">
        <v>3734</v>
      </c>
      <c r="J1215">
        <v>4</v>
      </c>
      <c r="K1215" s="4">
        <f>Table3[[#This Row],[Sales]]-Table3[[#This Row],[Cost]]</f>
        <v>19553.369999999995</v>
      </c>
      <c r="L1215" s="6">
        <f>Table3[[#This Row],[Profit]]/Table3[[#This Row],[Sales]]</f>
        <v>0.28516291298473712</v>
      </c>
    </row>
    <row r="1216" spans="1:12" x14ac:dyDescent="0.25">
      <c r="A1216" t="s">
        <v>1197</v>
      </c>
      <c r="B1216" s="2">
        <v>44972</v>
      </c>
      <c r="C1216" s="2" t="str">
        <f>TEXT(Table3[[#This Row],[Order Date]],"mmmm")</f>
        <v>February</v>
      </c>
      <c r="D1216" t="s">
        <v>3730</v>
      </c>
      <c r="E1216" t="s">
        <v>3224</v>
      </c>
      <c r="F1216" t="s">
        <v>3226</v>
      </c>
      <c r="G1216" s="4">
        <v>271810.96999999997</v>
      </c>
      <c r="H1216" s="4">
        <v>223344</v>
      </c>
      <c r="I1216" s="3" t="s">
        <v>3734</v>
      </c>
      <c r="J1216">
        <v>5</v>
      </c>
      <c r="K1216" s="4">
        <f>Table3[[#This Row],[Sales]]-Table3[[#This Row],[Cost]]</f>
        <v>48466.969999999972</v>
      </c>
      <c r="L1216" s="6">
        <f>Table3[[#This Row],[Profit]]/Table3[[#This Row],[Sales]]</f>
        <v>0.17831130951042917</v>
      </c>
    </row>
    <row r="1217" spans="1:12" x14ac:dyDescent="0.25">
      <c r="A1217" t="s">
        <v>11</v>
      </c>
      <c r="B1217" s="2">
        <v>45102</v>
      </c>
      <c r="C1217" s="2" t="str">
        <f>TEXT(Table3[[#This Row],[Order Date]],"mmmm")</f>
        <v>June</v>
      </c>
      <c r="D1217" t="s">
        <v>3730</v>
      </c>
      <c r="E1217" t="s">
        <v>3223</v>
      </c>
      <c r="F1217" t="s">
        <v>3226</v>
      </c>
      <c r="G1217" s="4">
        <v>51245.65</v>
      </c>
      <c r="H1217" s="4">
        <v>31955.86</v>
      </c>
      <c r="I1217" s="3" t="s">
        <v>3734</v>
      </c>
      <c r="J1217">
        <v>5</v>
      </c>
      <c r="K1217" s="4">
        <f>Table3[[#This Row],[Sales]]-Table3[[#This Row],[Cost]]</f>
        <v>19289.79</v>
      </c>
      <c r="L1217" s="6">
        <f>Table3[[#This Row],[Profit]]/Table3[[#This Row],[Sales]]</f>
        <v>0.37641809597497544</v>
      </c>
    </row>
    <row r="1218" spans="1:12" x14ac:dyDescent="0.25">
      <c r="A1218" t="s">
        <v>1198</v>
      </c>
      <c r="B1218" s="2">
        <v>44972</v>
      </c>
      <c r="C1218" s="2" t="str">
        <f>TEXT(Table3[[#This Row],[Order Date]],"mmmm")</f>
        <v>February</v>
      </c>
      <c r="D1218" t="s">
        <v>3216</v>
      </c>
      <c r="E1218" t="s">
        <v>3223</v>
      </c>
      <c r="F1218" t="s">
        <v>3226</v>
      </c>
      <c r="G1218" s="4">
        <v>20088.07</v>
      </c>
      <c r="H1218" s="4">
        <v>12437.86</v>
      </c>
      <c r="I1218" s="3" t="s">
        <v>3734</v>
      </c>
      <c r="J1218">
        <v>2</v>
      </c>
      <c r="K1218" s="4">
        <f>Table3[[#This Row],[Sales]]-Table3[[#This Row],[Cost]]</f>
        <v>7650.2099999999991</v>
      </c>
      <c r="L1218" s="6">
        <f>Table3[[#This Row],[Profit]]/Table3[[#This Row],[Sales]]</f>
        <v>0.38083349968414087</v>
      </c>
    </row>
    <row r="1219" spans="1:12" x14ac:dyDescent="0.25">
      <c r="A1219" t="s">
        <v>3449</v>
      </c>
      <c r="B1219" s="2">
        <v>44972</v>
      </c>
      <c r="C1219" s="2" t="str">
        <f>TEXT(Table3[[#This Row],[Order Date]],"mmmm")</f>
        <v>February</v>
      </c>
      <c r="D1219" t="s">
        <v>3220</v>
      </c>
      <c r="E1219" t="s">
        <v>3225</v>
      </c>
      <c r="F1219" t="s">
        <v>3226</v>
      </c>
      <c r="G1219" s="4">
        <v>89015.11</v>
      </c>
      <c r="H1219" s="4">
        <v>47815.81</v>
      </c>
      <c r="I1219" s="3" t="s">
        <v>3734</v>
      </c>
      <c r="J1219">
        <v>4</v>
      </c>
      <c r="K1219" s="4">
        <f>Table3[[#This Row],[Sales]]-Table3[[#This Row],[Cost]]</f>
        <v>41199.300000000003</v>
      </c>
      <c r="L1219" s="6">
        <f>Table3[[#This Row],[Profit]]/Table3[[#This Row],[Sales]]</f>
        <v>0.46283490522002391</v>
      </c>
    </row>
    <row r="1220" spans="1:12" x14ac:dyDescent="0.25">
      <c r="A1220" t="s">
        <v>1200</v>
      </c>
      <c r="B1220" s="2">
        <v>44941</v>
      </c>
      <c r="C1220" s="2" t="str">
        <f>TEXT(Table3[[#This Row],[Order Date]],"mmmm")</f>
        <v>January</v>
      </c>
      <c r="D1220" t="s">
        <v>3731</v>
      </c>
      <c r="E1220" t="s">
        <v>3222</v>
      </c>
      <c r="F1220" t="s">
        <v>3226</v>
      </c>
      <c r="G1220" s="4">
        <v>65166.55</v>
      </c>
      <c r="H1220" s="4">
        <v>52027.88</v>
      </c>
      <c r="I1220" s="3" t="s">
        <v>3734</v>
      </c>
      <c r="J1220">
        <v>5</v>
      </c>
      <c r="K1220" s="4">
        <f>Table3[[#This Row],[Sales]]-Table3[[#This Row],[Cost]]</f>
        <v>13138.670000000006</v>
      </c>
      <c r="L1220" s="6">
        <f>Table3[[#This Row],[Profit]]/Table3[[#This Row],[Sales]]</f>
        <v>0.20161678038809797</v>
      </c>
    </row>
    <row r="1221" spans="1:12" x14ac:dyDescent="0.25">
      <c r="A1221" t="s">
        <v>1201</v>
      </c>
      <c r="B1221" s="2">
        <v>44972</v>
      </c>
      <c r="C1221" s="2" t="str">
        <f>TEXT(Table3[[#This Row],[Order Date]],"mmmm")</f>
        <v>February</v>
      </c>
      <c r="D1221" t="s">
        <v>3220</v>
      </c>
      <c r="E1221" t="s">
        <v>3222</v>
      </c>
      <c r="F1221" t="s">
        <v>3226</v>
      </c>
      <c r="G1221" s="4">
        <v>66160.600000000006</v>
      </c>
      <c r="H1221" s="4">
        <v>38539.33</v>
      </c>
      <c r="I1221" s="3" t="s">
        <v>3734</v>
      </c>
      <c r="J1221">
        <v>4</v>
      </c>
      <c r="K1221" s="4">
        <f>Table3[[#This Row],[Sales]]-Table3[[#This Row],[Cost]]</f>
        <v>27621.270000000004</v>
      </c>
      <c r="L1221" s="6">
        <f>Table3[[#This Row],[Profit]]/Table3[[#This Row],[Sales]]</f>
        <v>0.41748820294858274</v>
      </c>
    </row>
    <row r="1222" spans="1:12" x14ac:dyDescent="0.25">
      <c r="A1222" t="s">
        <v>1202</v>
      </c>
      <c r="B1222" s="2">
        <v>44972</v>
      </c>
      <c r="C1222" s="2" t="str">
        <f>TEXT(Table3[[#This Row],[Order Date]],"mmmm")</f>
        <v>February</v>
      </c>
      <c r="D1222" t="s">
        <v>3731</v>
      </c>
      <c r="E1222" t="s">
        <v>3225</v>
      </c>
      <c r="F1222" t="s">
        <v>3226</v>
      </c>
      <c r="G1222" s="4">
        <v>33036.36</v>
      </c>
      <c r="H1222" s="4">
        <v>28971.79</v>
      </c>
      <c r="I1222" s="3" t="s">
        <v>3734</v>
      </c>
      <c r="J1222">
        <v>2</v>
      </c>
      <c r="K1222" s="4">
        <f>Table3[[#This Row],[Sales]]-Table3[[#This Row],[Cost]]</f>
        <v>4064.5699999999997</v>
      </c>
      <c r="L1222" s="6">
        <f>Table3[[#This Row],[Profit]]/Table3[[#This Row],[Sales]]</f>
        <v>0.12303322763161557</v>
      </c>
    </row>
    <row r="1223" spans="1:12" x14ac:dyDescent="0.25">
      <c r="A1223" t="s">
        <v>1203</v>
      </c>
      <c r="B1223" s="2">
        <v>45021</v>
      </c>
      <c r="C1223" s="2" t="str">
        <f>TEXT(Table3[[#This Row],[Order Date]],"mmmm")</f>
        <v>April</v>
      </c>
      <c r="D1223" t="s">
        <v>3216</v>
      </c>
      <c r="E1223" t="s">
        <v>3223</v>
      </c>
      <c r="F1223" t="s">
        <v>3226</v>
      </c>
      <c r="G1223" s="4">
        <v>43195.3</v>
      </c>
      <c r="H1223" s="4">
        <v>24457.75</v>
      </c>
      <c r="I1223" s="3" t="s">
        <v>3734</v>
      </c>
      <c r="J1223">
        <v>4</v>
      </c>
      <c r="K1223" s="4">
        <f>Table3[[#This Row],[Sales]]-Table3[[#This Row],[Cost]]</f>
        <v>18737.550000000003</v>
      </c>
      <c r="L1223" s="6">
        <f>Table3[[#This Row],[Profit]]/Table3[[#This Row],[Sales]]</f>
        <v>0.43378677772813251</v>
      </c>
    </row>
    <row r="1224" spans="1:12" x14ac:dyDescent="0.25">
      <c r="A1224" t="s">
        <v>1204</v>
      </c>
      <c r="B1224" s="2">
        <v>45102</v>
      </c>
      <c r="C1224" s="2" t="str">
        <f>TEXT(Table3[[#This Row],[Order Date]],"mmmm")</f>
        <v>June</v>
      </c>
      <c r="D1224" t="s">
        <v>3220</v>
      </c>
      <c r="E1224" t="s">
        <v>3222</v>
      </c>
      <c r="F1224" t="s">
        <v>3226</v>
      </c>
      <c r="G1224" s="4">
        <v>41598.19</v>
      </c>
      <c r="H1224" s="4">
        <v>27795.439999999999</v>
      </c>
      <c r="I1224" s="3" t="s">
        <v>3734</v>
      </c>
      <c r="J1224">
        <v>3</v>
      </c>
      <c r="K1224" s="4">
        <f>Table3[[#This Row],[Sales]]-Table3[[#This Row],[Cost]]</f>
        <v>13802.750000000004</v>
      </c>
      <c r="L1224" s="6">
        <f>Table3[[#This Row],[Profit]]/Table3[[#This Row],[Sales]]</f>
        <v>0.33181131198256469</v>
      </c>
    </row>
    <row r="1225" spans="1:12" x14ac:dyDescent="0.25">
      <c r="A1225" t="s">
        <v>3450</v>
      </c>
      <c r="B1225" s="2">
        <v>45021</v>
      </c>
      <c r="C1225" s="2" t="str">
        <f>TEXT(Table3[[#This Row],[Order Date]],"mmmm")</f>
        <v>April</v>
      </c>
      <c r="D1225" t="s">
        <v>3220</v>
      </c>
      <c r="E1225" t="s">
        <v>3224</v>
      </c>
      <c r="F1225" t="s">
        <v>3226</v>
      </c>
      <c r="G1225" s="4">
        <v>173032.6</v>
      </c>
      <c r="H1225" s="4">
        <v>127375.23</v>
      </c>
      <c r="I1225" s="3" t="s">
        <v>3734</v>
      </c>
      <c r="J1225">
        <v>3</v>
      </c>
      <c r="K1225" s="4">
        <f>Table3[[#This Row],[Sales]]-Table3[[#This Row],[Cost]]</f>
        <v>45657.37000000001</v>
      </c>
      <c r="L1225" s="6">
        <f>Table3[[#This Row],[Profit]]/Table3[[#This Row],[Sales]]</f>
        <v>0.2638657108544864</v>
      </c>
    </row>
    <row r="1226" spans="1:12" x14ac:dyDescent="0.25">
      <c r="A1226" t="s">
        <v>1207</v>
      </c>
      <c r="B1226" s="2">
        <v>45102</v>
      </c>
      <c r="C1226" s="2" t="str">
        <f>TEXT(Table3[[#This Row],[Order Date]],"mmmm")</f>
        <v>June</v>
      </c>
      <c r="D1226" t="s">
        <v>3216</v>
      </c>
      <c r="E1226" t="s">
        <v>3222</v>
      </c>
      <c r="F1226" t="s">
        <v>3226</v>
      </c>
      <c r="G1226" s="4">
        <v>13151.33</v>
      </c>
      <c r="H1226" s="4">
        <v>10521.064</v>
      </c>
      <c r="I1226" s="3" t="s">
        <v>3735</v>
      </c>
      <c r="J1226">
        <v>1</v>
      </c>
      <c r="K1226" s="4">
        <f>Table3[[#This Row],[Sales]]-Table3[[#This Row],[Cost]]</f>
        <v>2630.2659999999996</v>
      </c>
      <c r="L1226" s="6">
        <f>Table3[[#This Row],[Profit]]/Table3[[#This Row],[Sales]]</f>
        <v>0.19999999999999998</v>
      </c>
    </row>
    <row r="1227" spans="1:12" x14ac:dyDescent="0.25">
      <c r="A1227" t="s">
        <v>1208</v>
      </c>
      <c r="B1227" s="2">
        <v>45102</v>
      </c>
      <c r="C1227" s="2" t="str">
        <f>TEXT(Table3[[#This Row],[Order Date]],"mmmm")</f>
        <v>June</v>
      </c>
      <c r="D1227" t="s">
        <v>3220</v>
      </c>
      <c r="E1227" t="s">
        <v>3223</v>
      </c>
      <c r="F1227" t="s">
        <v>3226</v>
      </c>
      <c r="G1227" s="4">
        <v>41573.67</v>
      </c>
      <c r="H1227" s="4">
        <v>33478.83</v>
      </c>
      <c r="I1227" s="3" t="s">
        <v>3734</v>
      </c>
      <c r="J1227">
        <v>5</v>
      </c>
      <c r="K1227" s="4">
        <f>Table3[[#This Row],[Sales]]-Table3[[#This Row],[Cost]]</f>
        <v>8094.8399999999965</v>
      </c>
      <c r="L1227" s="6">
        <f>Table3[[#This Row],[Profit]]/Table3[[#This Row],[Sales]]</f>
        <v>0.19471073879212483</v>
      </c>
    </row>
    <row r="1228" spans="1:12" x14ac:dyDescent="0.25">
      <c r="A1228" t="s">
        <v>1209</v>
      </c>
      <c r="B1228" s="2">
        <v>45005</v>
      </c>
      <c r="C1228" s="2" t="str">
        <f>TEXT(Table3[[#This Row],[Order Date]],"mmmm")</f>
        <v>March</v>
      </c>
      <c r="D1228" t="s">
        <v>3730</v>
      </c>
      <c r="E1228" t="s">
        <v>3224</v>
      </c>
      <c r="F1228" t="s">
        <v>3226</v>
      </c>
      <c r="G1228" s="4">
        <v>262421.59999999998</v>
      </c>
      <c r="H1228" s="4">
        <v>171796.6</v>
      </c>
      <c r="I1228" s="3" t="s">
        <v>3734</v>
      </c>
      <c r="J1228">
        <v>4</v>
      </c>
      <c r="K1228" s="4">
        <f>Table3[[#This Row],[Sales]]-Table3[[#This Row],[Cost]]</f>
        <v>90624.999999999971</v>
      </c>
      <c r="L1228" s="6">
        <f>Table3[[#This Row],[Profit]]/Table3[[#This Row],[Sales]]</f>
        <v>0.34534123715425857</v>
      </c>
    </row>
    <row r="1229" spans="1:12" x14ac:dyDescent="0.25">
      <c r="A1229" t="s">
        <v>1210</v>
      </c>
      <c r="B1229" s="2" t="s">
        <v>3729</v>
      </c>
      <c r="C1229" s="2" t="str">
        <f>TEXT(Table3[[#This Row],[Order Date]],"mmmm")</f>
        <v>Not Mentioned</v>
      </c>
      <c r="D1229" t="s">
        <v>3730</v>
      </c>
      <c r="E1229" t="s">
        <v>3224</v>
      </c>
      <c r="F1229" t="s">
        <v>3226</v>
      </c>
      <c r="G1229" s="4">
        <v>345758.99</v>
      </c>
      <c r="H1229" s="4">
        <v>224213.42</v>
      </c>
      <c r="I1229" s="3" t="s">
        <v>3734</v>
      </c>
      <c r="J1229">
        <v>5</v>
      </c>
      <c r="K1229" s="4">
        <f>Table3[[#This Row],[Sales]]-Table3[[#This Row],[Cost]]</f>
        <v>121545.56999999998</v>
      </c>
      <c r="L1229" s="6">
        <f>Table3[[#This Row],[Profit]]/Table3[[#This Row],[Sales]]</f>
        <v>0.35153263838490501</v>
      </c>
    </row>
    <row r="1230" spans="1:12" x14ac:dyDescent="0.25">
      <c r="A1230" t="s">
        <v>1211</v>
      </c>
      <c r="B1230" s="2">
        <v>44941</v>
      </c>
      <c r="C1230" s="2" t="str">
        <f>TEXT(Table3[[#This Row],[Order Date]],"mmmm")</f>
        <v>January</v>
      </c>
      <c r="D1230" t="s">
        <v>3731</v>
      </c>
      <c r="E1230" t="s">
        <v>3225</v>
      </c>
      <c r="F1230" t="s">
        <v>3226</v>
      </c>
      <c r="G1230" s="4">
        <v>116024.67</v>
      </c>
      <c r="H1230" s="4">
        <v>61790.11</v>
      </c>
      <c r="I1230" s="3" t="s">
        <v>3734</v>
      </c>
      <c r="J1230">
        <v>5</v>
      </c>
      <c r="K1230" s="4">
        <f>Table3[[#This Row],[Sales]]-Table3[[#This Row],[Cost]]</f>
        <v>54234.559999999998</v>
      </c>
      <c r="L1230" s="6">
        <f>Table3[[#This Row],[Profit]]/Table3[[#This Row],[Sales]]</f>
        <v>0.46743989877325226</v>
      </c>
    </row>
    <row r="1231" spans="1:12" x14ac:dyDescent="0.25">
      <c r="A1231" t="s">
        <v>1212</v>
      </c>
      <c r="B1231" s="2">
        <v>45005</v>
      </c>
      <c r="C1231" s="2" t="str">
        <f>TEXT(Table3[[#This Row],[Order Date]],"mmmm")</f>
        <v>March</v>
      </c>
      <c r="D1231" t="s">
        <v>3731</v>
      </c>
      <c r="E1231" t="s">
        <v>3224</v>
      </c>
      <c r="F1231" t="s">
        <v>3226</v>
      </c>
      <c r="G1231" s="4">
        <v>304996.98</v>
      </c>
      <c r="H1231" s="4">
        <v>213066.29</v>
      </c>
      <c r="I1231" s="3" t="s">
        <v>3734</v>
      </c>
      <c r="J1231">
        <v>5</v>
      </c>
      <c r="K1231" s="4">
        <f>Table3[[#This Row],[Sales]]-Table3[[#This Row],[Cost]]</f>
        <v>91930.689999999973</v>
      </c>
      <c r="L1231" s="6">
        <f>Table3[[#This Row],[Profit]]/Table3[[#This Row],[Sales]]</f>
        <v>0.30141508286409913</v>
      </c>
    </row>
    <row r="1232" spans="1:12" x14ac:dyDescent="0.25">
      <c r="A1232" t="s">
        <v>1213</v>
      </c>
      <c r="B1232" s="2">
        <v>44972</v>
      </c>
      <c r="C1232" s="2" t="str">
        <f>TEXT(Table3[[#This Row],[Order Date]],"mmmm")</f>
        <v>February</v>
      </c>
      <c r="D1232" t="s">
        <v>3730</v>
      </c>
      <c r="E1232" t="s">
        <v>3223</v>
      </c>
      <c r="F1232" t="s">
        <v>3226</v>
      </c>
      <c r="G1232" s="4">
        <v>44170.55</v>
      </c>
      <c r="H1232" s="4">
        <v>36444.31</v>
      </c>
      <c r="I1232" s="3" t="s">
        <v>3734</v>
      </c>
      <c r="J1232">
        <v>5</v>
      </c>
      <c r="K1232" s="4">
        <f>Table3[[#This Row],[Sales]]-Table3[[#This Row],[Cost]]</f>
        <v>7726.2400000000052</v>
      </c>
      <c r="L1232" s="6">
        <f>Table3[[#This Row],[Profit]]/Table3[[#This Row],[Sales]]</f>
        <v>0.17491835623509339</v>
      </c>
    </row>
    <row r="1233" spans="1:12" x14ac:dyDescent="0.25">
      <c r="A1233" t="s">
        <v>1214</v>
      </c>
      <c r="B1233" s="2">
        <v>45005</v>
      </c>
      <c r="C1233" s="2" t="str">
        <f>TEXT(Table3[[#This Row],[Order Date]],"mmmm")</f>
        <v>March</v>
      </c>
      <c r="D1233" t="s">
        <v>3220</v>
      </c>
      <c r="E1233" t="s">
        <v>3225</v>
      </c>
      <c r="F1233" t="s">
        <v>3226</v>
      </c>
      <c r="G1233" s="4">
        <v>32503.32</v>
      </c>
      <c r="H1233" s="4">
        <v>28668.33</v>
      </c>
      <c r="I1233" s="3" t="s">
        <v>3734</v>
      </c>
      <c r="J1233">
        <v>2</v>
      </c>
      <c r="K1233" s="4">
        <f>Table3[[#This Row],[Sales]]-Table3[[#This Row],[Cost]]</f>
        <v>3834.989999999998</v>
      </c>
      <c r="L1233" s="6">
        <f>Table3[[#This Row],[Profit]]/Table3[[#This Row],[Sales]]</f>
        <v>0.11798763941652723</v>
      </c>
    </row>
    <row r="1234" spans="1:12" x14ac:dyDescent="0.25">
      <c r="A1234" t="s">
        <v>1215</v>
      </c>
      <c r="B1234" s="2">
        <v>45005</v>
      </c>
      <c r="C1234" s="2" t="str">
        <f>TEXT(Table3[[#This Row],[Order Date]],"mmmm")</f>
        <v>March</v>
      </c>
      <c r="D1234" t="s">
        <v>3731</v>
      </c>
      <c r="E1234" t="s">
        <v>3223</v>
      </c>
      <c r="F1234" t="s">
        <v>3226</v>
      </c>
      <c r="G1234" s="4">
        <v>34024.9</v>
      </c>
      <c r="H1234" s="4">
        <v>26499.34</v>
      </c>
      <c r="I1234" s="3" t="s">
        <v>3734</v>
      </c>
      <c r="J1234">
        <v>4</v>
      </c>
      <c r="K1234" s="4">
        <f>Table3[[#This Row],[Sales]]-Table3[[#This Row],[Cost]]</f>
        <v>7525.5600000000013</v>
      </c>
      <c r="L1234" s="6">
        <f>Table3[[#This Row],[Profit]]/Table3[[#This Row],[Sales]]</f>
        <v>0.22117801962680275</v>
      </c>
    </row>
    <row r="1235" spans="1:12" x14ac:dyDescent="0.25">
      <c r="A1235" t="s">
        <v>1216</v>
      </c>
      <c r="B1235" s="2" t="s">
        <v>3729</v>
      </c>
      <c r="C1235" s="2" t="str">
        <f>TEXT(Table3[[#This Row],[Order Date]],"mmmm")</f>
        <v>Not Mentioned</v>
      </c>
      <c r="D1235" t="s">
        <v>3730</v>
      </c>
      <c r="E1235" t="s">
        <v>3223</v>
      </c>
      <c r="F1235" t="s">
        <v>3226</v>
      </c>
      <c r="G1235" s="4">
        <v>10824.49</v>
      </c>
      <c r="H1235" s="4">
        <v>7676.14</v>
      </c>
      <c r="I1235" s="3" t="s">
        <v>3734</v>
      </c>
      <c r="J1235">
        <v>1</v>
      </c>
      <c r="K1235" s="4">
        <f>Table3[[#This Row],[Sales]]-Table3[[#This Row],[Cost]]</f>
        <v>3148.3499999999995</v>
      </c>
      <c r="L1235" s="6">
        <f>Table3[[#This Row],[Profit]]/Table3[[#This Row],[Sales]]</f>
        <v>0.29085434971994056</v>
      </c>
    </row>
    <row r="1236" spans="1:12" x14ac:dyDescent="0.25">
      <c r="A1236" t="s">
        <v>1218</v>
      </c>
      <c r="B1236" s="2">
        <v>44941</v>
      </c>
      <c r="C1236" s="2" t="str">
        <f>TEXT(Table3[[#This Row],[Order Date]],"mmmm")</f>
        <v>January</v>
      </c>
      <c r="D1236" t="s">
        <v>3730</v>
      </c>
      <c r="E1236" t="s">
        <v>3223</v>
      </c>
      <c r="F1236" t="s">
        <v>3226</v>
      </c>
      <c r="G1236" s="4">
        <v>45569.65</v>
      </c>
      <c r="H1236" s="4">
        <v>30586.93</v>
      </c>
      <c r="I1236" s="3" t="s">
        <v>3734</v>
      </c>
      <c r="J1236">
        <v>5</v>
      </c>
      <c r="K1236" s="4">
        <f>Table3[[#This Row],[Sales]]-Table3[[#This Row],[Cost]]</f>
        <v>14982.720000000001</v>
      </c>
      <c r="L1236" s="6">
        <f>Table3[[#This Row],[Profit]]/Table3[[#This Row],[Sales]]</f>
        <v>0.32878725204165493</v>
      </c>
    </row>
    <row r="1237" spans="1:12" x14ac:dyDescent="0.25">
      <c r="A1237" t="s">
        <v>1219</v>
      </c>
      <c r="B1237" s="2">
        <v>44972</v>
      </c>
      <c r="C1237" s="2" t="str">
        <f>TEXT(Table3[[#This Row],[Order Date]],"mmmm")</f>
        <v>February</v>
      </c>
      <c r="D1237" t="s">
        <v>3216</v>
      </c>
      <c r="E1237" t="s">
        <v>3225</v>
      </c>
      <c r="F1237" t="s">
        <v>3226</v>
      </c>
      <c r="G1237" s="4">
        <v>36365.160000000003</v>
      </c>
      <c r="H1237" s="4">
        <v>29092.128000000004</v>
      </c>
      <c r="I1237" s="3" t="s">
        <v>3735</v>
      </c>
      <c r="J1237">
        <v>2</v>
      </c>
      <c r="K1237" s="4">
        <f>Table3[[#This Row],[Sales]]-Table3[[#This Row],[Cost]]</f>
        <v>7273.0319999999992</v>
      </c>
      <c r="L1237" s="6">
        <f>Table3[[#This Row],[Profit]]/Table3[[#This Row],[Sales]]</f>
        <v>0.19999999999999996</v>
      </c>
    </row>
    <row r="1238" spans="1:12" x14ac:dyDescent="0.25">
      <c r="A1238" t="s">
        <v>1220</v>
      </c>
      <c r="B1238" s="2">
        <v>44972</v>
      </c>
      <c r="C1238" s="2" t="str">
        <f>TEXT(Table3[[#This Row],[Order Date]],"mmmm")</f>
        <v>February</v>
      </c>
      <c r="D1238" t="s">
        <v>3731</v>
      </c>
      <c r="E1238" t="s">
        <v>3224</v>
      </c>
      <c r="F1238" t="s">
        <v>3226</v>
      </c>
      <c r="G1238" s="4">
        <v>294606.2</v>
      </c>
      <c r="H1238" s="4">
        <v>207599.08</v>
      </c>
      <c r="I1238" s="3" t="s">
        <v>3734</v>
      </c>
      <c r="J1238" t="s">
        <v>3732</v>
      </c>
      <c r="K1238" s="4">
        <f>Table3[[#This Row],[Sales]]-Table3[[#This Row],[Cost]]</f>
        <v>87007.120000000024</v>
      </c>
      <c r="L1238" s="6">
        <f>Table3[[#This Row],[Profit]]/Table3[[#This Row],[Sales]]</f>
        <v>0.29533363520523337</v>
      </c>
    </row>
    <row r="1239" spans="1:12" x14ac:dyDescent="0.25">
      <c r="A1239" t="s">
        <v>1221</v>
      </c>
      <c r="B1239" s="2">
        <v>45102</v>
      </c>
      <c r="C1239" s="2" t="str">
        <f>TEXT(Table3[[#This Row],[Order Date]],"mmmm")</f>
        <v>June</v>
      </c>
      <c r="D1239" t="s">
        <v>3730</v>
      </c>
      <c r="E1239" t="s">
        <v>3222</v>
      </c>
      <c r="F1239" t="s">
        <v>3226</v>
      </c>
      <c r="G1239" s="4">
        <v>79650.740000000005</v>
      </c>
      <c r="H1239" s="4">
        <v>48073.120000000003</v>
      </c>
      <c r="I1239" s="3" t="s">
        <v>3734</v>
      </c>
      <c r="J1239">
        <v>5</v>
      </c>
      <c r="K1239" s="4">
        <f>Table3[[#This Row],[Sales]]-Table3[[#This Row],[Cost]]</f>
        <v>31577.620000000003</v>
      </c>
      <c r="L1239" s="6">
        <f>Table3[[#This Row],[Profit]]/Table3[[#This Row],[Sales]]</f>
        <v>0.39645105619859905</v>
      </c>
    </row>
    <row r="1240" spans="1:12" x14ac:dyDescent="0.25">
      <c r="A1240" t="s">
        <v>1222</v>
      </c>
      <c r="B1240" s="2">
        <v>45005</v>
      </c>
      <c r="C1240" s="2" t="str">
        <f>TEXT(Table3[[#This Row],[Order Date]],"mmmm")</f>
        <v>March</v>
      </c>
      <c r="D1240" t="s">
        <v>3730</v>
      </c>
      <c r="E1240" t="s">
        <v>3223</v>
      </c>
      <c r="F1240" t="s">
        <v>3226</v>
      </c>
      <c r="G1240" s="4">
        <v>8206.65</v>
      </c>
      <c r="H1240" s="4">
        <v>6539.62</v>
      </c>
      <c r="I1240" s="3" t="s">
        <v>3734</v>
      </c>
      <c r="J1240">
        <v>1</v>
      </c>
      <c r="K1240" s="4">
        <f>Table3[[#This Row],[Sales]]-Table3[[#This Row],[Cost]]</f>
        <v>1667.0299999999997</v>
      </c>
      <c r="L1240" s="6">
        <f>Table3[[#This Row],[Profit]]/Table3[[#This Row],[Sales]]</f>
        <v>0.20313160668482266</v>
      </c>
    </row>
    <row r="1241" spans="1:12" x14ac:dyDescent="0.25">
      <c r="A1241" t="s">
        <v>1223</v>
      </c>
      <c r="B1241" s="2">
        <v>45021</v>
      </c>
      <c r="C1241" s="2" t="str">
        <f>TEXT(Table3[[#This Row],[Order Date]],"mmmm")</f>
        <v>April</v>
      </c>
      <c r="D1241" t="s">
        <v>3220</v>
      </c>
      <c r="E1241" t="s">
        <v>3225</v>
      </c>
      <c r="F1241" t="s">
        <v>3226</v>
      </c>
      <c r="G1241" s="4">
        <v>23371.18</v>
      </c>
      <c r="H1241" s="4">
        <v>14138.66</v>
      </c>
      <c r="I1241" s="3" t="s">
        <v>3734</v>
      </c>
      <c r="J1241">
        <v>1</v>
      </c>
      <c r="K1241" s="4">
        <f>Table3[[#This Row],[Sales]]-Table3[[#This Row],[Cost]]</f>
        <v>9232.52</v>
      </c>
      <c r="L1241" s="6">
        <f>Table3[[#This Row],[Profit]]/Table3[[#This Row],[Sales]]</f>
        <v>0.39503867583921737</v>
      </c>
    </row>
    <row r="1242" spans="1:12" x14ac:dyDescent="0.25">
      <c r="A1242" t="s">
        <v>1224</v>
      </c>
      <c r="B1242" s="2">
        <v>45005</v>
      </c>
      <c r="C1242" s="2" t="str">
        <f>TEXT(Table3[[#This Row],[Order Date]],"mmmm")</f>
        <v>March</v>
      </c>
      <c r="D1242" t="s">
        <v>3730</v>
      </c>
      <c r="E1242" t="s">
        <v>3224</v>
      </c>
      <c r="F1242" t="s">
        <v>3226</v>
      </c>
      <c r="G1242" s="4">
        <v>101683.28</v>
      </c>
      <c r="H1242" s="4">
        <v>82139.759999999995</v>
      </c>
      <c r="I1242" s="3" t="s">
        <v>3734</v>
      </c>
      <c r="J1242">
        <v>2</v>
      </c>
      <c r="K1242" s="4">
        <f>Table3[[#This Row],[Sales]]-Table3[[#This Row],[Cost]]</f>
        <v>19543.520000000004</v>
      </c>
      <c r="L1242" s="6">
        <f>Table3[[#This Row],[Profit]]/Table3[[#This Row],[Sales]]</f>
        <v>0.19219993690211415</v>
      </c>
    </row>
    <row r="1243" spans="1:12" x14ac:dyDescent="0.25">
      <c r="A1243" t="s">
        <v>3393</v>
      </c>
      <c r="B1243" s="2">
        <v>44972</v>
      </c>
      <c r="C1243" s="2" t="str">
        <f>TEXT(Table3[[#This Row],[Order Date]],"mmmm")</f>
        <v>February</v>
      </c>
      <c r="D1243" t="s">
        <v>3730</v>
      </c>
      <c r="E1243" t="s">
        <v>3223</v>
      </c>
      <c r="F1243" t="s">
        <v>3226</v>
      </c>
      <c r="G1243" s="4">
        <v>10886.52</v>
      </c>
      <c r="H1243" s="4">
        <v>6196.55</v>
      </c>
      <c r="I1243" s="3" t="s">
        <v>3734</v>
      </c>
      <c r="J1243">
        <v>1</v>
      </c>
      <c r="K1243" s="4">
        <f>Table3[[#This Row],[Sales]]-Table3[[#This Row],[Cost]]</f>
        <v>4689.97</v>
      </c>
      <c r="L1243" s="6">
        <f>Table3[[#This Row],[Profit]]/Table3[[#This Row],[Sales]]</f>
        <v>0.43080525273457448</v>
      </c>
    </row>
    <row r="1244" spans="1:12" x14ac:dyDescent="0.25">
      <c r="A1244" t="s">
        <v>3452</v>
      </c>
      <c r="B1244" s="2">
        <v>44941</v>
      </c>
      <c r="C1244" s="2" t="str">
        <f>TEXT(Table3[[#This Row],[Order Date]],"mmmm")</f>
        <v>January</v>
      </c>
      <c r="D1244" t="s">
        <v>3220</v>
      </c>
      <c r="E1244" t="s">
        <v>3225</v>
      </c>
      <c r="F1244" t="s">
        <v>3226</v>
      </c>
      <c r="G1244" s="4">
        <v>22227.94</v>
      </c>
      <c r="H1244" s="4">
        <v>12097.32</v>
      </c>
      <c r="I1244" s="3" t="s">
        <v>3734</v>
      </c>
      <c r="J1244">
        <v>1</v>
      </c>
      <c r="K1244" s="4">
        <f>Table3[[#This Row],[Sales]]-Table3[[#This Row],[Cost]]</f>
        <v>10130.619999999999</v>
      </c>
      <c r="L1244" s="6">
        <f>Table3[[#This Row],[Profit]]/Table3[[#This Row],[Sales]]</f>
        <v>0.45576063278918333</v>
      </c>
    </row>
    <row r="1245" spans="1:12" x14ac:dyDescent="0.25">
      <c r="A1245" t="s">
        <v>1226</v>
      </c>
      <c r="B1245" s="2">
        <v>44972</v>
      </c>
      <c r="C1245" s="2" t="str">
        <f>TEXT(Table3[[#This Row],[Order Date]],"mmmm")</f>
        <v>February</v>
      </c>
      <c r="D1245" t="s">
        <v>3220</v>
      </c>
      <c r="E1245" t="s">
        <v>3222</v>
      </c>
      <c r="F1245" t="s">
        <v>3226</v>
      </c>
      <c r="G1245" s="4">
        <v>49218.720000000001</v>
      </c>
      <c r="H1245" s="4">
        <v>26406.3</v>
      </c>
      <c r="I1245" s="3" t="s">
        <v>3734</v>
      </c>
      <c r="J1245">
        <v>3</v>
      </c>
      <c r="K1245" s="4">
        <f>Table3[[#This Row],[Sales]]-Table3[[#This Row],[Cost]]</f>
        <v>22812.420000000002</v>
      </c>
      <c r="L1245" s="6">
        <f>Table3[[#This Row],[Profit]]/Table3[[#This Row],[Sales]]</f>
        <v>0.46349072060386781</v>
      </c>
    </row>
    <row r="1246" spans="1:12" x14ac:dyDescent="0.25">
      <c r="A1246" t="s">
        <v>3453</v>
      </c>
      <c r="B1246" s="2" t="s">
        <v>3729</v>
      </c>
      <c r="C1246" s="2" t="str">
        <f>TEXT(Table3[[#This Row],[Order Date]],"mmmm")</f>
        <v>Not Mentioned</v>
      </c>
      <c r="D1246" t="s">
        <v>3730</v>
      </c>
      <c r="E1246" t="s">
        <v>3222</v>
      </c>
      <c r="F1246" t="s">
        <v>3226</v>
      </c>
      <c r="G1246" s="4">
        <v>29616.73</v>
      </c>
      <c r="H1246" s="4">
        <v>18165.25</v>
      </c>
      <c r="I1246" s="3" t="s">
        <v>3734</v>
      </c>
      <c r="J1246">
        <v>2</v>
      </c>
      <c r="K1246" s="4">
        <f>Table3[[#This Row],[Sales]]-Table3[[#This Row],[Cost]]</f>
        <v>11451.48</v>
      </c>
      <c r="L1246" s="6">
        <f>Table3[[#This Row],[Profit]]/Table3[[#This Row],[Sales]]</f>
        <v>0.386655785429384</v>
      </c>
    </row>
    <row r="1247" spans="1:12" x14ac:dyDescent="0.25">
      <c r="A1247" t="s">
        <v>1228</v>
      </c>
      <c r="B1247" s="2">
        <v>45021</v>
      </c>
      <c r="C1247" s="2" t="str">
        <f>TEXT(Table3[[#This Row],[Order Date]],"mmmm")</f>
        <v>April</v>
      </c>
      <c r="D1247" t="s">
        <v>3220</v>
      </c>
      <c r="E1247" t="s">
        <v>3225</v>
      </c>
      <c r="F1247" t="s">
        <v>3226</v>
      </c>
      <c r="G1247" s="4">
        <v>75900.67</v>
      </c>
      <c r="H1247" s="4">
        <v>47995.99</v>
      </c>
      <c r="I1247" s="3" t="s">
        <v>3734</v>
      </c>
      <c r="J1247">
        <v>4</v>
      </c>
      <c r="K1247" s="4">
        <f>Table3[[#This Row],[Sales]]-Table3[[#This Row],[Cost]]</f>
        <v>27904.68</v>
      </c>
      <c r="L1247" s="6">
        <f>Table3[[#This Row],[Profit]]/Table3[[#This Row],[Sales]]</f>
        <v>0.36764734751353317</v>
      </c>
    </row>
    <row r="1248" spans="1:12" x14ac:dyDescent="0.25">
      <c r="A1248" t="s">
        <v>1229</v>
      </c>
      <c r="B1248" s="2">
        <v>45005</v>
      </c>
      <c r="C1248" s="2" t="str">
        <f>TEXT(Table3[[#This Row],[Order Date]],"mmmm")</f>
        <v>March</v>
      </c>
      <c r="D1248" t="s">
        <v>3216</v>
      </c>
      <c r="E1248" t="s">
        <v>3225</v>
      </c>
      <c r="F1248" t="s">
        <v>3226</v>
      </c>
      <c r="G1248" s="4">
        <v>88533.86</v>
      </c>
      <c r="H1248" s="4">
        <v>65194.33</v>
      </c>
      <c r="I1248" s="3" t="s">
        <v>3734</v>
      </c>
      <c r="J1248">
        <v>5</v>
      </c>
      <c r="K1248" s="4">
        <f>Table3[[#This Row],[Sales]]-Table3[[#This Row],[Cost]]</f>
        <v>23339.53</v>
      </c>
      <c r="L1248" s="6">
        <f>Table3[[#This Row],[Profit]]/Table3[[#This Row],[Sales]]</f>
        <v>0.26362264110025246</v>
      </c>
    </row>
    <row r="1249" spans="1:12" x14ac:dyDescent="0.25">
      <c r="A1249" t="s">
        <v>397</v>
      </c>
      <c r="B1249" s="2">
        <v>45005</v>
      </c>
      <c r="C1249" s="2" t="str">
        <f>TEXT(Table3[[#This Row],[Order Date]],"mmmm")</f>
        <v>March</v>
      </c>
      <c r="D1249" t="s">
        <v>3730</v>
      </c>
      <c r="E1249" t="s">
        <v>3223</v>
      </c>
      <c r="F1249" t="s">
        <v>3226</v>
      </c>
      <c r="G1249" s="4">
        <v>9237.17</v>
      </c>
      <c r="H1249" s="4">
        <v>6232.78</v>
      </c>
      <c r="I1249" s="3" t="s">
        <v>3734</v>
      </c>
      <c r="J1249">
        <v>1</v>
      </c>
      <c r="K1249" s="4">
        <f>Table3[[#This Row],[Sales]]-Table3[[#This Row],[Cost]]</f>
        <v>3004.3900000000003</v>
      </c>
      <c r="L1249" s="6">
        <f>Table3[[#This Row],[Profit]]/Table3[[#This Row],[Sales]]</f>
        <v>0.32525004952815639</v>
      </c>
    </row>
    <row r="1250" spans="1:12" x14ac:dyDescent="0.25">
      <c r="A1250" t="s">
        <v>1230</v>
      </c>
      <c r="B1250" s="2">
        <v>45021</v>
      </c>
      <c r="C1250" s="2" t="str">
        <f>TEXT(Table3[[#This Row],[Order Date]],"mmmm")</f>
        <v>April</v>
      </c>
      <c r="D1250" t="s">
        <v>3730</v>
      </c>
      <c r="E1250" t="s">
        <v>3225</v>
      </c>
      <c r="F1250" t="s">
        <v>3226</v>
      </c>
      <c r="G1250" s="4">
        <v>34852.400000000001</v>
      </c>
      <c r="H1250" s="4">
        <v>30271.01</v>
      </c>
      <c r="I1250" s="3" t="s">
        <v>3734</v>
      </c>
      <c r="J1250">
        <v>2</v>
      </c>
      <c r="K1250" s="4">
        <f>Table3[[#This Row],[Sales]]-Table3[[#This Row],[Cost]]</f>
        <v>4581.3900000000031</v>
      </c>
      <c r="L1250" s="6">
        <f>Table3[[#This Row],[Profit]]/Table3[[#This Row],[Sales]]</f>
        <v>0.13145120565585161</v>
      </c>
    </row>
    <row r="1251" spans="1:12" x14ac:dyDescent="0.25">
      <c r="A1251" t="s">
        <v>1231</v>
      </c>
      <c r="B1251" s="2">
        <v>44941</v>
      </c>
      <c r="C1251" s="2" t="str">
        <f>TEXT(Table3[[#This Row],[Order Date]],"mmmm")</f>
        <v>January</v>
      </c>
      <c r="D1251" t="s">
        <v>3730</v>
      </c>
      <c r="E1251" t="s">
        <v>3224</v>
      </c>
      <c r="F1251" t="s">
        <v>3226</v>
      </c>
      <c r="G1251" s="4">
        <v>67176.25</v>
      </c>
      <c r="H1251" s="4">
        <v>38657.870000000003</v>
      </c>
      <c r="I1251" s="3" t="s">
        <v>3734</v>
      </c>
      <c r="J1251">
        <v>1</v>
      </c>
      <c r="K1251" s="4">
        <f>Table3[[#This Row],[Sales]]-Table3[[#This Row],[Cost]]</f>
        <v>28518.379999999997</v>
      </c>
      <c r="L1251" s="6">
        <f>Table3[[#This Row],[Profit]]/Table3[[#This Row],[Sales]]</f>
        <v>0.42453069351147166</v>
      </c>
    </row>
    <row r="1252" spans="1:12" x14ac:dyDescent="0.25">
      <c r="A1252" t="s">
        <v>1232</v>
      </c>
      <c r="B1252" s="2">
        <v>44972</v>
      </c>
      <c r="C1252" s="2" t="str">
        <f>TEXT(Table3[[#This Row],[Order Date]],"mmmm")</f>
        <v>February</v>
      </c>
      <c r="D1252" t="s">
        <v>3220</v>
      </c>
      <c r="E1252" t="s">
        <v>3222</v>
      </c>
      <c r="F1252" t="s">
        <v>3226</v>
      </c>
      <c r="G1252" s="4">
        <v>13653.05</v>
      </c>
      <c r="H1252" s="4">
        <v>9454.27</v>
      </c>
      <c r="I1252" s="3" t="s">
        <v>3734</v>
      </c>
      <c r="J1252">
        <v>1</v>
      </c>
      <c r="K1252" s="4">
        <f>Table3[[#This Row],[Sales]]-Table3[[#This Row],[Cost]]</f>
        <v>4198.7799999999988</v>
      </c>
      <c r="L1252" s="6">
        <f>Table3[[#This Row],[Profit]]/Table3[[#This Row],[Sales]]</f>
        <v>0.3075342139668425</v>
      </c>
    </row>
    <row r="1253" spans="1:12" x14ac:dyDescent="0.25">
      <c r="A1253" t="s">
        <v>1233</v>
      </c>
      <c r="B1253" s="2">
        <v>45102</v>
      </c>
      <c r="C1253" s="2" t="str">
        <f>TEXT(Table3[[#This Row],[Order Date]],"mmmm")</f>
        <v>June</v>
      </c>
      <c r="D1253" t="s">
        <v>3730</v>
      </c>
      <c r="E1253" t="s">
        <v>3222</v>
      </c>
      <c r="F1253" t="s">
        <v>3226</v>
      </c>
      <c r="G1253" s="4">
        <v>40267.39</v>
      </c>
      <c r="H1253" s="4">
        <v>27927.47</v>
      </c>
      <c r="I1253" s="3" t="s">
        <v>3734</v>
      </c>
      <c r="J1253">
        <v>3</v>
      </c>
      <c r="K1253" s="4">
        <f>Table3[[#This Row],[Sales]]-Table3[[#This Row],[Cost]]</f>
        <v>12339.919999999998</v>
      </c>
      <c r="L1253" s="6">
        <f>Table3[[#This Row],[Profit]]/Table3[[#This Row],[Sales]]</f>
        <v>0.30644946195916839</v>
      </c>
    </row>
    <row r="1254" spans="1:12" x14ac:dyDescent="0.25">
      <c r="A1254" t="s">
        <v>1234</v>
      </c>
      <c r="B1254" s="2">
        <v>44941</v>
      </c>
      <c r="C1254" s="2" t="str">
        <f>TEXT(Table3[[#This Row],[Order Date]],"mmmm")</f>
        <v>January</v>
      </c>
      <c r="D1254" t="s">
        <v>3220</v>
      </c>
      <c r="E1254" t="s">
        <v>3222</v>
      </c>
      <c r="F1254" t="s">
        <v>3226</v>
      </c>
      <c r="G1254" s="4">
        <v>52286.59</v>
      </c>
      <c r="H1254" s="4">
        <v>43824.24</v>
      </c>
      <c r="I1254" s="3" t="s">
        <v>3734</v>
      </c>
      <c r="J1254">
        <v>4</v>
      </c>
      <c r="K1254" s="4">
        <f>Table3[[#This Row],[Sales]]-Table3[[#This Row],[Cost]]</f>
        <v>8462.3499999999985</v>
      </c>
      <c r="L1254" s="6">
        <f>Table3[[#This Row],[Profit]]/Table3[[#This Row],[Sales]]</f>
        <v>0.16184551335246761</v>
      </c>
    </row>
    <row r="1255" spans="1:12" x14ac:dyDescent="0.25">
      <c r="A1255" t="s">
        <v>38</v>
      </c>
      <c r="B1255" s="2">
        <v>44941</v>
      </c>
      <c r="C1255" s="2" t="str">
        <f>TEXT(Table3[[#This Row],[Order Date]],"mmmm")</f>
        <v>January</v>
      </c>
      <c r="D1255" t="s">
        <v>3731</v>
      </c>
      <c r="E1255" t="s">
        <v>3225</v>
      </c>
      <c r="F1255" t="s">
        <v>3226</v>
      </c>
      <c r="G1255" s="4">
        <v>96700.91</v>
      </c>
      <c r="H1255" s="4">
        <v>64760.34</v>
      </c>
      <c r="I1255" s="3" t="s">
        <v>3734</v>
      </c>
      <c r="J1255">
        <v>5</v>
      </c>
      <c r="K1255" s="4">
        <f>Table3[[#This Row],[Sales]]-Table3[[#This Row],[Cost]]</f>
        <v>31940.570000000007</v>
      </c>
      <c r="L1255" s="6">
        <f>Table3[[#This Row],[Profit]]/Table3[[#This Row],[Sales]]</f>
        <v>0.33030268277723557</v>
      </c>
    </row>
    <row r="1256" spans="1:12" x14ac:dyDescent="0.25">
      <c r="A1256" t="s">
        <v>1235</v>
      </c>
      <c r="B1256" s="2" t="s">
        <v>3729</v>
      </c>
      <c r="C1256" s="2" t="str">
        <f>TEXT(Table3[[#This Row],[Order Date]],"mmmm")</f>
        <v>Not Mentioned</v>
      </c>
      <c r="D1256" t="s">
        <v>3220</v>
      </c>
      <c r="E1256" t="s">
        <v>3224</v>
      </c>
      <c r="F1256" t="s">
        <v>3226</v>
      </c>
      <c r="G1256" s="4">
        <v>206365.13</v>
      </c>
      <c r="H1256" s="4">
        <v>173237.73</v>
      </c>
      <c r="I1256" s="3" t="s">
        <v>3734</v>
      </c>
      <c r="J1256">
        <v>4</v>
      </c>
      <c r="K1256" s="4">
        <f>Table3[[#This Row],[Sales]]-Table3[[#This Row],[Cost]]</f>
        <v>33127.399999999994</v>
      </c>
      <c r="L1256" s="6">
        <f>Table3[[#This Row],[Profit]]/Table3[[#This Row],[Sales]]</f>
        <v>0.16052808921739828</v>
      </c>
    </row>
    <row r="1257" spans="1:12" x14ac:dyDescent="0.25">
      <c r="A1257" t="s">
        <v>1236</v>
      </c>
      <c r="B1257" s="2">
        <v>44972</v>
      </c>
      <c r="C1257" s="2" t="str">
        <f>TEXT(Table3[[#This Row],[Order Date]],"mmmm")</f>
        <v>February</v>
      </c>
      <c r="D1257" t="s">
        <v>3220</v>
      </c>
      <c r="E1257" t="s">
        <v>3222</v>
      </c>
      <c r="F1257" t="s">
        <v>3226</v>
      </c>
      <c r="G1257" s="4">
        <v>51039.8</v>
      </c>
      <c r="H1257" s="4">
        <v>37464.51</v>
      </c>
      <c r="I1257" s="3" t="s">
        <v>3734</v>
      </c>
      <c r="J1257">
        <v>4</v>
      </c>
      <c r="K1257" s="4">
        <f>Table3[[#This Row],[Sales]]-Table3[[#This Row],[Cost]]</f>
        <v>13575.29</v>
      </c>
      <c r="L1257" s="6">
        <f>Table3[[#This Row],[Profit]]/Table3[[#This Row],[Sales]]</f>
        <v>0.26597459237692939</v>
      </c>
    </row>
    <row r="1258" spans="1:12" x14ac:dyDescent="0.25">
      <c r="A1258" t="s">
        <v>1237</v>
      </c>
      <c r="B1258" s="2">
        <v>45005</v>
      </c>
      <c r="C1258" s="2" t="str">
        <f>TEXT(Table3[[#This Row],[Order Date]],"mmmm")</f>
        <v>March</v>
      </c>
      <c r="D1258" t="s">
        <v>3220</v>
      </c>
      <c r="E1258" t="s">
        <v>3224</v>
      </c>
      <c r="F1258" t="s">
        <v>3226</v>
      </c>
      <c r="G1258" s="4">
        <v>302410.78999999998</v>
      </c>
      <c r="H1258" s="4">
        <v>213789.33</v>
      </c>
      <c r="I1258" s="3" t="s">
        <v>3734</v>
      </c>
      <c r="J1258">
        <v>5</v>
      </c>
      <c r="K1258" s="4">
        <f>Table3[[#This Row],[Sales]]-Table3[[#This Row],[Cost]]</f>
        <v>88621.459999999992</v>
      </c>
      <c r="L1258" s="6">
        <f>Table3[[#This Row],[Profit]]/Table3[[#This Row],[Sales]]</f>
        <v>0.29304992721985879</v>
      </c>
    </row>
    <row r="1259" spans="1:12" x14ac:dyDescent="0.25">
      <c r="A1259" t="s">
        <v>1238</v>
      </c>
      <c r="B1259" s="2">
        <v>44972</v>
      </c>
      <c r="C1259" s="2" t="str">
        <f>TEXT(Table3[[#This Row],[Order Date]],"mmmm")</f>
        <v>February</v>
      </c>
      <c r="D1259" t="s">
        <v>3730</v>
      </c>
      <c r="E1259" t="s">
        <v>3222</v>
      </c>
      <c r="F1259" t="s">
        <v>3226</v>
      </c>
      <c r="G1259" s="4">
        <v>15340.94</v>
      </c>
      <c r="H1259" s="4">
        <v>8928.23</v>
      </c>
      <c r="I1259" s="3" t="s">
        <v>3734</v>
      </c>
      <c r="J1259">
        <v>1</v>
      </c>
      <c r="K1259" s="4">
        <f>Table3[[#This Row],[Sales]]-Table3[[#This Row],[Cost]]</f>
        <v>6412.7100000000009</v>
      </c>
      <c r="L1259" s="6">
        <f>Table3[[#This Row],[Profit]]/Table3[[#This Row],[Sales]]</f>
        <v>0.41801284667041266</v>
      </c>
    </row>
    <row r="1260" spans="1:12" x14ac:dyDescent="0.25">
      <c r="A1260" t="s">
        <v>1239</v>
      </c>
      <c r="B1260" s="2">
        <v>44972</v>
      </c>
      <c r="C1260" s="2" t="str">
        <f>TEXT(Table3[[#This Row],[Order Date]],"mmmm")</f>
        <v>February</v>
      </c>
      <c r="D1260" t="s">
        <v>3220</v>
      </c>
      <c r="E1260" t="s">
        <v>3223</v>
      </c>
      <c r="F1260" t="s">
        <v>3226</v>
      </c>
      <c r="G1260" s="4">
        <v>40025.26</v>
      </c>
      <c r="H1260" s="4">
        <v>29866.26</v>
      </c>
      <c r="I1260" s="3" t="s">
        <v>3734</v>
      </c>
      <c r="J1260">
        <v>4</v>
      </c>
      <c r="K1260" s="4">
        <f>Table3[[#This Row],[Sales]]-Table3[[#This Row],[Cost]]</f>
        <v>10159.000000000004</v>
      </c>
      <c r="L1260" s="6">
        <f>Table3[[#This Row],[Profit]]/Table3[[#This Row],[Sales]]</f>
        <v>0.25381471600684175</v>
      </c>
    </row>
    <row r="1261" spans="1:12" x14ac:dyDescent="0.25">
      <c r="A1261" t="s">
        <v>1113</v>
      </c>
      <c r="B1261" s="2">
        <v>45021</v>
      </c>
      <c r="C1261" s="2" t="str">
        <f>TEXT(Table3[[#This Row],[Order Date]],"mmmm")</f>
        <v>April</v>
      </c>
      <c r="D1261" t="s">
        <v>3731</v>
      </c>
      <c r="E1261" t="s">
        <v>3222</v>
      </c>
      <c r="F1261" t="s">
        <v>3226</v>
      </c>
      <c r="G1261" s="4">
        <v>15959.55</v>
      </c>
      <c r="H1261" s="4">
        <v>9794.1200000000008</v>
      </c>
      <c r="I1261" s="3" t="s">
        <v>3734</v>
      </c>
      <c r="J1261">
        <v>1</v>
      </c>
      <c r="K1261" s="4">
        <f>Table3[[#This Row],[Sales]]-Table3[[#This Row],[Cost]]</f>
        <v>6165.4299999999985</v>
      </c>
      <c r="L1261" s="6">
        <f>Table3[[#This Row],[Profit]]/Table3[[#This Row],[Sales]]</f>
        <v>0.38631603021388439</v>
      </c>
    </row>
    <row r="1262" spans="1:12" x14ac:dyDescent="0.25">
      <c r="A1262" t="s">
        <v>1241</v>
      </c>
      <c r="B1262" s="2">
        <v>44972</v>
      </c>
      <c r="C1262" s="2" t="str">
        <f>TEXT(Table3[[#This Row],[Order Date]],"mmmm")</f>
        <v>February</v>
      </c>
      <c r="D1262" t="s">
        <v>3731</v>
      </c>
      <c r="E1262" t="s">
        <v>3224</v>
      </c>
      <c r="F1262" t="s">
        <v>3226</v>
      </c>
      <c r="G1262" s="4">
        <v>133742.85999999999</v>
      </c>
      <c r="H1262" s="4">
        <v>96527.37</v>
      </c>
      <c r="I1262" s="3" t="s">
        <v>3734</v>
      </c>
      <c r="J1262">
        <v>2</v>
      </c>
      <c r="K1262" s="4">
        <f>Table3[[#This Row],[Sales]]-Table3[[#This Row],[Cost]]</f>
        <v>37215.489999999991</v>
      </c>
      <c r="L1262" s="6">
        <f>Table3[[#This Row],[Profit]]/Table3[[#This Row],[Sales]]</f>
        <v>0.27826150868913668</v>
      </c>
    </row>
    <row r="1263" spans="1:12" x14ac:dyDescent="0.25">
      <c r="A1263" t="s">
        <v>1242</v>
      </c>
      <c r="B1263" s="2">
        <v>45021</v>
      </c>
      <c r="C1263" s="2" t="str">
        <f>TEXT(Table3[[#This Row],[Order Date]],"mmmm")</f>
        <v>April</v>
      </c>
      <c r="D1263" t="s">
        <v>3216</v>
      </c>
      <c r="E1263" t="s">
        <v>3222</v>
      </c>
      <c r="F1263" t="s">
        <v>3226</v>
      </c>
      <c r="G1263" s="4">
        <v>57021.19</v>
      </c>
      <c r="H1263" s="4">
        <v>39321.699999999997</v>
      </c>
      <c r="I1263" s="3" t="s">
        <v>3734</v>
      </c>
      <c r="J1263">
        <v>4</v>
      </c>
      <c r="K1263" s="4">
        <f>Table3[[#This Row],[Sales]]-Table3[[#This Row],[Cost]]</f>
        <v>17699.490000000005</v>
      </c>
      <c r="L1263" s="6">
        <f>Table3[[#This Row],[Profit]]/Table3[[#This Row],[Sales]]</f>
        <v>0.3104019751253877</v>
      </c>
    </row>
    <row r="1264" spans="1:12" x14ac:dyDescent="0.25">
      <c r="A1264" t="s">
        <v>1243</v>
      </c>
      <c r="B1264" s="2">
        <v>45021</v>
      </c>
      <c r="C1264" s="2" t="str">
        <f>TEXT(Table3[[#This Row],[Order Date]],"mmmm")</f>
        <v>April</v>
      </c>
      <c r="D1264" t="s">
        <v>3220</v>
      </c>
      <c r="E1264" t="s">
        <v>3225</v>
      </c>
      <c r="F1264" t="s">
        <v>3226</v>
      </c>
      <c r="G1264" s="4">
        <v>48284.53</v>
      </c>
      <c r="H1264" s="4">
        <v>37015.660000000003</v>
      </c>
      <c r="I1264" s="3" t="s">
        <v>3734</v>
      </c>
      <c r="J1264">
        <v>3</v>
      </c>
      <c r="K1264" s="4">
        <f>Table3[[#This Row],[Sales]]-Table3[[#This Row],[Cost]]</f>
        <v>11268.869999999995</v>
      </c>
      <c r="L1264" s="6">
        <f>Table3[[#This Row],[Profit]]/Table3[[#This Row],[Sales]]</f>
        <v>0.23338468863629813</v>
      </c>
    </row>
    <row r="1265" spans="1:12" x14ac:dyDescent="0.25">
      <c r="A1265" t="s">
        <v>1244</v>
      </c>
      <c r="B1265" s="2">
        <v>45021</v>
      </c>
      <c r="C1265" s="2" t="str">
        <f>TEXT(Table3[[#This Row],[Order Date]],"mmmm")</f>
        <v>April</v>
      </c>
      <c r="D1265" t="s">
        <v>3220</v>
      </c>
      <c r="E1265" t="s">
        <v>3223</v>
      </c>
      <c r="F1265" t="s">
        <v>3226</v>
      </c>
      <c r="G1265" s="4">
        <v>31460.61</v>
      </c>
      <c r="H1265" s="4">
        <v>18190.849999999999</v>
      </c>
      <c r="I1265" s="3" t="s">
        <v>3734</v>
      </c>
      <c r="J1265">
        <v>3</v>
      </c>
      <c r="K1265" s="4">
        <f>Table3[[#This Row],[Sales]]-Table3[[#This Row],[Cost]]</f>
        <v>13269.760000000002</v>
      </c>
      <c r="L1265" s="6">
        <f>Table3[[#This Row],[Profit]]/Table3[[#This Row],[Sales]]</f>
        <v>0.42178966014962843</v>
      </c>
    </row>
    <row r="1266" spans="1:12" x14ac:dyDescent="0.25">
      <c r="A1266" t="s">
        <v>1245</v>
      </c>
      <c r="B1266" s="2">
        <v>45005</v>
      </c>
      <c r="C1266" s="2" t="str">
        <f>TEXT(Table3[[#This Row],[Order Date]],"mmmm")</f>
        <v>March</v>
      </c>
      <c r="D1266" t="s">
        <v>3730</v>
      </c>
      <c r="E1266" t="s">
        <v>3222</v>
      </c>
      <c r="F1266" t="s">
        <v>3226</v>
      </c>
      <c r="G1266" s="4">
        <v>80865.13</v>
      </c>
      <c r="H1266" s="4">
        <v>49688.27</v>
      </c>
      <c r="I1266" s="3" t="s">
        <v>3734</v>
      </c>
      <c r="J1266" t="s">
        <v>3732</v>
      </c>
      <c r="K1266" s="4">
        <f>Table3[[#This Row],[Sales]]-Table3[[#This Row],[Cost]]</f>
        <v>31176.860000000008</v>
      </c>
      <c r="L1266" s="6">
        <f>Table3[[#This Row],[Profit]]/Table3[[#This Row],[Sales]]</f>
        <v>0.38554145649676203</v>
      </c>
    </row>
    <row r="1267" spans="1:12" x14ac:dyDescent="0.25">
      <c r="A1267" t="s">
        <v>1246</v>
      </c>
      <c r="B1267" s="2">
        <v>45102</v>
      </c>
      <c r="C1267" s="2" t="str">
        <f>TEXT(Table3[[#This Row],[Order Date]],"mmmm")</f>
        <v>June</v>
      </c>
      <c r="D1267" t="s">
        <v>3220</v>
      </c>
      <c r="E1267" t="s">
        <v>3222</v>
      </c>
      <c r="F1267" t="s">
        <v>3226</v>
      </c>
      <c r="G1267" s="4">
        <v>53478.09</v>
      </c>
      <c r="H1267" s="4">
        <v>32125.4</v>
      </c>
      <c r="I1267" s="3" t="s">
        <v>3734</v>
      </c>
      <c r="J1267">
        <v>3</v>
      </c>
      <c r="K1267" s="4">
        <f>Table3[[#This Row],[Sales]]-Table3[[#This Row],[Cost]]</f>
        <v>21352.689999999995</v>
      </c>
      <c r="L1267" s="6">
        <f>Table3[[#This Row],[Profit]]/Table3[[#This Row],[Sales]]</f>
        <v>0.3992792188352276</v>
      </c>
    </row>
    <row r="1268" spans="1:12" x14ac:dyDescent="0.25">
      <c r="A1268" t="s">
        <v>3365</v>
      </c>
      <c r="B1268" s="2" t="s">
        <v>3729</v>
      </c>
      <c r="C1268" s="2" t="str">
        <f>TEXT(Table3[[#This Row],[Order Date]],"mmmm")</f>
        <v>Not Mentioned</v>
      </c>
      <c r="D1268" t="s">
        <v>3220</v>
      </c>
      <c r="E1268" t="s">
        <v>3225</v>
      </c>
      <c r="F1268" t="s">
        <v>3226</v>
      </c>
      <c r="G1268" s="4">
        <v>21061.279999999999</v>
      </c>
      <c r="H1268" s="4">
        <v>12083.61</v>
      </c>
      <c r="I1268" s="3" t="s">
        <v>3734</v>
      </c>
      <c r="J1268">
        <v>1</v>
      </c>
      <c r="K1268" s="4">
        <f>Table3[[#This Row],[Sales]]-Table3[[#This Row],[Cost]]</f>
        <v>8977.6699999999983</v>
      </c>
      <c r="L1268" s="6">
        <f>Table3[[#This Row],[Profit]]/Table3[[#This Row],[Sales]]</f>
        <v>0.42626421566020672</v>
      </c>
    </row>
    <row r="1269" spans="1:12" x14ac:dyDescent="0.25">
      <c r="A1269" t="s">
        <v>3454</v>
      </c>
      <c r="B1269" s="2">
        <v>44941</v>
      </c>
      <c r="C1269" s="2" t="str">
        <f>TEXT(Table3[[#This Row],[Order Date]],"mmmm")</f>
        <v>January</v>
      </c>
      <c r="D1269" t="s">
        <v>3216</v>
      </c>
      <c r="E1269" t="s">
        <v>3222</v>
      </c>
      <c r="F1269" t="s">
        <v>3226</v>
      </c>
      <c r="G1269" s="4">
        <v>69594.600000000006</v>
      </c>
      <c r="H1269" s="4">
        <v>35181.56</v>
      </c>
      <c r="I1269" s="3" t="s">
        <v>3734</v>
      </c>
      <c r="J1269">
        <v>4</v>
      </c>
      <c r="K1269" s="4">
        <f>Table3[[#This Row],[Sales]]-Table3[[#This Row],[Cost]]</f>
        <v>34413.040000000008</v>
      </c>
      <c r="L1269" s="6">
        <f>Table3[[#This Row],[Profit]]/Table3[[#This Row],[Sales]]</f>
        <v>0.49447859460360438</v>
      </c>
    </row>
    <row r="1270" spans="1:12" x14ac:dyDescent="0.25">
      <c r="A1270" t="s">
        <v>1248</v>
      </c>
      <c r="B1270" s="2">
        <v>44972</v>
      </c>
      <c r="C1270" s="2" t="str">
        <f>TEXT(Table3[[#This Row],[Order Date]],"mmmm")</f>
        <v>February</v>
      </c>
      <c r="D1270" t="s">
        <v>3220</v>
      </c>
      <c r="E1270" t="s">
        <v>3224</v>
      </c>
      <c r="F1270" t="s">
        <v>3226</v>
      </c>
      <c r="G1270" s="4">
        <v>103455.02</v>
      </c>
      <c r="H1270" s="4">
        <v>77262.2</v>
      </c>
      <c r="I1270" s="3" t="s">
        <v>3734</v>
      </c>
      <c r="J1270">
        <v>2</v>
      </c>
      <c r="K1270" s="4">
        <f>Table3[[#This Row],[Sales]]-Table3[[#This Row],[Cost]]</f>
        <v>26192.820000000007</v>
      </c>
      <c r="L1270" s="6">
        <f>Table3[[#This Row],[Profit]]/Table3[[#This Row],[Sales]]</f>
        <v>0.25318075430269121</v>
      </c>
    </row>
    <row r="1271" spans="1:12" x14ac:dyDescent="0.25">
      <c r="A1271" t="s">
        <v>3267</v>
      </c>
      <c r="B1271" s="2">
        <v>44941</v>
      </c>
      <c r="C1271" s="2" t="str">
        <f>TEXT(Table3[[#This Row],[Order Date]],"mmmm")</f>
        <v>January</v>
      </c>
      <c r="D1271" t="s">
        <v>3220</v>
      </c>
      <c r="E1271" t="s">
        <v>3225</v>
      </c>
      <c r="F1271" t="s">
        <v>3226</v>
      </c>
      <c r="G1271" s="4">
        <v>71175.02</v>
      </c>
      <c r="H1271" s="4">
        <v>37389.839999999997</v>
      </c>
      <c r="I1271" s="3" t="s">
        <v>3734</v>
      </c>
      <c r="J1271">
        <v>3</v>
      </c>
      <c r="K1271" s="4">
        <f>Table3[[#This Row],[Sales]]-Table3[[#This Row],[Cost]]</f>
        <v>33785.180000000008</v>
      </c>
      <c r="L1271" s="6">
        <f>Table3[[#This Row],[Profit]]/Table3[[#This Row],[Sales]]</f>
        <v>0.47467749218756811</v>
      </c>
    </row>
    <row r="1272" spans="1:12" x14ac:dyDescent="0.25">
      <c r="A1272" t="s">
        <v>1249</v>
      </c>
      <c r="B1272" s="2">
        <v>44972</v>
      </c>
      <c r="C1272" s="2" t="str">
        <f>TEXT(Table3[[#This Row],[Order Date]],"mmmm")</f>
        <v>February</v>
      </c>
      <c r="D1272" t="s">
        <v>3730</v>
      </c>
      <c r="E1272" t="s">
        <v>3222</v>
      </c>
      <c r="F1272" t="s">
        <v>3226</v>
      </c>
      <c r="G1272" s="4">
        <v>71452.39</v>
      </c>
      <c r="H1272" s="4">
        <v>39821.21</v>
      </c>
      <c r="I1272" s="3" t="s">
        <v>3734</v>
      </c>
      <c r="J1272">
        <v>4</v>
      </c>
      <c r="K1272" s="4">
        <f>Table3[[#This Row],[Sales]]-Table3[[#This Row],[Cost]]</f>
        <v>31631.18</v>
      </c>
      <c r="L1272" s="6">
        <f>Table3[[#This Row],[Profit]]/Table3[[#This Row],[Sales]]</f>
        <v>0.4426889009590862</v>
      </c>
    </row>
    <row r="1273" spans="1:12" x14ac:dyDescent="0.25">
      <c r="A1273" t="s">
        <v>1250</v>
      </c>
      <c r="B1273" s="2">
        <v>45102</v>
      </c>
      <c r="C1273" s="2" t="str">
        <f>TEXT(Table3[[#This Row],[Order Date]],"mmmm")</f>
        <v>June</v>
      </c>
      <c r="D1273" t="s">
        <v>3216</v>
      </c>
      <c r="E1273" t="s">
        <v>3225</v>
      </c>
      <c r="F1273" t="s">
        <v>3226</v>
      </c>
      <c r="G1273" s="4">
        <v>21437.919999999998</v>
      </c>
      <c r="H1273" s="4">
        <v>12810.99</v>
      </c>
      <c r="I1273" s="3" t="s">
        <v>3734</v>
      </c>
      <c r="J1273">
        <v>1</v>
      </c>
      <c r="K1273" s="4">
        <f>Table3[[#This Row],[Sales]]-Table3[[#This Row],[Cost]]</f>
        <v>8626.9299999999985</v>
      </c>
      <c r="L1273" s="6">
        <f>Table3[[#This Row],[Profit]]/Table3[[#This Row],[Sales]]</f>
        <v>0.40241450663124029</v>
      </c>
    </row>
    <row r="1274" spans="1:12" x14ac:dyDescent="0.25">
      <c r="A1274" t="s">
        <v>3455</v>
      </c>
      <c r="B1274" s="2" t="s">
        <v>3729</v>
      </c>
      <c r="C1274" s="2" t="str">
        <f>TEXT(Table3[[#This Row],[Order Date]],"mmmm")</f>
        <v>Not Mentioned</v>
      </c>
      <c r="D1274" t="s">
        <v>3730</v>
      </c>
      <c r="E1274" t="s">
        <v>3225</v>
      </c>
      <c r="F1274" t="s">
        <v>3226</v>
      </c>
      <c r="G1274" s="4">
        <v>20377.97</v>
      </c>
      <c r="H1274" s="4">
        <v>13801.51</v>
      </c>
      <c r="I1274" s="3" t="s">
        <v>3734</v>
      </c>
      <c r="J1274">
        <v>1</v>
      </c>
      <c r="K1274" s="4">
        <f>Table3[[#This Row],[Sales]]-Table3[[#This Row],[Cost]]</f>
        <v>6576.4600000000009</v>
      </c>
      <c r="L1274" s="6">
        <f>Table3[[#This Row],[Profit]]/Table3[[#This Row],[Sales]]</f>
        <v>0.32272400047698574</v>
      </c>
    </row>
    <row r="1275" spans="1:12" x14ac:dyDescent="0.25">
      <c r="A1275" t="s">
        <v>1252</v>
      </c>
      <c r="B1275" s="2">
        <v>45021</v>
      </c>
      <c r="C1275" s="2" t="str">
        <f>TEXT(Table3[[#This Row],[Order Date]],"mmmm")</f>
        <v>April</v>
      </c>
      <c r="D1275" t="s">
        <v>3731</v>
      </c>
      <c r="E1275" t="s">
        <v>3223</v>
      </c>
      <c r="F1275" t="s">
        <v>3226</v>
      </c>
      <c r="G1275" s="4">
        <v>58552.77</v>
      </c>
      <c r="H1275" s="4">
        <v>33314.18</v>
      </c>
      <c r="I1275" s="3" t="s">
        <v>3734</v>
      </c>
      <c r="J1275" t="s">
        <v>3732</v>
      </c>
      <c r="K1275" s="4">
        <f>Table3[[#This Row],[Sales]]-Table3[[#This Row],[Cost]]</f>
        <v>25238.589999999997</v>
      </c>
      <c r="L1275" s="6">
        <f>Table3[[#This Row],[Profit]]/Table3[[#This Row],[Sales]]</f>
        <v>0.43104006864235456</v>
      </c>
    </row>
    <row r="1276" spans="1:12" x14ac:dyDescent="0.25">
      <c r="A1276" t="s">
        <v>1253</v>
      </c>
      <c r="B1276" s="2" t="s">
        <v>3729</v>
      </c>
      <c r="C1276" s="2" t="str">
        <f>TEXT(Table3[[#This Row],[Order Date]],"mmmm")</f>
        <v>Not Mentioned</v>
      </c>
      <c r="D1276" t="s">
        <v>3731</v>
      </c>
      <c r="E1276" t="s">
        <v>3223</v>
      </c>
      <c r="F1276" t="s">
        <v>3226</v>
      </c>
      <c r="G1276" s="4">
        <v>45514.59</v>
      </c>
      <c r="H1276" s="4">
        <v>36719.800000000003</v>
      </c>
      <c r="I1276" s="3" t="s">
        <v>3734</v>
      </c>
      <c r="J1276">
        <v>5</v>
      </c>
      <c r="K1276" s="4">
        <f>Table3[[#This Row],[Sales]]-Table3[[#This Row],[Cost]]</f>
        <v>8794.7899999999936</v>
      </c>
      <c r="L1276" s="6">
        <f>Table3[[#This Row],[Profit]]/Table3[[#This Row],[Sales]]</f>
        <v>0.19323012686701108</v>
      </c>
    </row>
    <row r="1277" spans="1:12" x14ac:dyDescent="0.25">
      <c r="A1277" t="s">
        <v>1254</v>
      </c>
      <c r="B1277" s="2">
        <v>44972</v>
      </c>
      <c r="C1277" s="2" t="str">
        <f>TEXT(Table3[[#This Row],[Order Date]],"mmmm")</f>
        <v>February</v>
      </c>
      <c r="D1277" t="s">
        <v>3730</v>
      </c>
      <c r="E1277" t="s">
        <v>3222</v>
      </c>
      <c r="F1277" t="s">
        <v>3226</v>
      </c>
      <c r="G1277" s="4">
        <v>60160.52</v>
      </c>
      <c r="H1277" s="4">
        <v>36687.47</v>
      </c>
      <c r="I1277" s="3" t="s">
        <v>3734</v>
      </c>
      <c r="J1277">
        <v>4</v>
      </c>
      <c r="K1277" s="4">
        <f>Table3[[#This Row],[Sales]]-Table3[[#This Row],[Cost]]</f>
        <v>23473.049999999996</v>
      </c>
      <c r="L1277" s="6">
        <f>Table3[[#This Row],[Profit]]/Table3[[#This Row],[Sales]]</f>
        <v>0.39017365541388266</v>
      </c>
    </row>
    <row r="1278" spans="1:12" x14ac:dyDescent="0.25">
      <c r="A1278" t="s">
        <v>1255</v>
      </c>
      <c r="B1278" s="2">
        <v>45102</v>
      </c>
      <c r="C1278" s="2" t="str">
        <f>TEXT(Table3[[#This Row],[Order Date]],"mmmm")</f>
        <v>June</v>
      </c>
      <c r="D1278" t="s">
        <v>3731</v>
      </c>
      <c r="E1278" t="s">
        <v>3225</v>
      </c>
      <c r="F1278" t="s">
        <v>3226</v>
      </c>
      <c r="G1278" s="4">
        <v>68144.899999999994</v>
      </c>
      <c r="H1278" s="4">
        <v>45617.120000000003</v>
      </c>
      <c r="I1278" s="3" t="s">
        <v>3734</v>
      </c>
      <c r="J1278">
        <v>3</v>
      </c>
      <c r="K1278" s="4">
        <f>Table3[[#This Row],[Sales]]-Table3[[#This Row],[Cost]]</f>
        <v>22527.779999999992</v>
      </c>
      <c r="L1278" s="6">
        <f>Table3[[#This Row],[Profit]]/Table3[[#This Row],[Sales]]</f>
        <v>0.330586441538545</v>
      </c>
    </row>
    <row r="1279" spans="1:12" x14ac:dyDescent="0.25">
      <c r="A1279" t="s">
        <v>1256</v>
      </c>
      <c r="B1279" s="2">
        <v>45005</v>
      </c>
      <c r="C1279" s="2" t="str">
        <f>TEXT(Table3[[#This Row],[Order Date]],"mmmm")</f>
        <v>March</v>
      </c>
      <c r="D1279" t="s">
        <v>3730</v>
      </c>
      <c r="E1279" t="s">
        <v>3225</v>
      </c>
      <c r="F1279" t="s">
        <v>3226</v>
      </c>
      <c r="G1279" s="4">
        <v>50376.47</v>
      </c>
      <c r="H1279" s="4">
        <v>43659.8</v>
      </c>
      <c r="I1279" s="3" t="s">
        <v>3734</v>
      </c>
      <c r="J1279">
        <v>3</v>
      </c>
      <c r="K1279" s="4">
        <f>Table3[[#This Row],[Sales]]-Table3[[#This Row],[Cost]]</f>
        <v>6716.6699999999983</v>
      </c>
      <c r="L1279" s="6">
        <f>Table3[[#This Row],[Profit]]/Table3[[#This Row],[Sales]]</f>
        <v>0.13332950879646785</v>
      </c>
    </row>
    <row r="1280" spans="1:12" x14ac:dyDescent="0.25">
      <c r="A1280" t="s">
        <v>908</v>
      </c>
      <c r="B1280" s="2">
        <v>44941</v>
      </c>
      <c r="C1280" s="2" t="str">
        <f>TEXT(Table3[[#This Row],[Order Date]],"mmmm")</f>
        <v>January</v>
      </c>
      <c r="D1280" t="s">
        <v>3730</v>
      </c>
      <c r="E1280" t="s">
        <v>3224</v>
      </c>
      <c r="F1280" t="s">
        <v>3226</v>
      </c>
      <c r="G1280" s="4">
        <v>103877.49</v>
      </c>
      <c r="H1280" s="4">
        <v>77726.759999999995</v>
      </c>
      <c r="I1280" s="3" t="s">
        <v>3734</v>
      </c>
      <c r="J1280">
        <v>2</v>
      </c>
      <c r="K1280" s="4">
        <f>Table3[[#This Row],[Sales]]-Table3[[#This Row],[Cost]]</f>
        <v>26150.73000000001</v>
      </c>
      <c r="L1280" s="6">
        <f>Table3[[#This Row],[Profit]]/Table3[[#This Row],[Sales]]</f>
        <v>0.25174587872695048</v>
      </c>
    </row>
    <row r="1281" spans="1:12" x14ac:dyDescent="0.25">
      <c r="A1281" t="s">
        <v>1257</v>
      </c>
      <c r="B1281" s="2" t="s">
        <v>3729</v>
      </c>
      <c r="C1281" s="2" t="str">
        <f>TEXT(Table3[[#This Row],[Order Date]],"mmmm")</f>
        <v>Not Mentioned</v>
      </c>
      <c r="D1281" t="s">
        <v>3220</v>
      </c>
      <c r="E1281" t="s">
        <v>3225</v>
      </c>
      <c r="F1281" t="s">
        <v>3226</v>
      </c>
      <c r="G1281" s="4">
        <v>19097.740000000002</v>
      </c>
      <c r="H1281" s="4">
        <v>15081.64</v>
      </c>
      <c r="I1281" s="3" t="s">
        <v>3734</v>
      </c>
      <c r="J1281">
        <v>1</v>
      </c>
      <c r="K1281" s="4">
        <f>Table3[[#This Row],[Sales]]-Table3[[#This Row],[Cost]]</f>
        <v>4016.1000000000022</v>
      </c>
      <c r="L1281" s="6">
        <f>Table3[[#This Row],[Profit]]/Table3[[#This Row],[Sales]]</f>
        <v>0.21029189841311074</v>
      </c>
    </row>
    <row r="1282" spans="1:12" x14ac:dyDescent="0.25">
      <c r="A1282" t="s">
        <v>3456</v>
      </c>
      <c r="B1282" s="2">
        <v>44972</v>
      </c>
      <c r="C1282" s="2" t="str">
        <f>TEXT(Table3[[#This Row],[Order Date]],"mmmm")</f>
        <v>February</v>
      </c>
      <c r="D1282" t="s">
        <v>3220</v>
      </c>
      <c r="E1282" t="s">
        <v>3223</v>
      </c>
      <c r="F1282" t="s">
        <v>3226</v>
      </c>
      <c r="G1282" s="4">
        <v>20176.59</v>
      </c>
      <c r="H1282" s="4">
        <v>13058.18</v>
      </c>
      <c r="I1282" s="3" t="s">
        <v>3734</v>
      </c>
      <c r="J1282">
        <v>2</v>
      </c>
      <c r="K1282" s="4">
        <f>Table3[[#This Row],[Sales]]-Table3[[#This Row],[Cost]]</f>
        <v>7118.41</v>
      </c>
      <c r="L1282" s="6">
        <f>Table3[[#This Row],[Profit]]/Table3[[#This Row],[Sales]]</f>
        <v>0.35280540467938337</v>
      </c>
    </row>
    <row r="1283" spans="1:12" x14ac:dyDescent="0.25">
      <c r="A1283" t="s">
        <v>1259</v>
      </c>
      <c r="B1283" s="2" t="s">
        <v>3729</v>
      </c>
      <c r="C1283" s="2" t="str">
        <f>TEXT(Table3[[#This Row],[Order Date]],"mmmm")</f>
        <v>Not Mentioned</v>
      </c>
      <c r="D1283" t="s">
        <v>3730</v>
      </c>
      <c r="E1283" t="s">
        <v>3222</v>
      </c>
      <c r="F1283" t="s">
        <v>3226</v>
      </c>
      <c r="G1283" s="4">
        <v>14170.8</v>
      </c>
      <c r="H1283" s="4">
        <v>8926.8700000000008</v>
      </c>
      <c r="I1283" s="3" t="s">
        <v>3734</v>
      </c>
      <c r="J1283">
        <v>1</v>
      </c>
      <c r="K1283" s="4">
        <f>Table3[[#This Row],[Sales]]-Table3[[#This Row],[Cost]]</f>
        <v>5243.9299999999985</v>
      </c>
      <c r="L1283" s="6">
        <f>Table3[[#This Row],[Profit]]/Table3[[#This Row],[Sales]]</f>
        <v>0.37005179665227078</v>
      </c>
    </row>
    <row r="1284" spans="1:12" x14ac:dyDescent="0.25">
      <c r="A1284" t="s">
        <v>1261</v>
      </c>
      <c r="B1284" s="2">
        <v>45021</v>
      </c>
      <c r="C1284" s="2" t="str">
        <f>TEXT(Table3[[#This Row],[Order Date]],"mmmm")</f>
        <v>April</v>
      </c>
      <c r="D1284" t="s">
        <v>3216</v>
      </c>
      <c r="E1284" t="s">
        <v>3225</v>
      </c>
      <c r="F1284" t="s">
        <v>3226</v>
      </c>
      <c r="G1284" s="4">
        <v>50694.55</v>
      </c>
      <c r="H1284" s="4">
        <v>43330.78</v>
      </c>
      <c r="I1284" s="3" t="s">
        <v>3734</v>
      </c>
      <c r="J1284">
        <v>3</v>
      </c>
      <c r="K1284" s="4">
        <f>Table3[[#This Row],[Sales]]-Table3[[#This Row],[Cost]]</f>
        <v>7363.7700000000041</v>
      </c>
      <c r="L1284" s="6">
        <f>Table3[[#This Row],[Profit]]/Table3[[#This Row],[Sales]]</f>
        <v>0.14525762631288774</v>
      </c>
    </row>
    <row r="1285" spans="1:12" x14ac:dyDescent="0.25">
      <c r="A1285" t="s">
        <v>557</v>
      </c>
      <c r="B1285" s="2" t="s">
        <v>3729</v>
      </c>
      <c r="C1285" s="2" t="str">
        <f>TEXT(Table3[[#This Row],[Order Date]],"mmmm")</f>
        <v>Not Mentioned</v>
      </c>
      <c r="D1285" t="s">
        <v>3731</v>
      </c>
      <c r="E1285" t="s">
        <v>3224</v>
      </c>
      <c r="F1285" t="s">
        <v>3226</v>
      </c>
      <c r="G1285" s="4">
        <v>56415.58</v>
      </c>
      <c r="H1285" s="4">
        <v>45132.464000000007</v>
      </c>
      <c r="I1285" s="3" t="s">
        <v>3735</v>
      </c>
      <c r="J1285">
        <v>1</v>
      </c>
      <c r="K1285" s="4">
        <f>Table3[[#This Row],[Sales]]-Table3[[#This Row],[Cost]]</f>
        <v>11283.115999999995</v>
      </c>
      <c r="L1285" s="6">
        <f>Table3[[#This Row],[Profit]]/Table3[[#This Row],[Sales]]</f>
        <v>0.1999999999999999</v>
      </c>
    </row>
    <row r="1286" spans="1:12" x14ac:dyDescent="0.25">
      <c r="A1286" t="s">
        <v>1262</v>
      </c>
      <c r="B1286" s="2">
        <v>45102</v>
      </c>
      <c r="C1286" s="2" t="str">
        <f>TEXT(Table3[[#This Row],[Order Date]],"mmmm")</f>
        <v>June</v>
      </c>
      <c r="D1286" t="s">
        <v>3731</v>
      </c>
      <c r="E1286" t="s">
        <v>3225</v>
      </c>
      <c r="F1286" t="s">
        <v>3226</v>
      </c>
      <c r="G1286" s="4">
        <v>18550.39</v>
      </c>
      <c r="H1286" s="4">
        <v>12079.45</v>
      </c>
      <c r="I1286" s="3" t="s">
        <v>3734</v>
      </c>
      <c r="J1286">
        <v>1</v>
      </c>
      <c r="K1286" s="4">
        <f>Table3[[#This Row],[Sales]]-Table3[[#This Row],[Cost]]</f>
        <v>6470.9399999999987</v>
      </c>
      <c r="L1286" s="6">
        <f>Table3[[#This Row],[Profit]]/Table3[[#This Row],[Sales]]</f>
        <v>0.34883040194842257</v>
      </c>
    </row>
    <row r="1287" spans="1:12" x14ac:dyDescent="0.25">
      <c r="A1287" t="s">
        <v>3457</v>
      </c>
      <c r="B1287" s="2">
        <v>44941</v>
      </c>
      <c r="C1287" s="2" t="str">
        <f>TEXT(Table3[[#This Row],[Order Date]],"mmmm")</f>
        <v>January</v>
      </c>
      <c r="D1287" t="s">
        <v>3220</v>
      </c>
      <c r="E1287" t="s">
        <v>3224</v>
      </c>
      <c r="F1287" t="s">
        <v>3226</v>
      </c>
      <c r="G1287" s="4">
        <v>53264.83</v>
      </c>
      <c r="H1287" s="4">
        <v>46509.96</v>
      </c>
      <c r="I1287" s="3" t="s">
        <v>3734</v>
      </c>
      <c r="J1287">
        <v>1</v>
      </c>
      <c r="K1287" s="4">
        <f>Table3[[#This Row],[Sales]]-Table3[[#This Row],[Cost]]</f>
        <v>6754.8700000000026</v>
      </c>
      <c r="L1287" s="6">
        <f>Table3[[#This Row],[Profit]]/Table3[[#This Row],[Sales]]</f>
        <v>0.12681670062591024</v>
      </c>
    </row>
    <row r="1288" spans="1:12" x14ac:dyDescent="0.25">
      <c r="A1288" t="s">
        <v>1264</v>
      </c>
      <c r="B1288" s="2">
        <v>45005</v>
      </c>
      <c r="C1288" s="2" t="str">
        <f>TEXT(Table3[[#This Row],[Order Date]],"mmmm")</f>
        <v>March</v>
      </c>
      <c r="D1288" t="s">
        <v>3220</v>
      </c>
      <c r="E1288" t="s">
        <v>3223</v>
      </c>
      <c r="F1288" t="s">
        <v>3226</v>
      </c>
      <c r="G1288" s="4">
        <v>23434.79</v>
      </c>
      <c r="H1288" s="4">
        <v>18747.832000000002</v>
      </c>
      <c r="I1288" s="3" t="s">
        <v>3735</v>
      </c>
      <c r="J1288">
        <v>2</v>
      </c>
      <c r="K1288" s="4">
        <f>Table3[[#This Row],[Sales]]-Table3[[#This Row],[Cost]]</f>
        <v>4686.9579999999987</v>
      </c>
      <c r="L1288" s="6">
        <f>Table3[[#This Row],[Profit]]/Table3[[#This Row],[Sales]]</f>
        <v>0.19999999999999993</v>
      </c>
    </row>
    <row r="1289" spans="1:12" x14ac:dyDescent="0.25">
      <c r="A1289" t="s">
        <v>3458</v>
      </c>
      <c r="B1289" s="2">
        <v>44941</v>
      </c>
      <c r="C1289" s="2" t="str">
        <f>TEXT(Table3[[#This Row],[Order Date]],"mmmm")</f>
        <v>January</v>
      </c>
      <c r="D1289" t="s">
        <v>3216</v>
      </c>
      <c r="E1289" t="s">
        <v>3225</v>
      </c>
      <c r="F1289" t="s">
        <v>3226</v>
      </c>
      <c r="G1289" s="4">
        <v>90289.29</v>
      </c>
      <c r="H1289" s="4">
        <v>48734.21</v>
      </c>
      <c r="I1289" s="3" t="s">
        <v>3734</v>
      </c>
      <c r="J1289">
        <v>4</v>
      </c>
      <c r="K1289" s="4">
        <f>Table3[[#This Row],[Sales]]-Table3[[#This Row],[Cost]]</f>
        <v>41555.079999999994</v>
      </c>
      <c r="L1289" s="6">
        <f>Table3[[#This Row],[Profit]]/Table3[[#This Row],[Sales]]</f>
        <v>0.46024373433438226</v>
      </c>
    </row>
    <row r="1290" spans="1:12" x14ac:dyDescent="0.25">
      <c r="A1290" t="s">
        <v>1266</v>
      </c>
      <c r="B1290" s="2">
        <v>44972</v>
      </c>
      <c r="C1290" s="2" t="str">
        <f>TEXT(Table3[[#This Row],[Order Date]],"mmmm")</f>
        <v>February</v>
      </c>
      <c r="D1290" t="s">
        <v>3731</v>
      </c>
      <c r="E1290" t="s">
        <v>3225</v>
      </c>
      <c r="F1290" t="s">
        <v>3226</v>
      </c>
      <c r="G1290" s="4">
        <v>20006.919999999998</v>
      </c>
      <c r="H1290" s="4">
        <v>12710.95</v>
      </c>
      <c r="I1290" s="3" t="s">
        <v>3734</v>
      </c>
      <c r="J1290">
        <v>1</v>
      </c>
      <c r="K1290" s="4">
        <f>Table3[[#This Row],[Sales]]-Table3[[#This Row],[Cost]]</f>
        <v>7295.9699999999975</v>
      </c>
      <c r="L1290" s="6">
        <f>Table3[[#This Row],[Profit]]/Table3[[#This Row],[Sales]]</f>
        <v>0.36467232337611177</v>
      </c>
    </row>
    <row r="1291" spans="1:12" x14ac:dyDescent="0.25">
      <c r="A1291" t="s">
        <v>1267</v>
      </c>
      <c r="B1291" s="2">
        <v>44941</v>
      </c>
      <c r="C1291" s="2" t="str">
        <f>TEXT(Table3[[#This Row],[Order Date]],"mmmm")</f>
        <v>January</v>
      </c>
      <c r="D1291" t="s">
        <v>3216</v>
      </c>
      <c r="E1291" t="s">
        <v>3224</v>
      </c>
      <c r="F1291" t="s">
        <v>3226</v>
      </c>
      <c r="G1291" s="4">
        <v>52554.33</v>
      </c>
      <c r="H1291" s="4">
        <v>42043.464000000007</v>
      </c>
      <c r="I1291" s="3" t="s">
        <v>3735</v>
      </c>
      <c r="J1291">
        <v>1</v>
      </c>
      <c r="K1291" s="4">
        <f>Table3[[#This Row],[Sales]]-Table3[[#This Row],[Cost]]</f>
        <v>10510.865999999995</v>
      </c>
      <c r="L1291" s="6">
        <f>Table3[[#This Row],[Profit]]/Table3[[#This Row],[Sales]]</f>
        <v>0.1999999999999999</v>
      </c>
    </row>
    <row r="1292" spans="1:12" x14ac:dyDescent="0.25">
      <c r="A1292" t="s">
        <v>1268</v>
      </c>
      <c r="B1292" s="2">
        <v>44972</v>
      </c>
      <c r="C1292" s="2" t="str">
        <f>TEXT(Table3[[#This Row],[Order Date]],"mmmm")</f>
        <v>February</v>
      </c>
      <c r="D1292" t="s">
        <v>3216</v>
      </c>
      <c r="E1292" t="s">
        <v>3224</v>
      </c>
      <c r="F1292" t="s">
        <v>3226</v>
      </c>
      <c r="G1292" s="4">
        <v>133627.99</v>
      </c>
      <c r="H1292" s="4">
        <v>96687.09</v>
      </c>
      <c r="I1292" s="3" t="s">
        <v>3734</v>
      </c>
      <c r="J1292">
        <v>2</v>
      </c>
      <c r="K1292" s="4">
        <f>Table3[[#This Row],[Sales]]-Table3[[#This Row],[Cost]]</f>
        <v>36940.899999999994</v>
      </c>
      <c r="L1292" s="6">
        <f>Table3[[#This Row],[Profit]]/Table3[[#This Row],[Sales]]</f>
        <v>0.27644582545917212</v>
      </c>
    </row>
    <row r="1293" spans="1:12" x14ac:dyDescent="0.25">
      <c r="A1293" t="s">
        <v>1269</v>
      </c>
      <c r="B1293" s="2">
        <v>45021</v>
      </c>
      <c r="C1293" s="2" t="str">
        <f>TEXT(Table3[[#This Row],[Order Date]],"mmmm")</f>
        <v>April</v>
      </c>
      <c r="D1293" t="s">
        <v>3730</v>
      </c>
      <c r="E1293" t="s">
        <v>3225</v>
      </c>
      <c r="F1293" t="s">
        <v>3226</v>
      </c>
      <c r="G1293" s="4">
        <v>97293.91</v>
      </c>
      <c r="H1293" s="4">
        <v>77835.128000000012</v>
      </c>
      <c r="I1293" s="3" t="s">
        <v>3735</v>
      </c>
      <c r="J1293">
        <v>5</v>
      </c>
      <c r="K1293" s="4">
        <f>Table3[[#This Row],[Sales]]-Table3[[#This Row],[Cost]]</f>
        <v>19458.781999999992</v>
      </c>
      <c r="L1293" s="6">
        <f>Table3[[#This Row],[Profit]]/Table3[[#This Row],[Sales]]</f>
        <v>0.1999999999999999</v>
      </c>
    </row>
    <row r="1294" spans="1:12" x14ac:dyDescent="0.25">
      <c r="A1294" t="s">
        <v>1270</v>
      </c>
      <c r="B1294" s="2">
        <v>45102</v>
      </c>
      <c r="C1294" s="2" t="str">
        <f>TEXT(Table3[[#This Row],[Order Date]],"mmmm")</f>
        <v>June</v>
      </c>
      <c r="D1294" t="s">
        <v>3220</v>
      </c>
      <c r="E1294" t="s">
        <v>3223</v>
      </c>
      <c r="F1294" t="s">
        <v>3226</v>
      </c>
      <c r="G1294" s="4">
        <v>8939.7199999999993</v>
      </c>
      <c r="H1294" s="4">
        <v>6125.58</v>
      </c>
      <c r="I1294" s="3" t="s">
        <v>3734</v>
      </c>
      <c r="J1294">
        <v>1</v>
      </c>
      <c r="K1294" s="4">
        <f>Table3[[#This Row],[Sales]]-Table3[[#This Row],[Cost]]</f>
        <v>2814.1399999999994</v>
      </c>
      <c r="L1294" s="6">
        <f>Table3[[#This Row],[Profit]]/Table3[[#This Row],[Sales]]</f>
        <v>0.31479061984044238</v>
      </c>
    </row>
    <row r="1295" spans="1:12" x14ac:dyDescent="0.25">
      <c r="A1295" t="s">
        <v>3459</v>
      </c>
      <c r="B1295" s="2">
        <v>44972</v>
      </c>
      <c r="C1295" s="2" t="str">
        <f>TEXT(Table3[[#This Row],[Order Date]],"mmmm")</f>
        <v>February</v>
      </c>
      <c r="D1295" t="s">
        <v>3216</v>
      </c>
      <c r="E1295" t="s">
        <v>3225</v>
      </c>
      <c r="F1295" t="s">
        <v>3226</v>
      </c>
      <c r="G1295" s="4">
        <v>60183.55</v>
      </c>
      <c r="H1295" s="4">
        <v>39013.519999999997</v>
      </c>
      <c r="I1295" s="3" t="s">
        <v>3734</v>
      </c>
      <c r="J1295">
        <v>3</v>
      </c>
      <c r="K1295" s="4">
        <f>Table3[[#This Row],[Sales]]-Table3[[#This Row],[Cost]]</f>
        <v>21170.030000000006</v>
      </c>
      <c r="L1295" s="6">
        <f>Table3[[#This Row],[Profit]]/Table3[[#This Row],[Sales]]</f>
        <v>0.35175774775665453</v>
      </c>
    </row>
    <row r="1296" spans="1:12" x14ac:dyDescent="0.25">
      <c r="A1296" t="s">
        <v>1272</v>
      </c>
      <c r="B1296" s="2" t="s">
        <v>3729</v>
      </c>
      <c r="C1296" s="2" t="str">
        <f>TEXT(Table3[[#This Row],[Order Date]],"mmmm")</f>
        <v>Not Mentioned</v>
      </c>
      <c r="D1296" t="s">
        <v>3220</v>
      </c>
      <c r="E1296" t="s">
        <v>3224</v>
      </c>
      <c r="F1296" t="s">
        <v>3226</v>
      </c>
      <c r="G1296" s="4">
        <v>158013.65</v>
      </c>
      <c r="H1296" s="4">
        <v>120966.63</v>
      </c>
      <c r="I1296" s="3" t="s">
        <v>3734</v>
      </c>
      <c r="J1296">
        <v>3</v>
      </c>
      <c r="K1296" s="4">
        <f>Table3[[#This Row],[Sales]]-Table3[[#This Row],[Cost]]</f>
        <v>37047.01999999999</v>
      </c>
      <c r="L1296" s="6">
        <f>Table3[[#This Row],[Profit]]/Table3[[#This Row],[Sales]]</f>
        <v>0.23445455503369481</v>
      </c>
    </row>
    <row r="1297" spans="1:12" x14ac:dyDescent="0.25">
      <c r="A1297" t="s">
        <v>1273</v>
      </c>
      <c r="B1297" s="2">
        <v>45021</v>
      </c>
      <c r="C1297" s="2" t="str">
        <f>TEXT(Table3[[#This Row],[Order Date]],"mmmm")</f>
        <v>April</v>
      </c>
      <c r="D1297" t="s">
        <v>3216</v>
      </c>
      <c r="E1297" t="s">
        <v>3225</v>
      </c>
      <c r="F1297" t="s">
        <v>3226</v>
      </c>
      <c r="G1297" s="4">
        <v>84539.94</v>
      </c>
      <c r="H1297" s="4">
        <v>61171.199999999997</v>
      </c>
      <c r="I1297" s="3" t="s">
        <v>3734</v>
      </c>
      <c r="J1297">
        <v>4</v>
      </c>
      <c r="K1297" s="4">
        <f>Table3[[#This Row],[Sales]]-Table3[[#This Row],[Cost]]</f>
        <v>23368.740000000005</v>
      </c>
      <c r="L1297" s="6">
        <f>Table3[[#This Row],[Profit]]/Table3[[#This Row],[Sales]]</f>
        <v>0.27642248149217996</v>
      </c>
    </row>
    <row r="1298" spans="1:12" x14ac:dyDescent="0.25">
      <c r="A1298" t="s">
        <v>1274</v>
      </c>
      <c r="B1298" s="2">
        <v>45102</v>
      </c>
      <c r="C1298" s="2" t="str">
        <f>TEXT(Table3[[#This Row],[Order Date]],"mmmm")</f>
        <v>June</v>
      </c>
      <c r="D1298" t="s">
        <v>3731</v>
      </c>
      <c r="E1298" t="s">
        <v>3224</v>
      </c>
      <c r="F1298" t="s">
        <v>3226</v>
      </c>
      <c r="G1298" s="4">
        <v>260933.59</v>
      </c>
      <c r="H1298" s="4">
        <v>211099.38</v>
      </c>
      <c r="I1298" s="3" t="s">
        <v>3734</v>
      </c>
      <c r="J1298">
        <v>5</v>
      </c>
      <c r="K1298" s="4">
        <f>Table3[[#This Row],[Sales]]-Table3[[#This Row],[Cost]]</f>
        <v>49834.209999999992</v>
      </c>
      <c r="L1298" s="6">
        <f>Table3[[#This Row],[Profit]]/Table3[[#This Row],[Sales]]</f>
        <v>0.19098426538338736</v>
      </c>
    </row>
    <row r="1299" spans="1:12" x14ac:dyDescent="0.25">
      <c r="A1299" t="s">
        <v>1276</v>
      </c>
      <c r="B1299" s="2">
        <v>44972</v>
      </c>
      <c r="C1299" s="2" t="str">
        <f>TEXT(Table3[[#This Row],[Order Date]],"mmmm")</f>
        <v>February</v>
      </c>
      <c r="D1299" t="s">
        <v>3730</v>
      </c>
      <c r="E1299" t="s">
        <v>3225</v>
      </c>
      <c r="F1299" t="s">
        <v>3226</v>
      </c>
      <c r="G1299" s="4">
        <v>21187.4</v>
      </c>
      <c r="H1299" s="4">
        <v>14272.98</v>
      </c>
      <c r="I1299" s="3" t="s">
        <v>3734</v>
      </c>
      <c r="J1299">
        <v>1</v>
      </c>
      <c r="K1299" s="4">
        <f>Table3[[#This Row],[Sales]]-Table3[[#This Row],[Cost]]</f>
        <v>6914.4200000000019</v>
      </c>
      <c r="L1299" s="6">
        <f>Table3[[#This Row],[Profit]]/Table3[[#This Row],[Sales]]</f>
        <v>0.32634584706004521</v>
      </c>
    </row>
    <row r="1300" spans="1:12" x14ac:dyDescent="0.25">
      <c r="A1300" t="s">
        <v>3460</v>
      </c>
      <c r="B1300" s="2">
        <v>44941</v>
      </c>
      <c r="C1300" s="2" t="str">
        <f>TEXT(Table3[[#This Row],[Order Date]],"mmmm")</f>
        <v>January</v>
      </c>
      <c r="D1300" t="s">
        <v>3220</v>
      </c>
      <c r="E1300" t="s">
        <v>3222</v>
      </c>
      <c r="F1300" t="s">
        <v>3226</v>
      </c>
      <c r="G1300" s="4">
        <v>51383.5</v>
      </c>
      <c r="H1300" s="4">
        <v>40788.46</v>
      </c>
      <c r="I1300" s="3" t="s">
        <v>3734</v>
      </c>
      <c r="J1300">
        <v>4</v>
      </c>
      <c r="K1300" s="4">
        <f>Table3[[#This Row],[Sales]]-Table3[[#This Row],[Cost]]</f>
        <v>10595.04</v>
      </c>
      <c r="L1300" s="6">
        <f>Table3[[#This Row],[Profit]]/Table3[[#This Row],[Sales]]</f>
        <v>0.20619537400138177</v>
      </c>
    </row>
    <row r="1301" spans="1:12" x14ac:dyDescent="0.25">
      <c r="A1301" t="s">
        <v>1278</v>
      </c>
      <c r="B1301" s="2">
        <v>45005</v>
      </c>
      <c r="C1301" s="2" t="str">
        <f>TEXT(Table3[[#This Row],[Order Date]],"mmmm")</f>
        <v>March</v>
      </c>
      <c r="D1301" t="s">
        <v>3220</v>
      </c>
      <c r="E1301" t="s">
        <v>3224</v>
      </c>
      <c r="F1301" t="s">
        <v>3226</v>
      </c>
      <c r="G1301" s="4">
        <v>123186.75</v>
      </c>
      <c r="H1301" s="4">
        <v>91834.54</v>
      </c>
      <c r="I1301" s="3" t="s">
        <v>3734</v>
      </c>
      <c r="J1301">
        <v>2</v>
      </c>
      <c r="K1301" s="4">
        <f>Table3[[#This Row],[Sales]]-Table3[[#This Row],[Cost]]</f>
        <v>31352.210000000006</v>
      </c>
      <c r="L1301" s="6">
        <f>Table3[[#This Row],[Profit]]/Table3[[#This Row],[Sales]]</f>
        <v>0.25450959620251373</v>
      </c>
    </row>
    <row r="1302" spans="1:12" x14ac:dyDescent="0.25">
      <c r="A1302" t="s">
        <v>1279</v>
      </c>
      <c r="B1302" s="2">
        <v>44972</v>
      </c>
      <c r="C1302" s="2" t="str">
        <f>TEXT(Table3[[#This Row],[Order Date]],"mmmm")</f>
        <v>February</v>
      </c>
      <c r="D1302" t="s">
        <v>3730</v>
      </c>
      <c r="E1302" t="s">
        <v>3222</v>
      </c>
      <c r="F1302" t="s">
        <v>3226</v>
      </c>
      <c r="G1302" s="4">
        <v>33987.14</v>
      </c>
      <c r="H1302" s="4">
        <v>19296.59</v>
      </c>
      <c r="I1302" s="3" t="s">
        <v>3734</v>
      </c>
      <c r="J1302" t="s">
        <v>3732</v>
      </c>
      <c r="K1302" s="4">
        <f>Table3[[#This Row],[Sales]]-Table3[[#This Row],[Cost]]</f>
        <v>14690.55</v>
      </c>
      <c r="L1302" s="6">
        <f>Table3[[#This Row],[Profit]]/Table3[[#This Row],[Sales]]</f>
        <v>0.43223848785158148</v>
      </c>
    </row>
    <row r="1303" spans="1:12" x14ac:dyDescent="0.25">
      <c r="A1303" t="s">
        <v>1280</v>
      </c>
      <c r="B1303" s="2">
        <v>45005</v>
      </c>
      <c r="C1303" s="2" t="str">
        <f>TEXT(Table3[[#This Row],[Order Date]],"mmmm")</f>
        <v>March</v>
      </c>
      <c r="D1303" t="s">
        <v>3730</v>
      </c>
      <c r="E1303" t="s">
        <v>3223</v>
      </c>
      <c r="F1303" t="s">
        <v>3226</v>
      </c>
      <c r="G1303" s="4">
        <v>58424.959999999999</v>
      </c>
      <c r="H1303" s="4">
        <v>32428.799999999999</v>
      </c>
      <c r="I1303" s="3" t="s">
        <v>3734</v>
      </c>
      <c r="J1303">
        <v>5</v>
      </c>
      <c r="K1303" s="4">
        <f>Table3[[#This Row],[Sales]]-Table3[[#This Row],[Cost]]</f>
        <v>25996.16</v>
      </c>
      <c r="L1303" s="6">
        <f>Table3[[#This Row],[Profit]]/Table3[[#This Row],[Sales]]</f>
        <v>0.44494955580628553</v>
      </c>
    </row>
    <row r="1304" spans="1:12" x14ac:dyDescent="0.25">
      <c r="A1304" t="s">
        <v>3349</v>
      </c>
      <c r="B1304" s="2">
        <v>44941</v>
      </c>
      <c r="C1304" s="2" t="str">
        <f>TEXT(Table3[[#This Row],[Order Date]],"mmmm")</f>
        <v>January</v>
      </c>
      <c r="D1304" t="s">
        <v>3220</v>
      </c>
      <c r="E1304" t="s">
        <v>3223</v>
      </c>
      <c r="F1304" t="s">
        <v>3226</v>
      </c>
      <c r="G1304" s="4">
        <v>9722.8700000000008</v>
      </c>
      <c r="H1304" s="4">
        <v>6827.98</v>
      </c>
      <c r="I1304" s="3" t="s">
        <v>3734</v>
      </c>
      <c r="J1304">
        <v>1</v>
      </c>
      <c r="K1304" s="4">
        <f>Table3[[#This Row],[Sales]]-Table3[[#This Row],[Cost]]</f>
        <v>2894.8900000000012</v>
      </c>
      <c r="L1304" s="6">
        <f>Table3[[#This Row],[Profit]]/Table3[[#This Row],[Sales]]</f>
        <v>0.29774027627644933</v>
      </c>
    </row>
    <row r="1305" spans="1:12" x14ac:dyDescent="0.25">
      <c r="A1305" t="s">
        <v>1281</v>
      </c>
      <c r="B1305" s="2">
        <v>45021</v>
      </c>
      <c r="C1305" s="2" t="str">
        <f>TEXT(Table3[[#This Row],[Order Date]],"mmmm")</f>
        <v>April</v>
      </c>
      <c r="D1305" t="s">
        <v>3216</v>
      </c>
      <c r="E1305" t="s">
        <v>3223</v>
      </c>
      <c r="F1305" t="s">
        <v>3226</v>
      </c>
      <c r="G1305" s="4">
        <v>59947.62</v>
      </c>
      <c r="H1305" s="4">
        <v>37385.57</v>
      </c>
      <c r="I1305" s="3" t="s">
        <v>3734</v>
      </c>
      <c r="J1305">
        <v>5</v>
      </c>
      <c r="K1305" s="4">
        <f>Table3[[#This Row],[Sales]]-Table3[[#This Row],[Cost]]</f>
        <v>22562.050000000003</v>
      </c>
      <c r="L1305" s="6">
        <f>Table3[[#This Row],[Profit]]/Table3[[#This Row],[Sales]]</f>
        <v>0.37636273133111875</v>
      </c>
    </row>
    <row r="1306" spans="1:12" x14ac:dyDescent="0.25">
      <c r="A1306" t="s">
        <v>1282</v>
      </c>
      <c r="B1306" s="2">
        <v>44941</v>
      </c>
      <c r="C1306" s="2" t="str">
        <f>TEXT(Table3[[#This Row],[Order Date]],"mmmm")</f>
        <v>January</v>
      </c>
      <c r="D1306" t="s">
        <v>3730</v>
      </c>
      <c r="E1306" t="s">
        <v>3223</v>
      </c>
      <c r="F1306" t="s">
        <v>3226</v>
      </c>
      <c r="G1306" s="4">
        <v>53041.65</v>
      </c>
      <c r="H1306" s="4">
        <v>42433.320000000007</v>
      </c>
      <c r="I1306" s="3" t="s">
        <v>3735</v>
      </c>
      <c r="J1306">
        <v>5</v>
      </c>
      <c r="K1306" s="4">
        <f>Table3[[#This Row],[Sales]]-Table3[[#This Row],[Cost]]</f>
        <v>10608.329999999994</v>
      </c>
      <c r="L1306" s="6">
        <f>Table3[[#This Row],[Profit]]/Table3[[#This Row],[Sales]]</f>
        <v>0.1999999999999999</v>
      </c>
    </row>
    <row r="1307" spans="1:12" x14ac:dyDescent="0.25">
      <c r="A1307" t="s">
        <v>3333</v>
      </c>
      <c r="B1307" s="2">
        <v>44972</v>
      </c>
      <c r="C1307" s="2" t="str">
        <f>TEXT(Table3[[#This Row],[Order Date]],"mmmm")</f>
        <v>February</v>
      </c>
      <c r="D1307" t="s">
        <v>3220</v>
      </c>
      <c r="E1307" t="s">
        <v>3224</v>
      </c>
      <c r="F1307" t="s">
        <v>3226</v>
      </c>
      <c r="G1307" s="4">
        <v>123223.9</v>
      </c>
      <c r="H1307" s="4">
        <v>96735.14</v>
      </c>
      <c r="I1307" s="3" t="s">
        <v>3734</v>
      </c>
      <c r="J1307">
        <v>2</v>
      </c>
      <c r="K1307" s="4">
        <f>Table3[[#This Row],[Sales]]-Table3[[#This Row],[Cost]]</f>
        <v>26488.759999999995</v>
      </c>
      <c r="L1307" s="6">
        <f>Table3[[#This Row],[Profit]]/Table3[[#This Row],[Sales]]</f>
        <v>0.21496446712042061</v>
      </c>
    </row>
    <row r="1308" spans="1:12" x14ac:dyDescent="0.25">
      <c r="A1308" t="s">
        <v>3461</v>
      </c>
      <c r="B1308" s="2" t="s">
        <v>3729</v>
      </c>
      <c r="C1308" s="2" t="str">
        <f>TEXT(Table3[[#This Row],[Order Date]],"mmmm")</f>
        <v>Not Mentioned</v>
      </c>
      <c r="D1308" t="s">
        <v>3220</v>
      </c>
      <c r="E1308" t="s">
        <v>3222</v>
      </c>
      <c r="F1308" t="s">
        <v>3226</v>
      </c>
      <c r="G1308" s="4">
        <v>56654.04</v>
      </c>
      <c r="H1308" s="4">
        <v>42724.56</v>
      </c>
      <c r="I1308" s="3" t="s">
        <v>3734</v>
      </c>
      <c r="J1308">
        <v>4</v>
      </c>
      <c r="K1308" s="4">
        <f>Table3[[#This Row],[Sales]]-Table3[[#This Row],[Cost]]</f>
        <v>13929.480000000003</v>
      </c>
      <c r="L1308" s="6">
        <f>Table3[[#This Row],[Profit]]/Table3[[#This Row],[Sales]]</f>
        <v>0.24586913837036165</v>
      </c>
    </row>
    <row r="1309" spans="1:12" x14ac:dyDescent="0.25">
      <c r="A1309" t="s">
        <v>1284</v>
      </c>
      <c r="B1309" s="2">
        <v>45021</v>
      </c>
      <c r="C1309" s="2" t="str">
        <f>TEXT(Table3[[#This Row],[Order Date]],"mmmm")</f>
        <v>April</v>
      </c>
      <c r="D1309" t="s">
        <v>3216</v>
      </c>
      <c r="E1309" t="s">
        <v>3223</v>
      </c>
      <c r="F1309" t="s">
        <v>3226</v>
      </c>
      <c r="G1309" s="4">
        <v>54480</v>
      </c>
      <c r="H1309" s="4">
        <v>34571.160000000003</v>
      </c>
      <c r="I1309" s="3" t="s">
        <v>3734</v>
      </c>
      <c r="J1309">
        <v>5</v>
      </c>
      <c r="K1309" s="4">
        <f>Table3[[#This Row],[Sales]]-Table3[[#This Row],[Cost]]</f>
        <v>19908.839999999997</v>
      </c>
      <c r="L1309" s="6">
        <f>Table3[[#This Row],[Profit]]/Table3[[#This Row],[Sales]]</f>
        <v>0.36543392070484576</v>
      </c>
    </row>
    <row r="1310" spans="1:12" x14ac:dyDescent="0.25">
      <c r="A1310" t="s">
        <v>3462</v>
      </c>
      <c r="B1310" s="2">
        <v>45021</v>
      </c>
      <c r="C1310" s="2" t="str">
        <f>TEXT(Table3[[#This Row],[Order Date]],"mmmm")</f>
        <v>April</v>
      </c>
      <c r="D1310" t="s">
        <v>3730</v>
      </c>
      <c r="E1310" t="s">
        <v>3223</v>
      </c>
      <c r="F1310" t="s">
        <v>3226</v>
      </c>
      <c r="G1310" s="4">
        <v>9066.2000000000007</v>
      </c>
      <c r="H1310" s="4">
        <v>6553.53</v>
      </c>
      <c r="I1310" s="3" t="s">
        <v>3734</v>
      </c>
      <c r="J1310">
        <v>1</v>
      </c>
      <c r="K1310" s="4">
        <f>Table3[[#This Row],[Sales]]-Table3[[#This Row],[Cost]]</f>
        <v>2512.670000000001</v>
      </c>
      <c r="L1310" s="6">
        <f>Table3[[#This Row],[Profit]]/Table3[[#This Row],[Sales]]</f>
        <v>0.27714698550660705</v>
      </c>
    </row>
    <row r="1311" spans="1:12" x14ac:dyDescent="0.25">
      <c r="A1311" t="s">
        <v>696</v>
      </c>
      <c r="B1311" s="2">
        <v>45102</v>
      </c>
      <c r="C1311" s="2" t="str">
        <f>TEXT(Table3[[#This Row],[Order Date]],"mmmm")</f>
        <v>June</v>
      </c>
      <c r="D1311" t="s">
        <v>3216</v>
      </c>
      <c r="E1311" t="s">
        <v>3224</v>
      </c>
      <c r="F1311" t="s">
        <v>3226</v>
      </c>
      <c r="G1311" s="4">
        <v>52933.72</v>
      </c>
      <c r="H1311" s="4">
        <v>39053.68</v>
      </c>
      <c r="I1311" s="3" t="s">
        <v>3734</v>
      </c>
      <c r="J1311">
        <v>1</v>
      </c>
      <c r="K1311" s="4">
        <f>Table3[[#This Row],[Sales]]-Table3[[#This Row],[Cost]]</f>
        <v>13880.04</v>
      </c>
      <c r="L1311" s="6">
        <f>Table3[[#This Row],[Profit]]/Table3[[#This Row],[Sales]]</f>
        <v>0.2622154649248154</v>
      </c>
    </row>
    <row r="1312" spans="1:12" x14ac:dyDescent="0.25">
      <c r="A1312" t="s">
        <v>1286</v>
      </c>
      <c r="B1312" s="2">
        <v>44941</v>
      </c>
      <c r="C1312" s="2" t="str">
        <f>TEXT(Table3[[#This Row],[Order Date]],"mmmm")</f>
        <v>January</v>
      </c>
      <c r="D1312" t="s">
        <v>3730</v>
      </c>
      <c r="E1312" t="s">
        <v>3224</v>
      </c>
      <c r="F1312" t="s">
        <v>3226</v>
      </c>
      <c r="G1312" s="4">
        <v>109285.44</v>
      </c>
      <c r="H1312" s="4">
        <v>92580.23</v>
      </c>
      <c r="I1312" s="3" t="s">
        <v>3734</v>
      </c>
      <c r="J1312">
        <v>2</v>
      </c>
      <c r="K1312" s="4">
        <f>Table3[[#This Row],[Sales]]-Table3[[#This Row],[Cost]]</f>
        <v>16705.210000000006</v>
      </c>
      <c r="L1312" s="6">
        <f>Table3[[#This Row],[Profit]]/Table3[[#This Row],[Sales]]</f>
        <v>0.15285851436385309</v>
      </c>
    </row>
    <row r="1313" spans="1:12" x14ac:dyDescent="0.25">
      <c r="A1313" t="s">
        <v>1287</v>
      </c>
      <c r="B1313" s="2" t="s">
        <v>3729</v>
      </c>
      <c r="C1313" s="2" t="str">
        <f>TEXT(Table3[[#This Row],[Order Date]],"mmmm")</f>
        <v>Not Mentioned</v>
      </c>
      <c r="D1313" t="s">
        <v>3220</v>
      </c>
      <c r="E1313" t="s">
        <v>3225</v>
      </c>
      <c r="F1313" t="s">
        <v>3226</v>
      </c>
      <c r="G1313" s="4">
        <v>23222.62</v>
      </c>
      <c r="H1313" s="4">
        <v>12865.8</v>
      </c>
      <c r="I1313" s="3" t="s">
        <v>3734</v>
      </c>
      <c r="J1313">
        <v>1</v>
      </c>
      <c r="K1313" s="4">
        <f>Table3[[#This Row],[Sales]]-Table3[[#This Row],[Cost]]</f>
        <v>10356.82</v>
      </c>
      <c r="L1313" s="6">
        <f>Table3[[#This Row],[Profit]]/Table3[[#This Row],[Sales]]</f>
        <v>0.44597982484319171</v>
      </c>
    </row>
    <row r="1314" spans="1:12" x14ac:dyDescent="0.25">
      <c r="A1314" t="s">
        <v>1288</v>
      </c>
      <c r="B1314" s="2">
        <v>44972</v>
      </c>
      <c r="C1314" s="2" t="str">
        <f>TEXT(Table3[[#This Row],[Order Date]],"mmmm")</f>
        <v>February</v>
      </c>
      <c r="D1314" t="s">
        <v>3220</v>
      </c>
      <c r="E1314" t="s">
        <v>3224</v>
      </c>
      <c r="F1314" t="s">
        <v>3226</v>
      </c>
      <c r="G1314" s="4">
        <v>285380.62</v>
      </c>
      <c r="H1314" s="4">
        <v>233310.7</v>
      </c>
      <c r="I1314" s="3" t="s">
        <v>3734</v>
      </c>
      <c r="J1314">
        <v>5</v>
      </c>
      <c r="K1314" s="4">
        <f>Table3[[#This Row],[Sales]]-Table3[[#This Row],[Cost]]</f>
        <v>52069.919999999984</v>
      </c>
      <c r="L1314" s="6">
        <f>Table3[[#This Row],[Profit]]/Table3[[#This Row],[Sales]]</f>
        <v>0.18245779969221451</v>
      </c>
    </row>
    <row r="1315" spans="1:12" x14ac:dyDescent="0.25">
      <c r="A1315" t="s">
        <v>780</v>
      </c>
      <c r="B1315" s="2" t="s">
        <v>3729</v>
      </c>
      <c r="C1315" s="2" t="str">
        <f>TEXT(Table3[[#This Row],[Order Date]],"mmmm")</f>
        <v>Not Mentioned</v>
      </c>
      <c r="D1315" t="s">
        <v>3731</v>
      </c>
      <c r="E1315" t="s">
        <v>3222</v>
      </c>
      <c r="F1315" t="s">
        <v>3226</v>
      </c>
      <c r="G1315" s="4">
        <v>33596.89</v>
      </c>
      <c r="H1315" s="4">
        <v>26877.512000000002</v>
      </c>
      <c r="I1315" s="3" t="s">
        <v>3735</v>
      </c>
      <c r="J1315">
        <v>2</v>
      </c>
      <c r="K1315" s="4">
        <f>Table3[[#This Row],[Sales]]-Table3[[#This Row],[Cost]]</f>
        <v>6719.377999999997</v>
      </c>
      <c r="L1315" s="6">
        <f>Table3[[#This Row],[Profit]]/Table3[[#This Row],[Sales]]</f>
        <v>0.1999999999999999</v>
      </c>
    </row>
    <row r="1316" spans="1:12" x14ac:dyDescent="0.25">
      <c r="A1316" t="s">
        <v>1289</v>
      </c>
      <c r="B1316" s="2">
        <v>44972</v>
      </c>
      <c r="C1316" s="2" t="str">
        <f>TEXT(Table3[[#This Row],[Order Date]],"mmmm")</f>
        <v>February</v>
      </c>
      <c r="D1316" t="s">
        <v>3216</v>
      </c>
      <c r="E1316" t="s">
        <v>3223</v>
      </c>
      <c r="F1316" t="s">
        <v>3226</v>
      </c>
      <c r="G1316" s="4">
        <v>36672.730000000003</v>
      </c>
      <c r="H1316" s="4">
        <v>29338.184000000005</v>
      </c>
      <c r="I1316" s="3" t="s">
        <v>3735</v>
      </c>
      <c r="J1316">
        <v>4</v>
      </c>
      <c r="K1316" s="4">
        <f>Table3[[#This Row],[Sales]]-Table3[[#This Row],[Cost]]</f>
        <v>7334.5459999999985</v>
      </c>
      <c r="L1316" s="6">
        <f>Table3[[#This Row],[Profit]]/Table3[[#This Row],[Sales]]</f>
        <v>0.19999999999999993</v>
      </c>
    </row>
    <row r="1317" spans="1:12" x14ac:dyDescent="0.25">
      <c r="A1317" t="s">
        <v>1290</v>
      </c>
      <c r="B1317" s="2">
        <v>45102</v>
      </c>
      <c r="C1317" s="2" t="str">
        <f>TEXT(Table3[[#This Row],[Order Date]],"mmmm")</f>
        <v>June</v>
      </c>
      <c r="D1317" t="s">
        <v>3730</v>
      </c>
      <c r="E1317" t="s">
        <v>3223</v>
      </c>
      <c r="F1317" t="s">
        <v>3226</v>
      </c>
      <c r="G1317" s="4">
        <v>35759.18</v>
      </c>
      <c r="H1317" s="4">
        <v>26897.3</v>
      </c>
      <c r="I1317" s="3" t="s">
        <v>3734</v>
      </c>
      <c r="J1317">
        <v>4</v>
      </c>
      <c r="K1317" s="4">
        <f>Table3[[#This Row],[Sales]]-Table3[[#This Row],[Cost]]</f>
        <v>8861.880000000001</v>
      </c>
      <c r="L1317" s="6">
        <f>Table3[[#This Row],[Profit]]/Table3[[#This Row],[Sales]]</f>
        <v>0.24782111894064687</v>
      </c>
    </row>
    <row r="1318" spans="1:12" x14ac:dyDescent="0.25">
      <c r="A1318" t="s">
        <v>1291</v>
      </c>
      <c r="B1318" s="2">
        <v>45005</v>
      </c>
      <c r="C1318" s="2" t="str">
        <f>TEXT(Table3[[#This Row],[Order Date]],"mmmm")</f>
        <v>March</v>
      </c>
      <c r="D1318" t="s">
        <v>3220</v>
      </c>
      <c r="E1318" t="s">
        <v>3224</v>
      </c>
      <c r="F1318" t="s">
        <v>3226</v>
      </c>
      <c r="G1318" s="4">
        <v>257849.21</v>
      </c>
      <c r="H1318" s="4">
        <v>172303.65</v>
      </c>
      <c r="I1318" s="3" t="s">
        <v>3734</v>
      </c>
      <c r="J1318" t="s">
        <v>3732</v>
      </c>
      <c r="K1318" s="4">
        <f>Table3[[#This Row],[Sales]]-Table3[[#This Row],[Cost]]</f>
        <v>85545.56</v>
      </c>
      <c r="L1318" s="6">
        <f>Table3[[#This Row],[Profit]]/Table3[[#This Row],[Sales]]</f>
        <v>0.33176584097348988</v>
      </c>
    </row>
    <row r="1319" spans="1:12" x14ac:dyDescent="0.25">
      <c r="A1319" t="s">
        <v>1292</v>
      </c>
      <c r="B1319" s="2">
        <v>45021</v>
      </c>
      <c r="C1319" s="2" t="str">
        <f>TEXT(Table3[[#This Row],[Order Date]],"mmmm")</f>
        <v>April</v>
      </c>
      <c r="D1319" t="s">
        <v>3220</v>
      </c>
      <c r="E1319" t="s">
        <v>3223</v>
      </c>
      <c r="F1319" t="s">
        <v>3226</v>
      </c>
      <c r="G1319" s="4">
        <v>26847.77</v>
      </c>
      <c r="H1319" s="4">
        <v>20147.39</v>
      </c>
      <c r="I1319" s="3" t="s">
        <v>3734</v>
      </c>
      <c r="J1319">
        <v>3</v>
      </c>
      <c r="K1319" s="4">
        <f>Table3[[#This Row],[Sales]]-Table3[[#This Row],[Cost]]</f>
        <v>6700.380000000001</v>
      </c>
      <c r="L1319" s="6">
        <f>Table3[[#This Row],[Profit]]/Table3[[#This Row],[Sales]]</f>
        <v>0.2495693310841087</v>
      </c>
    </row>
    <row r="1320" spans="1:12" x14ac:dyDescent="0.25">
      <c r="A1320" t="s">
        <v>3463</v>
      </c>
      <c r="B1320" s="2">
        <v>44972</v>
      </c>
      <c r="C1320" s="2" t="str">
        <f>TEXT(Table3[[#This Row],[Order Date]],"mmmm")</f>
        <v>February</v>
      </c>
      <c r="D1320" t="s">
        <v>3220</v>
      </c>
      <c r="E1320" t="s">
        <v>3225</v>
      </c>
      <c r="F1320" t="s">
        <v>3226</v>
      </c>
      <c r="G1320" s="4">
        <v>117093.3</v>
      </c>
      <c r="H1320" s="4">
        <v>71798.899999999994</v>
      </c>
      <c r="I1320" s="3" t="s">
        <v>3734</v>
      </c>
      <c r="J1320" t="s">
        <v>3732</v>
      </c>
      <c r="K1320" s="4">
        <f>Table3[[#This Row],[Sales]]-Table3[[#This Row],[Cost]]</f>
        <v>45294.400000000009</v>
      </c>
      <c r="L1320" s="6">
        <f>Table3[[#This Row],[Profit]]/Table3[[#This Row],[Sales]]</f>
        <v>0.38682315726006533</v>
      </c>
    </row>
    <row r="1321" spans="1:12" x14ac:dyDescent="0.25">
      <c r="A1321" t="s">
        <v>1294</v>
      </c>
      <c r="B1321" s="2">
        <v>44941</v>
      </c>
      <c r="C1321" s="2" t="str">
        <f>TEXT(Table3[[#This Row],[Order Date]],"mmmm")</f>
        <v>January</v>
      </c>
      <c r="D1321" t="s">
        <v>3731</v>
      </c>
      <c r="E1321" t="s">
        <v>3222</v>
      </c>
      <c r="F1321" t="s">
        <v>3226</v>
      </c>
      <c r="G1321" s="4">
        <v>55983.71</v>
      </c>
      <c r="H1321" s="4">
        <v>39926.589999999997</v>
      </c>
      <c r="I1321" s="3" t="s">
        <v>3734</v>
      </c>
      <c r="J1321">
        <v>4</v>
      </c>
      <c r="K1321" s="4">
        <f>Table3[[#This Row],[Sales]]-Table3[[#This Row],[Cost]]</f>
        <v>16057.120000000003</v>
      </c>
      <c r="L1321" s="6">
        <f>Table3[[#This Row],[Profit]]/Table3[[#This Row],[Sales]]</f>
        <v>0.28681771894002744</v>
      </c>
    </row>
    <row r="1322" spans="1:12" x14ac:dyDescent="0.25">
      <c r="A1322" t="s">
        <v>1295</v>
      </c>
      <c r="B1322" s="2">
        <v>44941</v>
      </c>
      <c r="C1322" s="2" t="str">
        <f>TEXT(Table3[[#This Row],[Order Date]],"mmmm")</f>
        <v>January</v>
      </c>
      <c r="D1322" t="s">
        <v>3216</v>
      </c>
      <c r="E1322" t="s">
        <v>3225</v>
      </c>
      <c r="F1322" t="s">
        <v>3226</v>
      </c>
      <c r="G1322" s="4">
        <v>71190.09</v>
      </c>
      <c r="H1322" s="4">
        <v>56952.072</v>
      </c>
      <c r="I1322" s="3" t="s">
        <v>3735</v>
      </c>
      <c r="J1322">
        <v>3</v>
      </c>
      <c r="K1322" s="4">
        <f>Table3[[#This Row],[Sales]]-Table3[[#This Row],[Cost]]</f>
        <v>14238.017999999996</v>
      </c>
      <c r="L1322" s="6">
        <f>Table3[[#This Row],[Profit]]/Table3[[#This Row],[Sales]]</f>
        <v>0.19999999999999996</v>
      </c>
    </row>
    <row r="1323" spans="1:12" x14ac:dyDescent="0.25">
      <c r="A1323" t="s">
        <v>1296</v>
      </c>
      <c r="B1323" s="2" t="s">
        <v>3729</v>
      </c>
      <c r="C1323" s="2" t="str">
        <f>TEXT(Table3[[#This Row],[Order Date]],"mmmm")</f>
        <v>Not Mentioned</v>
      </c>
      <c r="D1323" t="s">
        <v>3730</v>
      </c>
      <c r="E1323" t="s">
        <v>3222</v>
      </c>
      <c r="F1323" t="s">
        <v>3226</v>
      </c>
      <c r="G1323" s="4">
        <v>34491.56</v>
      </c>
      <c r="H1323" s="4">
        <v>17298.2</v>
      </c>
      <c r="I1323" s="3" t="s">
        <v>3734</v>
      </c>
      <c r="J1323">
        <v>2</v>
      </c>
      <c r="K1323" s="4">
        <f>Table3[[#This Row],[Sales]]-Table3[[#This Row],[Cost]]</f>
        <v>17193.359999999997</v>
      </c>
      <c r="L1323" s="6">
        <f>Table3[[#This Row],[Profit]]/Table3[[#This Row],[Sales]]</f>
        <v>0.49848020791173253</v>
      </c>
    </row>
    <row r="1324" spans="1:12" x14ac:dyDescent="0.25">
      <c r="A1324" t="s">
        <v>1186</v>
      </c>
      <c r="B1324" s="2" t="s">
        <v>3729</v>
      </c>
      <c r="C1324" s="2" t="str">
        <f>TEXT(Table3[[#This Row],[Order Date]],"mmmm")</f>
        <v>Not Mentioned</v>
      </c>
      <c r="D1324" t="s">
        <v>3220</v>
      </c>
      <c r="E1324" t="s">
        <v>3225</v>
      </c>
      <c r="F1324" t="s">
        <v>3226</v>
      </c>
      <c r="G1324" s="4">
        <v>65214.98</v>
      </c>
      <c r="H1324" s="4">
        <v>37078.51</v>
      </c>
      <c r="I1324" s="3" t="s">
        <v>3734</v>
      </c>
      <c r="J1324">
        <v>3</v>
      </c>
      <c r="K1324" s="4">
        <f>Table3[[#This Row],[Sales]]-Table3[[#This Row],[Cost]]</f>
        <v>28136.47</v>
      </c>
      <c r="L1324" s="6">
        <f>Table3[[#This Row],[Profit]]/Table3[[#This Row],[Sales]]</f>
        <v>0.43144182517574947</v>
      </c>
    </row>
    <row r="1325" spans="1:12" x14ac:dyDescent="0.25">
      <c r="A1325" t="s">
        <v>1007</v>
      </c>
      <c r="B1325" s="2">
        <v>44972</v>
      </c>
      <c r="C1325" s="2" t="str">
        <f>TEXT(Table3[[#This Row],[Order Date]],"mmmm")</f>
        <v>February</v>
      </c>
      <c r="D1325" t="s">
        <v>3216</v>
      </c>
      <c r="E1325" t="s">
        <v>3222</v>
      </c>
      <c r="F1325" t="s">
        <v>3226</v>
      </c>
      <c r="G1325" s="4">
        <v>65667.42</v>
      </c>
      <c r="H1325" s="4">
        <v>52533.936000000002</v>
      </c>
      <c r="I1325" s="3" t="s">
        <v>3735</v>
      </c>
      <c r="J1325">
        <v>5</v>
      </c>
      <c r="K1325" s="4">
        <f>Table3[[#This Row],[Sales]]-Table3[[#This Row],[Cost]]</f>
        <v>13133.483999999997</v>
      </c>
      <c r="L1325" s="6">
        <f>Table3[[#This Row],[Profit]]/Table3[[#This Row],[Sales]]</f>
        <v>0.19999999999999996</v>
      </c>
    </row>
    <row r="1326" spans="1:12" x14ac:dyDescent="0.25">
      <c r="A1326" t="s">
        <v>1298</v>
      </c>
      <c r="B1326" s="2">
        <v>45021</v>
      </c>
      <c r="C1326" s="2" t="str">
        <f>TEXT(Table3[[#This Row],[Order Date]],"mmmm")</f>
        <v>April</v>
      </c>
      <c r="D1326" t="s">
        <v>3731</v>
      </c>
      <c r="E1326" t="s">
        <v>3222</v>
      </c>
      <c r="F1326" t="s">
        <v>3226</v>
      </c>
      <c r="G1326" s="4">
        <v>13360.62</v>
      </c>
      <c r="H1326" s="4">
        <v>9639.7099999999991</v>
      </c>
      <c r="I1326" s="3" t="s">
        <v>3734</v>
      </c>
      <c r="J1326">
        <v>1</v>
      </c>
      <c r="K1326" s="4">
        <f>Table3[[#This Row],[Sales]]-Table3[[#This Row],[Cost]]</f>
        <v>3720.9100000000017</v>
      </c>
      <c r="L1326" s="6">
        <f>Table3[[#This Row],[Profit]]/Table3[[#This Row],[Sales]]</f>
        <v>0.27849830322245533</v>
      </c>
    </row>
    <row r="1327" spans="1:12" x14ac:dyDescent="0.25">
      <c r="A1327" t="s">
        <v>1299</v>
      </c>
      <c r="B1327" s="2">
        <v>44972</v>
      </c>
      <c r="C1327" s="2" t="str">
        <f>TEXT(Table3[[#This Row],[Order Date]],"mmmm")</f>
        <v>February</v>
      </c>
      <c r="D1327" t="s">
        <v>3220</v>
      </c>
      <c r="E1327" t="s">
        <v>3223</v>
      </c>
      <c r="F1327" t="s">
        <v>3226</v>
      </c>
      <c r="G1327" s="4">
        <v>25195.93</v>
      </c>
      <c r="H1327" s="4">
        <v>23074.65</v>
      </c>
      <c r="I1327" s="3" t="s">
        <v>3734</v>
      </c>
      <c r="J1327">
        <v>3</v>
      </c>
      <c r="K1327" s="4">
        <f>Table3[[#This Row],[Sales]]-Table3[[#This Row],[Cost]]</f>
        <v>2121.2799999999988</v>
      </c>
      <c r="L1327" s="6">
        <f>Table3[[#This Row],[Profit]]/Table3[[#This Row],[Sales]]</f>
        <v>8.419137535308277E-2</v>
      </c>
    </row>
    <row r="1328" spans="1:12" x14ac:dyDescent="0.25">
      <c r="A1328" t="s">
        <v>1301</v>
      </c>
      <c r="B1328" s="2">
        <v>44941</v>
      </c>
      <c r="C1328" s="2" t="str">
        <f>TEXT(Table3[[#This Row],[Order Date]],"mmmm")</f>
        <v>January</v>
      </c>
      <c r="D1328" t="s">
        <v>3220</v>
      </c>
      <c r="E1328" t="s">
        <v>3222</v>
      </c>
      <c r="F1328" t="s">
        <v>3226</v>
      </c>
      <c r="G1328" s="4">
        <v>14741.37</v>
      </c>
      <c r="H1328" s="4">
        <v>9527.25</v>
      </c>
      <c r="I1328" s="3" t="s">
        <v>3734</v>
      </c>
      <c r="J1328">
        <v>1</v>
      </c>
      <c r="K1328" s="4">
        <f>Table3[[#This Row],[Sales]]-Table3[[#This Row],[Cost]]</f>
        <v>5214.1200000000008</v>
      </c>
      <c r="L1328" s="6">
        <f>Table3[[#This Row],[Profit]]/Table3[[#This Row],[Sales]]</f>
        <v>0.35370660935856035</v>
      </c>
    </row>
    <row r="1329" spans="1:12" x14ac:dyDescent="0.25">
      <c r="A1329" t="s">
        <v>1302</v>
      </c>
      <c r="B1329" s="2">
        <v>45102</v>
      </c>
      <c r="C1329" s="2" t="str">
        <f>TEXT(Table3[[#This Row],[Order Date]],"mmmm")</f>
        <v>June</v>
      </c>
      <c r="D1329" t="s">
        <v>3731</v>
      </c>
      <c r="E1329" t="s">
        <v>3224</v>
      </c>
      <c r="F1329" t="s">
        <v>3226</v>
      </c>
      <c r="G1329" s="4">
        <v>145327.26</v>
      </c>
      <c r="H1329" s="4">
        <v>119743.47</v>
      </c>
      <c r="I1329" s="3" t="s">
        <v>3734</v>
      </c>
      <c r="J1329">
        <v>3</v>
      </c>
      <c r="K1329" s="4">
        <f>Table3[[#This Row],[Sales]]-Table3[[#This Row],[Cost]]</f>
        <v>25583.790000000008</v>
      </c>
      <c r="L1329" s="6">
        <f>Table3[[#This Row],[Profit]]/Table3[[#This Row],[Sales]]</f>
        <v>0.1760426089365478</v>
      </c>
    </row>
    <row r="1330" spans="1:12" x14ac:dyDescent="0.25">
      <c r="A1330" t="s">
        <v>1303</v>
      </c>
      <c r="B1330" s="2">
        <v>44941</v>
      </c>
      <c r="C1330" s="2" t="str">
        <f>TEXT(Table3[[#This Row],[Order Date]],"mmmm")</f>
        <v>January</v>
      </c>
      <c r="D1330" t="s">
        <v>3220</v>
      </c>
      <c r="E1330" t="s">
        <v>3222</v>
      </c>
      <c r="F1330" t="s">
        <v>3226</v>
      </c>
      <c r="G1330" s="4">
        <v>25602.7</v>
      </c>
      <c r="H1330" s="4">
        <v>19446.36</v>
      </c>
      <c r="I1330" s="3" t="s">
        <v>3734</v>
      </c>
      <c r="J1330">
        <v>2</v>
      </c>
      <c r="K1330" s="4">
        <f>Table3[[#This Row],[Sales]]-Table3[[#This Row],[Cost]]</f>
        <v>6156.34</v>
      </c>
      <c r="L1330" s="6">
        <f>Table3[[#This Row],[Profit]]/Table3[[#This Row],[Sales]]</f>
        <v>0.24045667058552417</v>
      </c>
    </row>
    <row r="1331" spans="1:12" x14ac:dyDescent="0.25">
      <c r="A1331" t="s">
        <v>1304</v>
      </c>
      <c r="B1331" s="2" t="s">
        <v>3729</v>
      </c>
      <c r="C1331" s="2" t="str">
        <f>TEXT(Table3[[#This Row],[Order Date]],"mmmm")</f>
        <v>Not Mentioned</v>
      </c>
      <c r="D1331" t="s">
        <v>3220</v>
      </c>
      <c r="E1331" t="s">
        <v>3222</v>
      </c>
      <c r="F1331" t="s">
        <v>3226</v>
      </c>
      <c r="G1331" s="4">
        <v>34141.29</v>
      </c>
      <c r="H1331" s="4">
        <v>20010.77</v>
      </c>
      <c r="I1331" s="3" t="s">
        <v>3734</v>
      </c>
      <c r="J1331">
        <v>2</v>
      </c>
      <c r="K1331" s="4">
        <f>Table3[[#This Row],[Sales]]-Table3[[#This Row],[Cost]]</f>
        <v>14130.52</v>
      </c>
      <c r="L1331" s="6">
        <f>Table3[[#This Row],[Profit]]/Table3[[#This Row],[Sales]]</f>
        <v>0.4138835995945086</v>
      </c>
    </row>
    <row r="1332" spans="1:12" x14ac:dyDescent="0.25">
      <c r="A1332" t="s">
        <v>1305</v>
      </c>
      <c r="B1332" s="2">
        <v>45102</v>
      </c>
      <c r="C1332" s="2" t="str">
        <f>TEXT(Table3[[#This Row],[Order Date]],"mmmm")</f>
        <v>June</v>
      </c>
      <c r="D1332" t="s">
        <v>3731</v>
      </c>
      <c r="E1332" t="s">
        <v>3222</v>
      </c>
      <c r="F1332" t="s">
        <v>3226</v>
      </c>
      <c r="G1332" s="4">
        <v>88082.21</v>
      </c>
      <c r="H1332" s="4">
        <v>53784.26</v>
      </c>
      <c r="I1332" s="3" t="s">
        <v>3734</v>
      </c>
      <c r="J1332">
        <v>5</v>
      </c>
      <c r="K1332" s="4">
        <f>Table3[[#This Row],[Sales]]-Table3[[#This Row],[Cost]]</f>
        <v>34297.950000000004</v>
      </c>
      <c r="L1332" s="6">
        <f>Table3[[#This Row],[Profit]]/Table3[[#This Row],[Sales]]</f>
        <v>0.38938566595910801</v>
      </c>
    </row>
    <row r="1333" spans="1:12" x14ac:dyDescent="0.25">
      <c r="A1333" t="s">
        <v>740</v>
      </c>
      <c r="B1333" s="2">
        <v>45005</v>
      </c>
      <c r="C1333" s="2" t="str">
        <f>TEXT(Table3[[#This Row],[Order Date]],"mmmm")</f>
        <v>March</v>
      </c>
      <c r="D1333" t="s">
        <v>3730</v>
      </c>
      <c r="E1333" t="s">
        <v>3224</v>
      </c>
      <c r="F1333" t="s">
        <v>3226</v>
      </c>
      <c r="G1333" s="4">
        <v>297078.12</v>
      </c>
      <c r="H1333" s="4">
        <v>227536.73</v>
      </c>
      <c r="I1333" s="3" t="s">
        <v>3734</v>
      </c>
      <c r="J1333">
        <v>5</v>
      </c>
      <c r="K1333" s="4">
        <f>Table3[[#This Row],[Sales]]-Table3[[#This Row],[Cost]]</f>
        <v>69541.389999999985</v>
      </c>
      <c r="L1333" s="6">
        <f>Table3[[#This Row],[Profit]]/Table3[[#This Row],[Sales]]</f>
        <v>0.23408452295308718</v>
      </c>
    </row>
    <row r="1334" spans="1:12" x14ac:dyDescent="0.25">
      <c r="A1334" t="s">
        <v>1306</v>
      </c>
      <c r="B1334" s="2">
        <v>44972</v>
      </c>
      <c r="C1334" s="2" t="str">
        <f>TEXT(Table3[[#This Row],[Order Date]],"mmmm")</f>
        <v>February</v>
      </c>
      <c r="D1334" t="s">
        <v>3731</v>
      </c>
      <c r="E1334" t="s">
        <v>3224</v>
      </c>
      <c r="F1334" t="s">
        <v>3226</v>
      </c>
      <c r="G1334" s="4">
        <v>205839.67</v>
      </c>
      <c r="H1334" s="4">
        <v>192285.77</v>
      </c>
      <c r="I1334" s="3" t="s">
        <v>3734</v>
      </c>
      <c r="J1334">
        <v>4</v>
      </c>
      <c r="K1334" s="4">
        <f>Table3[[#This Row],[Sales]]-Table3[[#This Row],[Cost]]</f>
        <v>13553.900000000023</v>
      </c>
      <c r="L1334" s="6">
        <f>Table3[[#This Row],[Profit]]/Table3[[#This Row],[Sales]]</f>
        <v>6.5846879758406252E-2</v>
      </c>
    </row>
    <row r="1335" spans="1:12" x14ac:dyDescent="0.25">
      <c r="A1335" t="s">
        <v>1307</v>
      </c>
      <c r="B1335" s="2">
        <v>44941</v>
      </c>
      <c r="C1335" s="2" t="str">
        <f>TEXT(Table3[[#This Row],[Order Date]],"mmmm")</f>
        <v>January</v>
      </c>
      <c r="D1335" t="s">
        <v>3730</v>
      </c>
      <c r="E1335" t="s">
        <v>3222</v>
      </c>
      <c r="F1335" t="s">
        <v>3226</v>
      </c>
      <c r="G1335" s="4">
        <v>39961.71</v>
      </c>
      <c r="H1335" s="4">
        <v>31969.368000000002</v>
      </c>
      <c r="I1335" s="3" t="s">
        <v>3735</v>
      </c>
      <c r="J1335">
        <v>3</v>
      </c>
      <c r="K1335" s="4">
        <f>Table3[[#This Row],[Sales]]-Table3[[#This Row],[Cost]]</f>
        <v>7992.3419999999969</v>
      </c>
      <c r="L1335" s="6">
        <f>Table3[[#This Row],[Profit]]/Table3[[#This Row],[Sales]]</f>
        <v>0.19999999999999993</v>
      </c>
    </row>
    <row r="1336" spans="1:12" x14ac:dyDescent="0.25">
      <c r="A1336" t="s">
        <v>1308</v>
      </c>
      <c r="B1336" s="2" t="s">
        <v>3729</v>
      </c>
      <c r="C1336" s="2" t="str">
        <f>TEXT(Table3[[#This Row],[Order Date]],"mmmm")</f>
        <v>Not Mentioned</v>
      </c>
      <c r="D1336" t="s">
        <v>3220</v>
      </c>
      <c r="E1336" t="s">
        <v>3224</v>
      </c>
      <c r="F1336" t="s">
        <v>3226</v>
      </c>
      <c r="G1336" s="4">
        <v>259684.79</v>
      </c>
      <c r="H1336" s="4">
        <v>207747.83200000002</v>
      </c>
      <c r="I1336" s="3" t="s">
        <v>3735</v>
      </c>
      <c r="J1336">
        <v>5</v>
      </c>
      <c r="K1336" s="4">
        <f>Table3[[#This Row],[Sales]]-Table3[[#This Row],[Cost]]</f>
        <v>51936.957999999984</v>
      </c>
      <c r="L1336" s="6">
        <f>Table3[[#This Row],[Profit]]/Table3[[#This Row],[Sales]]</f>
        <v>0.19999999999999993</v>
      </c>
    </row>
    <row r="1337" spans="1:12" x14ac:dyDescent="0.25">
      <c r="A1337" t="s">
        <v>1309</v>
      </c>
      <c r="B1337" s="2">
        <v>45102</v>
      </c>
      <c r="C1337" s="2" t="str">
        <f>TEXT(Table3[[#This Row],[Order Date]],"mmmm")</f>
        <v>June</v>
      </c>
      <c r="D1337" t="s">
        <v>3730</v>
      </c>
      <c r="E1337" t="s">
        <v>3222</v>
      </c>
      <c r="F1337" t="s">
        <v>3226</v>
      </c>
      <c r="G1337" s="4">
        <v>29781.86</v>
      </c>
      <c r="H1337" s="4">
        <v>23825.488000000001</v>
      </c>
      <c r="I1337" s="3" t="s">
        <v>3735</v>
      </c>
      <c r="J1337">
        <v>2</v>
      </c>
      <c r="K1337" s="4">
        <f>Table3[[#This Row],[Sales]]-Table3[[#This Row],[Cost]]</f>
        <v>5956.3719999999994</v>
      </c>
      <c r="L1337" s="6">
        <f>Table3[[#This Row],[Profit]]/Table3[[#This Row],[Sales]]</f>
        <v>0.19999999999999998</v>
      </c>
    </row>
    <row r="1338" spans="1:12" x14ac:dyDescent="0.25">
      <c r="A1338" t="s">
        <v>1310</v>
      </c>
      <c r="B1338" s="2">
        <v>45102</v>
      </c>
      <c r="C1338" s="2" t="str">
        <f>TEXT(Table3[[#This Row],[Order Date]],"mmmm")</f>
        <v>June</v>
      </c>
      <c r="D1338" t="s">
        <v>3216</v>
      </c>
      <c r="E1338" t="s">
        <v>3222</v>
      </c>
      <c r="F1338" t="s">
        <v>3226</v>
      </c>
      <c r="G1338" s="4">
        <v>14691.15</v>
      </c>
      <c r="H1338" s="4">
        <v>9408.89</v>
      </c>
      <c r="I1338" s="3" t="s">
        <v>3734</v>
      </c>
      <c r="J1338">
        <v>1</v>
      </c>
      <c r="K1338" s="4">
        <f>Table3[[#This Row],[Sales]]-Table3[[#This Row],[Cost]]</f>
        <v>5282.26</v>
      </c>
      <c r="L1338" s="6">
        <f>Table3[[#This Row],[Profit]]/Table3[[#This Row],[Sales]]</f>
        <v>0.35955388107806402</v>
      </c>
    </row>
    <row r="1339" spans="1:12" x14ac:dyDescent="0.25">
      <c r="A1339" t="s">
        <v>1311</v>
      </c>
      <c r="B1339" s="2">
        <v>44941</v>
      </c>
      <c r="C1339" s="2" t="str">
        <f>TEXT(Table3[[#This Row],[Order Date]],"mmmm")</f>
        <v>January</v>
      </c>
      <c r="D1339" t="s">
        <v>3220</v>
      </c>
      <c r="E1339" t="s">
        <v>3222</v>
      </c>
      <c r="F1339" t="s">
        <v>3226</v>
      </c>
      <c r="G1339" s="4">
        <v>85955.07</v>
      </c>
      <c r="H1339" s="4">
        <v>47877.53</v>
      </c>
      <c r="I1339" s="3" t="s">
        <v>3734</v>
      </c>
      <c r="J1339">
        <v>5</v>
      </c>
      <c r="K1339" s="4">
        <f>Table3[[#This Row],[Sales]]-Table3[[#This Row],[Cost]]</f>
        <v>38077.540000000008</v>
      </c>
      <c r="L1339" s="6">
        <f>Table3[[#This Row],[Profit]]/Table3[[#This Row],[Sales]]</f>
        <v>0.44299353138796821</v>
      </c>
    </row>
    <row r="1340" spans="1:12" x14ac:dyDescent="0.25">
      <c r="A1340" t="s">
        <v>1312</v>
      </c>
      <c r="B1340" s="2">
        <v>45021</v>
      </c>
      <c r="C1340" s="2" t="str">
        <f>TEXT(Table3[[#This Row],[Order Date]],"mmmm")</f>
        <v>April</v>
      </c>
      <c r="D1340" t="s">
        <v>3730</v>
      </c>
      <c r="E1340" t="s">
        <v>3223</v>
      </c>
      <c r="F1340" t="s">
        <v>3226</v>
      </c>
      <c r="G1340" s="4">
        <v>25816.1</v>
      </c>
      <c r="H1340" s="4">
        <v>21972.99</v>
      </c>
      <c r="I1340" s="3" t="s">
        <v>3734</v>
      </c>
      <c r="J1340">
        <v>3</v>
      </c>
      <c r="K1340" s="4">
        <f>Table3[[#This Row],[Sales]]-Table3[[#This Row],[Cost]]</f>
        <v>3843.1099999999969</v>
      </c>
      <c r="L1340" s="6">
        <f>Table3[[#This Row],[Profit]]/Table3[[#This Row],[Sales]]</f>
        <v>0.14886485565209295</v>
      </c>
    </row>
    <row r="1341" spans="1:12" x14ac:dyDescent="0.25">
      <c r="A1341" t="s">
        <v>1313</v>
      </c>
      <c r="B1341" s="2" t="s">
        <v>3729</v>
      </c>
      <c r="C1341" s="2" t="str">
        <f>TEXT(Table3[[#This Row],[Order Date]],"mmmm")</f>
        <v>Not Mentioned</v>
      </c>
      <c r="D1341" t="s">
        <v>3220</v>
      </c>
      <c r="E1341" t="s">
        <v>3222</v>
      </c>
      <c r="F1341" t="s">
        <v>3226</v>
      </c>
      <c r="G1341" s="4">
        <v>25226.54</v>
      </c>
      <c r="H1341" s="4">
        <v>17714.29</v>
      </c>
      <c r="I1341" s="3" t="s">
        <v>3734</v>
      </c>
      <c r="J1341">
        <v>2</v>
      </c>
      <c r="K1341" s="4">
        <f>Table3[[#This Row],[Sales]]-Table3[[#This Row],[Cost]]</f>
        <v>7512.25</v>
      </c>
      <c r="L1341" s="6">
        <f>Table3[[#This Row],[Profit]]/Table3[[#This Row],[Sales]]</f>
        <v>0.29779153225135113</v>
      </c>
    </row>
    <row r="1342" spans="1:12" x14ac:dyDescent="0.25">
      <c r="A1342" t="s">
        <v>1314</v>
      </c>
      <c r="B1342" s="2">
        <v>45005</v>
      </c>
      <c r="C1342" s="2" t="str">
        <f>TEXT(Table3[[#This Row],[Order Date]],"mmmm")</f>
        <v>March</v>
      </c>
      <c r="D1342" t="s">
        <v>3220</v>
      </c>
      <c r="E1342" t="s">
        <v>3225</v>
      </c>
      <c r="F1342" t="s">
        <v>3226</v>
      </c>
      <c r="G1342" s="4">
        <v>18721.8</v>
      </c>
      <c r="H1342" s="4">
        <v>13013.46</v>
      </c>
      <c r="I1342" s="3" t="s">
        <v>3734</v>
      </c>
      <c r="J1342">
        <v>1</v>
      </c>
      <c r="K1342" s="4">
        <f>Table3[[#This Row],[Sales]]-Table3[[#This Row],[Cost]]</f>
        <v>5708.34</v>
      </c>
      <c r="L1342" s="6">
        <f>Table3[[#This Row],[Profit]]/Table3[[#This Row],[Sales]]</f>
        <v>0.30490337467551198</v>
      </c>
    </row>
    <row r="1343" spans="1:12" x14ac:dyDescent="0.25">
      <c r="A1343" t="s">
        <v>1315</v>
      </c>
      <c r="B1343" s="2">
        <v>45021</v>
      </c>
      <c r="C1343" s="2" t="str">
        <f>TEXT(Table3[[#This Row],[Order Date]],"mmmm")</f>
        <v>April</v>
      </c>
      <c r="D1343" t="s">
        <v>3216</v>
      </c>
      <c r="E1343" t="s">
        <v>3223</v>
      </c>
      <c r="F1343" t="s">
        <v>3226</v>
      </c>
      <c r="G1343" s="4">
        <v>21254.46</v>
      </c>
      <c r="H1343" s="4">
        <v>14648.35</v>
      </c>
      <c r="I1343" s="3" t="s">
        <v>3734</v>
      </c>
      <c r="J1343">
        <v>2</v>
      </c>
      <c r="K1343" s="4">
        <f>Table3[[#This Row],[Sales]]-Table3[[#This Row],[Cost]]</f>
        <v>6606.1099999999988</v>
      </c>
      <c r="L1343" s="6">
        <f>Table3[[#This Row],[Profit]]/Table3[[#This Row],[Sales]]</f>
        <v>0.31081053106030448</v>
      </c>
    </row>
    <row r="1344" spans="1:12" x14ac:dyDescent="0.25">
      <c r="A1344" t="s">
        <v>1316</v>
      </c>
      <c r="B1344" s="2">
        <v>44972</v>
      </c>
      <c r="C1344" s="2" t="str">
        <f>TEXT(Table3[[#This Row],[Order Date]],"mmmm")</f>
        <v>February</v>
      </c>
      <c r="D1344" t="s">
        <v>3730</v>
      </c>
      <c r="E1344" t="s">
        <v>3223</v>
      </c>
      <c r="F1344" t="s">
        <v>3226</v>
      </c>
      <c r="G1344" s="4">
        <v>54601.5</v>
      </c>
      <c r="H1344" s="4">
        <v>43681.200000000004</v>
      </c>
      <c r="I1344" s="3" t="s">
        <v>3735</v>
      </c>
      <c r="J1344">
        <v>5</v>
      </c>
      <c r="K1344" s="4">
        <f>Table3[[#This Row],[Sales]]-Table3[[#This Row],[Cost]]</f>
        <v>10920.299999999996</v>
      </c>
      <c r="L1344" s="6">
        <f>Table3[[#This Row],[Profit]]/Table3[[#This Row],[Sales]]</f>
        <v>0.19999999999999993</v>
      </c>
    </row>
    <row r="1345" spans="1:12" x14ac:dyDescent="0.25">
      <c r="A1345" t="s">
        <v>1317</v>
      </c>
      <c r="B1345" s="2">
        <v>45021</v>
      </c>
      <c r="C1345" s="2" t="str">
        <f>TEXT(Table3[[#This Row],[Order Date]],"mmmm")</f>
        <v>April</v>
      </c>
      <c r="D1345" t="s">
        <v>3220</v>
      </c>
      <c r="E1345" t="s">
        <v>3222</v>
      </c>
      <c r="F1345" t="s">
        <v>3226</v>
      </c>
      <c r="G1345" s="4">
        <v>74650.64</v>
      </c>
      <c r="H1345" s="4">
        <v>42835.6</v>
      </c>
      <c r="I1345" s="3" t="s">
        <v>3734</v>
      </c>
      <c r="J1345">
        <v>5</v>
      </c>
      <c r="K1345" s="4">
        <f>Table3[[#This Row],[Sales]]-Table3[[#This Row],[Cost]]</f>
        <v>31815.040000000001</v>
      </c>
      <c r="L1345" s="6">
        <f>Table3[[#This Row],[Profit]]/Table3[[#This Row],[Sales]]</f>
        <v>0.42618576344422499</v>
      </c>
    </row>
    <row r="1346" spans="1:12" x14ac:dyDescent="0.25">
      <c r="A1346" t="s">
        <v>1318</v>
      </c>
      <c r="B1346" s="2">
        <v>44972</v>
      </c>
      <c r="C1346" s="2" t="str">
        <f>TEXT(Table3[[#This Row],[Order Date]],"mmmm")</f>
        <v>February</v>
      </c>
      <c r="D1346" t="s">
        <v>3730</v>
      </c>
      <c r="E1346" t="s">
        <v>3222</v>
      </c>
      <c r="F1346" t="s">
        <v>3226</v>
      </c>
      <c r="G1346" s="4">
        <v>52878.28</v>
      </c>
      <c r="H1346" s="4">
        <v>28541.41</v>
      </c>
      <c r="I1346" s="3" t="s">
        <v>3734</v>
      </c>
      <c r="J1346">
        <v>3</v>
      </c>
      <c r="K1346" s="4">
        <f>Table3[[#This Row],[Sales]]-Table3[[#This Row],[Cost]]</f>
        <v>24336.87</v>
      </c>
      <c r="L1346" s="6">
        <f>Table3[[#This Row],[Profit]]/Table3[[#This Row],[Sales]]</f>
        <v>0.46024322273719948</v>
      </c>
    </row>
    <row r="1347" spans="1:12" x14ac:dyDescent="0.25">
      <c r="A1347" t="s">
        <v>1319</v>
      </c>
      <c r="B1347" s="2">
        <v>45021</v>
      </c>
      <c r="C1347" s="2" t="str">
        <f>TEXT(Table3[[#This Row],[Order Date]],"mmmm")</f>
        <v>April</v>
      </c>
      <c r="D1347" t="s">
        <v>3220</v>
      </c>
      <c r="E1347" t="s">
        <v>3225</v>
      </c>
      <c r="F1347" t="s">
        <v>3226</v>
      </c>
      <c r="G1347" s="4">
        <v>22554.68</v>
      </c>
      <c r="H1347" s="4">
        <v>14646.99</v>
      </c>
      <c r="I1347" s="3" t="s">
        <v>3734</v>
      </c>
      <c r="J1347">
        <v>1</v>
      </c>
      <c r="K1347" s="4">
        <f>Table3[[#This Row],[Sales]]-Table3[[#This Row],[Cost]]</f>
        <v>7907.6900000000005</v>
      </c>
      <c r="L1347" s="6">
        <f>Table3[[#This Row],[Profit]]/Table3[[#This Row],[Sales]]</f>
        <v>0.35060085090987769</v>
      </c>
    </row>
    <row r="1348" spans="1:12" x14ac:dyDescent="0.25">
      <c r="A1348" t="s">
        <v>1320</v>
      </c>
      <c r="B1348" s="2">
        <v>44941</v>
      </c>
      <c r="C1348" s="2" t="str">
        <f>TEXT(Table3[[#This Row],[Order Date]],"mmmm")</f>
        <v>January</v>
      </c>
      <c r="D1348" t="s">
        <v>3730</v>
      </c>
      <c r="E1348" t="s">
        <v>3225</v>
      </c>
      <c r="F1348" t="s">
        <v>3226</v>
      </c>
      <c r="G1348" s="4">
        <v>70382.679999999993</v>
      </c>
      <c r="H1348" s="4">
        <v>51275.13</v>
      </c>
      <c r="I1348" s="3" t="s">
        <v>3734</v>
      </c>
      <c r="J1348">
        <v>4</v>
      </c>
      <c r="K1348" s="4">
        <f>Table3[[#This Row],[Sales]]-Table3[[#This Row],[Cost]]</f>
        <v>19107.549999999996</v>
      </c>
      <c r="L1348" s="6">
        <f>Table3[[#This Row],[Profit]]/Table3[[#This Row],[Sales]]</f>
        <v>0.27148085295984747</v>
      </c>
    </row>
    <row r="1349" spans="1:12" x14ac:dyDescent="0.25">
      <c r="A1349" t="s">
        <v>1321</v>
      </c>
      <c r="B1349" s="2">
        <v>44941</v>
      </c>
      <c r="C1349" s="2" t="str">
        <f>TEXT(Table3[[#This Row],[Order Date]],"mmmm")</f>
        <v>January</v>
      </c>
      <c r="D1349" t="s">
        <v>3220</v>
      </c>
      <c r="E1349" t="s">
        <v>3222</v>
      </c>
      <c r="F1349" t="s">
        <v>3226</v>
      </c>
      <c r="G1349" s="4">
        <v>68143.820000000007</v>
      </c>
      <c r="H1349" s="4">
        <v>46145.73</v>
      </c>
      <c r="I1349" s="3" t="s">
        <v>3734</v>
      </c>
      <c r="J1349" t="s">
        <v>3732</v>
      </c>
      <c r="K1349" s="4">
        <f>Table3[[#This Row],[Sales]]-Table3[[#This Row],[Cost]]</f>
        <v>21998.090000000004</v>
      </c>
      <c r="L1349" s="6">
        <f>Table3[[#This Row],[Profit]]/Table3[[#This Row],[Sales]]</f>
        <v>0.32281856227021027</v>
      </c>
    </row>
    <row r="1350" spans="1:12" x14ac:dyDescent="0.25">
      <c r="A1350" t="s">
        <v>1322</v>
      </c>
      <c r="B1350" s="2">
        <v>45021</v>
      </c>
      <c r="C1350" s="2" t="str">
        <f>TEXT(Table3[[#This Row],[Order Date]],"mmmm")</f>
        <v>April</v>
      </c>
      <c r="D1350" t="s">
        <v>3730</v>
      </c>
      <c r="E1350" t="s">
        <v>3225</v>
      </c>
      <c r="F1350" t="s">
        <v>3226</v>
      </c>
      <c r="G1350" s="4">
        <v>67912.73</v>
      </c>
      <c r="H1350" s="4">
        <v>50159.040000000001</v>
      </c>
      <c r="I1350" s="3" t="s">
        <v>3734</v>
      </c>
      <c r="J1350">
        <v>4</v>
      </c>
      <c r="K1350" s="4">
        <f>Table3[[#This Row],[Sales]]-Table3[[#This Row],[Cost]]</f>
        <v>17753.689999999995</v>
      </c>
      <c r="L1350" s="6">
        <f>Table3[[#This Row],[Profit]]/Table3[[#This Row],[Sales]]</f>
        <v>0.26141917722936475</v>
      </c>
    </row>
    <row r="1351" spans="1:12" x14ac:dyDescent="0.25">
      <c r="A1351" t="s">
        <v>1323</v>
      </c>
      <c r="B1351" s="2">
        <v>44941</v>
      </c>
      <c r="C1351" s="2" t="str">
        <f>TEXT(Table3[[#This Row],[Order Date]],"mmmm")</f>
        <v>January</v>
      </c>
      <c r="D1351" t="s">
        <v>3220</v>
      </c>
      <c r="E1351" t="s">
        <v>3223</v>
      </c>
      <c r="F1351" t="s">
        <v>3226</v>
      </c>
      <c r="G1351" s="4">
        <v>19923.68</v>
      </c>
      <c r="H1351" s="4">
        <v>15938.944000000001</v>
      </c>
      <c r="I1351" s="3" t="s">
        <v>3735</v>
      </c>
      <c r="J1351">
        <v>2</v>
      </c>
      <c r="K1351" s="4">
        <f>Table3[[#This Row],[Sales]]-Table3[[#This Row],[Cost]]</f>
        <v>3984.735999999999</v>
      </c>
      <c r="L1351" s="6">
        <f>Table3[[#This Row],[Profit]]/Table3[[#This Row],[Sales]]</f>
        <v>0.19999999999999996</v>
      </c>
    </row>
    <row r="1352" spans="1:12" x14ac:dyDescent="0.25">
      <c r="A1352" t="s">
        <v>3451</v>
      </c>
      <c r="B1352" s="2">
        <v>45102</v>
      </c>
      <c r="C1352" s="2" t="str">
        <f>TEXT(Table3[[#This Row],[Order Date]],"mmmm")</f>
        <v>June</v>
      </c>
      <c r="D1352" t="s">
        <v>3730</v>
      </c>
      <c r="E1352" t="s">
        <v>3225</v>
      </c>
      <c r="F1352" t="s">
        <v>3226</v>
      </c>
      <c r="G1352" s="4">
        <v>19451.560000000001</v>
      </c>
      <c r="H1352" s="4">
        <v>12304.64</v>
      </c>
      <c r="I1352" s="3" t="s">
        <v>3734</v>
      </c>
      <c r="J1352">
        <v>1</v>
      </c>
      <c r="K1352" s="4">
        <f>Table3[[#This Row],[Sales]]-Table3[[#This Row],[Cost]]</f>
        <v>7146.9200000000019</v>
      </c>
      <c r="L1352" s="6">
        <f>Table3[[#This Row],[Profit]]/Table3[[#This Row],[Sales]]</f>
        <v>0.36742143046624548</v>
      </c>
    </row>
    <row r="1353" spans="1:12" x14ac:dyDescent="0.25">
      <c r="A1353" t="s">
        <v>1324</v>
      </c>
      <c r="B1353" s="2">
        <v>44941</v>
      </c>
      <c r="C1353" s="2" t="str">
        <f>TEXT(Table3[[#This Row],[Order Date]],"mmmm")</f>
        <v>January</v>
      </c>
      <c r="D1353" t="s">
        <v>3220</v>
      </c>
      <c r="E1353" t="s">
        <v>3223</v>
      </c>
      <c r="F1353" t="s">
        <v>3226</v>
      </c>
      <c r="G1353" s="4">
        <v>42709.17</v>
      </c>
      <c r="H1353" s="4">
        <v>36944.46</v>
      </c>
      <c r="I1353" s="3" t="s">
        <v>3734</v>
      </c>
      <c r="J1353">
        <v>5</v>
      </c>
      <c r="K1353" s="4">
        <f>Table3[[#This Row],[Sales]]-Table3[[#This Row],[Cost]]</f>
        <v>5764.7099999999991</v>
      </c>
      <c r="L1353" s="6">
        <f>Table3[[#This Row],[Profit]]/Table3[[#This Row],[Sales]]</f>
        <v>0.13497593139833902</v>
      </c>
    </row>
    <row r="1354" spans="1:12" x14ac:dyDescent="0.25">
      <c r="A1354" t="s">
        <v>1325</v>
      </c>
      <c r="B1354" s="2">
        <v>45005</v>
      </c>
      <c r="C1354" s="2" t="str">
        <f>TEXT(Table3[[#This Row],[Order Date]],"mmmm")</f>
        <v>March</v>
      </c>
      <c r="D1354" t="s">
        <v>3730</v>
      </c>
      <c r="E1354" t="s">
        <v>3223</v>
      </c>
      <c r="F1354" t="s">
        <v>3226</v>
      </c>
      <c r="G1354" s="4">
        <v>9131.5400000000009</v>
      </c>
      <c r="H1354" s="4">
        <v>6841.65</v>
      </c>
      <c r="I1354" s="3" t="s">
        <v>3734</v>
      </c>
      <c r="J1354">
        <v>1</v>
      </c>
      <c r="K1354" s="4">
        <f>Table3[[#This Row],[Sales]]-Table3[[#This Row],[Cost]]</f>
        <v>2289.8900000000012</v>
      </c>
      <c r="L1354" s="6">
        <f>Table3[[#This Row],[Profit]]/Table3[[#This Row],[Sales]]</f>
        <v>0.25076712142749208</v>
      </c>
    </row>
    <row r="1355" spans="1:12" x14ac:dyDescent="0.25">
      <c r="A1355" t="s">
        <v>1326</v>
      </c>
      <c r="B1355" s="2" t="s">
        <v>3729</v>
      </c>
      <c r="C1355" s="2" t="str">
        <f>TEXT(Table3[[#This Row],[Order Date]],"mmmm")</f>
        <v>Not Mentioned</v>
      </c>
      <c r="D1355" t="s">
        <v>3731</v>
      </c>
      <c r="E1355" t="s">
        <v>3224</v>
      </c>
      <c r="F1355" t="s">
        <v>3226</v>
      </c>
      <c r="G1355" s="4">
        <v>241712.54</v>
      </c>
      <c r="H1355" s="4">
        <v>193370.03200000001</v>
      </c>
      <c r="I1355" s="3" t="s">
        <v>3735</v>
      </c>
      <c r="J1355">
        <v>5</v>
      </c>
      <c r="K1355" s="4">
        <f>Table3[[#This Row],[Sales]]-Table3[[#This Row],[Cost]]</f>
        <v>48342.508000000002</v>
      </c>
      <c r="L1355" s="6">
        <f>Table3[[#This Row],[Profit]]/Table3[[#This Row],[Sales]]</f>
        <v>0.2</v>
      </c>
    </row>
    <row r="1356" spans="1:12" x14ac:dyDescent="0.25">
      <c r="A1356" t="s">
        <v>1327</v>
      </c>
      <c r="B1356" s="2">
        <v>45102</v>
      </c>
      <c r="C1356" s="2" t="str">
        <f>TEXT(Table3[[#This Row],[Order Date]],"mmmm")</f>
        <v>June</v>
      </c>
      <c r="D1356" t="s">
        <v>3730</v>
      </c>
      <c r="E1356" t="s">
        <v>3224</v>
      </c>
      <c r="F1356" t="s">
        <v>3226</v>
      </c>
      <c r="G1356" s="4">
        <v>264129.38</v>
      </c>
      <c r="H1356" s="4">
        <v>242282.65</v>
      </c>
      <c r="I1356" s="3" t="s">
        <v>3734</v>
      </c>
      <c r="J1356">
        <v>5</v>
      </c>
      <c r="K1356" s="4">
        <f>Table3[[#This Row],[Sales]]-Table3[[#This Row],[Cost]]</f>
        <v>21846.73000000001</v>
      </c>
      <c r="L1356" s="6">
        <f>Table3[[#This Row],[Profit]]/Table3[[#This Row],[Sales]]</f>
        <v>8.2712229892789702E-2</v>
      </c>
    </row>
    <row r="1357" spans="1:12" x14ac:dyDescent="0.25">
      <c r="A1357" t="s">
        <v>1328</v>
      </c>
      <c r="B1357" s="2">
        <v>45021</v>
      </c>
      <c r="C1357" s="2" t="str">
        <f>TEXT(Table3[[#This Row],[Order Date]],"mmmm")</f>
        <v>April</v>
      </c>
      <c r="D1357" t="s">
        <v>3730</v>
      </c>
      <c r="E1357" t="s">
        <v>3225</v>
      </c>
      <c r="F1357" t="s">
        <v>3226</v>
      </c>
      <c r="G1357" s="4">
        <v>78594.149999999994</v>
      </c>
      <c r="H1357" s="4">
        <v>62875.32</v>
      </c>
      <c r="I1357" s="3" t="s">
        <v>3735</v>
      </c>
      <c r="J1357">
        <v>4</v>
      </c>
      <c r="K1357" s="4">
        <f>Table3[[#This Row],[Sales]]-Table3[[#This Row],[Cost]]</f>
        <v>15718.829999999994</v>
      </c>
      <c r="L1357" s="6">
        <f>Table3[[#This Row],[Profit]]/Table3[[#This Row],[Sales]]</f>
        <v>0.19999999999999996</v>
      </c>
    </row>
    <row r="1358" spans="1:12" x14ac:dyDescent="0.25">
      <c r="A1358" t="s">
        <v>383</v>
      </c>
      <c r="B1358" s="2">
        <v>45102</v>
      </c>
      <c r="C1358" s="2" t="str">
        <f>TEXT(Table3[[#This Row],[Order Date]],"mmmm")</f>
        <v>June</v>
      </c>
      <c r="D1358" t="s">
        <v>3730</v>
      </c>
      <c r="E1358" t="s">
        <v>3223</v>
      </c>
      <c r="F1358" t="s">
        <v>3226</v>
      </c>
      <c r="G1358" s="4">
        <v>8192.98</v>
      </c>
      <c r="H1358" s="4">
        <v>6600.34</v>
      </c>
      <c r="I1358" s="3" t="s">
        <v>3734</v>
      </c>
      <c r="J1358">
        <v>1</v>
      </c>
      <c r="K1358" s="4">
        <f>Table3[[#This Row],[Sales]]-Table3[[#This Row],[Cost]]</f>
        <v>1592.6399999999994</v>
      </c>
      <c r="L1358" s="6">
        <f>Table3[[#This Row],[Profit]]/Table3[[#This Row],[Sales]]</f>
        <v>0.19439080774028492</v>
      </c>
    </row>
    <row r="1359" spans="1:12" x14ac:dyDescent="0.25">
      <c r="A1359" t="s">
        <v>1329</v>
      </c>
      <c r="B1359" s="2" t="s">
        <v>3729</v>
      </c>
      <c r="C1359" s="2" t="str">
        <f>TEXT(Table3[[#This Row],[Order Date]],"mmmm")</f>
        <v>Not Mentioned</v>
      </c>
      <c r="D1359" t="s">
        <v>3730</v>
      </c>
      <c r="E1359" t="s">
        <v>3224</v>
      </c>
      <c r="F1359" t="s">
        <v>3226</v>
      </c>
      <c r="G1359" s="4">
        <v>235290.65</v>
      </c>
      <c r="H1359" s="4">
        <v>176502.55</v>
      </c>
      <c r="I1359" s="3" t="s">
        <v>3734</v>
      </c>
      <c r="J1359" t="s">
        <v>3732</v>
      </c>
      <c r="K1359" s="4">
        <f>Table3[[#This Row],[Sales]]-Table3[[#This Row],[Cost]]</f>
        <v>58788.100000000006</v>
      </c>
      <c r="L1359" s="6">
        <f>Table3[[#This Row],[Profit]]/Table3[[#This Row],[Sales]]</f>
        <v>0.24985310721016754</v>
      </c>
    </row>
    <row r="1360" spans="1:12" x14ac:dyDescent="0.25">
      <c r="A1360" t="s">
        <v>3465</v>
      </c>
      <c r="B1360" s="2">
        <v>44972</v>
      </c>
      <c r="C1360" s="2" t="str">
        <f>TEXT(Table3[[#This Row],[Order Date]],"mmmm")</f>
        <v>February</v>
      </c>
      <c r="D1360" t="s">
        <v>3220</v>
      </c>
      <c r="E1360" t="s">
        <v>3222</v>
      </c>
      <c r="F1360" t="s">
        <v>3226</v>
      </c>
      <c r="G1360" s="4">
        <v>50604.67</v>
      </c>
      <c r="H1360" s="4">
        <v>39246.910000000003</v>
      </c>
      <c r="I1360" s="3" t="s">
        <v>3734</v>
      </c>
      <c r="J1360">
        <v>4</v>
      </c>
      <c r="K1360" s="4">
        <f>Table3[[#This Row],[Sales]]-Table3[[#This Row],[Cost]]</f>
        <v>11357.759999999995</v>
      </c>
      <c r="L1360" s="6">
        <f>Table3[[#This Row],[Profit]]/Table3[[#This Row],[Sales]]</f>
        <v>0.2244409458652728</v>
      </c>
    </row>
    <row r="1361" spans="1:12" x14ac:dyDescent="0.25">
      <c r="A1361" t="s">
        <v>3466</v>
      </c>
      <c r="B1361" s="2">
        <v>44941</v>
      </c>
      <c r="C1361" s="2" t="str">
        <f>TEXT(Table3[[#This Row],[Order Date]],"mmmm")</f>
        <v>January</v>
      </c>
      <c r="D1361" t="s">
        <v>3730</v>
      </c>
      <c r="E1361" t="s">
        <v>3222</v>
      </c>
      <c r="F1361" t="s">
        <v>3226</v>
      </c>
      <c r="G1361" s="4">
        <v>31512.93</v>
      </c>
      <c r="H1361" s="4">
        <v>19078.98</v>
      </c>
      <c r="I1361" s="3" t="s">
        <v>3734</v>
      </c>
      <c r="J1361">
        <v>2</v>
      </c>
      <c r="K1361" s="4">
        <f>Table3[[#This Row],[Sales]]-Table3[[#This Row],[Cost]]</f>
        <v>12433.95</v>
      </c>
      <c r="L1361" s="6">
        <f>Table3[[#This Row],[Profit]]/Table3[[#This Row],[Sales]]</f>
        <v>0.39456661122910502</v>
      </c>
    </row>
    <row r="1362" spans="1:12" x14ac:dyDescent="0.25">
      <c r="A1362" t="s">
        <v>3467</v>
      </c>
      <c r="B1362" s="2">
        <v>44972</v>
      </c>
      <c r="C1362" s="2" t="str">
        <f>TEXT(Table3[[#This Row],[Order Date]],"mmmm")</f>
        <v>February</v>
      </c>
      <c r="D1362" t="s">
        <v>3731</v>
      </c>
      <c r="E1362" t="s">
        <v>3225</v>
      </c>
      <c r="F1362" t="s">
        <v>3226</v>
      </c>
      <c r="G1362" s="4">
        <v>20930.330000000002</v>
      </c>
      <c r="H1362" s="4">
        <v>12542.12</v>
      </c>
      <c r="I1362" s="3" t="s">
        <v>3734</v>
      </c>
      <c r="J1362">
        <v>1</v>
      </c>
      <c r="K1362" s="4">
        <f>Table3[[#This Row],[Sales]]-Table3[[#This Row],[Cost]]</f>
        <v>8388.2100000000009</v>
      </c>
      <c r="L1362" s="6">
        <f>Table3[[#This Row],[Profit]]/Table3[[#This Row],[Sales]]</f>
        <v>0.40076816753486449</v>
      </c>
    </row>
    <row r="1363" spans="1:12" x14ac:dyDescent="0.25">
      <c r="A1363" t="s">
        <v>1333</v>
      </c>
      <c r="B1363" s="2">
        <v>45005</v>
      </c>
      <c r="C1363" s="2" t="str">
        <f>TEXT(Table3[[#This Row],[Order Date]],"mmmm")</f>
        <v>March</v>
      </c>
      <c r="D1363" t="s">
        <v>3731</v>
      </c>
      <c r="E1363" t="s">
        <v>3224</v>
      </c>
      <c r="F1363" t="s">
        <v>3226</v>
      </c>
      <c r="G1363" s="4">
        <v>318223.78999999998</v>
      </c>
      <c r="H1363" s="4">
        <v>254579.03200000001</v>
      </c>
      <c r="I1363" s="3" t="s">
        <v>3735</v>
      </c>
      <c r="J1363">
        <v>5</v>
      </c>
      <c r="K1363" s="4">
        <f>Table3[[#This Row],[Sales]]-Table3[[#This Row],[Cost]]</f>
        <v>63644.757999999973</v>
      </c>
      <c r="L1363" s="6">
        <f>Table3[[#This Row],[Profit]]/Table3[[#This Row],[Sales]]</f>
        <v>0.19999999999999993</v>
      </c>
    </row>
    <row r="1364" spans="1:12" x14ac:dyDescent="0.25">
      <c r="A1364" t="s">
        <v>1334</v>
      </c>
      <c r="B1364" s="2">
        <v>44972</v>
      </c>
      <c r="C1364" s="2" t="str">
        <f>TEXT(Table3[[#This Row],[Order Date]],"mmmm")</f>
        <v>February</v>
      </c>
      <c r="D1364" t="s">
        <v>3731</v>
      </c>
      <c r="E1364" t="s">
        <v>3222</v>
      </c>
      <c r="F1364" t="s">
        <v>3226</v>
      </c>
      <c r="G1364" s="4">
        <v>50809.07</v>
      </c>
      <c r="H1364" s="4">
        <v>40647.256000000001</v>
      </c>
      <c r="I1364" s="3" t="s">
        <v>3735</v>
      </c>
      <c r="J1364">
        <v>4</v>
      </c>
      <c r="K1364" s="4">
        <f>Table3[[#This Row],[Sales]]-Table3[[#This Row],[Cost]]</f>
        <v>10161.813999999998</v>
      </c>
      <c r="L1364" s="6">
        <f>Table3[[#This Row],[Profit]]/Table3[[#This Row],[Sales]]</f>
        <v>0.19999999999999998</v>
      </c>
    </row>
    <row r="1365" spans="1:12" x14ac:dyDescent="0.25">
      <c r="A1365" t="s">
        <v>1335</v>
      </c>
      <c r="B1365" s="2">
        <v>45102</v>
      </c>
      <c r="C1365" s="2" t="str">
        <f>TEXT(Table3[[#This Row],[Order Date]],"mmmm")</f>
        <v>June</v>
      </c>
      <c r="D1365" t="s">
        <v>3730</v>
      </c>
      <c r="E1365" t="s">
        <v>3224</v>
      </c>
      <c r="F1365" t="s">
        <v>3226</v>
      </c>
      <c r="G1365" s="4">
        <v>281616.18</v>
      </c>
      <c r="H1365" s="4">
        <v>154574.18</v>
      </c>
      <c r="I1365" s="3" t="s">
        <v>3734</v>
      </c>
      <c r="J1365">
        <v>4</v>
      </c>
      <c r="K1365" s="4">
        <f>Table3[[#This Row],[Sales]]-Table3[[#This Row],[Cost]]</f>
        <v>127042</v>
      </c>
      <c r="L1365" s="6">
        <f>Table3[[#This Row],[Profit]]/Table3[[#This Row],[Sales]]</f>
        <v>0.45111754587396224</v>
      </c>
    </row>
    <row r="1366" spans="1:12" x14ac:dyDescent="0.25">
      <c r="A1366" t="s">
        <v>338</v>
      </c>
      <c r="B1366" s="2">
        <v>45102</v>
      </c>
      <c r="C1366" s="2" t="str">
        <f>TEXT(Table3[[#This Row],[Order Date]],"mmmm")</f>
        <v>June</v>
      </c>
      <c r="D1366" t="s">
        <v>3731</v>
      </c>
      <c r="E1366" t="s">
        <v>3225</v>
      </c>
      <c r="F1366" t="s">
        <v>3226</v>
      </c>
      <c r="G1366" s="4">
        <v>92771.91</v>
      </c>
      <c r="H1366" s="4">
        <v>52333.49</v>
      </c>
      <c r="I1366" s="3" t="s">
        <v>3734</v>
      </c>
      <c r="J1366">
        <v>4</v>
      </c>
      <c r="K1366" s="4">
        <f>Table3[[#This Row],[Sales]]-Table3[[#This Row],[Cost]]</f>
        <v>40438.420000000006</v>
      </c>
      <c r="L1366" s="6">
        <f>Table3[[#This Row],[Profit]]/Table3[[#This Row],[Sales]]</f>
        <v>0.43589077771493551</v>
      </c>
    </row>
    <row r="1367" spans="1:12" x14ac:dyDescent="0.25">
      <c r="A1367" t="s">
        <v>1336</v>
      </c>
      <c r="B1367" s="2" t="s">
        <v>3729</v>
      </c>
      <c r="C1367" s="2" t="str">
        <f>TEXT(Table3[[#This Row],[Order Date]],"mmmm")</f>
        <v>Not Mentioned</v>
      </c>
      <c r="D1367" t="s">
        <v>3220</v>
      </c>
      <c r="E1367" t="s">
        <v>3225</v>
      </c>
      <c r="F1367" t="s">
        <v>3226</v>
      </c>
      <c r="G1367" s="4">
        <v>38348.01</v>
      </c>
      <c r="H1367" s="4">
        <v>24525.33</v>
      </c>
      <c r="I1367" s="3" t="s">
        <v>3734</v>
      </c>
      <c r="J1367">
        <v>2</v>
      </c>
      <c r="K1367" s="4">
        <f>Table3[[#This Row],[Sales]]-Table3[[#This Row],[Cost]]</f>
        <v>13822.68</v>
      </c>
      <c r="L1367" s="6">
        <f>Table3[[#This Row],[Profit]]/Table3[[#This Row],[Sales]]</f>
        <v>0.36045364544340108</v>
      </c>
    </row>
    <row r="1368" spans="1:12" x14ac:dyDescent="0.25">
      <c r="A1368" t="s">
        <v>1337</v>
      </c>
      <c r="B1368" s="2">
        <v>45021</v>
      </c>
      <c r="C1368" s="2" t="str">
        <f>TEXT(Table3[[#This Row],[Order Date]],"mmmm")</f>
        <v>April</v>
      </c>
      <c r="D1368" t="s">
        <v>3220</v>
      </c>
      <c r="E1368" t="s">
        <v>3224</v>
      </c>
      <c r="F1368" t="s">
        <v>3226</v>
      </c>
      <c r="G1368" s="4">
        <v>249298.47</v>
      </c>
      <c r="H1368" s="4">
        <v>224620.85</v>
      </c>
      <c r="I1368" s="3" t="s">
        <v>3734</v>
      </c>
      <c r="J1368">
        <v>5</v>
      </c>
      <c r="K1368" s="4">
        <f>Table3[[#This Row],[Sales]]-Table3[[#This Row],[Cost]]</f>
        <v>24677.619999999995</v>
      </c>
      <c r="L1368" s="6">
        <f>Table3[[#This Row],[Profit]]/Table3[[#This Row],[Sales]]</f>
        <v>9.8988252916273389E-2</v>
      </c>
    </row>
    <row r="1369" spans="1:12" x14ac:dyDescent="0.25">
      <c r="A1369" t="s">
        <v>1338</v>
      </c>
      <c r="B1369" s="2">
        <v>45021</v>
      </c>
      <c r="C1369" s="2" t="str">
        <f>TEXT(Table3[[#This Row],[Order Date]],"mmmm")</f>
        <v>April</v>
      </c>
      <c r="D1369" t="s">
        <v>3731</v>
      </c>
      <c r="E1369" t="s">
        <v>3225</v>
      </c>
      <c r="F1369" t="s">
        <v>3226</v>
      </c>
      <c r="G1369" s="4">
        <v>54456.33</v>
      </c>
      <c r="H1369" s="4">
        <v>41983.85</v>
      </c>
      <c r="I1369" s="3" t="s">
        <v>3734</v>
      </c>
      <c r="J1369" t="s">
        <v>3732</v>
      </c>
      <c r="K1369" s="4">
        <f>Table3[[#This Row],[Sales]]-Table3[[#This Row],[Cost]]</f>
        <v>12472.480000000003</v>
      </c>
      <c r="L1369" s="6">
        <f>Table3[[#This Row],[Profit]]/Table3[[#This Row],[Sales]]</f>
        <v>0.22903636730569252</v>
      </c>
    </row>
    <row r="1370" spans="1:12" x14ac:dyDescent="0.25">
      <c r="A1370" t="s">
        <v>3468</v>
      </c>
      <c r="B1370" s="2">
        <v>44972</v>
      </c>
      <c r="C1370" s="2" t="str">
        <f>TEXT(Table3[[#This Row],[Order Date]],"mmmm")</f>
        <v>February</v>
      </c>
      <c r="D1370" t="s">
        <v>3220</v>
      </c>
      <c r="E1370" t="s">
        <v>3225</v>
      </c>
      <c r="F1370" t="s">
        <v>3226</v>
      </c>
      <c r="G1370" s="4">
        <v>117265.15</v>
      </c>
      <c r="H1370" s="4">
        <v>72395.98</v>
      </c>
      <c r="I1370" s="3" t="s">
        <v>3734</v>
      </c>
      <c r="J1370">
        <v>5</v>
      </c>
      <c r="K1370" s="4">
        <f>Table3[[#This Row],[Sales]]-Table3[[#This Row],[Cost]]</f>
        <v>44869.17</v>
      </c>
      <c r="L1370" s="6">
        <f>Table3[[#This Row],[Profit]]/Table3[[#This Row],[Sales]]</f>
        <v>0.38263004822830993</v>
      </c>
    </row>
    <row r="1371" spans="1:12" x14ac:dyDescent="0.25">
      <c r="A1371" t="s">
        <v>3469</v>
      </c>
      <c r="B1371" s="2">
        <v>45021</v>
      </c>
      <c r="C1371" s="2" t="str">
        <f>TEXT(Table3[[#This Row],[Order Date]],"mmmm")</f>
        <v>April</v>
      </c>
      <c r="D1371" t="s">
        <v>3220</v>
      </c>
      <c r="E1371" t="s">
        <v>3225</v>
      </c>
      <c r="F1371" t="s">
        <v>3226</v>
      </c>
      <c r="G1371" s="4">
        <v>87070.41</v>
      </c>
      <c r="H1371" s="4">
        <v>69861.13</v>
      </c>
      <c r="I1371" s="3" t="s">
        <v>3734</v>
      </c>
      <c r="J1371">
        <v>5</v>
      </c>
      <c r="K1371" s="4">
        <f>Table3[[#This Row],[Sales]]-Table3[[#This Row],[Cost]]</f>
        <v>17209.28</v>
      </c>
      <c r="L1371" s="6">
        <f>Table3[[#This Row],[Profit]]/Table3[[#This Row],[Sales]]</f>
        <v>0.19764785763613607</v>
      </c>
    </row>
    <row r="1372" spans="1:12" x14ac:dyDescent="0.25">
      <c r="A1372" t="s">
        <v>1341</v>
      </c>
      <c r="B1372" s="2">
        <v>45005</v>
      </c>
      <c r="C1372" s="2" t="str">
        <f>TEXT(Table3[[#This Row],[Order Date]],"mmmm")</f>
        <v>March</v>
      </c>
      <c r="D1372" t="s">
        <v>3220</v>
      </c>
      <c r="E1372" t="s">
        <v>3225</v>
      </c>
      <c r="F1372" t="s">
        <v>3226</v>
      </c>
      <c r="G1372" s="4">
        <v>59728.47</v>
      </c>
      <c r="H1372" s="4">
        <v>36513.94</v>
      </c>
      <c r="I1372" s="3" t="s">
        <v>3734</v>
      </c>
      <c r="J1372">
        <v>3</v>
      </c>
      <c r="K1372" s="4">
        <f>Table3[[#This Row],[Sales]]-Table3[[#This Row],[Cost]]</f>
        <v>23214.53</v>
      </c>
      <c r="L1372" s="6">
        <f>Table3[[#This Row],[Profit]]/Table3[[#This Row],[Sales]]</f>
        <v>0.38866774923248493</v>
      </c>
    </row>
    <row r="1373" spans="1:12" x14ac:dyDescent="0.25">
      <c r="A1373" t="s">
        <v>789</v>
      </c>
      <c r="B1373" s="2" t="s">
        <v>3729</v>
      </c>
      <c r="C1373" s="2" t="str">
        <f>TEXT(Table3[[#This Row],[Order Date]],"mmmm")</f>
        <v>Not Mentioned</v>
      </c>
      <c r="D1373" t="s">
        <v>3216</v>
      </c>
      <c r="E1373" t="s">
        <v>3225</v>
      </c>
      <c r="F1373" t="s">
        <v>3226</v>
      </c>
      <c r="G1373" s="4">
        <v>34158</v>
      </c>
      <c r="H1373" s="4">
        <v>23981.88</v>
      </c>
      <c r="I1373" s="3" t="s">
        <v>3734</v>
      </c>
      <c r="J1373">
        <v>2</v>
      </c>
      <c r="K1373" s="4">
        <f>Table3[[#This Row],[Sales]]-Table3[[#This Row],[Cost]]</f>
        <v>10176.119999999999</v>
      </c>
      <c r="L1373" s="6">
        <f>Table3[[#This Row],[Profit]]/Table3[[#This Row],[Sales]]</f>
        <v>0.29791322676971715</v>
      </c>
    </row>
    <row r="1374" spans="1:12" x14ac:dyDescent="0.25">
      <c r="A1374" t="s">
        <v>1342</v>
      </c>
      <c r="B1374" s="2">
        <v>45102</v>
      </c>
      <c r="C1374" s="2" t="str">
        <f>TEXT(Table3[[#This Row],[Order Date]],"mmmm")</f>
        <v>June</v>
      </c>
      <c r="D1374" t="s">
        <v>3220</v>
      </c>
      <c r="E1374" t="s">
        <v>3224</v>
      </c>
      <c r="F1374" t="s">
        <v>3226</v>
      </c>
      <c r="G1374" s="4">
        <v>242315.9</v>
      </c>
      <c r="H1374" s="4">
        <v>228005.55</v>
      </c>
      <c r="I1374" s="3" t="s">
        <v>3734</v>
      </c>
      <c r="J1374">
        <v>5</v>
      </c>
      <c r="K1374" s="4">
        <f>Table3[[#This Row],[Sales]]-Table3[[#This Row],[Cost]]</f>
        <v>14310.350000000006</v>
      </c>
      <c r="L1374" s="6">
        <f>Table3[[#This Row],[Profit]]/Table3[[#This Row],[Sales]]</f>
        <v>5.9056586876882637E-2</v>
      </c>
    </row>
    <row r="1375" spans="1:12" x14ac:dyDescent="0.25">
      <c r="A1375" t="s">
        <v>1343</v>
      </c>
      <c r="B1375" s="2">
        <v>45005</v>
      </c>
      <c r="C1375" s="2" t="str">
        <f>TEXT(Table3[[#This Row],[Order Date]],"mmmm")</f>
        <v>March</v>
      </c>
      <c r="D1375" t="s">
        <v>3730</v>
      </c>
      <c r="E1375" t="s">
        <v>3224</v>
      </c>
      <c r="F1375" t="s">
        <v>3226</v>
      </c>
      <c r="G1375" s="4">
        <v>51520.81</v>
      </c>
      <c r="H1375" s="4">
        <v>47710.41</v>
      </c>
      <c r="I1375" s="3" t="s">
        <v>3734</v>
      </c>
      <c r="J1375">
        <v>1</v>
      </c>
      <c r="K1375" s="4">
        <f>Table3[[#This Row],[Sales]]-Table3[[#This Row],[Cost]]</f>
        <v>3810.3999999999942</v>
      </c>
      <c r="L1375" s="6">
        <f>Table3[[#This Row],[Profit]]/Table3[[#This Row],[Sales]]</f>
        <v>7.3958464550537825E-2</v>
      </c>
    </row>
    <row r="1376" spans="1:12" x14ac:dyDescent="0.25">
      <c r="A1376" t="s">
        <v>1344</v>
      </c>
      <c r="B1376" s="2">
        <v>44972</v>
      </c>
      <c r="C1376" s="2" t="str">
        <f>TEXT(Table3[[#This Row],[Order Date]],"mmmm")</f>
        <v>February</v>
      </c>
      <c r="D1376" t="s">
        <v>3220</v>
      </c>
      <c r="E1376" t="s">
        <v>3223</v>
      </c>
      <c r="F1376" t="s">
        <v>3226</v>
      </c>
      <c r="G1376" s="4">
        <v>27894.62</v>
      </c>
      <c r="H1376" s="4">
        <v>22043.200000000001</v>
      </c>
      <c r="I1376" s="3" t="s">
        <v>3734</v>
      </c>
      <c r="J1376">
        <v>3</v>
      </c>
      <c r="K1376" s="4">
        <f>Table3[[#This Row],[Sales]]-Table3[[#This Row],[Cost]]</f>
        <v>5851.4199999999983</v>
      </c>
      <c r="L1376" s="6">
        <f>Table3[[#This Row],[Profit]]/Table3[[#This Row],[Sales]]</f>
        <v>0.20976876544652692</v>
      </c>
    </row>
    <row r="1377" spans="1:12" x14ac:dyDescent="0.25">
      <c r="A1377" t="s">
        <v>1345</v>
      </c>
      <c r="B1377" s="2">
        <v>45102</v>
      </c>
      <c r="C1377" s="2" t="str">
        <f>TEXT(Table3[[#This Row],[Order Date]],"mmmm")</f>
        <v>June</v>
      </c>
      <c r="D1377" t="s">
        <v>3730</v>
      </c>
      <c r="E1377" t="s">
        <v>3222</v>
      </c>
      <c r="F1377" t="s">
        <v>3226</v>
      </c>
      <c r="G1377" s="4">
        <v>62230.9</v>
      </c>
      <c r="H1377" s="4">
        <v>35207.379999999997</v>
      </c>
      <c r="I1377" s="3" t="s">
        <v>3734</v>
      </c>
      <c r="J1377">
        <v>4</v>
      </c>
      <c r="K1377" s="4">
        <f>Table3[[#This Row],[Sales]]-Table3[[#This Row],[Cost]]</f>
        <v>27023.520000000004</v>
      </c>
      <c r="L1377" s="6">
        <f>Table3[[#This Row],[Profit]]/Table3[[#This Row],[Sales]]</f>
        <v>0.43424600961901572</v>
      </c>
    </row>
    <row r="1378" spans="1:12" x14ac:dyDescent="0.25">
      <c r="A1378" t="s">
        <v>1346</v>
      </c>
      <c r="B1378" s="2">
        <v>45005</v>
      </c>
      <c r="C1378" s="2" t="str">
        <f>TEXT(Table3[[#This Row],[Order Date]],"mmmm")</f>
        <v>March</v>
      </c>
      <c r="D1378" t="s">
        <v>3216</v>
      </c>
      <c r="E1378" t="s">
        <v>3223</v>
      </c>
      <c r="F1378" t="s">
        <v>3226</v>
      </c>
      <c r="G1378" s="4">
        <v>40397.599999999999</v>
      </c>
      <c r="H1378" s="4">
        <v>34485.68</v>
      </c>
      <c r="I1378" s="3" t="s">
        <v>3734</v>
      </c>
      <c r="J1378">
        <v>5</v>
      </c>
      <c r="K1378" s="4">
        <f>Table3[[#This Row],[Sales]]-Table3[[#This Row],[Cost]]</f>
        <v>5911.9199999999983</v>
      </c>
      <c r="L1378" s="6">
        <f>Table3[[#This Row],[Profit]]/Table3[[#This Row],[Sales]]</f>
        <v>0.1463433471295324</v>
      </c>
    </row>
    <row r="1379" spans="1:12" x14ac:dyDescent="0.25">
      <c r="A1379" t="s">
        <v>1347</v>
      </c>
      <c r="B1379" s="2" t="s">
        <v>3729</v>
      </c>
      <c r="C1379" s="2" t="str">
        <f>TEXT(Table3[[#This Row],[Order Date]],"mmmm")</f>
        <v>Not Mentioned</v>
      </c>
      <c r="D1379" t="s">
        <v>3730</v>
      </c>
      <c r="E1379" t="s">
        <v>3224</v>
      </c>
      <c r="F1379" t="s">
        <v>3226</v>
      </c>
      <c r="G1379" s="4">
        <v>58438.69</v>
      </c>
      <c r="H1379" s="4">
        <v>42817.88</v>
      </c>
      <c r="I1379" s="3" t="s">
        <v>3734</v>
      </c>
      <c r="J1379">
        <v>1</v>
      </c>
      <c r="K1379" s="4">
        <f>Table3[[#This Row],[Sales]]-Table3[[#This Row],[Cost]]</f>
        <v>15620.810000000005</v>
      </c>
      <c r="L1379" s="6">
        <f>Table3[[#This Row],[Profit]]/Table3[[#This Row],[Sales]]</f>
        <v>0.26730253535799664</v>
      </c>
    </row>
    <row r="1380" spans="1:12" x14ac:dyDescent="0.25">
      <c r="A1380" t="s">
        <v>1348</v>
      </c>
      <c r="B1380" s="2">
        <v>44941</v>
      </c>
      <c r="C1380" s="2" t="str">
        <f>TEXT(Table3[[#This Row],[Order Date]],"mmmm")</f>
        <v>January</v>
      </c>
      <c r="D1380" t="s">
        <v>3220</v>
      </c>
      <c r="E1380" t="s">
        <v>3225</v>
      </c>
      <c r="F1380" t="s">
        <v>3226</v>
      </c>
      <c r="G1380" s="4">
        <v>63394.73</v>
      </c>
      <c r="H1380" s="4">
        <v>37652.5</v>
      </c>
      <c r="I1380" s="3" t="s">
        <v>3734</v>
      </c>
      <c r="J1380">
        <v>3</v>
      </c>
      <c r="K1380" s="4">
        <f>Table3[[#This Row],[Sales]]-Table3[[#This Row],[Cost]]</f>
        <v>25742.230000000003</v>
      </c>
      <c r="L1380" s="6">
        <f>Table3[[#This Row],[Profit]]/Table3[[#This Row],[Sales]]</f>
        <v>0.40606261750779604</v>
      </c>
    </row>
    <row r="1381" spans="1:12" x14ac:dyDescent="0.25">
      <c r="A1381" t="s">
        <v>1349</v>
      </c>
      <c r="B1381" s="2">
        <v>44972</v>
      </c>
      <c r="C1381" s="2" t="str">
        <f>TEXT(Table3[[#This Row],[Order Date]],"mmmm")</f>
        <v>February</v>
      </c>
      <c r="D1381" t="s">
        <v>3730</v>
      </c>
      <c r="E1381" t="s">
        <v>3223</v>
      </c>
      <c r="F1381" t="s">
        <v>3226</v>
      </c>
      <c r="G1381" s="4">
        <v>19670.73</v>
      </c>
      <c r="H1381" s="4">
        <v>12656.94</v>
      </c>
      <c r="I1381" s="3" t="s">
        <v>3734</v>
      </c>
      <c r="J1381">
        <v>2</v>
      </c>
      <c r="K1381" s="4">
        <f>Table3[[#This Row],[Sales]]-Table3[[#This Row],[Cost]]</f>
        <v>7013.7899999999991</v>
      </c>
      <c r="L1381" s="6">
        <f>Table3[[#This Row],[Profit]]/Table3[[#This Row],[Sales]]</f>
        <v>0.35655972096612576</v>
      </c>
    </row>
    <row r="1382" spans="1:12" x14ac:dyDescent="0.25">
      <c r="A1382" t="s">
        <v>1350</v>
      </c>
      <c r="B1382" s="2">
        <v>45005</v>
      </c>
      <c r="C1382" s="2" t="str">
        <f>TEXT(Table3[[#This Row],[Order Date]],"mmmm")</f>
        <v>March</v>
      </c>
      <c r="D1382" t="s">
        <v>3731</v>
      </c>
      <c r="E1382" t="s">
        <v>3224</v>
      </c>
      <c r="F1382" t="s">
        <v>3226</v>
      </c>
      <c r="G1382" s="4">
        <v>277130.15999999997</v>
      </c>
      <c r="H1382" s="4">
        <v>185935.69</v>
      </c>
      <c r="I1382" s="3" t="s">
        <v>3734</v>
      </c>
      <c r="J1382">
        <v>4</v>
      </c>
      <c r="K1382" s="4">
        <f>Table3[[#This Row],[Sales]]-Table3[[#This Row],[Cost]]</f>
        <v>91194.469999999972</v>
      </c>
      <c r="L1382" s="6">
        <f>Table3[[#This Row],[Profit]]/Table3[[#This Row],[Sales]]</f>
        <v>0.32906728737139251</v>
      </c>
    </row>
    <row r="1383" spans="1:12" x14ac:dyDescent="0.25">
      <c r="A1383" t="s">
        <v>1351</v>
      </c>
      <c r="B1383" s="2">
        <v>44941</v>
      </c>
      <c r="C1383" s="2" t="str">
        <f>TEXT(Table3[[#This Row],[Order Date]],"mmmm")</f>
        <v>January</v>
      </c>
      <c r="D1383" t="s">
        <v>3731</v>
      </c>
      <c r="E1383" t="s">
        <v>3224</v>
      </c>
      <c r="F1383" t="s">
        <v>3226</v>
      </c>
      <c r="G1383" s="4">
        <v>118341.07</v>
      </c>
      <c r="H1383" s="4">
        <v>94672.856000000014</v>
      </c>
      <c r="I1383" s="3" t="s">
        <v>3735</v>
      </c>
      <c r="J1383">
        <v>2</v>
      </c>
      <c r="K1383" s="4">
        <f>Table3[[#This Row],[Sales]]-Table3[[#This Row],[Cost]]</f>
        <v>23668.213999999993</v>
      </c>
      <c r="L1383" s="6">
        <f>Table3[[#This Row],[Profit]]/Table3[[#This Row],[Sales]]</f>
        <v>0.19999999999999993</v>
      </c>
    </row>
    <row r="1384" spans="1:12" x14ac:dyDescent="0.25">
      <c r="A1384" t="s">
        <v>3470</v>
      </c>
      <c r="B1384" s="2">
        <v>44972</v>
      </c>
      <c r="C1384" s="2" t="str">
        <f>TEXT(Table3[[#This Row],[Order Date]],"mmmm")</f>
        <v>February</v>
      </c>
      <c r="D1384" t="s">
        <v>3731</v>
      </c>
      <c r="E1384" t="s">
        <v>3222</v>
      </c>
      <c r="F1384" t="s">
        <v>3226</v>
      </c>
      <c r="G1384" s="4">
        <v>48020.31</v>
      </c>
      <c r="H1384" s="4">
        <v>30493.360000000001</v>
      </c>
      <c r="I1384" s="3" t="s">
        <v>3734</v>
      </c>
      <c r="J1384">
        <v>3</v>
      </c>
      <c r="K1384" s="4">
        <f>Table3[[#This Row],[Sales]]-Table3[[#This Row],[Cost]]</f>
        <v>17526.949999999997</v>
      </c>
      <c r="L1384" s="6">
        <f>Table3[[#This Row],[Profit]]/Table3[[#This Row],[Sales]]</f>
        <v>0.36499035512265537</v>
      </c>
    </row>
    <row r="1385" spans="1:12" x14ac:dyDescent="0.25">
      <c r="A1385" t="s">
        <v>1353</v>
      </c>
      <c r="B1385" s="2">
        <v>45102</v>
      </c>
      <c r="C1385" s="2" t="str">
        <f>TEXT(Table3[[#This Row],[Order Date]],"mmmm")</f>
        <v>June</v>
      </c>
      <c r="D1385" t="s">
        <v>3220</v>
      </c>
      <c r="E1385" t="s">
        <v>3224</v>
      </c>
      <c r="F1385" t="s">
        <v>3226</v>
      </c>
      <c r="G1385" s="4">
        <v>144977.87</v>
      </c>
      <c r="H1385" s="4">
        <v>126531.54</v>
      </c>
      <c r="I1385" s="3" t="s">
        <v>3734</v>
      </c>
      <c r="J1385">
        <v>3</v>
      </c>
      <c r="K1385" s="4">
        <f>Table3[[#This Row],[Sales]]-Table3[[#This Row],[Cost]]</f>
        <v>18446.330000000002</v>
      </c>
      <c r="L1385" s="6">
        <f>Table3[[#This Row],[Profit]]/Table3[[#This Row],[Sales]]</f>
        <v>0.12723548773340373</v>
      </c>
    </row>
    <row r="1386" spans="1:12" x14ac:dyDescent="0.25">
      <c r="A1386" t="s">
        <v>1354</v>
      </c>
      <c r="B1386" s="2">
        <v>45021</v>
      </c>
      <c r="C1386" s="2" t="str">
        <f>TEXT(Table3[[#This Row],[Order Date]],"mmmm")</f>
        <v>April</v>
      </c>
      <c r="D1386" t="s">
        <v>3731</v>
      </c>
      <c r="E1386" t="s">
        <v>3225</v>
      </c>
      <c r="F1386" t="s">
        <v>3226</v>
      </c>
      <c r="G1386" s="4">
        <v>83091.740000000005</v>
      </c>
      <c r="H1386" s="4">
        <v>66473.392000000007</v>
      </c>
      <c r="I1386" s="3" t="s">
        <v>3735</v>
      </c>
      <c r="J1386">
        <v>5</v>
      </c>
      <c r="K1386" s="4">
        <f>Table3[[#This Row],[Sales]]-Table3[[#This Row],[Cost]]</f>
        <v>16618.347999999998</v>
      </c>
      <c r="L1386" s="6">
        <f>Table3[[#This Row],[Profit]]/Table3[[#This Row],[Sales]]</f>
        <v>0.19999999999999996</v>
      </c>
    </row>
    <row r="1387" spans="1:12" x14ac:dyDescent="0.25">
      <c r="A1387" t="s">
        <v>1355</v>
      </c>
      <c r="B1387" s="2">
        <v>45005</v>
      </c>
      <c r="C1387" s="2" t="str">
        <f>TEXT(Table3[[#This Row],[Order Date]],"mmmm")</f>
        <v>March</v>
      </c>
      <c r="D1387" t="s">
        <v>3731</v>
      </c>
      <c r="E1387" t="s">
        <v>3223</v>
      </c>
      <c r="F1387" t="s">
        <v>3226</v>
      </c>
      <c r="G1387" s="4">
        <v>36738.47</v>
      </c>
      <c r="H1387" s="4">
        <v>28191.27</v>
      </c>
      <c r="I1387" s="3" t="s">
        <v>3734</v>
      </c>
      <c r="J1387">
        <v>4</v>
      </c>
      <c r="K1387" s="4">
        <f>Table3[[#This Row],[Sales]]-Table3[[#This Row],[Cost]]</f>
        <v>8547.2000000000007</v>
      </c>
      <c r="L1387" s="6">
        <f>Table3[[#This Row],[Profit]]/Table3[[#This Row],[Sales]]</f>
        <v>0.23264986266439514</v>
      </c>
    </row>
    <row r="1388" spans="1:12" x14ac:dyDescent="0.25">
      <c r="A1388" t="s">
        <v>1356</v>
      </c>
      <c r="B1388" s="2">
        <v>44972</v>
      </c>
      <c r="C1388" s="2" t="str">
        <f>TEXT(Table3[[#This Row],[Order Date]],"mmmm")</f>
        <v>February</v>
      </c>
      <c r="D1388" t="s">
        <v>3220</v>
      </c>
      <c r="E1388" t="s">
        <v>3223</v>
      </c>
      <c r="F1388" t="s">
        <v>3226</v>
      </c>
      <c r="G1388" s="4">
        <v>10465.48</v>
      </c>
      <c r="H1388" s="4">
        <v>6358.83</v>
      </c>
      <c r="I1388" s="3" t="s">
        <v>3734</v>
      </c>
      <c r="J1388">
        <v>1</v>
      </c>
      <c r="K1388" s="4">
        <f>Table3[[#This Row],[Sales]]-Table3[[#This Row],[Cost]]</f>
        <v>4106.6499999999996</v>
      </c>
      <c r="L1388" s="6">
        <f>Table3[[#This Row],[Profit]]/Table3[[#This Row],[Sales]]</f>
        <v>0.39239958415667509</v>
      </c>
    </row>
    <row r="1389" spans="1:12" x14ac:dyDescent="0.25">
      <c r="A1389" t="s">
        <v>1176</v>
      </c>
      <c r="B1389" s="2" t="s">
        <v>3729</v>
      </c>
      <c r="C1389" s="2" t="str">
        <f>TEXT(Table3[[#This Row],[Order Date]],"mmmm")</f>
        <v>Not Mentioned</v>
      </c>
      <c r="D1389" t="s">
        <v>3731</v>
      </c>
      <c r="E1389" t="s">
        <v>3225</v>
      </c>
      <c r="F1389" t="s">
        <v>3226</v>
      </c>
      <c r="G1389" s="4">
        <v>51756.19</v>
      </c>
      <c r="H1389" s="4">
        <v>38323.879999999997</v>
      </c>
      <c r="I1389" s="3" t="s">
        <v>3734</v>
      </c>
      <c r="J1389">
        <v>3</v>
      </c>
      <c r="K1389" s="4">
        <f>Table3[[#This Row],[Sales]]-Table3[[#This Row],[Cost]]</f>
        <v>13432.310000000005</v>
      </c>
      <c r="L1389" s="6">
        <f>Table3[[#This Row],[Profit]]/Table3[[#This Row],[Sales]]</f>
        <v>0.25953050253505916</v>
      </c>
    </row>
    <row r="1390" spans="1:12" x14ac:dyDescent="0.25">
      <c r="A1390" t="s">
        <v>357</v>
      </c>
      <c r="B1390" s="2">
        <v>45005</v>
      </c>
      <c r="C1390" s="2" t="str">
        <f>TEXT(Table3[[#This Row],[Order Date]],"mmmm")</f>
        <v>March</v>
      </c>
      <c r="D1390" t="s">
        <v>3730</v>
      </c>
      <c r="E1390" t="s">
        <v>3222</v>
      </c>
      <c r="F1390" t="s">
        <v>3226</v>
      </c>
      <c r="G1390" s="4">
        <v>15592.41</v>
      </c>
      <c r="H1390" s="4">
        <v>10224.469999999999</v>
      </c>
      <c r="I1390" s="3" t="s">
        <v>3734</v>
      </c>
      <c r="J1390">
        <v>1</v>
      </c>
      <c r="K1390" s="4">
        <f>Table3[[#This Row],[Sales]]-Table3[[#This Row],[Cost]]</f>
        <v>5367.9400000000005</v>
      </c>
      <c r="L1390" s="6">
        <f>Table3[[#This Row],[Profit]]/Table3[[#This Row],[Sales]]</f>
        <v>0.34426621670415292</v>
      </c>
    </row>
    <row r="1391" spans="1:12" x14ac:dyDescent="0.25">
      <c r="A1391" t="s">
        <v>1336</v>
      </c>
      <c r="B1391" s="2">
        <v>45021</v>
      </c>
      <c r="C1391" s="2" t="str">
        <f>TEXT(Table3[[#This Row],[Order Date]],"mmmm")</f>
        <v>April</v>
      </c>
      <c r="D1391" t="s">
        <v>3220</v>
      </c>
      <c r="E1391" t="s">
        <v>3225</v>
      </c>
      <c r="F1391" t="s">
        <v>3226</v>
      </c>
      <c r="G1391" s="4">
        <v>23807.15</v>
      </c>
      <c r="H1391" s="4">
        <v>15186.78</v>
      </c>
      <c r="I1391" s="3" t="s">
        <v>3734</v>
      </c>
      <c r="J1391">
        <v>1</v>
      </c>
      <c r="K1391" s="4">
        <f>Table3[[#This Row],[Sales]]-Table3[[#This Row],[Cost]]</f>
        <v>8620.3700000000008</v>
      </c>
      <c r="L1391" s="6">
        <f>Table3[[#This Row],[Profit]]/Table3[[#This Row],[Sales]]</f>
        <v>0.36209164053656151</v>
      </c>
    </row>
    <row r="1392" spans="1:12" x14ac:dyDescent="0.25">
      <c r="A1392" t="s">
        <v>1358</v>
      </c>
      <c r="B1392" s="2">
        <v>45005</v>
      </c>
      <c r="C1392" s="2" t="str">
        <f>TEXT(Table3[[#This Row],[Order Date]],"mmmm")</f>
        <v>March</v>
      </c>
      <c r="D1392" t="s">
        <v>3730</v>
      </c>
      <c r="E1392" t="s">
        <v>3223</v>
      </c>
      <c r="F1392" t="s">
        <v>3226</v>
      </c>
      <c r="G1392" s="4">
        <v>11034.7</v>
      </c>
      <c r="H1392" s="4">
        <v>8827.76</v>
      </c>
      <c r="I1392" s="3" t="s">
        <v>3735</v>
      </c>
      <c r="J1392">
        <v>1</v>
      </c>
      <c r="K1392" s="4">
        <f>Table3[[#This Row],[Sales]]-Table3[[#This Row],[Cost]]</f>
        <v>2206.9400000000005</v>
      </c>
      <c r="L1392" s="6">
        <f>Table3[[#This Row],[Profit]]/Table3[[#This Row],[Sales]]</f>
        <v>0.20000000000000004</v>
      </c>
    </row>
    <row r="1393" spans="1:12" x14ac:dyDescent="0.25">
      <c r="A1393" t="s">
        <v>1359</v>
      </c>
      <c r="B1393" s="2">
        <v>45005</v>
      </c>
      <c r="C1393" s="2" t="str">
        <f>TEXT(Table3[[#This Row],[Order Date]],"mmmm")</f>
        <v>March</v>
      </c>
      <c r="D1393" t="s">
        <v>3730</v>
      </c>
      <c r="E1393" t="s">
        <v>3224</v>
      </c>
      <c r="F1393" t="s">
        <v>3226</v>
      </c>
      <c r="G1393" s="4">
        <v>339258.02</v>
      </c>
      <c r="H1393" s="4">
        <v>237213.41</v>
      </c>
      <c r="I1393" s="3" t="s">
        <v>3734</v>
      </c>
      <c r="J1393">
        <v>5</v>
      </c>
      <c r="K1393" s="4">
        <f>Table3[[#This Row],[Sales]]-Table3[[#This Row],[Cost]]</f>
        <v>102044.61000000002</v>
      </c>
      <c r="L1393" s="6">
        <f>Table3[[#This Row],[Profit]]/Table3[[#This Row],[Sales]]</f>
        <v>0.30078761292069089</v>
      </c>
    </row>
    <row r="1394" spans="1:12" x14ac:dyDescent="0.25">
      <c r="A1394" t="s">
        <v>3471</v>
      </c>
      <c r="B1394" s="2" t="s">
        <v>3729</v>
      </c>
      <c r="C1394" s="2" t="str">
        <f>TEXT(Table3[[#This Row],[Order Date]],"mmmm")</f>
        <v>Not Mentioned</v>
      </c>
      <c r="D1394" t="s">
        <v>3730</v>
      </c>
      <c r="E1394" t="s">
        <v>3223</v>
      </c>
      <c r="F1394" t="s">
        <v>3226</v>
      </c>
      <c r="G1394" s="4">
        <v>10918.75</v>
      </c>
      <c r="H1394" s="4">
        <v>6316.5</v>
      </c>
      <c r="I1394" s="3" t="s">
        <v>3734</v>
      </c>
      <c r="J1394">
        <v>1</v>
      </c>
      <c r="K1394" s="4">
        <f>Table3[[#This Row],[Sales]]-Table3[[#This Row],[Cost]]</f>
        <v>4602.25</v>
      </c>
      <c r="L1394" s="6">
        <f>Table3[[#This Row],[Profit]]/Table3[[#This Row],[Sales]]</f>
        <v>0.42149971379507728</v>
      </c>
    </row>
    <row r="1395" spans="1:12" x14ac:dyDescent="0.25">
      <c r="A1395" t="s">
        <v>1361</v>
      </c>
      <c r="B1395" s="2">
        <v>45021</v>
      </c>
      <c r="C1395" s="2" t="str">
        <f>TEXT(Table3[[#This Row],[Order Date]],"mmmm")</f>
        <v>April</v>
      </c>
      <c r="D1395" t="s">
        <v>3731</v>
      </c>
      <c r="E1395" t="s">
        <v>3224</v>
      </c>
      <c r="F1395" t="s">
        <v>3226</v>
      </c>
      <c r="G1395" s="4">
        <v>226382.1</v>
      </c>
      <c r="H1395" s="4">
        <v>161682.04999999999</v>
      </c>
      <c r="I1395" s="3" t="s">
        <v>3734</v>
      </c>
      <c r="J1395">
        <v>4</v>
      </c>
      <c r="K1395" s="4">
        <f>Table3[[#This Row],[Sales]]-Table3[[#This Row],[Cost]]</f>
        <v>64700.050000000017</v>
      </c>
      <c r="L1395" s="6">
        <f>Table3[[#This Row],[Profit]]/Table3[[#This Row],[Sales]]</f>
        <v>0.28580020240116166</v>
      </c>
    </row>
    <row r="1396" spans="1:12" x14ac:dyDescent="0.25">
      <c r="A1396" t="s">
        <v>1362</v>
      </c>
      <c r="B1396" s="2" t="s">
        <v>3729</v>
      </c>
      <c r="C1396" s="2" t="str">
        <f>TEXT(Table3[[#This Row],[Order Date]],"mmmm")</f>
        <v>Not Mentioned</v>
      </c>
      <c r="D1396" t="s">
        <v>3730</v>
      </c>
      <c r="E1396" t="s">
        <v>3222</v>
      </c>
      <c r="F1396" t="s">
        <v>3226</v>
      </c>
      <c r="G1396" s="4">
        <v>12836.79</v>
      </c>
      <c r="H1396" s="4">
        <v>9925.83</v>
      </c>
      <c r="I1396" s="3" t="s">
        <v>3734</v>
      </c>
      <c r="J1396">
        <v>1</v>
      </c>
      <c r="K1396" s="4">
        <f>Table3[[#This Row],[Sales]]-Table3[[#This Row],[Cost]]</f>
        <v>2910.9600000000009</v>
      </c>
      <c r="L1396" s="6">
        <f>Table3[[#This Row],[Profit]]/Table3[[#This Row],[Sales]]</f>
        <v>0.22676697211686106</v>
      </c>
    </row>
    <row r="1397" spans="1:12" x14ac:dyDescent="0.25">
      <c r="A1397" t="s">
        <v>1363</v>
      </c>
      <c r="B1397" s="2" t="s">
        <v>3729</v>
      </c>
      <c r="C1397" s="2" t="str">
        <f>TEXT(Table3[[#This Row],[Order Date]],"mmmm")</f>
        <v>Not Mentioned</v>
      </c>
      <c r="D1397" t="s">
        <v>3730</v>
      </c>
      <c r="E1397" t="s">
        <v>3224</v>
      </c>
      <c r="F1397" t="s">
        <v>3226</v>
      </c>
      <c r="G1397" s="4">
        <v>160206.6</v>
      </c>
      <c r="H1397" s="4">
        <v>132760.20000000001</v>
      </c>
      <c r="I1397" s="3" t="s">
        <v>3734</v>
      </c>
      <c r="J1397" t="s">
        <v>3732</v>
      </c>
      <c r="K1397" s="4">
        <f>Table3[[#This Row],[Sales]]-Table3[[#This Row],[Cost]]</f>
        <v>27446.399999999994</v>
      </c>
      <c r="L1397" s="6">
        <f>Table3[[#This Row],[Profit]]/Table3[[#This Row],[Sales]]</f>
        <v>0.1713187846193602</v>
      </c>
    </row>
    <row r="1398" spans="1:12" x14ac:dyDescent="0.25">
      <c r="A1398" t="s">
        <v>1364</v>
      </c>
      <c r="B1398" s="2">
        <v>45102</v>
      </c>
      <c r="C1398" s="2" t="str">
        <f>TEXT(Table3[[#This Row],[Order Date]],"mmmm")</f>
        <v>June</v>
      </c>
      <c r="D1398" t="s">
        <v>3220</v>
      </c>
      <c r="E1398" t="s">
        <v>3223</v>
      </c>
      <c r="F1398" t="s">
        <v>3226</v>
      </c>
      <c r="G1398" s="4">
        <v>19806.37</v>
      </c>
      <c r="H1398" s="4">
        <v>14187.48</v>
      </c>
      <c r="I1398" s="3" t="s">
        <v>3734</v>
      </c>
      <c r="J1398">
        <v>2</v>
      </c>
      <c r="K1398" s="4">
        <f>Table3[[#This Row],[Sales]]-Table3[[#This Row],[Cost]]</f>
        <v>5618.8899999999994</v>
      </c>
      <c r="L1398" s="6">
        <f>Table3[[#This Row],[Profit]]/Table3[[#This Row],[Sales]]</f>
        <v>0.28369105494848373</v>
      </c>
    </row>
    <row r="1399" spans="1:12" x14ac:dyDescent="0.25">
      <c r="A1399" t="s">
        <v>3472</v>
      </c>
      <c r="B1399" s="2">
        <v>45102</v>
      </c>
      <c r="C1399" s="2" t="str">
        <f>TEXT(Table3[[#This Row],[Order Date]],"mmmm")</f>
        <v>June</v>
      </c>
      <c r="D1399" t="s">
        <v>3216</v>
      </c>
      <c r="E1399" t="s">
        <v>3223</v>
      </c>
      <c r="F1399" t="s">
        <v>3226</v>
      </c>
      <c r="G1399" s="4">
        <v>19504.25</v>
      </c>
      <c r="H1399" s="4">
        <v>14615.91</v>
      </c>
      <c r="I1399" s="3" t="s">
        <v>3734</v>
      </c>
      <c r="J1399" t="s">
        <v>3732</v>
      </c>
      <c r="K1399" s="4">
        <f>Table3[[#This Row],[Sales]]-Table3[[#This Row],[Cost]]</f>
        <v>4888.34</v>
      </c>
      <c r="L1399" s="6">
        <f>Table3[[#This Row],[Profit]]/Table3[[#This Row],[Sales]]</f>
        <v>0.25062947819065079</v>
      </c>
    </row>
    <row r="1400" spans="1:12" x14ac:dyDescent="0.25">
      <c r="A1400" t="s">
        <v>896</v>
      </c>
      <c r="B1400" s="2">
        <v>44972</v>
      </c>
      <c r="C1400" s="2" t="str">
        <f>TEXT(Table3[[#This Row],[Order Date]],"mmmm")</f>
        <v>February</v>
      </c>
      <c r="D1400" t="s">
        <v>3731</v>
      </c>
      <c r="E1400" t="s">
        <v>3225</v>
      </c>
      <c r="F1400" t="s">
        <v>3226</v>
      </c>
      <c r="G1400" s="4">
        <v>105133.45</v>
      </c>
      <c r="H1400" s="4">
        <v>69691.48</v>
      </c>
      <c r="I1400" s="3" t="s">
        <v>3734</v>
      </c>
      <c r="J1400">
        <v>5</v>
      </c>
      <c r="K1400" s="4">
        <f>Table3[[#This Row],[Sales]]-Table3[[#This Row],[Cost]]</f>
        <v>35441.97</v>
      </c>
      <c r="L1400" s="6">
        <f>Table3[[#This Row],[Profit]]/Table3[[#This Row],[Sales]]</f>
        <v>0.3371141154408992</v>
      </c>
    </row>
    <row r="1401" spans="1:12" x14ac:dyDescent="0.25">
      <c r="A1401" t="s">
        <v>3473</v>
      </c>
      <c r="B1401" s="2">
        <v>44972</v>
      </c>
      <c r="C1401" s="2" t="str">
        <f>TEXT(Table3[[#This Row],[Order Date]],"mmmm")</f>
        <v>February</v>
      </c>
      <c r="D1401" t="s">
        <v>3220</v>
      </c>
      <c r="E1401" t="s">
        <v>3225</v>
      </c>
      <c r="F1401" t="s">
        <v>3226</v>
      </c>
      <c r="G1401" s="4">
        <v>109618.59</v>
      </c>
      <c r="H1401" s="4">
        <v>67215.42</v>
      </c>
      <c r="I1401" s="3" t="s">
        <v>3734</v>
      </c>
      <c r="J1401">
        <v>5</v>
      </c>
      <c r="K1401" s="4">
        <f>Table3[[#This Row],[Sales]]-Table3[[#This Row],[Cost]]</f>
        <v>42403.17</v>
      </c>
      <c r="L1401" s="6">
        <f>Table3[[#This Row],[Profit]]/Table3[[#This Row],[Sales]]</f>
        <v>0.38682462527569456</v>
      </c>
    </row>
    <row r="1402" spans="1:12" x14ac:dyDescent="0.25">
      <c r="A1402" t="s">
        <v>1254</v>
      </c>
      <c r="B1402" s="2">
        <v>45102</v>
      </c>
      <c r="C1402" s="2" t="str">
        <f>TEXT(Table3[[#This Row],[Order Date]],"mmmm")</f>
        <v>June</v>
      </c>
      <c r="D1402" t="s">
        <v>3216</v>
      </c>
      <c r="E1402" t="s">
        <v>3223</v>
      </c>
      <c r="F1402" t="s">
        <v>3226</v>
      </c>
      <c r="G1402" s="4">
        <v>47721.48</v>
      </c>
      <c r="H1402" s="4">
        <v>29453.83</v>
      </c>
      <c r="I1402" s="3" t="s">
        <v>3734</v>
      </c>
      <c r="J1402">
        <v>4</v>
      </c>
      <c r="K1402" s="4">
        <f>Table3[[#This Row],[Sales]]-Table3[[#This Row],[Cost]]</f>
        <v>18267.650000000001</v>
      </c>
      <c r="L1402" s="6">
        <f>Table3[[#This Row],[Profit]]/Table3[[#This Row],[Sales]]</f>
        <v>0.38279722255051601</v>
      </c>
    </row>
    <row r="1403" spans="1:12" x14ac:dyDescent="0.25">
      <c r="A1403" t="s">
        <v>835</v>
      </c>
      <c r="B1403" s="2">
        <v>45021</v>
      </c>
      <c r="C1403" s="2" t="str">
        <f>TEXT(Table3[[#This Row],[Order Date]],"mmmm")</f>
        <v>April</v>
      </c>
      <c r="D1403" t="s">
        <v>3730</v>
      </c>
      <c r="E1403" t="s">
        <v>3223</v>
      </c>
      <c r="F1403" t="s">
        <v>3226</v>
      </c>
      <c r="G1403" s="4">
        <v>19652.09</v>
      </c>
      <c r="H1403" s="4">
        <v>12850.93</v>
      </c>
      <c r="I1403" s="3" t="s">
        <v>3734</v>
      </c>
      <c r="J1403">
        <v>2</v>
      </c>
      <c r="K1403" s="4">
        <f>Table3[[#This Row],[Sales]]-Table3[[#This Row],[Cost]]</f>
        <v>6801.16</v>
      </c>
      <c r="L1403" s="6">
        <f>Table3[[#This Row],[Profit]]/Table3[[#This Row],[Sales]]</f>
        <v>0.34607820338701889</v>
      </c>
    </row>
    <row r="1404" spans="1:12" x14ac:dyDescent="0.25">
      <c r="A1404" t="s">
        <v>1367</v>
      </c>
      <c r="B1404" s="2">
        <v>45005</v>
      </c>
      <c r="C1404" s="2" t="str">
        <f>TEXT(Table3[[#This Row],[Order Date]],"mmmm")</f>
        <v>March</v>
      </c>
      <c r="D1404" t="s">
        <v>3216</v>
      </c>
      <c r="E1404" t="s">
        <v>3222</v>
      </c>
      <c r="F1404" t="s">
        <v>3226</v>
      </c>
      <c r="G1404" s="4">
        <v>24483.38</v>
      </c>
      <c r="H1404" s="4">
        <v>21135.63</v>
      </c>
      <c r="I1404" s="3" t="s">
        <v>3734</v>
      </c>
      <c r="J1404">
        <v>2</v>
      </c>
      <c r="K1404" s="4">
        <f>Table3[[#This Row],[Sales]]-Table3[[#This Row],[Cost]]</f>
        <v>3347.75</v>
      </c>
      <c r="L1404" s="6">
        <f>Table3[[#This Row],[Profit]]/Table3[[#This Row],[Sales]]</f>
        <v>0.13673561411863885</v>
      </c>
    </row>
    <row r="1405" spans="1:12" x14ac:dyDescent="0.25">
      <c r="A1405" t="s">
        <v>1368</v>
      </c>
      <c r="B1405" s="2">
        <v>45005</v>
      </c>
      <c r="C1405" s="2" t="str">
        <f>TEXT(Table3[[#This Row],[Order Date]],"mmmm")</f>
        <v>March</v>
      </c>
      <c r="D1405" t="s">
        <v>3216</v>
      </c>
      <c r="E1405" t="s">
        <v>3224</v>
      </c>
      <c r="F1405" t="s">
        <v>3226</v>
      </c>
      <c r="G1405" s="4">
        <v>324783.56</v>
      </c>
      <c r="H1405" s="4">
        <v>234028.24</v>
      </c>
      <c r="I1405" s="3" t="s">
        <v>3734</v>
      </c>
      <c r="J1405">
        <v>5</v>
      </c>
      <c r="K1405" s="4">
        <f>Table3[[#This Row],[Sales]]-Table3[[#This Row],[Cost]]</f>
        <v>90755.32</v>
      </c>
      <c r="L1405" s="6">
        <f>Table3[[#This Row],[Profit]]/Table3[[#This Row],[Sales]]</f>
        <v>0.27943323239636886</v>
      </c>
    </row>
    <row r="1406" spans="1:12" x14ac:dyDescent="0.25">
      <c r="A1406" t="s">
        <v>1369</v>
      </c>
      <c r="B1406" s="2">
        <v>45005</v>
      </c>
      <c r="C1406" s="2" t="str">
        <f>TEXT(Table3[[#This Row],[Order Date]],"mmmm")</f>
        <v>March</v>
      </c>
      <c r="D1406" t="s">
        <v>3220</v>
      </c>
      <c r="E1406" t="s">
        <v>3224</v>
      </c>
      <c r="F1406" t="s">
        <v>3226</v>
      </c>
      <c r="G1406" s="4">
        <v>52472.87</v>
      </c>
      <c r="H1406" s="4">
        <v>45685.07</v>
      </c>
      <c r="I1406" s="3" t="s">
        <v>3734</v>
      </c>
      <c r="J1406">
        <v>1</v>
      </c>
      <c r="K1406" s="4">
        <f>Table3[[#This Row],[Sales]]-Table3[[#This Row],[Cost]]</f>
        <v>6787.8000000000029</v>
      </c>
      <c r="L1406" s="6">
        <f>Table3[[#This Row],[Profit]]/Table3[[#This Row],[Sales]]</f>
        <v>0.12935827600053137</v>
      </c>
    </row>
    <row r="1407" spans="1:12" x14ac:dyDescent="0.25">
      <c r="A1407" t="s">
        <v>3248</v>
      </c>
      <c r="B1407" s="2">
        <v>45102</v>
      </c>
      <c r="C1407" s="2" t="str">
        <f>TEXT(Table3[[#This Row],[Order Date]],"mmmm")</f>
        <v>June</v>
      </c>
      <c r="D1407" t="s">
        <v>3216</v>
      </c>
      <c r="E1407" t="s">
        <v>3224</v>
      </c>
      <c r="F1407" t="s">
        <v>3226</v>
      </c>
      <c r="G1407" s="4">
        <v>65654.899999999994</v>
      </c>
      <c r="H1407" s="4">
        <v>46974.59</v>
      </c>
      <c r="I1407" s="3" t="s">
        <v>3734</v>
      </c>
      <c r="J1407" t="s">
        <v>3732</v>
      </c>
      <c r="K1407" s="4">
        <f>Table3[[#This Row],[Sales]]-Table3[[#This Row],[Cost]]</f>
        <v>18680.309999999998</v>
      </c>
      <c r="L1407" s="6">
        <f>Table3[[#This Row],[Profit]]/Table3[[#This Row],[Sales]]</f>
        <v>0.28452270889149173</v>
      </c>
    </row>
    <row r="1408" spans="1:12" x14ac:dyDescent="0.25">
      <c r="A1408" t="s">
        <v>3242</v>
      </c>
      <c r="B1408" s="2">
        <v>44941</v>
      </c>
      <c r="C1408" s="2" t="str">
        <f>TEXT(Table3[[#This Row],[Order Date]],"mmmm")</f>
        <v>January</v>
      </c>
      <c r="D1408" t="s">
        <v>3216</v>
      </c>
      <c r="E1408" t="s">
        <v>3223</v>
      </c>
      <c r="F1408" t="s">
        <v>3226</v>
      </c>
      <c r="G1408" s="4">
        <v>42332.97</v>
      </c>
      <c r="H1408" s="4">
        <v>25925.58</v>
      </c>
      <c r="I1408" s="3" t="s">
        <v>3734</v>
      </c>
      <c r="J1408">
        <v>4</v>
      </c>
      <c r="K1408" s="4">
        <f>Table3[[#This Row],[Sales]]-Table3[[#This Row],[Cost]]</f>
        <v>16407.39</v>
      </c>
      <c r="L1408" s="6">
        <f>Table3[[#This Row],[Profit]]/Table3[[#This Row],[Sales]]</f>
        <v>0.38757946820173494</v>
      </c>
    </row>
    <row r="1409" spans="1:12" x14ac:dyDescent="0.25">
      <c r="A1409" t="s">
        <v>535</v>
      </c>
      <c r="B1409" s="2">
        <v>45005</v>
      </c>
      <c r="C1409" s="2" t="str">
        <f>TEXT(Table3[[#This Row],[Order Date]],"mmmm")</f>
        <v>March</v>
      </c>
      <c r="D1409" t="s">
        <v>3730</v>
      </c>
      <c r="E1409" t="s">
        <v>3225</v>
      </c>
      <c r="F1409" t="s">
        <v>3226</v>
      </c>
      <c r="G1409" s="4">
        <v>67521.86</v>
      </c>
      <c r="H1409" s="4">
        <v>56138.12</v>
      </c>
      <c r="I1409" s="3" t="s">
        <v>3734</v>
      </c>
      <c r="J1409">
        <v>4</v>
      </c>
      <c r="K1409" s="4">
        <f>Table3[[#This Row],[Sales]]-Table3[[#This Row],[Cost]]</f>
        <v>11383.739999999998</v>
      </c>
      <c r="L1409" s="6">
        <f>Table3[[#This Row],[Profit]]/Table3[[#This Row],[Sales]]</f>
        <v>0.16859340071496842</v>
      </c>
    </row>
    <row r="1410" spans="1:12" x14ac:dyDescent="0.25">
      <c r="A1410" t="s">
        <v>1370</v>
      </c>
      <c r="B1410" s="2">
        <v>45005</v>
      </c>
      <c r="C1410" s="2" t="str">
        <f>TEXT(Table3[[#This Row],[Order Date]],"mmmm")</f>
        <v>March</v>
      </c>
      <c r="D1410" t="s">
        <v>3220</v>
      </c>
      <c r="E1410" t="s">
        <v>3222</v>
      </c>
      <c r="F1410" t="s">
        <v>3226</v>
      </c>
      <c r="G1410" s="4">
        <v>12800.81</v>
      </c>
      <c r="H1410" s="4">
        <v>9218.64</v>
      </c>
      <c r="I1410" s="3" t="s">
        <v>3734</v>
      </c>
      <c r="J1410">
        <v>1</v>
      </c>
      <c r="K1410" s="4">
        <f>Table3[[#This Row],[Sales]]-Table3[[#This Row],[Cost]]</f>
        <v>3582.17</v>
      </c>
      <c r="L1410" s="6">
        <f>Table3[[#This Row],[Profit]]/Table3[[#This Row],[Sales]]</f>
        <v>0.27983932266786243</v>
      </c>
    </row>
    <row r="1411" spans="1:12" x14ac:dyDescent="0.25">
      <c r="A1411" t="s">
        <v>1371</v>
      </c>
      <c r="B1411" s="2">
        <v>45005</v>
      </c>
      <c r="C1411" s="2" t="str">
        <f>TEXT(Table3[[#This Row],[Order Date]],"mmmm")</f>
        <v>March</v>
      </c>
      <c r="D1411" t="s">
        <v>3731</v>
      </c>
      <c r="E1411" t="s">
        <v>3223</v>
      </c>
      <c r="F1411" t="s">
        <v>3226</v>
      </c>
      <c r="G1411" s="4">
        <v>49843.31</v>
      </c>
      <c r="H1411" s="4">
        <v>32711.75</v>
      </c>
      <c r="I1411" s="3" t="s">
        <v>3734</v>
      </c>
      <c r="J1411">
        <v>5</v>
      </c>
      <c r="K1411" s="4">
        <f>Table3[[#This Row],[Sales]]-Table3[[#This Row],[Cost]]</f>
        <v>17131.559999999998</v>
      </c>
      <c r="L1411" s="6">
        <f>Table3[[#This Row],[Profit]]/Table3[[#This Row],[Sales]]</f>
        <v>0.34370831311162919</v>
      </c>
    </row>
    <row r="1412" spans="1:12" x14ac:dyDescent="0.25">
      <c r="A1412" t="s">
        <v>1372</v>
      </c>
      <c r="B1412" s="2">
        <v>45005</v>
      </c>
      <c r="C1412" s="2" t="str">
        <f>TEXT(Table3[[#This Row],[Order Date]],"mmmm")</f>
        <v>March</v>
      </c>
      <c r="D1412" t="s">
        <v>3730</v>
      </c>
      <c r="E1412" t="s">
        <v>3225</v>
      </c>
      <c r="F1412" t="s">
        <v>3226</v>
      </c>
      <c r="G1412" s="4">
        <v>56167.62</v>
      </c>
      <c r="H1412" s="4">
        <v>39086.870000000003</v>
      </c>
      <c r="I1412" s="3" t="s">
        <v>3734</v>
      </c>
      <c r="J1412">
        <v>3</v>
      </c>
      <c r="K1412" s="4">
        <f>Table3[[#This Row],[Sales]]-Table3[[#This Row],[Cost]]</f>
        <v>17080.75</v>
      </c>
      <c r="L1412" s="6">
        <f>Table3[[#This Row],[Profit]]/Table3[[#This Row],[Sales]]</f>
        <v>0.30410314697329172</v>
      </c>
    </row>
    <row r="1413" spans="1:12" x14ac:dyDescent="0.25">
      <c r="A1413" t="s">
        <v>1373</v>
      </c>
      <c r="B1413" s="2">
        <v>44972</v>
      </c>
      <c r="C1413" s="2" t="str">
        <f>TEXT(Table3[[#This Row],[Order Date]],"mmmm")</f>
        <v>February</v>
      </c>
      <c r="D1413" t="s">
        <v>3730</v>
      </c>
      <c r="E1413" t="s">
        <v>3223</v>
      </c>
      <c r="F1413" t="s">
        <v>3226</v>
      </c>
      <c r="G1413" s="4">
        <v>35477.980000000003</v>
      </c>
      <c r="H1413" s="4">
        <v>22505.31</v>
      </c>
      <c r="I1413" s="3" t="s">
        <v>3734</v>
      </c>
      <c r="J1413">
        <v>3</v>
      </c>
      <c r="K1413" s="4">
        <f>Table3[[#This Row],[Sales]]-Table3[[#This Row],[Cost]]</f>
        <v>12972.670000000002</v>
      </c>
      <c r="L1413" s="6">
        <f>Table3[[#This Row],[Profit]]/Table3[[#This Row],[Sales]]</f>
        <v>0.36565413250698042</v>
      </c>
    </row>
    <row r="1414" spans="1:12" x14ac:dyDescent="0.25">
      <c r="A1414" t="s">
        <v>404</v>
      </c>
      <c r="B1414" s="2">
        <v>45102</v>
      </c>
      <c r="C1414" s="2" t="str">
        <f>TEXT(Table3[[#This Row],[Order Date]],"mmmm")</f>
        <v>June</v>
      </c>
      <c r="D1414" t="s">
        <v>3730</v>
      </c>
      <c r="E1414" t="s">
        <v>3224</v>
      </c>
      <c r="F1414" t="s">
        <v>3226</v>
      </c>
      <c r="G1414" s="4">
        <v>263069.26</v>
      </c>
      <c r="H1414" s="4">
        <v>187651.37</v>
      </c>
      <c r="I1414" s="3" t="s">
        <v>3734</v>
      </c>
      <c r="J1414">
        <v>4</v>
      </c>
      <c r="K1414" s="4">
        <f>Table3[[#This Row],[Sales]]-Table3[[#This Row],[Cost]]</f>
        <v>75417.890000000014</v>
      </c>
      <c r="L1414" s="6">
        <f>Table3[[#This Row],[Profit]]/Table3[[#This Row],[Sales]]</f>
        <v>0.28668454079355382</v>
      </c>
    </row>
    <row r="1415" spans="1:12" x14ac:dyDescent="0.25">
      <c r="A1415" t="s">
        <v>1374</v>
      </c>
      <c r="B1415" s="2">
        <v>45021</v>
      </c>
      <c r="C1415" s="2" t="str">
        <f>TEXT(Table3[[#This Row],[Order Date]],"mmmm")</f>
        <v>April</v>
      </c>
      <c r="D1415" t="s">
        <v>3730</v>
      </c>
      <c r="E1415" t="s">
        <v>3222</v>
      </c>
      <c r="F1415" t="s">
        <v>3226</v>
      </c>
      <c r="G1415" s="4">
        <v>87178.66</v>
      </c>
      <c r="H1415" s="4">
        <v>49813.75</v>
      </c>
      <c r="I1415" s="3" t="s">
        <v>3734</v>
      </c>
      <c r="J1415">
        <v>5</v>
      </c>
      <c r="K1415" s="4">
        <f>Table3[[#This Row],[Sales]]-Table3[[#This Row],[Cost]]</f>
        <v>37364.910000000003</v>
      </c>
      <c r="L1415" s="6">
        <f>Table3[[#This Row],[Profit]]/Table3[[#This Row],[Sales]]</f>
        <v>0.42860156373130764</v>
      </c>
    </row>
    <row r="1416" spans="1:12" x14ac:dyDescent="0.25">
      <c r="A1416" t="s">
        <v>3330</v>
      </c>
      <c r="B1416" s="2">
        <v>45005</v>
      </c>
      <c r="C1416" s="2" t="str">
        <f>TEXT(Table3[[#This Row],[Order Date]],"mmmm")</f>
        <v>March</v>
      </c>
      <c r="D1416" t="s">
        <v>3730</v>
      </c>
      <c r="E1416" t="s">
        <v>3222</v>
      </c>
      <c r="F1416" t="s">
        <v>3226</v>
      </c>
      <c r="G1416" s="4">
        <v>24930.38</v>
      </c>
      <c r="H1416" s="4">
        <v>21026.39</v>
      </c>
      <c r="I1416" s="3" t="s">
        <v>3734</v>
      </c>
      <c r="J1416">
        <v>2</v>
      </c>
      <c r="K1416" s="4">
        <f>Table3[[#This Row],[Sales]]-Table3[[#This Row],[Cost]]</f>
        <v>3903.9900000000016</v>
      </c>
      <c r="L1416" s="6">
        <f>Table3[[#This Row],[Profit]]/Table3[[#This Row],[Sales]]</f>
        <v>0.15659568767102633</v>
      </c>
    </row>
    <row r="1417" spans="1:12" x14ac:dyDescent="0.25">
      <c r="A1417" t="s">
        <v>1375</v>
      </c>
      <c r="B1417" s="2">
        <v>44972</v>
      </c>
      <c r="C1417" s="2" t="str">
        <f>TEXT(Table3[[#This Row],[Order Date]],"mmmm")</f>
        <v>February</v>
      </c>
      <c r="D1417" t="s">
        <v>3731</v>
      </c>
      <c r="E1417" t="s">
        <v>3222</v>
      </c>
      <c r="F1417" t="s">
        <v>3226</v>
      </c>
      <c r="G1417" s="4">
        <v>12239.59</v>
      </c>
      <c r="H1417" s="4">
        <v>10588.04</v>
      </c>
      <c r="I1417" s="3" t="s">
        <v>3734</v>
      </c>
      <c r="J1417">
        <v>1</v>
      </c>
      <c r="K1417" s="4">
        <f>Table3[[#This Row],[Sales]]-Table3[[#This Row],[Cost]]</f>
        <v>1651.5499999999993</v>
      </c>
      <c r="L1417" s="6">
        <f>Table3[[#This Row],[Profit]]/Table3[[#This Row],[Sales]]</f>
        <v>0.13493507543961841</v>
      </c>
    </row>
    <row r="1418" spans="1:12" x14ac:dyDescent="0.25">
      <c r="A1418" t="s">
        <v>1376</v>
      </c>
      <c r="B1418" s="2">
        <v>45102</v>
      </c>
      <c r="C1418" s="2" t="str">
        <f>TEXT(Table3[[#This Row],[Order Date]],"mmmm")</f>
        <v>June</v>
      </c>
      <c r="D1418" t="s">
        <v>3220</v>
      </c>
      <c r="E1418" t="s">
        <v>3222</v>
      </c>
      <c r="F1418" t="s">
        <v>3226</v>
      </c>
      <c r="G1418" s="4">
        <v>13912.22</v>
      </c>
      <c r="H1418" s="4">
        <v>10192.91</v>
      </c>
      <c r="I1418" s="3" t="s">
        <v>3734</v>
      </c>
      <c r="J1418">
        <v>1</v>
      </c>
      <c r="K1418" s="4">
        <f>Table3[[#This Row],[Sales]]-Table3[[#This Row],[Cost]]</f>
        <v>3719.3099999999995</v>
      </c>
      <c r="L1418" s="6">
        <f>Table3[[#This Row],[Profit]]/Table3[[#This Row],[Sales]]</f>
        <v>0.26734122950902156</v>
      </c>
    </row>
    <row r="1419" spans="1:12" x14ac:dyDescent="0.25">
      <c r="A1419" t="s">
        <v>1378</v>
      </c>
      <c r="B1419" s="2" t="s">
        <v>3729</v>
      </c>
      <c r="C1419" s="2" t="str">
        <f>TEXT(Table3[[#This Row],[Order Date]],"mmmm")</f>
        <v>Not Mentioned</v>
      </c>
      <c r="D1419" t="s">
        <v>3220</v>
      </c>
      <c r="E1419" t="s">
        <v>3225</v>
      </c>
      <c r="F1419" t="s">
        <v>3226</v>
      </c>
      <c r="G1419" s="4">
        <v>38053.69</v>
      </c>
      <c r="H1419" s="4">
        <v>29812.48</v>
      </c>
      <c r="I1419" s="3" t="s">
        <v>3734</v>
      </c>
      <c r="J1419">
        <v>2</v>
      </c>
      <c r="K1419" s="4">
        <f>Table3[[#This Row],[Sales]]-Table3[[#This Row],[Cost]]</f>
        <v>8241.2100000000028</v>
      </c>
      <c r="L1419" s="6">
        <f>Table3[[#This Row],[Profit]]/Table3[[#This Row],[Sales]]</f>
        <v>0.21656795963807984</v>
      </c>
    </row>
    <row r="1420" spans="1:12" x14ac:dyDescent="0.25">
      <c r="A1420" t="s">
        <v>1379</v>
      </c>
      <c r="B1420" s="2">
        <v>45005</v>
      </c>
      <c r="C1420" s="2" t="str">
        <f>TEXT(Table3[[#This Row],[Order Date]],"mmmm")</f>
        <v>March</v>
      </c>
      <c r="D1420" t="s">
        <v>3731</v>
      </c>
      <c r="E1420" t="s">
        <v>3224</v>
      </c>
      <c r="F1420" t="s">
        <v>3226</v>
      </c>
      <c r="G1420" s="4">
        <v>276190.93</v>
      </c>
      <c r="H1420" s="4">
        <v>162390.04</v>
      </c>
      <c r="I1420" s="3" t="s">
        <v>3734</v>
      </c>
      <c r="J1420">
        <v>4</v>
      </c>
      <c r="K1420" s="4">
        <f>Table3[[#This Row],[Sales]]-Table3[[#This Row],[Cost]]</f>
        <v>113800.88999999998</v>
      </c>
      <c r="L1420" s="6">
        <f>Table3[[#This Row],[Profit]]/Table3[[#This Row],[Sales]]</f>
        <v>0.41203702815295196</v>
      </c>
    </row>
    <row r="1421" spans="1:12" x14ac:dyDescent="0.25">
      <c r="A1421" t="s">
        <v>1380</v>
      </c>
      <c r="B1421" s="2">
        <v>45102</v>
      </c>
      <c r="C1421" s="2" t="str">
        <f>TEXT(Table3[[#This Row],[Order Date]],"mmmm")</f>
        <v>June</v>
      </c>
      <c r="D1421" t="s">
        <v>3730</v>
      </c>
      <c r="E1421" t="s">
        <v>3224</v>
      </c>
      <c r="F1421" t="s">
        <v>3226</v>
      </c>
      <c r="G1421" s="4">
        <v>234274.48</v>
      </c>
      <c r="H1421" s="4">
        <v>159410.84</v>
      </c>
      <c r="I1421" s="3" t="s">
        <v>3734</v>
      </c>
      <c r="J1421">
        <v>4</v>
      </c>
      <c r="K1421" s="4">
        <f>Table3[[#This Row],[Sales]]-Table3[[#This Row],[Cost]]</f>
        <v>74863.640000000014</v>
      </c>
      <c r="L1421" s="6">
        <f>Table3[[#This Row],[Profit]]/Table3[[#This Row],[Sales]]</f>
        <v>0.31955524989320222</v>
      </c>
    </row>
    <row r="1422" spans="1:12" x14ac:dyDescent="0.25">
      <c r="A1422" t="s">
        <v>288</v>
      </c>
      <c r="B1422" s="2">
        <v>45021</v>
      </c>
      <c r="C1422" s="2" t="str">
        <f>TEXT(Table3[[#This Row],[Order Date]],"mmmm")</f>
        <v>April</v>
      </c>
      <c r="D1422" t="s">
        <v>3220</v>
      </c>
      <c r="E1422" t="s">
        <v>3225</v>
      </c>
      <c r="F1422" t="s">
        <v>3226</v>
      </c>
      <c r="G1422" s="4">
        <v>23356.47</v>
      </c>
      <c r="H1422" s="4">
        <v>14188.02</v>
      </c>
      <c r="I1422" s="3" t="s">
        <v>3734</v>
      </c>
      <c r="J1422">
        <v>1</v>
      </c>
      <c r="K1422" s="4">
        <f>Table3[[#This Row],[Sales]]-Table3[[#This Row],[Cost]]</f>
        <v>9168.4500000000007</v>
      </c>
      <c r="L1422" s="6">
        <f>Table3[[#This Row],[Profit]]/Table3[[#This Row],[Sales]]</f>
        <v>0.39254433568086272</v>
      </c>
    </row>
    <row r="1423" spans="1:12" x14ac:dyDescent="0.25">
      <c r="A1423" t="s">
        <v>1381</v>
      </c>
      <c r="B1423" s="2" t="s">
        <v>3729</v>
      </c>
      <c r="C1423" s="2" t="str">
        <f>TEXT(Table3[[#This Row],[Order Date]],"mmmm")</f>
        <v>Not Mentioned</v>
      </c>
      <c r="D1423" t="s">
        <v>3220</v>
      </c>
      <c r="E1423" t="s">
        <v>3222</v>
      </c>
      <c r="F1423" t="s">
        <v>3226</v>
      </c>
      <c r="G1423" s="4">
        <v>41539.49</v>
      </c>
      <c r="H1423" s="4">
        <v>26448.2</v>
      </c>
      <c r="I1423" s="3" t="s">
        <v>3734</v>
      </c>
      <c r="J1423">
        <v>3</v>
      </c>
      <c r="K1423" s="4">
        <f>Table3[[#This Row],[Sales]]-Table3[[#This Row],[Cost]]</f>
        <v>15091.289999999997</v>
      </c>
      <c r="L1423" s="6">
        <f>Table3[[#This Row],[Profit]]/Table3[[#This Row],[Sales]]</f>
        <v>0.36329983829844803</v>
      </c>
    </row>
    <row r="1424" spans="1:12" x14ac:dyDescent="0.25">
      <c r="A1424" t="s">
        <v>1382</v>
      </c>
      <c r="B1424" s="2">
        <v>44941</v>
      </c>
      <c r="C1424" s="2" t="str">
        <f>TEXT(Table3[[#This Row],[Order Date]],"mmmm")</f>
        <v>January</v>
      </c>
      <c r="D1424" t="s">
        <v>3220</v>
      </c>
      <c r="E1424" t="s">
        <v>3223</v>
      </c>
      <c r="F1424" t="s">
        <v>3226</v>
      </c>
      <c r="G1424" s="4">
        <v>56972.56</v>
      </c>
      <c r="H1424" s="4">
        <v>36388.18</v>
      </c>
      <c r="I1424" s="3" t="s">
        <v>3734</v>
      </c>
      <c r="J1424">
        <v>5</v>
      </c>
      <c r="K1424" s="4">
        <f>Table3[[#This Row],[Sales]]-Table3[[#This Row],[Cost]]</f>
        <v>20584.379999999997</v>
      </c>
      <c r="L1424" s="6">
        <f>Table3[[#This Row],[Profit]]/Table3[[#This Row],[Sales]]</f>
        <v>0.36130340641178837</v>
      </c>
    </row>
    <row r="1425" spans="1:12" x14ac:dyDescent="0.25">
      <c r="A1425" t="s">
        <v>1383</v>
      </c>
      <c r="B1425" s="2">
        <v>44941</v>
      </c>
      <c r="C1425" s="2" t="str">
        <f>TEXT(Table3[[#This Row],[Order Date]],"mmmm")</f>
        <v>January</v>
      </c>
      <c r="D1425" t="s">
        <v>3730</v>
      </c>
      <c r="E1425" t="s">
        <v>3225</v>
      </c>
      <c r="F1425" t="s">
        <v>3226</v>
      </c>
      <c r="G1425" s="4">
        <v>17470.77</v>
      </c>
      <c r="H1425" s="4">
        <v>15194.94</v>
      </c>
      <c r="I1425" s="3" t="s">
        <v>3734</v>
      </c>
      <c r="J1425">
        <v>1</v>
      </c>
      <c r="K1425" s="4">
        <f>Table3[[#This Row],[Sales]]-Table3[[#This Row],[Cost]]</f>
        <v>2275.83</v>
      </c>
      <c r="L1425" s="6">
        <f>Table3[[#This Row],[Profit]]/Table3[[#This Row],[Sales]]</f>
        <v>0.13026500835395349</v>
      </c>
    </row>
    <row r="1426" spans="1:12" x14ac:dyDescent="0.25">
      <c r="A1426" t="s">
        <v>1384</v>
      </c>
      <c r="B1426" s="2" t="s">
        <v>3729</v>
      </c>
      <c r="C1426" s="2" t="str">
        <f>TEXT(Table3[[#This Row],[Order Date]],"mmmm")</f>
        <v>Not Mentioned</v>
      </c>
      <c r="D1426" t="s">
        <v>3730</v>
      </c>
      <c r="E1426" t="s">
        <v>3222</v>
      </c>
      <c r="F1426" t="s">
        <v>3226</v>
      </c>
      <c r="G1426" s="4">
        <v>26154.97</v>
      </c>
      <c r="H1426" s="4">
        <v>18013.439999999999</v>
      </c>
      <c r="I1426" s="3" t="s">
        <v>3734</v>
      </c>
      <c r="J1426">
        <v>2</v>
      </c>
      <c r="K1426" s="4">
        <f>Table3[[#This Row],[Sales]]-Table3[[#This Row],[Cost]]</f>
        <v>8141.5300000000025</v>
      </c>
      <c r="L1426" s="6">
        <f>Table3[[#This Row],[Profit]]/Table3[[#This Row],[Sales]]</f>
        <v>0.31128041821497032</v>
      </c>
    </row>
    <row r="1427" spans="1:12" x14ac:dyDescent="0.25">
      <c r="A1427" t="s">
        <v>1385</v>
      </c>
      <c r="B1427" s="2">
        <v>45021</v>
      </c>
      <c r="C1427" s="2" t="str">
        <f>TEXT(Table3[[#This Row],[Order Date]],"mmmm")</f>
        <v>April</v>
      </c>
      <c r="D1427" t="s">
        <v>3730</v>
      </c>
      <c r="E1427" t="s">
        <v>3224</v>
      </c>
      <c r="F1427" t="s">
        <v>3226</v>
      </c>
      <c r="G1427" s="4">
        <v>256160.98</v>
      </c>
      <c r="H1427" s="4">
        <v>238930.04</v>
      </c>
      <c r="I1427" s="3" t="s">
        <v>3734</v>
      </c>
      <c r="J1427">
        <v>5</v>
      </c>
      <c r="K1427" s="4">
        <f>Table3[[#This Row],[Sales]]-Table3[[#This Row],[Cost]]</f>
        <v>17230.940000000002</v>
      </c>
      <c r="L1427" s="6">
        <f>Table3[[#This Row],[Profit]]/Table3[[#This Row],[Sales]]</f>
        <v>6.7266060584246681E-2</v>
      </c>
    </row>
    <row r="1428" spans="1:12" x14ac:dyDescent="0.25">
      <c r="A1428" t="s">
        <v>1386</v>
      </c>
      <c r="B1428" s="2">
        <v>45005</v>
      </c>
      <c r="C1428" s="2" t="str">
        <f>TEXT(Table3[[#This Row],[Order Date]],"mmmm")</f>
        <v>March</v>
      </c>
      <c r="D1428" t="s">
        <v>3220</v>
      </c>
      <c r="E1428" t="s">
        <v>3222</v>
      </c>
      <c r="F1428" t="s">
        <v>3226</v>
      </c>
      <c r="G1428" s="4">
        <v>72461.8</v>
      </c>
      <c r="H1428" s="4">
        <v>44832.25</v>
      </c>
      <c r="I1428" s="3" t="s">
        <v>3734</v>
      </c>
      <c r="J1428">
        <v>5</v>
      </c>
      <c r="K1428" s="4">
        <f>Table3[[#This Row],[Sales]]-Table3[[#This Row],[Cost]]</f>
        <v>27629.550000000003</v>
      </c>
      <c r="L1428" s="6">
        <f>Table3[[#This Row],[Profit]]/Table3[[#This Row],[Sales]]</f>
        <v>0.38129814605764695</v>
      </c>
    </row>
    <row r="1429" spans="1:12" x14ac:dyDescent="0.25">
      <c r="A1429" t="s">
        <v>1387</v>
      </c>
      <c r="B1429" s="2">
        <v>45102</v>
      </c>
      <c r="C1429" s="2" t="str">
        <f>TEXT(Table3[[#This Row],[Order Date]],"mmmm")</f>
        <v>June</v>
      </c>
      <c r="D1429" t="s">
        <v>3220</v>
      </c>
      <c r="E1429" t="s">
        <v>3225</v>
      </c>
      <c r="F1429" t="s">
        <v>3226</v>
      </c>
      <c r="G1429" s="4">
        <v>45460.93</v>
      </c>
      <c r="H1429" s="4">
        <v>28540.33</v>
      </c>
      <c r="I1429" s="3" t="s">
        <v>3734</v>
      </c>
      <c r="J1429">
        <v>2</v>
      </c>
      <c r="K1429" s="4">
        <f>Table3[[#This Row],[Sales]]-Table3[[#This Row],[Cost]]</f>
        <v>16920.599999999999</v>
      </c>
      <c r="L1429" s="6">
        <f>Table3[[#This Row],[Profit]]/Table3[[#This Row],[Sales]]</f>
        <v>0.37220092065868426</v>
      </c>
    </row>
    <row r="1430" spans="1:12" x14ac:dyDescent="0.25">
      <c r="A1430" t="s">
        <v>1388</v>
      </c>
      <c r="B1430" s="2">
        <v>45005</v>
      </c>
      <c r="C1430" s="2" t="str">
        <f>TEXT(Table3[[#This Row],[Order Date]],"mmmm")</f>
        <v>March</v>
      </c>
      <c r="D1430" t="s">
        <v>3730</v>
      </c>
      <c r="E1430" t="s">
        <v>3224</v>
      </c>
      <c r="F1430" t="s">
        <v>3226</v>
      </c>
      <c r="G1430" s="4">
        <v>310506.77</v>
      </c>
      <c r="H1430" s="4">
        <v>229461.5</v>
      </c>
      <c r="I1430" s="3" t="s">
        <v>3734</v>
      </c>
      <c r="J1430">
        <v>5</v>
      </c>
      <c r="K1430" s="4">
        <f>Table3[[#This Row],[Sales]]-Table3[[#This Row],[Cost]]</f>
        <v>81045.270000000019</v>
      </c>
      <c r="L1430" s="6">
        <f>Table3[[#This Row],[Profit]]/Table3[[#This Row],[Sales]]</f>
        <v>0.26100967138333253</v>
      </c>
    </row>
    <row r="1431" spans="1:12" x14ac:dyDescent="0.25">
      <c r="A1431" t="s">
        <v>716</v>
      </c>
      <c r="B1431" s="2">
        <v>45021</v>
      </c>
      <c r="C1431" s="2" t="str">
        <f>TEXT(Table3[[#This Row],[Order Date]],"mmmm")</f>
        <v>April</v>
      </c>
      <c r="D1431" t="s">
        <v>3220</v>
      </c>
      <c r="E1431" t="s">
        <v>3224</v>
      </c>
      <c r="F1431" t="s">
        <v>3226</v>
      </c>
      <c r="G1431" s="4">
        <v>69102.539999999994</v>
      </c>
      <c r="H1431" s="4">
        <v>47016.04</v>
      </c>
      <c r="I1431" s="3" t="s">
        <v>3734</v>
      </c>
      <c r="J1431">
        <v>1</v>
      </c>
      <c r="K1431" s="4">
        <f>Table3[[#This Row],[Sales]]-Table3[[#This Row],[Cost]]</f>
        <v>22086.499999999993</v>
      </c>
      <c r="L1431" s="6">
        <f>Table3[[#This Row],[Profit]]/Table3[[#This Row],[Sales]]</f>
        <v>0.31961922094325323</v>
      </c>
    </row>
    <row r="1432" spans="1:12" x14ac:dyDescent="0.25">
      <c r="A1432" t="s">
        <v>1389</v>
      </c>
      <c r="B1432" s="2">
        <v>45102</v>
      </c>
      <c r="C1432" s="2" t="str">
        <f>TEXT(Table3[[#This Row],[Order Date]],"mmmm")</f>
        <v>June</v>
      </c>
      <c r="D1432" t="s">
        <v>3220</v>
      </c>
      <c r="E1432" t="s">
        <v>3224</v>
      </c>
      <c r="F1432" t="s">
        <v>3226</v>
      </c>
      <c r="G1432" s="4">
        <v>332209.27</v>
      </c>
      <c r="H1432" s="4">
        <v>233884</v>
      </c>
      <c r="I1432" s="3" t="s">
        <v>3734</v>
      </c>
      <c r="J1432">
        <v>5</v>
      </c>
      <c r="K1432" s="4">
        <f>Table3[[#This Row],[Sales]]-Table3[[#This Row],[Cost]]</f>
        <v>98325.270000000019</v>
      </c>
      <c r="L1432" s="6">
        <f>Table3[[#This Row],[Profit]]/Table3[[#This Row],[Sales]]</f>
        <v>0.29597389019276921</v>
      </c>
    </row>
    <row r="1433" spans="1:12" x14ac:dyDescent="0.25">
      <c r="A1433" t="s">
        <v>850</v>
      </c>
      <c r="B1433" s="2">
        <v>45021</v>
      </c>
      <c r="C1433" s="2" t="str">
        <f>TEXT(Table3[[#This Row],[Order Date]],"mmmm")</f>
        <v>April</v>
      </c>
      <c r="D1433" t="s">
        <v>3216</v>
      </c>
      <c r="E1433" t="s">
        <v>3222</v>
      </c>
      <c r="F1433" t="s">
        <v>3226</v>
      </c>
      <c r="G1433" s="4">
        <v>66553.149999999994</v>
      </c>
      <c r="H1433" s="4">
        <v>49280.13</v>
      </c>
      <c r="I1433" s="3" t="s">
        <v>3734</v>
      </c>
      <c r="J1433">
        <v>5</v>
      </c>
      <c r="K1433" s="4">
        <f>Table3[[#This Row],[Sales]]-Table3[[#This Row],[Cost]]</f>
        <v>17273.019999999997</v>
      </c>
      <c r="L1433" s="6">
        <f>Table3[[#This Row],[Profit]]/Table3[[#This Row],[Sales]]</f>
        <v>0.25953722701329685</v>
      </c>
    </row>
    <row r="1434" spans="1:12" x14ac:dyDescent="0.25">
      <c r="A1434" t="s">
        <v>638</v>
      </c>
      <c r="B1434" s="2" t="s">
        <v>3729</v>
      </c>
      <c r="C1434" s="2" t="str">
        <f>TEXT(Table3[[#This Row],[Order Date]],"mmmm")</f>
        <v>Not Mentioned</v>
      </c>
      <c r="D1434" t="s">
        <v>3731</v>
      </c>
      <c r="E1434" t="s">
        <v>3225</v>
      </c>
      <c r="F1434" t="s">
        <v>3226</v>
      </c>
      <c r="G1434" s="4">
        <v>22312.04</v>
      </c>
      <c r="H1434" s="4">
        <v>13055.75</v>
      </c>
      <c r="I1434" s="3" t="s">
        <v>3734</v>
      </c>
      <c r="J1434">
        <v>1</v>
      </c>
      <c r="K1434" s="4">
        <f>Table3[[#This Row],[Sales]]-Table3[[#This Row],[Cost]]</f>
        <v>9256.2900000000009</v>
      </c>
      <c r="L1434" s="6">
        <f>Table3[[#This Row],[Profit]]/Table3[[#This Row],[Sales]]</f>
        <v>0.41485628387184681</v>
      </c>
    </row>
    <row r="1435" spans="1:12" x14ac:dyDescent="0.25">
      <c r="A1435" t="s">
        <v>3474</v>
      </c>
      <c r="B1435" s="2">
        <v>45021</v>
      </c>
      <c r="C1435" s="2" t="str">
        <f>TEXT(Table3[[#This Row],[Order Date]],"mmmm")</f>
        <v>April</v>
      </c>
      <c r="D1435" t="s">
        <v>3216</v>
      </c>
      <c r="E1435" t="s">
        <v>3222</v>
      </c>
      <c r="F1435" t="s">
        <v>3226</v>
      </c>
      <c r="G1435" s="4">
        <v>29982.54</v>
      </c>
      <c r="H1435" s="4">
        <v>21378.27</v>
      </c>
      <c r="I1435" s="3" t="s">
        <v>3734</v>
      </c>
      <c r="J1435">
        <v>2</v>
      </c>
      <c r="K1435" s="4">
        <f>Table3[[#This Row],[Sales]]-Table3[[#This Row],[Cost]]</f>
        <v>8604.27</v>
      </c>
      <c r="L1435" s="6">
        <f>Table3[[#This Row],[Profit]]/Table3[[#This Row],[Sales]]</f>
        <v>0.2869760200436654</v>
      </c>
    </row>
    <row r="1436" spans="1:12" x14ac:dyDescent="0.25">
      <c r="A1436" t="s">
        <v>1391</v>
      </c>
      <c r="B1436" s="2">
        <v>45005</v>
      </c>
      <c r="C1436" s="2" t="str">
        <f>TEXT(Table3[[#This Row],[Order Date]],"mmmm")</f>
        <v>March</v>
      </c>
      <c r="D1436" t="s">
        <v>3730</v>
      </c>
      <c r="E1436" t="s">
        <v>3224</v>
      </c>
      <c r="F1436" t="s">
        <v>3226</v>
      </c>
      <c r="G1436" s="4">
        <v>98013.61</v>
      </c>
      <c r="H1436" s="4">
        <v>91861.93</v>
      </c>
      <c r="I1436" s="3" t="s">
        <v>3734</v>
      </c>
      <c r="J1436">
        <v>2</v>
      </c>
      <c r="K1436" s="4">
        <f>Table3[[#This Row],[Sales]]-Table3[[#This Row],[Cost]]</f>
        <v>6151.6800000000076</v>
      </c>
      <c r="L1436" s="6">
        <f>Table3[[#This Row],[Profit]]/Table3[[#This Row],[Sales]]</f>
        <v>6.2763528452834325E-2</v>
      </c>
    </row>
    <row r="1437" spans="1:12" x14ac:dyDescent="0.25">
      <c r="A1437" t="s">
        <v>3475</v>
      </c>
      <c r="B1437" s="2">
        <v>44972</v>
      </c>
      <c r="C1437" s="2" t="str">
        <f>TEXT(Table3[[#This Row],[Order Date]],"mmmm")</f>
        <v>February</v>
      </c>
      <c r="D1437" t="s">
        <v>3220</v>
      </c>
      <c r="E1437" t="s">
        <v>3222</v>
      </c>
      <c r="F1437" t="s">
        <v>3226</v>
      </c>
      <c r="G1437" s="4">
        <v>38840.42</v>
      </c>
      <c r="H1437" s="4">
        <v>28441.05</v>
      </c>
      <c r="I1437" s="3" t="s">
        <v>3734</v>
      </c>
      <c r="J1437">
        <v>3</v>
      </c>
      <c r="K1437" s="4">
        <f>Table3[[#This Row],[Sales]]-Table3[[#This Row],[Cost]]</f>
        <v>10399.369999999999</v>
      </c>
      <c r="L1437" s="6">
        <f>Table3[[#This Row],[Profit]]/Table3[[#This Row],[Sales]]</f>
        <v>0.26774607483647189</v>
      </c>
    </row>
    <row r="1438" spans="1:12" x14ac:dyDescent="0.25">
      <c r="A1438" t="s">
        <v>1393</v>
      </c>
      <c r="B1438" s="2">
        <v>45005</v>
      </c>
      <c r="C1438" s="2" t="str">
        <f>TEXT(Table3[[#This Row],[Order Date]],"mmmm")</f>
        <v>March</v>
      </c>
      <c r="D1438" t="s">
        <v>3730</v>
      </c>
      <c r="E1438" t="s">
        <v>3223</v>
      </c>
      <c r="F1438" t="s">
        <v>3226</v>
      </c>
      <c r="G1438" s="4">
        <v>20583.09</v>
      </c>
      <c r="H1438" s="4">
        <v>13945.23</v>
      </c>
      <c r="I1438" s="3" t="s">
        <v>3734</v>
      </c>
      <c r="J1438">
        <v>2</v>
      </c>
      <c r="K1438" s="4">
        <f>Table3[[#This Row],[Sales]]-Table3[[#This Row],[Cost]]</f>
        <v>6637.8600000000006</v>
      </c>
      <c r="L1438" s="6">
        <f>Table3[[#This Row],[Profit]]/Table3[[#This Row],[Sales]]</f>
        <v>0.32249093794954986</v>
      </c>
    </row>
    <row r="1439" spans="1:12" x14ac:dyDescent="0.25">
      <c r="A1439" t="s">
        <v>1394</v>
      </c>
      <c r="B1439" s="2">
        <v>44941</v>
      </c>
      <c r="C1439" s="2" t="str">
        <f>TEXT(Table3[[#This Row],[Order Date]],"mmmm")</f>
        <v>January</v>
      </c>
      <c r="D1439" t="s">
        <v>3731</v>
      </c>
      <c r="E1439" t="s">
        <v>3223</v>
      </c>
      <c r="F1439" t="s">
        <v>3226</v>
      </c>
      <c r="G1439" s="4">
        <v>35597.74</v>
      </c>
      <c r="H1439" s="4">
        <v>21188.74</v>
      </c>
      <c r="I1439" s="3" t="s">
        <v>3734</v>
      </c>
      <c r="J1439">
        <v>3</v>
      </c>
      <c r="K1439" s="4">
        <f>Table3[[#This Row],[Sales]]-Table3[[#This Row],[Cost]]</f>
        <v>14408.999999999996</v>
      </c>
      <c r="L1439" s="6">
        <f>Table3[[#This Row],[Profit]]/Table3[[#This Row],[Sales]]</f>
        <v>0.40477288726756239</v>
      </c>
    </row>
    <row r="1440" spans="1:12" x14ac:dyDescent="0.25">
      <c r="A1440" t="s">
        <v>1395</v>
      </c>
      <c r="B1440" s="2">
        <v>44941</v>
      </c>
      <c r="C1440" s="2" t="str">
        <f>TEXT(Table3[[#This Row],[Order Date]],"mmmm")</f>
        <v>January</v>
      </c>
      <c r="D1440" t="s">
        <v>3730</v>
      </c>
      <c r="E1440" t="s">
        <v>3225</v>
      </c>
      <c r="F1440" t="s">
        <v>3226</v>
      </c>
      <c r="G1440" s="4">
        <v>104539.71</v>
      </c>
      <c r="H1440" s="4">
        <v>61174.51</v>
      </c>
      <c r="I1440" s="3" t="s">
        <v>3734</v>
      </c>
      <c r="J1440">
        <v>5</v>
      </c>
      <c r="K1440" s="4">
        <f>Table3[[#This Row],[Sales]]-Table3[[#This Row],[Cost]]</f>
        <v>43365.200000000004</v>
      </c>
      <c r="L1440" s="6">
        <f>Table3[[#This Row],[Profit]]/Table3[[#This Row],[Sales]]</f>
        <v>0.41482035869431816</v>
      </c>
    </row>
    <row r="1441" spans="1:12" x14ac:dyDescent="0.25">
      <c r="A1441" t="s">
        <v>1396</v>
      </c>
      <c r="B1441" s="2" t="s">
        <v>3729</v>
      </c>
      <c r="C1441" s="2" t="str">
        <f>TEXT(Table3[[#This Row],[Order Date]],"mmmm")</f>
        <v>Not Mentioned</v>
      </c>
      <c r="D1441" t="s">
        <v>3730</v>
      </c>
      <c r="E1441" t="s">
        <v>3222</v>
      </c>
      <c r="F1441" t="s">
        <v>3226</v>
      </c>
      <c r="G1441" s="4">
        <v>30418.54</v>
      </c>
      <c r="H1441" s="4">
        <v>19777.47</v>
      </c>
      <c r="I1441" s="3" t="s">
        <v>3734</v>
      </c>
      <c r="J1441">
        <v>2</v>
      </c>
      <c r="K1441" s="4">
        <f>Table3[[#This Row],[Sales]]-Table3[[#This Row],[Cost]]</f>
        <v>10641.07</v>
      </c>
      <c r="L1441" s="6">
        <f>Table3[[#This Row],[Profit]]/Table3[[#This Row],[Sales]]</f>
        <v>0.34982185206785071</v>
      </c>
    </row>
    <row r="1442" spans="1:12" x14ac:dyDescent="0.25">
      <c r="A1442" t="s">
        <v>1397</v>
      </c>
      <c r="B1442" s="2">
        <v>45005</v>
      </c>
      <c r="C1442" s="2" t="str">
        <f>TEXT(Table3[[#This Row],[Order Date]],"mmmm")</f>
        <v>March</v>
      </c>
      <c r="D1442" t="s">
        <v>3731</v>
      </c>
      <c r="E1442" t="s">
        <v>3225</v>
      </c>
      <c r="F1442" t="s">
        <v>3226</v>
      </c>
      <c r="G1442" s="4">
        <v>46256.81</v>
      </c>
      <c r="H1442" s="4">
        <v>27955.73</v>
      </c>
      <c r="I1442" s="3" t="s">
        <v>3734</v>
      </c>
      <c r="J1442">
        <v>2</v>
      </c>
      <c r="K1442" s="4">
        <f>Table3[[#This Row],[Sales]]-Table3[[#This Row],[Cost]]</f>
        <v>18301.079999999998</v>
      </c>
      <c r="L1442" s="6">
        <f>Table3[[#This Row],[Profit]]/Table3[[#This Row],[Sales]]</f>
        <v>0.39564077159665784</v>
      </c>
    </row>
    <row r="1443" spans="1:12" x14ac:dyDescent="0.25">
      <c r="A1443" t="s">
        <v>1398</v>
      </c>
      <c r="B1443" s="2">
        <v>44941</v>
      </c>
      <c r="C1443" s="2" t="str">
        <f>TEXT(Table3[[#This Row],[Order Date]],"mmmm")</f>
        <v>January</v>
      </c>
      <c r="D1443" t="s">
        <v>3220</v>
      </c>
      <c r="E1443" t="s">
        <v>3224</v>
      </c>
      <c r="F1443" t="s">
        <v>3226</v>
      </c>
      <c r="G1443" s="4">
        <v>68942.69</v>
      </c>
      <c r="H1443" s="4">
        <v>41640.730000000003</v>
      </c>
      <c r="I1443" s="3" t="s">
        <v>3734</v>
      </c>
      <c r="J1443">
        <v>1</v>
      </c>
      <c r="K1443" s="4">
        <f>Table3[[#This Row],[Sales]]-Table3[[#This Row],[Cost]]</f>
        <v>27301.96</v>
      </c>
      <c r="L1443" s="6">
        <f>Table3[[#This Row],[Profit]]/Table3[[#This Row],[Sales]]</f>
        <v>0.39600949716351364</v>
      </c>
    </row>
    <row r="1444" spans="1:12" x14ac:dyDescent="0.25">
      <c r="A1444" t="s">
        <v>1399</v>
      </c>
      <c r="B1444" s="2">
        <v>45102</v>
      </c>
      <c r="C1444" s="2" t="str">
        <f>TEXT(Table3[[#This Row],[Order Date]],"mmmm")</f>
        <v>June</v>
      </c>
      <c r="D1444" t="s">
        <v>3220</v>
      </c>
      <c r="E1444" t="s">
        <v>3225</v>
      </c>
      <c r="F1444" t="s">
        <v>3226</v>
      </c>
      <c r="G1444" s="4">
        <v>57724.37</v>
      </c>
      <c r="H1444" s="4">
        <v>45425.39</v>
      </c>
      <c r="I1444" s="3" t="s">
        <v>3734</v>
      </c>
      <c r="J1444">
        <v>3</v>
      </c>
      <c r="K1444" s="4">
        <f>Table3[[#This Row],[Sales]]-Table3[[#This Row],[Cost]]</f>
        <v>12298.980000000003</v>
      </c>
      <c r="L1444" s="6">
        <f>Table3[[#This Row],[Profit]]/Table3[[#This Row],[Sales]]</f>
        <v>0.21306391044198494</v>
      </c>
    </row>
    <row r="1445" spans="1:12" x14ac:dyDescent="0.25">
      <c r="A1445" t="s">
        <v>1400</v>
      </c>
      <c r="B1445" s="2">
        <v>45021</v>
      </c>
      <c r="C1445" s="2" t="str">
        <f>TEXT(Table3[[#This Row],[Order Date]],"mmmm")</f>
        <v>April</v>
      </c>
      <c r="D1445" t="s">
        <v>3730</v>
      </c>
      <c r="E1445" t="s">
        <v>3224</v>
      </c>
      <c r="F1445" t="s">
        <v>3226</v>
      </c>
      <c r="G1445" s="4">
        <v>115675.73</v>
      </c>
      <c r="H1445" s="4">
        <v>91791.92</v>
      </c>
      <c r="I1445" s="3" t="s">
        <v>3734</v>
      </c>
      <c r="J1445">
        <v>2</v>
      </c>
      <c r="K1445" s="4">
        <f>Table3[[#This Row],[Sales]]-Table3[[#This Row],[Cost]]</f>
        <v>23883.809999999998</v>
      </c>
      <c r="L1445" s="6">
        <f>Table3[[#This Row],[Profit]]/Table3[[#This Row],[Sales]]</f>
        <v>0.20647209228763888</v>
      </c>
    </row>
    <row r="1446" spans="1:12" x14ac:dyDescent="0.25">
      <c r="A1446" t="s">
        <v>1401</v>
      </c>
      <c r="B1446" s="2">
        <v>45005</v>
      </c>
      <c r="C1446" s="2" t="str">
        <f>TEXT(Table3[[#This Row],[Order Date]],"mmmm")</f>
        <v>March</v>
      </c>
      <c r="D1446" t="s">
        <v>3730</v>
      </c>
      <c r="E1446" t="s">
        <v>3225</v>
      </c>
      <c r="F1446" t="s">
        <v>3226</v>
      </c>
      <c r="G1446" s="4">
        <v>70949.429999999993</v>
      </c>
      <c r="H1446" s="4">
        <v>44935.41</v>
      </c>
      <c r="I1446" s="3" t="s">
        <v>3734</v>
      </c>
      <c r="J1446">
        <v>3</v>
      </c>
      <c r="K1446" s="4">
        <f>Table3[[#This Row],[Sales]]-Table3[[#This Row],[Cost]]</f>
        <v>26014.01999999999</v>
      </c>
      <c r="L1446" s="6">
        <f>Table3[[#This Row],[Profit]]/Table3[[#This Row],[Sales]]</f>
        <v>0.36665579977175283</v>
      </c>
    </row>
    <row r="1447" spans="1:12" x14ac:dyDescent="0.25">
      <c r="A1447" t="s">
        <v>1402</v>
      </c>
      <c r="B1447" s="2">
        <v>44972</v>
      </c>
      <c r="C1447" s="2" t="str">
        <f>TEXT(Table3[[#This Row],[Order Date]],"mmmm")</f>
        <v>February</v>
      </c>
      <c r="D1447" t="s">
        <v>3220</v>
      </c>
      <c r="E1447" t="s">
        <v>3224</v>
      </c>
      <c r="F1447" t="s">
        <v>3226</v>
      </c>
      <c r="G1447" s="4">
        <v>176724.57</v>
      </c>
      <c r="H1447" s="4">
        <v>138862.64000000001</v>
      </c>
      <c r="I1447" s="3" t="s">
        <v>3734</v>
      </c>
      <c r="J1447">
        <v>3</v>
      </c>
      <c r="K1447" s="4">
        <f>Table3[[#This Row],[Sales]]-Table3[[#This Row],[Cost]]</f>
        <v>37861.929999999993</v>
      </c>
      <c r="L1447" s="6">
        <f>Table3[[#This Row],[Profit]]/Table3[[#This Row],[Sales]]</f>
        <v>0.2142425923005499</v>
      </c>
    </row>
    <row r="1448" spans="1:12" x14ac:dyDescent="0.25">
      <c r="A1448" t="s">
        <v>3369</v>
      </c>
      <c r="B1448" s="2">
        <v>45005</v>
      </c>
      <c r="C1448" s="2" t="str">
        <f>TEXT(Table3[[#This Row],[Order Date]],"mmmm")</f>
        <v>March</v>
      </c>
      <c r="D1448" t="s">
        <v>3730</v>
      </c>
      <c r="E1448" t="s">
        <v>3224</v>
      </c>
      <c r="F1448" t="s">
        <v>3226</v>
      </c>
      <c r="G1448" s="4">
        <v>211705.08</v>
      </c>
      <c r="H1448" s="4">
        <v>169364.06400000001</v>
      </c>
      <c r="I1448" s="3" t="s">
        <v>3735</v>
      </c>
      <c r="J1448">
        <v>3</v>
      </c>
      <c r="K1448" s="4">
        <f>Table3[[#This Row],[Sales]]-Table3[[#This Row],[Cost]]</f>
        <v>42341.015999999974</v>
      </c>
      <c r="L1448" s="6">
        <f>Table3[[#This Row],[Profit]]/Table3[[#This Row],[Sales]]</f>
        <v>0.1999999999999999</v>
      </c>
    </row>
    <row r="1449" spans="1:12" x14ac:dyDescent="0.25">
      <c r="A1449" t="s">
        <v>980</v>
      </c>
      <c r="B1449" s="2">
        <v>44972</v>
      </c>
      <c r="C1449" s="2" t="str">
        <f>TEXT(Table3[[#This Row],[Order Date]],"mmmm")</f>
        <v>February</v>
      </c>
      <c r="D1449" t="s">
        <v>3730</v>
      </c>
      <c r="E1449" t="s">
        <v>3225</v>
      </c>
      <c r="F1449" t="s">
        <v>3226</v>
      </c>
      <c r="G1449" s="4">
        <v>19147.59</v>
      </c>
      <c r="H1449" s="4">
        <v>12361.48</v>
      </c>
      <c r="I1449" s="3" t="s">
        <v>3734</v>
      </c>
      <c r="J1449">
        <v>1</v>
      </c>
      <c r="K1449" s="4">
        <f>Table3[[#This Row],[Sales]]-Table3[[#This Row],[Cost]]</f>
        <v>6786.1100000000006</v>
      </c>
      <c r="L1449" s="6">
        <f>Table3[[#This Row],[Profit]]/Table3[[#This Row],[Sales]]</f>
        <v>0.35441065951380829</v>
      </c>
    </row>
    <row r="1450" spans="1:12" x14ac:dyDescent="0.25">
      <c r="A1450" t="s">
        <v>1404</v>
      </c>
      <c r="B1450" s="2">
        <v>44941</v>
      </c>
      <c r="C1450" s="2" t="str">
        <f>TEXT(Table3[[#This Row],[Order Date]],"mmmm")</f>
        <v>January</v>
      </c>
      <c r="D1450" t="s">
        <v>3216</v>
      </c>
      <c r="E1450" t="s">
        <v>3224</v>
      </c>
      <c r="F1450" t="s">
        <v>3226</v>
      </c>
      <c r="G1450" s="4">
        <v>259353.54</v>
      </c>
      <c r="H1450" s="4">
        <v>172557.11</v>
      </c>
      <c r="I1450" s="3" t="s">
        <v>3734</v>
      </c>
      <c r="J1450">
        <v>4</v>
      </c>
      <c r="K1450" s="4">
        <f>Table3[[#This Row],[Sales]]-Table3[[#This Row],[Cost]]</f>
        <v>86796.430000000022</v>
      </c>
      <c r="L1450" s="6">
        <f>Table3[[#This Row],[Profit]]/Table3[[#This Row],[Sales]]</f>
        <v>0.33466452781018535</v>
      </c>
    </row>
    <row r="1451" spans="1:12" x14ac:dyDescent="0.25">
      <c r="A1451" t="s">
        <v>3476</v>
      </c>
      <c r="B1451" s="2">
        <v>45005</v>
      </c>
      <c r="C1451" s="2" t="str">
        <f>TEXT(Table3[[#This Row],[Order Date]],"mmmm")</f>
        <v>March</v>
      </c>
      <c r="D1451" t="s">
        <v>3730</v>
      </c>
      <c r="E1451" t="s">
        <v>3222</v>
      </c>
      <c r="F1451" t="s">
        <v>3226</v>
      </c>
      <c r="G1451" s="4">
        <v>83945.12</v>
      </c>
      <c r="H1451" s="4">
        <v>52332.66</v>
      </c>
      <c r="I1451" s="3" t="s">
        <v>3734</v>
      </c>
      <c r="J1451">
        <v>5</v>
      </c>
      <c r="K1451" s="4">
        <f>Table3[[#This Row],[Sales]]-Table3[[#This Row],[Cost]]</f>
        <v>31612.459999999992</v>
      </c>
      <c r="L1451" s="6">
        <f>Table3[[#This Row],[Profit]]/Table3[[#This Row],[Sales]]</f>
        <v>0.37658484495584726</v>
      </c>
    </row>
    <row r="1452" spans="1:12" x14ac:dyDescent="0.25">
      <c r="A1452" t="s">
        <v>1406</v>
      </c>
      <c r="B1452" s="2">
        <v>45102</v>
      </c>
      <c r="C1452" s="2" t="str">
        <f>TEXT(Table3[[#This Row],[Order Date]],"mmmm")</f>
        <v>June</v>
      </c>
      <c r="D1452" t="s">
        <v>3730</v>
      </c>
      <c r="E1452" t="s">
        <v>3224</v>
      </c>
      <c r="F1452" t="s">
        <v>3226</v>
      </c>
      <c r="G1452" s="4">
        <v>69424.259999999995</v>
      </c>
      <c r="H1452" s="4">
        <v>43899.54</v>
      </c>
      <c r="I1452" s="3" t="s">
        <v>3734</v>
      </c>
      <c r="J1452">
        <v>1</v>
      </c>
      <c r="K1452" s="4">
        <f>Table3[[#This Row],[Sales]]-Table3[[#This Row],[Cost]]</f>
        <v>25524.719999999994</v>
      </c>
      <c r="L1452" s="6">
        <f>Table3[[#This Row],[Profit]]/Table3[[#This Row],[Sales]]</f>
        <v>0.36766283140792566</v>
      </c>
    </row>
    <row r="1453" spans="1:12" x14ac:dyDescent="0.25">
      <c r="A1453" t="s">
        <v>1407</v>
      </c>
      <c r="B1453" s="2">
        <v>44941</v>
      </c>
      <c r="C1453" s="2" t="str">
        <f>TEXT(Table3[[#This Row],[Order Date]],"mmmm")</f>
        <v>January</v>
      </c>
      <c r="D1453" t="s">
        <v>3216</v>
      </c>
      <c r="E1453" t="s">
        <v>3225</v>
      </c>
      <c r="F1453" t="s">
        <v>3226</v>
      </c>
      <c r="G1453" s="4">
        <v>35724.36</v>
      </c>
      <c r="H1453" s="4">
        <v>30265.16</v>
      </c>
      <c r="I1453" s="3" t="s">
        <v>3734</v>
      </c>
      <c r="J1453">
        <v>2</v>
      </c>
      <c r="K1453" s="4">
        <f>Table3[[#This Row],[Sales]]-Table3[[#This Row],[Cost]]</f>
        <v>5459.2000000000007</v>
      </c>
      <c r="L1453" s="6">
        <f>Table3[[#This Row],[Profit]]/Table3[[#This Row],[Sales]]</f>
        <v>0.1528144940875078</v>
      </c>
    </row>
    <row r="1454" spans="1:12" x14ac:dyDescent="0.25">
      <c r="A1454" t="s">
        <v>1408</v>
      </c>
      <c r="B1454" s="2">
        <v>44941</v>
      </c>
      <c r="C1454" s="2" t="str">
        <f>TEXT(Table3[[#This Row],[Order Date]],"mmmm")</f>
        <v>January</v>
      </c>
      <c r="D1454" t="s">
        <v>3220</v>
      </c>
      <c r="E1454" t="s">
        <v>3223</v>
      </c>
      <c r="F1454" t="s">
        <v>3226</v>
      </c>
      <c r="G1454" s="4">
        <v>39466.15</v>
      </c>
      <c r="H1454" s="4">
        <v>26738.87</v>
      </c>
      <c r="I1454" s="3" t="s">
        <v>3734</v>
      </c>
      <c r="J1454">
        <v>4</v>
      </c>
      <c r="K1454" s="4">
        <f>Table3[[#This Row],[Sales]]-Table3[[#This Row],[Cost]]</f>
        <v>12727.280000000002</v>
      </c>
      <c r="L1454" s="6">
        <f>Table3[[#This Row],[Profit]]/Table3[[#This Row],[Sales]]</f>
        <v>0.32248597849042793</v>
      </c>
    </row>
    <row r="1455" spans="1:12" x14ac:dyDescent="0.25">
      <c r="A1455" t="s">
        <v>3477</v>
      </c>
      <c r="B1455" s="2">
        <v>45021</v>
      </c>
      <c r="C1455" s="2" t="str">
        <f>TEXT(Table3[[#This Row],[Order Date]],"mmmm")</f>
        <v>April</v>
      </c>
      <c r="D1455" t="s">
        <v>3216</v>
      </c>
      <c r="E1455" t="s">
        <v>3224</v>
      </c>
      <c r="F1455" t="s">
        <v>3226</v>
      </c>
      <c r="G1455" s="4">
        <v>238248.66</v>
      </c>
      <c r="H1455" s="4">
        <v>193308.46</v>
      </c>
      <c r="I1455" s="3" t="s">
        <v>3734</v>
      </c>
      <c r="J1455">
        <v>4</v>
      </c>
      <c r="K1455" s="4">
        <f>Table3[[#This Row],[Sales]]-Table3[[#This Row],[Cost]]</f>
        <v>44940.200000000012</v>
      </c>
      <c r="L1455" s="6">
        <f>Table3[[#This Row],[Profit]]/Table3[[#This Row],[Sales]]</f>
        <v>0.18862729385340515</v>
      </c>
    </row>
    <row r="1456" spans="1:12" x14ac:dyDescent="0.25">
      <c r="A1456" t="s">
        <v>1411</v>
      </c>
      <c r="B1456" s="2">
        <v>45021</v>
      </c>
      <c r="C1456" s="2" t="str">
        <f>TEXT(Table3[[#This Row],[Order Date]],"mmmm")</f>
        <v>April</v>
      </c>
      <c r="D1456" t="s">
        <v>3730</v>
      </c>
      <c r="E1456" t="s">
        <v>3225</v>
      </c>
      <c r="F1456" t="s">
        <v>3226</v>
      </c>
      <c r="G1456" s="4">
        <v>94169.78</v>
      </c>
      <c r="H1456" s="4">
        <v>51672.7</v>
      </c>
      <c r="I1456" s="3" t="s">
        <v>3734</v>
      </c>
      <c r="J1456">
        <v>4</v>
      </c>
      <c r="K1456" s="4">
        <f>Table3[[#This Row],[Sales]]-Table3[[#This Row],[Cost]]</f>
        <v>42497.08</v>
      </c>
      <c r="L1456" s="6">
        <f>Table3[[#This Row],[Profit]]/Table3[[#This Row],[Sales]]</f>
        <v>0.45128150453362004</v>
      </c>
    </row>
    <row r="1457" spans="1:12" x14ac:dyDescent="0.25">
      <c r="A1457" t="s">
        <v>1412</v>
      </c>
      <c r="B1457" s="2" t="s">
        <v>3729</v>
      </c>
      <c r="C1457" s="2" t="str">
        <f>TEXT(Table3[[#This Row],[Order Date]],"mmmm")</f>
        <v>Not Mentioned</v>
      </c>
      <c r="D1457" t="s">
        <v>3730</v>
      </c>
      <c r="E1457" t="s">
        <v>3224</v>
      </c>
      <c r="F1457" t="s">
        <v>3226</v>
      </c>
      <c r="G1457" s="4">
        <v>320857.7</v>
      </c>
      <c r="H1457" s="4">
        <v>224374.64</v>
      </c>
      <c r="I1457" s="3" t="s">
        <v>3734</v>
      </c>
      <c r="J1457">
        <v>5</v>
      </c>
      <c r="K1457" s="4">
        <f>Table3[[#This Row],[Sales]]-Table3[[#This Row],[Cost]]</f>
        <v>96483.06</v>
      </c>
      <c r="L1457" s="6">
        <f>Table3[[#This Row],[Profit]]/Table3[[#This Row],[Sales]]</f>
        <v>0.30070358292788357</v>
      </c>
    </row>
    <row r="1458" spans="1:12" x14ac:dyDescent="0.25">
      <c r="A1458" t="s">
        <v>1413</v>
      </c>
      <c r="B1458" s="2">
        <v>45102</v>
      </c>
      <c r="C1458" s="2" t="str">
        <f>TEXT(Table3[[#This Row],[Order Date]],"mmmm")</f>
        <v>June</v>
      </c>
      <c r="D1458" t="s">
        <v>3730</v>
      </c>
      <c r="E1458" t="s">
        <v>3225</v>
      </c>
      <c r="F1458" t="s">
        <v>3226</v>
      </c>
      <c r="G1458" s="4">
        <v>77846.559999999998</v>
      </c>
      <c r="H1458" s="4">
        <v>49378.75</v>
      </c>
      <c r="I1458" s="3" t="s">
        <v>3734</v>
      </c>
      <c r="J1458">
        <v>4</v>
      </c>
      <c r="K1458" s="4">
        <f>Table3[[#This Row],[Sales]]-Table3[[#This Row],[Cost]]</f>
        <v>28467.809999999998</v>
      </c>
      <c r="L1458" s="6">
        <f>Table3[[#This Row],[Profit]]/Table3[[#This Row],[Sales]]</f>
        <v>0.36569130350782358</v>
      </c>
    </row>
    <row r="1459" spans="1:12" x14ac:dyDescent="0.25">
      <c r="A1459" t="s">
        <v>1414</v>
      </c>
      <c r="B1459" s="2">
        <v>45102</v>
      </c>
      <c r="C1459" s="2" t="str">
        <f>TEXT(Table3[[#This Row],[Order Date]],"mmmm")</f>
        <v>June</v>
      </c>
      <c r="D1459" t="s">
        <v>3220</v>
      </c>
      <c r="E1459" t="s">
        <v>3222</v>
      </c>
      <c r="F1459" t="s">
        <v>3226</v>
      </c>
      <c r="G1459" s="4">
        <v>53786.65</v>
      </c>
      <c r="H1459" s="4">
        <v>36223.910000000003</v>
      </c>
      <c r="I1459" s="3" t="s">
        <v>3734</v>
      </c>
      <c r="J1459">
        <v>4</v>
      </c>
      <c r="K1459" s="4">
        <f>Table3[[#This Row],[Sales]]-Table3[[#This Row],[Cost]]</f>
        <v>17562.739999999998</v>
      </c>
      <c r="L1459" s="6">
        <f>Table3[[#This Row],[Profit]]/Table3[[#This Row],[Sales]]</f>
        <v>0.32652600598847481</v>
      </c>
    </row>
    <row r="1460" spans="1:12" x14ac:dyDescent="0.25">
      <c r="A1460" t="s">
        <v>1415</v>
      </c>
      <c r="B1460" s="2">
        <v>45102</v>
      </c>
      <c r="C1460" s="2" t="str">
        <f>TEXT(Table3[[#This Row],[Order Date]],"mmmm")</f>
        <v>June</v>
      </c>
      <c r="D1460" t="s">
        <v>3731</v>
      </c>
      <c r="E1460" t="s">
        <v>3224</v>
      </c>
      <c r="F1460" t="s">
        <v>3226</v>
      </c>
      <c r="G1460" s="4">
        <v>116100.22</v>
      </c>
      <c r="H1460" s="4">
        <v>92880.176000000007</v>
      </c>
      <c r="I1460" s="3" t="s">
        <v>3735</v>
      </c>
      <c r="J1460">
        <v>2</v>
      </c>
      <c r="K1460" s="4">
        <f>Table3[[#This Row],[Sales]]-Table3[[#This Row],[Cost]]</f>
        <v>23220.043999999994</v>
      </c>
      <c r="L1460" s="6">
        <f>Table3[[#This Row],[Profit]]/Table3[[#This Row],[Sales]]</f>
        <v>0.19999999999999996</v>
      </c>
    </row>
    <row r="1461" spans="1:12" x14ac:dyDescent="0.25">
      <c r="A1461" t="s">
        <v>1416</v>
      </c>
      <c r="B1461" s="2">
        <v>45005</v>
      </c>
      <c r="C1461" s="2" t="str">
        <f>TEXT(Table3[[#This Row],[Order Date]],"mmmm")</f>
        <v>March</v>
      </c>
      <c r="D1461" t="s">
        <v>3730</v>
      </c>
      <c r="E1461" t="s">
        <v>3225</v>
      </c>
      <c r="F1461" t="s">
        <v>3226</v>
      </c>
      <c r="G1461" s="4">
        <v>76428.58</v>
      </c>
      <c r="H1461" s="4">
        <v>54644.87</v>
      </c>
      <c r="I1461" s="3" t="s">
        <v>3734</v>
      </c>
      <c r="J1461">
        <v>4</v>
      </c>
      <c r="K1461" s="4">
        <f>Table3[[#This Row],[Sales]]-Table3[[#This Row],[Cost]]</f>
        <v>21783.71</v>
      </c>
      <c r="L1461" s="6">
        <f>Table3[[#This Row],[Profit]]/Table3[[#This Row],[Sales]]</f>
        <v>0.28502047270798436</v>
      </c>
    </row>
    <row r="1462" spans="1:12" x14ac:dyDescent="0.25">
      <c r="A1462" t="s">
        <v>1417</v>
      </c>
      <c r="B1462" s="2">
        <v>45102</v>
      </c>
      <c r="C1462" s="2" t="str">
        <f>TEXT(Table3[[#This Row],[Order Date]],"mmmm")</f>
        <v>June</v>
      </c>
      <c r="D1462" t="s">
        <v>3216</v>
      </c>
      <c r="E1462" t="s">
        <v>3224</v>
      </c>
      <c r="F1462" t="s">
        <v>3226</v>
      </c>
      <c r="G1462" s="4">
        <v>204656.55</v>
      </c>
      <c r="H1462" s="4">
        <v>123200.98</v>
      </c>
      <c r="I1462" s="3" t="s">
        <v>3734</v>
      </c>
      <c r="J1462">
        <v>3</v>
      </c>
      <c r="K1462" s="4">
        <f>Table3[[#This Row],[Sales]]-Table3[[#This Row],[Cost]]</f>
        <v>81455.569999999992</v>
      </c>
      <c r="L1462" s="6">
        <f>Table3[[#This Row],[Profit]]/Table3[[#This Row],[Sales]]</f>
        <v>0.39801105803845516</v>
      </c>
    </row>
    <row r="1463" spans="1:12" x14ac:dyDescent="0.25">
      <c r="A1463" t="s">
        <v>1418</v>
      </c>
      <c r="B1463" s="2">
        <v>45021</v>
      </c>
      <c r="C1463" s="2" t="str">
        <f>TEXT(Table3[[#This Row],[Order Date]],"mmmm")</f>
        <v>April</v>
      </c>
      <c r="D1463" t="s">
        <v>3220</v>
      </c>
      <c r="E1463" t="s">
        <v>3224</v>
      </c>
      <c r="F1463" t="s">
        <v>3226</v>
      </c>
      <c r="G1463" s="4">
        <v>323439.53000000003</v>
      </c>
      <c r="H1463" s="4">
        <v>232937.27</v>
      </c>
      <c r="I1463" s="3" t="s">
        <v>3734</v>
      </c>
      <c r="J1463">
        <v>5</v>
      </c>
      <c r="K1463" s="4">
        <f>Table3[[#This Row],[Sales]]-Table3[[#This Row],[Cost]]</f>
        <v>90502.260000000038</v>
      </c>
      <c r="L1463" s="6">
        <f>Table3[[#This Row],[Profit]]/Table3[[#This Row],[Sales]]</f>
        <v>0.27981199453264116</v>
      </c>
    </row>
    <row r="1464" spans="1:12" x14ac:dyDescent="0.25">
      <c r="A1464" t="s">
        <v>3478</v>
      </c>
      <c r="B1464" s="2" t="s">
        <v>3729</v>
      </c>
      <c r="C1464" s="2" t="str">
        <f>TEXT(Table3[[#This Row],[Order Date]],"mmmm")</f>
        <v>Not Mentioned</v>
      </c>
      <c r="D1464" t="s">
        <v>3730</v>
      </c>
      <c r="E1464" t="s">
        <v>3223</v>
      </c>
      <c r="F1464" t="s">
        <v>3226</v>
      </c>
      <c r="G1464" s="4">
        <v>33228.28</v>
      </c>
      <c r="H1464" s="4">
        <v>21355.72</v>
      </c>
      <c r="I1464" s="3" t="s">
        <v>3734</v>
      </c>
      <c r="J1464">
        <v>3</v>
      </c>
      <c r="K1464" s="4">
        <f>Table3[[#This Row],[Sales]]-Table3[[#This Row],[Cost]]</f>
        <v>11872.559999999998</v>
      </c>
      <c r="L1464" s="6">
        <f>Table3[[#This Row],[Profit]]/Table3[[#This Row],[Sales]]</f>
        <v>0.35730287574319219</v>
      </c>
    </row>
    <row r="1465" spans="1:12" x14ac:dyDescent="0.25">
      <c r="A1465" t="s">
        <v>1420</v>
      </c>
      <c r="B1465" s="2">
        <v>45021</v>
      </c>
      <c r="C1465" s="2" t="str">
        <f>TEXT(Table3[[#This Row],[Order Date]],"mmmm")</f>
        <v>April</v>
      </c>
      <c r="D1465" t="s">
        <v>3220</v>
      </c>
      <c r="E1465" t="s">
        <v>3222</v>
      </c>
      <c r="F1465" t="s">
        <v>3226</v>
      </c>
      <c r="G1465" s="4">
        <v>36799.24</v>
      </c>
      <c r="H1465" s="4">
        <v>31473.27</v>
      </c>
      <c r="I1465" s="3" t="s">
        <v>3734</v>
      </c>
      <c r="J1465">
        <v>3</v>
      </c>
      <c r="K1465" s="4">
        <f>Table3[[#This Row],[Sales]]-Table3[[#This Row],[Cost]]</f>
        <v>5325.9699999999975</v>
      </c>
      <c r="L1465" s="6">
        <f>Table3[[#This Row],[Profit]]/Table3[[#This Row],[Sales]]</f>
        <v>0.14473043465028076</v>
      </c>
    </row>
    <row r="1466" spans="1:12" x14ac:dyDescent="0.25">
      <c r="A1466" t="s">
        <v>1421</v>
      </c>
      <c r="B1466" s="2">
        <v>45021</v>
      </c>
      <c r="C1466" s="2" t="str">
        <f>TEXT(Table3[[#This Row],[Order Date]],"mmmm")</f>
        <v>April</v>
      </c>
      <c r="D1466" t="s">
        <v>3216</v>
      </c>
      <c r="E1466" t="s">
        <v>3222</v>
      </c>
      <c r="F1466" t="s">
        <v>3226</v>
      </c>
      <c r="G1466" s="4">
        <v>40619.279999999999</v>
      </c>
      <c r="H1466" s="4">
        <v>30533.18</v>
      </c>
      <c r="I1466" s="3" t="s">
        <v>3734</v>
      </c>
      <c r="J1466">
        <v>3</v>
      </c>
      <c r="K1466" s="4">
        <f>Table3[[#This Row],[Sales]]-Table3[[#This Row],[Cost]]</f>
        <v>10086.099999999999</v>
      </c>
      <c r="L1466" s="6">
        <f>Table3[[#This Row],[Profit]]/Table3[[#This Row],[Sales]]</f>
        <v>0.24830819256274358</v>
      </c>
    </row>
    <row r="1467" spans="1:12" x14ac:dyDescent="0.25">
      <c r="A1467" t="s">
        <v>1422</v>
      </c>
      <c r="B1467" s="2">
        <v>44941</v>
      </c>
      <c r="C1467" s="2" t="str">
        <f>TEXT(Table3[[#This Row],[Order Date]],"mmmm")</f>
        <v>January</v>
      </c>
      <c r="D1467" t="s">
        <v>3730</v>
      </c>
      <c r="E1467" t="s">
        <v>3223</v>
      </c>
      <c r="F1467" t="s">
        <v>3226</v>
      </c>
      <c r="G1467" s="4">
        <v>10842.75</v>
      </c>
      <c r="H1467" s="4">
        <v>7402.91</v>
      </c>
      <c r="I1467" s="3" t="s">
        <v>3734</v>
      </c>
      <c r="J1467">
        <v>1</v>
      </c>
      <c r="K1467" s="4">
        <f>Table3[[#This Row],[Sales]]-Table3[[#This Row],[Cost]]</f>
        <v>3439.84</v>
      </c>
      <c r="L1467" s="6">
        <f>Table3[[#This Row],[Profit]]/Table3[[#This Row],[Sales]]</f>
        <v>0.31724793064490098</v>
      </c>
    </row>
    <row r="1468" spans="1:12" x14ac:dyDescent="0.25">
      <c r="A1468" t="s">
        <v>1423</v>
      </c>
      <c r="B1468" s="2">
        <v>45102</v>
      </c>
      <c r="C1468" s="2" t="str">
        <f>TEXT(Table3[[#This Row],[Order Date]],"mmmm")</f>
        <v>June</v>
      </c>
      <c r="D1468" t="s">
        <v>3730</v>
      </c>
      <c r="E1468" t="s">
        <v>3225</v>
      </c>
      <c r="F1468" t="s">
        <v>3226</v>
      </c>
      <c r="G1468" s="4">
        <v>33598.99</v>
      </c>
      <c r="H1468" s="4">
        <v>29968.32</v>
      </c>
      <c r="I1468" s="3" t="s">
        <v>3734</v>
      </c>
      <c r="J1468">
        <v>2</v>
      </c>
      <c r="K1468" s="4">
        <f>Table3[[#This Row],[Sales]]-Table3[[#This Row],[Cost]]</f>
        <v>3630.6699999999983</v>
      </c>
      <c r="L1468" s="6">
        <f>Table3[[#This Row],[Profit]]/Table3[[#This Row],[Sales]]</f>
        <v>0.10805890296107111</v>
      </c>
    </row>
    <row r="1469" spans="1:12" x14ac:dyDescent="0.25">
      <c r="A1469" t="s">
        <v>1424</v>
      </c>
      <c r="B1469" s="2">
        <v>45005</v>
      </c>
      <c r="C1469" s="2" t="str">
        <f>TEXT(Table3[[#This Row],[Order Date]],"mmmm")</f>
        <v>March</v>
      </c>
      <c r="D1469" t="s">
        <v>3730</v>
      </c>
      <c r="E1469" t="s">
        <v>3222</v>
      </c>
      <c r="F1469" t="s">
        <v>3226</v>
      </c>
      <c r="G1469" s="4">
        <v>49099.6</v>
      </c>
      <c r="H1469" s="4">
        <v>30622.06</v>
      </c>
      <c r="I1469" s="3" t="s">
        <v>3734</v>
      </c>
      <c r="J1469">
        <v>3</v>
      </c>
      <c r="K1469" s="4">
        <f>Table3[[#This Row],[Sales]]-Table3[[#This Row],[Cost]]</f>
        <v>18477.539999999997</v>
      </c>
      <c r="L1469" s="6">
        <f>Table3[[#This Row],[Profit]]/Table3[[#This Row],[Sales]]</f>
        <v>0.37632770939070781</v>
      </c>
    </row>
    <row r="1470" spans="1:12" x14ac:dyDescent="0.25">
      <c r="A1470" t="s">
        <v>1425</v>
      </c>
      <c r="B1470" s="2">
        <v>45021</v>
      </c>
      <c r="C1470" s="2" t="str">
        <f>TEXT(Table3[[#This Row],[Order Date]],"mmmm")</f>
        <v>April</v>
      </c>
      <c r="D1470" t="s">
        <v>3731</v>
      </c>
      <c r="E1470" t="s">
        <v>3222</v>
      </c>
      <c r="F1470" t="s">
        <v>3226</v>
      </c>
      <c r="G1470" s="4">
        <v>48483.25</v>
      </c>
      <c r="H1470" s="4">
        <v>25566.85</v>
      </c>
      <c r="I1470" s="3" t="s">
        <v>3734</v>
      </c>
      <c r="J1470">
        <v>3</v>
      </c>
      <c r="K1470" s="4">
        <f>Table3[[#This Row],[Sales]]-Table3[[#This Row],[Cost]]</f>
        <v>22916.400000000001</v>
      </c>
      <c r="L1470" s="6">
        <f>Table3[[#This Row],[Profit]]/Table3[[#This Row],[Sales]]</f>
        <v>0.47266633321817331</v>
      </c>
    </row>
    <row r="1471" spans="1:12" x14ac:dyDescent="0.25">
      <c r="A1471" t="s">
        <v>1426</v>
      </c>
      <c r="B1471" s="2">
        <v>44972</v>
      </c>
      <c r="C1471" s="2" t="str">
        <f>TEXT(Table3[[#This Row],[Order Date]],"mmmm")</f>
        <v>February</v>
      </c>
      <c r="D1471" t="s">
        <v>3220</v>
      </c>
      <c r="E1471" t="s">
        <v>3222</v>
      </c>
      <c r="F1471" t="s">
        <v>3226</v>
      </c>
      <c r="G1471" s="4">
        <v>66620.67</v>
      </c>
      <c r="H1471" s="4">
        <v>34839.9</v>
      </c>
      <c r="I1471" s="3" t="s">
        <v>3734</v>
      </c>
      <c r="J1471">
        <v>4</v>
      </c>
      <c r="K1471" s="4">
        <f>Table3[[#This Row],[Sales]]-Table3[[#This Row],[Cost]]</f>
        <v>31780.769999999997</v>
      </c>
      <c r="L1471" s="6">
        <f>Table3[[#This Row],[Profit]]/Table3[[#This Row],[Sales]]</f>
        <v>0.47704068422007762</v>
      </c>
    </row>
    <row r="1472" spans="1:12" x14ac:dyDescent="0.25">
      <c r="A1472" t="s">
        <v>3479</v>
      </c>
      <c r="B1472" s="2">
        <v>44941</v>
      </c>
      <c r="C1472" s="2" t="str">
        <f>TEXT(Table3[[#This Row],[Order Date]],"mmmm")</f>
        <v>January</v>
      </c>
      <c r="D1472" t="s">
        <v>3220</v>
      </c>
      <c r="E1472" t="s">
        <v>3225</v>
      </c>
      <c r="F1472" t="s">
        <v>3226</v>
      </c>
      <c r="G1472" s="4">
        <v>16879.830000000002</v>
      </c>
      <c r="H1472" s="4">
        <v>13172.81</v>
      </c>
      <c r="I1472" s="3" t="s">
        <v>3734</v>
      </c>
      <c r="J1472">
        <v>1</v>
      </c>
      <c r="K1472" s="4">
        <f>Table3[[#This Row],[Sales]]-Table3[[#This Row],[Cost]]</f>
        <v>3707.0200000000023</v>
      </c>
      <c r="L1472" s="6">
        <f>Table3[[#This Row],[Profit]]/Table3[[#This Row],[Sales]]</f>
        <v>0.21961240130972895</v>
      </c>
    </row>
    <row r="1473" spans="1:12" x14ac:dyDescent="0.25">
      <c r="A1473" t="s">
        <v>1428</v>
      </c>
      <c r="B1473" s="2">
        <v>45021</v>
      </c>
      <c r="C1473" s="2" t="str">
        <f>TEXT(Table3[[#This Row],[Order Date]],"mmmm")</f>
        <v>April</v>
      </c>
      <c r="D1473" t="s">
        <v>3730</v>
      </c>
      <c r="E1473" t="s">
        <v>3224</v>
      </c>
      <c r="F1473" t="s">
        <v>3226</v>
      </c>
      <c r="G1473" s="4">
        <v>57014.080000000002</v>
      </c>
      <c r="H1473" s="4">
        <v>45611.264000000003</v>
      </c>
      <c r="I1473" s="3" t="s">
        <v>3735</v>
      </c>
      <c r="J1473">
        <v>1</v>
      </c>
      <c r="K1473" s="4">
        <f>Table3[[#This Row],[Sales]]-Table3[[#This Row],[Cost]]</f>
        <v>11402.815999999999</v>
      </c>
      <c r="L1473" s="6">
        <f>Table3[[#This Row],[Profit]]/Table3[[#This Row],[Sales]]</f>
        <v>0.19999999999999998</v>
      </c>
    </row>
    <row r="1474" spans="1:12" x14ac:dyDescent="0.25">
      <c r="A1474" t="s">
        <v>788</v>
      </c>
      <c r="B1474" s="2" t="s">
        <v>3729</v>
      </c>
      <c r="C1474" s="2" t="str">
        <f>TEXT(Table3[[#This Row],[Order Date]],"mmmm")</f>
        <v>Not Mentioned</v>
      </c>
      <c r="D1474" t="s">
        <v>3730</v>
      </c>
      <c r="E1474" t="s">
        <v>3223</v>
      </c>
      <c r="F1474" t="s">
        <v>3226</v>
      </c>
      <c r="G1474" s="4">
        <v>16614.8</v>
      </c>
      <c r="H1474" s="4">
        <v>13275.31</v>
      </c>
      <c r="I1474" s="3" t="s">
        <v>3734</v>
      </c>
      <c r="J1474">
        <v>2</v>
      </c>
      <c r="K1474" s="4">
        <f>Table3[[#This Row],[Sales]]-Table3[[#This Row],[Cost]]</f>
        <v>3339.49</v>
      </c>
      <c r="L1474" s="6">
        <f>Table3[[#This Row],[Profit]]/Table3[[#This Row],[Sales]]</f>
        <v>0.20099489611671523</v>
      </c>
    </row>
    <row r="1475" spans="1:12" x14ac:dyDescent="0.25">
      <c r="A1475" t="s">
        <v>1429</v>
      </c>
      <c r="B1475" s="2">
        <v>45102</v>
      </c>
      <c r="C1475" s="2" t="str">
        <f>TEXT(Table3[[#This Row],[Order Date]],"mmmm")</f>
        <v>June</v>
      </c>
      <c r="D1475" t="s">
        <v>3730</v>
      </c>
      <c r="E1475" t="s">
        <v>3223</v>
      </c>
      <c r="F1475" t="s">
        <v>3226</v>
      </c>
      <c r="G1475" s="4">
        <v>34163.839999999997</v>
      </c>
      <c r="H1475" s="4">
        <v>27967.61</v>
      </c>
      <c r="I1475" s="3" t="s">
        <v>3734</v>
      </c>
      <c r="J1475">
        <v>4</v>
      </c>
      <c r="K1475" s="4">
        <f>Table3[[#This Row],[Sales]]-Table3[[#This Row],[Cost]]</f>
        <v>6196.2299999999959</v>
      </c>
      <c r="L1475" s="6">
        <f>Table3[[#This Row],[Profit]]/Table3[[#This Row],[Sales]]</f>
        <v>0.18136807806148245</v>
      </c>
    </row>
    <row r="1476" spans="1:12" x14ac:dyDescent="0.25">
      <c r="A1476" t="s">
        <v>1431</v>
      </c>
      <c r="B1476" s="2">
        <v>44972</v>
      </c>
      <c r="C1476" s="2" t="str">
        <f>TEXT(Table3[[#This Row],[Order Date]],"mmmm")</f>
        <v>February</v>
      </c>
      <c r="D1476" t="s">
        <v>3220</v>
      </c>
      <c r="E1476" t="s">
        <v>3222</v>
      </c>
      <c r="F1476" t="s">
        <v>3226</v>
      </c>
      <c r="G1476" s="4">
        <v>66771.92</v>
      </c>
      <c r="H1476" s="4">
        <v>49077.19</v>
      </c>
      <c r="I1476" s="3" t="s">
        <v>3734</v>
      </c>
      <c r="J1476">
        <v>5</v>
      </c>
      <c r="K1476" s="4">
        <f>Table3[[#This Row],[Sales]]-Table3[[#This Row],[Cost]]</f>
        <v>17694.729999999996</v>
      </c>
      <c r="L1476" s="6">
        <f>Table3[[#This Row],[Profit]]/Table3[[#This Row],[Sales]]</f>
        <v>0.26500256395203248</v>
      </c>
    </row>
    <row r="1477" spans="1:12" x14ac:dyDescent="0.25">
      <c r="A1477" t="s">
        <v>1432</v>
      </c>
      <c r="B1477" s="2">
        <v>45102</v>
      </c>
      <c r="C1477" s="2" t="str">
        <f>TEXT(Table3[[#This Row],[Order Date]],"mmmm")</f>
        <v>June</v>
      </c>
      <c r="D1477" t="s">
        <v>3730</v>
      </c>
      <c r="E1477" t="s">
        <v>3222</v>
      </c>
      <c r="F1477" t="s">
        <v>3226</v>
      </c>
      <c r="G1477" s="4">
        <v>48203.66</v>
      </c>
      <c r="H1477" s="4">
        <v>36166.839999999997</v>
      </c>
      <c r="I1477" s="3" t="s">
        <v>3734</v>
      </c>
      <c r="J1477">
        <v>4</v>
      </c>
      <c r="K1477" s="4">
        <f>Table3[[#This Row],[Sales]]-Table3[[#This Row],[Cost]]</f>
        <v>12036.820000000007</v>
      </c>
      <c r="L1477" s="6">
        <f>Table3[[#This Row],[Profit]]/Table3[[#This Row],[Sales]]</f>
        <v>0.24970759481748908</v>
      </c>
    </row>
    <row r="1478" spans="1:12" x14ac:dyDescent="0.25">
      <c r="A1478" t="s">
        <v>1058</v>
      </c>
      <c r="B1478" s="2">
        <v>44941</v>
      </c>
      <c r="C1478" s="2" t="str">
        <f>TEXT(Table3[[#This Row],[Order Date]],"mmmm")</f>
        <v>January</v>
      </c>
      <c r="D1478" t="s">
        <v>3220</v>
      </c>
      <c r="E1478" t="s">
        <v>3225</v>
      </c>
      <c r="F1478" t="s">
        <v>3226</v>
      </c>
      <c r="G1478" s="4">
        <v>60324.53</v>
      </c>
      <c r="H1478" s="4">
        <v>42099.96</v>
      </c>
      <c r="I1478" s="3" t="s">
        <v>3734</v>
      </c>
      <c r="J1478">
        <v>3</v>
      </c>
      <c r="K1478" s="4">
        <f>Table3[[#This Row],[Sales]]-Table3[[#This Row],[Cost]]</f>
        <v>18224.57</v>
      </c>
      <c r="L1478" s="6">
        <f>Table3[[#This Row],[Profit]]/Table3[[#This Row],[Sales]]</f>
        <v>0.30210877730833541</v>
      </c>
    </row>
    <row r="1479" spans="1:12" x14ac:dyDescent="0.25">
      <c r="A1479" t="s">
        <v>3480</v>
      </c>
      <c r="B1479" s="2">
        <v>45102</v>
      </c>
      <c r="C1479" s="2" t="str">
        <f>TEXT(Table3[[#This Row],[Order Date]],"mmmm")</f>
        <v>June</v>
      </c>
      <c r="D1479" t="s">
        <v>3220</v>
      </c>
      <c r="E1479" t="s">
        <v>3224</v>
      </c>
      <c r="F1479" t="s">
        <v>3226</v>
      </c>
      <c r="G1479" s="4">
        <v>203508.87</v>
      </c>
      <c r="H1479" s="4">
        <v>162807.09600000002</v>
      </c>
      <c r="I1479" s="3" t="s">
        <v>3735</v>
      </c>
      <c r="J1479">
        <v>4</v>
      </c>
      <c r="K1479" s="4">
        <f>Table3[[#This Row],[Sales]]-Table3[[#This Row],[Cost]]</f>
        <v>40701.773999999976</v>
      </c>
      <c r="L1479" s="6">
        <f>Table3[[#This Row],[Profit]]/Table3[[#This Row],[Sales]]</f>
        <v>0.19999999999999987</v>
      </c>
    </row>
    <row r="1480" spans="1:12" x14ac:dyDescent="0.25">
      <c r="A1480" t="s">
        <v>1054</v>
      </c>
      <c r="B1480" s="2">
        <v>45102</v>
      </c>
      <c r="C1480" s="2" t="str">
        <f>TEXT(Table3[[#This Row],[Order Date]],"mmmm")</f>
        <v>June</v>
      </c>
      <c r="D1480" t="s">
        <v>3220</v>
      </c>
      <c r="E1480" t="s">
        <v>3224</v>
      </c>
      <c r="F1480" t="s">
        <v>3226</v>
      </c>
      <c r="G1480" s="4">
        <v>141810.17000000001</v>
      </c>
      <c r="H1480" s="4">
        <v>81246.81</v>
      </c>
      <c r="I1480" s="3" t="s">
        <v>3734</v>
      </c>
      <c r="J1480">
        <v>2</v>
      </c>
      <c r="K1480" s="4">
        <f>Table3[[#This Row],[Sales]]-Table3[[#This Row],[Cost]]</f>
        <v>60563.360000000015</v>
      </c>
      <c r="L1480" s="6">
        <f>Table3[[#This Row],[Profit]]/Table3[[#This Row],[Sales]]</f>
        <v>0.42707346024618692</v>
      </c>
    </row>
    <row r="1481" spans="1:12" x14ac:dyDescent="0.25">
      <c r="A1481" t="s">
        <v>1435</v>
      </c>
      <c r="B1481" s="2">
        <v>45005</v>
      </c>
      <c r="C1481" s="2" t="str">
        <f>TEXT(Table3[[#This Row],[Order Date]],"mmmm")</f>
        <v>March</v>
      </c>
      <c r="D1481" t="s">
        <v>3220</v>
      </c>
      <c r="E1481" t="s">
        <v>3224</v>
      </c>
      <c r="F1481" t="s">
        <v>3226</v>
      </c>
      <c r="G1481" s="4">
        <v>279632.09000000003</v>
      </c>
      <c r="H1481" s="4">
        <v>198321.46</v>
      </c>
      <c r="I1481" s="3" t="s">
        <v>3734</v>
      </c>
      <c r="J1481">
        <v>5</v>
      </c>
      <c r="K1481" s="4">
        <f>Table3[[#This Row],[Sales]]-Table3[[#This Row],[Cost]]</f>
        <v>81310.630000000034</v>
      </c>
      <c r="L1481" s="6">
        <f>Table3[[#This Row],[Profit]]/Table3[[#This Row],[Sales]]</f>
        <v>0.29077717796981034</v>
      </c>
    </row>
    <row r="1482" spans="1:12" x14ac:dyDescent="0.25">
      <c r="A1482" t="s">
        <v>679</v>
      </c>
      <c r="B1482" s="2">
        <v>44941</v>
      </c>
      <c r="C1482" s="2" t="str">
        <f>TEXT(Table3[[#This Row],[Order Date]],"mmmm")</f>
        <v>January</v>
      </c>
      <c r="D1482" t="s">
        <v>3730</v>
      </c>
      <c r="E1482" t="s">
        <v>3222</v>
      </c>
      <c r="F1482" t="s">
        <v>3226</v>
      </c>
      <c r="G1482" s="4">
        <v>59579.33</v>
      </c>
      <c r="H1482" s="4">
        <v>42052.21</v>
      </c>
      <c r="I1482" s="3" t="s">
        <v>3734</v>
      </c>
      <c r="J1482">
        <v>4</v>
      </c>
      <c r="K1482" s="4">
        <f>Table3[[#This Row],[Sales]]-Table3[[#This Row],[Cost]]</f>
        <v>17527.120000000003</v>
      </c>
      <c r="L1482" s="6">
        <f>Table3[[#This Row],[Profit]]/Table3[[#This Row],[Sales]]</f>
        <v>0.29418122023191606</v>
      </c>
    </row>
    <row r="1483" spans="1:12" x14ac:dyDescent="0.25">
      <c r="A1483" t="s">
        <v>209</v>
      </c>
      <c r="B1483" s="2">
        <v>45005</v>
      </c>
      <c r="C1483" s="2" t="str">
        <f>TEXT(Table3[[#This Row],[Order Date]],"mmmm")</f>
        <v>March</v>
      </c>
      <c r="D1483" t="s">
        <v>3730</v>
      </c>
      <c r="E1483" t="s">
        <v>3223</v>
      </c>
      <c r="F1483" t="s">
        <v>3226</v>
      </c>
      <c r="G1483" s="4">
        <v>30256.01</v>
      </c>
      <c r="H1483" s="4">
        <v>19305.2</v>
      </c>
      <c r="I1483" s="3" t="s">
        <v>3734</v>
      </c>
      <c r="J1483">
        <v>3</v>
      </c>
      <c r="K1483" s="4">
        <f>Table3[[#This Row],[Sales]]-Table3[[#This Row],[Cost]]</f>
        <v>10950.809999999998</v>
      </c>
      <c r="L1483" s="6">
        <f>Table3[[#This Row],[Profit]]/Table3[[#This Row],[Sales]]</f>
        <v>0.36193833886226234</v>
      </c>
    </row>
    <row r="1484" spans="1:12" x14ac:dyDescent="0.25">
      <c r="A1484" t="s">
        <v>1436</v>
      </c>
      <c r="B1484" s="2" t="s">
        <v>3729</v>
      </c>
      <c r="C1484" s="2" t="str">
        <f>TEXT(Table3[[#This Row],[Order Date]],"mmmm")</f>
        <v>Not Mentioned</v>
      </c>
      <c r="D1484" t="s">
        <v>3220</v>
      </c>
      <c r="E1484" t="s">
        <v>3225</v>
      </c>
      <c r="F1484" t="s">
        <v>3226</v>
      </c>
      <c r="G1484" s="4">
        <v>73085.36</v>
      </c>
      <c r="H1484" s="4">
        <v>51001.97</v>
      </c>
      <c r="I1484" s="3" t="s">
        <v>3734</v>
      </c>
      <c r="J1484">
        <v>4</v>
      </c>
      <c r="K1484" s="4">
        <f>Table3[[#This Row],[Sales]]-Table3[[#This Row],[Cost]]</f>
        <v>22083.39</v>
      </c>
      <c r="L1484" s="6">
        <f>Table3[[#This Row],[Profit]]/Table3[[#This Row],[Sales]]</f>
        <v>0.30215887285771048</v>
      </c>
    </row>
    <row r="1485" spans="1:12" x14ac:dyDescent="0.25">
      <c r="A1485" t="s">
        <v>3481</v>
      </c>
      <c r="B1485" s="2">
        <v>44941</v>
      </c>
      <c r="C1485" s="2" t="str">
        <f>TEXT(Table3[[#This Row],[Order Date]],"mmmm")</f>
        <v>January</v>
      </c>
      <c r="D1485" t="s">
        <v>3216</v>
      </c>
      <c r="E1485" t="s">
        <v>3223</v>
      </c>
      <c r="F1485" t="s">
        <v>3226</v>
      </c>
      <c r="G1485" s="4">
        <v>19472.61</v>
      </c>
      <c r="H1485" s="4">
        <v>12571.91</v>
      </c>
      <c r="I1485" s="3" t="s">
        <v>3734</v>
      </c>
      <c r="J1485">
        <v>2</v>
      </c>
      <c r="K1485" s="4">
        <f>Table3[[#This Row],[Sales]]-Table3[[#This Row],[Cost]]</f>
        <v>6900.7000000000007</v>
      </c>
      <c r="L1485" s="6">
        <f>Table3[[#This Row],[Profit]]/Table3[[#This Row],[Sales]]</f>
        <v>0.3543798186272924</v>
      </c>
    </row>
    <row r="1486" spans="1:12" x14ac:dyDescent="0.25">
      <c r="A1486" t="s">
        <v>1319</v>
      </c>
      <c r="B1486" s="2">
        <v>44972</v>
      </c>
      <c r="C1486" s="2" t="str">
        <f>TEXT(Table3[[#This Row],[Order Date]],"mmmm")</f>
        <v>February</v>
      </c>
      <c r="D1486" t="s">
        <v>3216</v>
      </c>
      <c r="E1486" t="s">
        <v>3224</v>
      </c>
      <c r="F1486" t="s">
        <v>3226</v>
      </c>
      <c r="G1486" s="4">
        <v>182556.6</v>
      </c>
      <c r="H1486" s="4">
        <v>146045.28</v>
      </c>
      <c r="I1486" s="3" t="s">
        <v>3735</v>
      </c>
      <c r="J1486">
        <v>3</v>
      </c>
      <c r="K1486" s="4">
        <f>Table3[[#This Row],[Sales]]-Table3[[#This Row],[Cost]]</f>
        <v>36511.320000000007</v>
      </c>
      <c r="L1486" s="6">
        <f>Table3[[#This Row],[Profit]]/Table3[[#This Row],[Sales]]</f>
        <v>0.20000000000000004</v>
      </c>
    </row>
    <row r="1487" spans="1:12" x14ac:dyDescent="0.25">
      <c r="A1487" t="s">
        <v>111</v>
      </c>
      <c r="B1487" s="2" t="s">
        <v>3729</v>
      </c>
      <c r="C1487" s="2" t="str">
        <f>TEXT(Table3[[#This Row],[Order Date]],"mmmm")</f>
        <v>Not Mentioned</v>
      </c>
      <c r="D1487" t="s">
        <v>3730</v>
      </c>
      <c r="E1487" t="s">
        <v>3222</v>
      </c>
      <c r="F1487" t="s">
        <v>3226</v>
      </c>
      <c r="G1487" s="4">
        <v>45451.58</v>
      </c>
      <c r="H1487" s="4">
        <v>29650.84</v>
      </c>
      <c r="I1487" s="3" t="s">
        <v>3734</v>
      </c>
      <c r="J1487">
        <v>3</v>
      </c>
      <c r="K1487" s="4">
        <f>Table3[[#This Row],[Sales]]-Table3[[#This Row],[Cost]]</f>
        <v>15800.740000000002</v>
      </c>
      <c r="L1487" s="6">
        <f>Table3[[#This Row],[Profit]]/Table3[[#This Row],[Sales]]</f>
        <v>0.34763895996574817</v>
      </c>
    </row>
    <row r="1488" spans="1:12" x14ac:dyDescent="0.25">
      <c r="A1488" t="s">
        <v>1439</v>
      </c>
      <c r="B1488" s="2">
        <v>44972</v>
      </c>
      <c r="C1488" s="2" t="str">
        <f>TEXT(Table3[[#This Row],[Order Date]],"mmmm")</f>
        <v>February</v>
      </c>
      <c r="D1488" t="s">
        <v>3220</v>
      </c>
      <c r="E1488" t="s">
        <v>3224</v>
      </c>
      <c r="F1488" t="s">
        <v>3226</v>
      </c>
      <c r="G1488" s="4">
        <v>289911.92</v>
      </c>
      <c r="H1488" s="4">
        <v>235393.71</v>
      </c>
      <c r="I1488" s="3" t="s">
        <v>3734</v>
      </c>
      <c r="J1488">
        <v>5</v>
      </c>
      <c r="K1488" s="4">
        <f>Table3[[#This Row],[Sales]]-Table3[[#This Row],[Cost]]</f>
        <v>54518.209999999992</v>
      </c>
      <c r="L1488" s="6">
        <f>Table3[[#This Row],[Profit]]/Table3[[#This Row],[Sales]]</f>
        <v>0.18805094319681645</v>
      </c>
    </row>
    <row r="1489" spans="1:12" x14ac:dyDescent="0.25">
      <c r="A1489" t="s">
        <v>1440</v>
      </c>
      <c r="B1489" s="2">
        <v>45005</v>
      </c>
      <c r="C1489" s="2" t="str">
        <f>TEXT(Table3[[#This Row],[Order Date]],"mmmm")</f>
        <v>March</v>
      </c>
      <c r="D1489" t="s">
        <v>3730</v>
      </c>
      <c r="E1489" t="s">
        <v>3222</v>
      </c>
      <c r="F1489" t="s">
        <v>3226</v>
      </c>
      <c r="G1489" s="4">
        <v>48796.5</v>
      </c>
      <c r="H1489" s="4">
        <v>39170.15</v>
      </c>
      <c r="I1489" s="3" t="s">
        <v>3734</v>
      </c>
      <c r="J1489">
        <v>4</v>
      </c>
      <c r="K1489" s="4">
        <f>Table3[[#This Row],[Sales]]-Table3[[#This Row],[Cost]]</f>
        <v>9626.3499999999985</v>
      </c>
      <c r="L1489" s="6">
        <f>Table3[[#This Row],[Profit]]/Table3[[#This Row],[Sales]]</f>
        <v>0.19727541934360043</v>
      </c>
    </row>
    <row r="1490" spans="1:12" x14ac:dyDescent="0.25">
      <c r="A1490" t="s">
        <v>1441</v>
      </c>
      <c r="B1490" s="2">
        <v>45005</v>
      </c>
      <c r="C1490" s="2" t="str">
        <f>TEXT(Table3[[#This Row],[Order Date]],"mmmm")</f>
        <v>March</v>
      </c>
      <c r="D1490" t="s">
        <v>3220</v>
      </c>
      <c r="E1490" t="s">
        <v>3224</v>
      </c>
      <c r="F1490" t="s">
        <v>3226</v>
      </c>
      <c r="G1490" s="4">
        <v>126803.38</v>
      </c>
      <c r="H1490" s="4">
        <v>91551.41</v>
      </c>
      <c r="I1490" s="3" t="s">
        <v>3734</v>
      </c>
      <c r="J1490">
        <v>2</v>
      </c>
      <c r="K1490" s="4">
        <f>Table3[[#This Row],[Sales]]-Table3[[#This Row],[Cost]]</f>
        <v>35251.97</v>
      </c>
      <c r="L1490" s="6">
        <f>Table3[[#This Row],[Profit]]/Table3[[#This Row],[Sales]]</f>
        <v>0.27800497116086337</v>
      </c>
    </row>
    <row r="1491" spans="1:12" x14ac:dyDescent="0.25">
      <c r="A1491" t="s">
        <v>1442</v>
      </c>
      <c r="B1491" s="2">
        <v>44941</v>
      </c>
      <c r="C1491" s="2" t="str">
        <f>TEXT(Table3[[#This Row],[Order Date]],"mmmm")</f>
        <v>January</v>
      </c>
      <c r="D1491" t="s">
        <v>3730</v>
      </c>
      <c r="E1491" t="s">
        <v>3225</v>
      </c>
      <c r="F1491" t="s">
        <v>3226</v>
      </c>
      <c r="G1491" s="4">
        <v>83466.22</v>
      </c>
      <c r="H1491" s="4">
        <v>52670.080000000002</v>
      </c>
      <c r="I1491" s="3" t="s">
        <v>3734</v>
      </c>
      <c r="J1491">
        <v>4</v>
      </c>
      <c r="K1491" s="4">
        <f>Table3[[#This Row],[Sales]]-Table3[[#This Row],[Cost]]</f>
        <v>30796.14</v>
      </c>
      <c r="L1491" s="6">
        <f>Table3[[#This Row],[Profit]]/Table3[[#This Row],[Sales]]</f>
        <v>0.36896531315303366</v>
      </c>
    </row>
    <row r="1492" spans="1:12" x14ac:dyDescent="0.25">
      <c r="A1492" t="s">
        <v>1443</v>
      </c>
      <c r="B1492" s="2" t="s">
        <v>3729</v>
      </c>
      <c r="C1492" s="2" t="str">
        <f>TEXT(Table3[[#This Row],[Order Date]],"mmmm")</f>
        <v>Not Mentioned</v>
      </c>
      <c r="D1492" t="s">
        <v>3220</v>
      </c>
      <c r="E1492" t="s">
        <v>3224</v>
      </c>
      <c r="F1492" t="s">
        <v>3226</v>
      </c>
      <c r="G1492" s="4">
        <v>125534.46</v>
      </c>
      <c r="H1492" s="4">
        <v>84943.47</v>
      </c>
      <c r="I1492" s="3" t="s">
        <v>3734</v>
      </c>
      <c r="J1492">
        <v>2</v>
      </c>
      <c r="K1492" s="4">
        <f>Table3[[#This Row],[Sales]]-Table3[[#This Row],[Cost]]</f>
        <v>40590.990000000005</v>
      </c>
      <c r="L1492" s="6">
        <f>Table3[[#This Row],[Profit]]/Table3[[#This Row],[Sales]]</f>
        <v>0.32334539854634342</v>
      </c>
    </row>
    <row r="1493" spans="1:12" x14ac:dyDescent="0.25">
      <c r="A1493" t="s">
        <v>3379</v>
      </c>
      <c r="B1493" s="2">
        <v>45102</v>
      </c>
      <c r="C1493" s="2" t="str">
        <f>TEXT(Table3[[#This Row],[Order Date]],"mmmm")</f>
        <v>June</v>
      </c>
      <c r="D1493" t="s">
        <v>3731</v>
      </c>
      <c r="E1493" t="s">
        <v>3224</v>
      </c>
      <c r="F1493" t="s">
        <v>3226</v>
      </c>
      <c r="G1493" s="4">
        <v>63557.25</v>
      </c>
      <c r="H1493" s="4">
        <v>42665.67</v>
      </c>
      <c r="I1493" s="3" t="s">
        <v>3734</v>
      </c>
      <c r="J1493">
        <v>1</v>
      </c>
      <c r="K1493" s="4">
        <f>Table3[[#This Row],[Sales]]-Table3[[#This Row],[Cost]]</f>
        <v>20891.580000000002</v>
      </c>
      <c r="L1493" s="6">
        <f>Table3[[#This Row],[Profit]]/Table3[[#This Row],[Sales]]</f>
        <v>0.32870490777999367</v>
      </c>
    </row>
    <row r="1494" spans="1:12" x14ac:dyDescent="0.25">
      <c r="A1494" t="s">
        <v>1308</v>
      </c>
      <c r="B1494" s="2">
        <v>44972</v>
      </c>
      <c r="C1494" s="2" t="str">
        <f>TEXT(Table3[[#This Row],[Order Date]],"mmmm")</f>
        <v>February</v>
      </c>
      <c r="D1494" t="s">
        <v>3730</v>
      </c>
      <c r="E1494" t="s">
        <v>3224</v>
      </c>
      <c r="F1494" t="s">
        <v>3226</v>
      </c>
      <c r="G1494" s="4">
        <v>213918.74</v>
      </c>
      <c r="H1494" s="4">
        <v>170183.59</v>
      </c>
      <c r="I1494" s="3" t="s">
        <v>3734</v>
      </c>
      <c r="J1494">
        <v>4</v>
      </c>
      <c r="K1494" s="4">
        <f>Table3[[#This Row],[Sales]]-Table3[[#This Row],[Cost]]</f>
        <v>43735.149999999994</v>
      </c>
      <c r="L1494" s="6">
        <f>Table3[[#This Row],[Profit]]/Table3[[#This Row],[Sales]]</f>
        <v>0.20444749253852185</v>
      </c>
    </row>
    <row r="1495" spans="1:12" x14ac:dyDescent="0.25">
      <c r="A1495" t="s">
        <v>1444</v>
      </c>
      <c r="B1495" s="2">
        <v>45005</v>
      </c>
      <c r="C1495" s="2" t="str">
        <f>TEXT(Table3[[#This Row],[Order Date]],"mmmm")</f>
        <v>March</v>
      </c>
      <c r="D1495" t="s">
        <v>3220</v>
      </c>
      <c r="E1495" t="s">
        <v>3224</v>
      </c>
      <c r="F1495" t="s">
        <v>3226</v>
      </c>
      <c r="G1495" s="4">
        <v>155684.22</v>
      </c>
      <c r="H1495" s="4">
        <v>115169.04</v>
      </c>
      <c r="I1495" s="3" t="s">
        <v>3734</v>
      </c>
      <c r="J1495" t="s">
        <v>3732</v>
      </c>
      <c r="K1495" s="4">
        <f>Table3[[#This Row],[Sales]]-Table3[[#This Row],[Cost]]</f>
        <v>40515.180000000008</v>
      </c>
      <c r="L1495" s="6">
        <f>Table3[[#This Row],[Profit]]/Table3[[#This Row],[Sales]]</f>
        <v>0.26023947706453493</v>
      </c>
    </row>
    <row r="1496" spans="1:12" x14ac:dyDescent="0.25">
      <c r="A1496" t="s">
        <v>1445</v>
      </c>
      <c r="B1496" s="2">
        <v>45021</v>
      </c>
      <c r="C1496" s="2" t="str">
        <f>TEXT(Table3[[#This Row],[Order Date]],"mmmm")</f>
        <v>April</v>
      </c>
      <c r="D1496" t="s">
        <v>3220</v>
      </c>
      <c r="E1496" t="s">
        <v>3223</v>
      </c>
      <c r="F1496" t="s">
        <v>3226</v>
      </c>
      <c r="G1496" s="4">
        <v>10984.6</v>
      </c>
      <c r="H1496" s="4">
        <v>6038.55</v>
      </c>
      <c r="I1496" s="3" t="s">
        <v>3734</v>
      </c>
      <c r="J1496">
        <v>1</v>
      </c>
      <c r="K1496" s="4">
        <f>Table3[[#This Row],[Sales]]-Table3[[#This Row],[Cost]]</f>
        <v>4946.05</v>
      </c>
      <c r="L1496" s="6">
        <f>Table3[[#This Row],[Profit]]/Table3[[#This Row],[Sales]]</f>
        <v>0.45027128889536261</v>
      </c>
    </row>
    <row r="1497" spans="1:12" x14ac:dyDescent="0.25">
      <c r="A1497" t="s">
        <v>3482</v>
      </c>
      <c r="B1497" s="2">
        <v>45102</v>
      </c>
      <c r="C1497" s="2" t="str">
        <f>TEXT(Table3[[#This Row],[Order Date]],"mmmm")</f>
        <v>June</v>
      </c>
      <c r="D1497" t="s">
        <v>3216</v>
      </c>
      <c r="E1497" t="s">
        <v>3225</v>
      </c>
      <c r="F1497" t="s">
        <v>3226</v>
      </c>
      <c r="G1497" s="4">
        <v>42222.04</v>
      </c>
      <c r="H1497" s="4">
        <v>25135.01</v>
      </c>
      <c r="I1497" s="3" t="s">
        <v>3734</v>
      </c>
      <c r="J1497">
        <v>2</v>
      </c>
      <c r="K1497" s="4">
        <f>Table3[[#This Row],[Sales]]-Table3[[#This Row],[Cost]]</f>
        <v>17087.030000000002</v>
      </c>
      <c r="L1497" s="6">
        <f>Table3[[#This Row],[Profit]]/Table3[[#This Row],[Sales]]</f>
        <v>0.40469456236600604</v>
      </c>
    </row>
    <row r="1498" spans="1:12" x14ac:dyDescent="0.25">
      <c r="A1498" t="s">
        <v>3483</v>
      </c>
      <c r="B1498" s="2">
        <v>45005</v>
      </c>
      <c r="C1498" s="2" t="str">
        <f>TEXT(Table3[[#This Row],[Order Date]],"mmmm")</f>
        <v>March</v>
      </c>
      <c r="D1498" t="s">
        <v>3731</v>
      </c>
      <c r="E1498" t="s">
        <v>3222</v>
      </c>
      <c r="F1498" t="s">
        <v>3226</v>
      </c>
      <c r="G1498" s="4">
        <v>28723.96</v>
      </c>
      <c r="H1498" s="4">
        <v>22979.168000000001</v>
      </c>
      <c r="I1498" s="3" t="s">
        <v>3735</v>
      </c>
      <c r="J1498">
        <v>2</v>
      </c>
      <c r="K1498" s="4">
        <f>Table3[[#This Row],[Sales]]-Table3[[#This Row],[Cost]]</f>
        <v>5744.7919999999976</v>
      </c>
      <c r="L1498" s="6">
        <f>Table3[[#This Row],[Profit]]/Table3[[#This Row],[Sales]]</f>
        <v>0.19999999999999993</v>
      </c>
    </row>
    <row r="1499" spans="1:12" x14ac:dyDescent="0.25">
      <c r="A1499" t="s">
        <v>1448</v>
      </c>
      <c r="B1499" s="2">
        <v>44972</v>
      </c>
      <c r="C1499" s="2" t="str">
        <f>TEXT(Table3[[#This Row],[Order Date]],"mmmm")</f>
        <v>February</v>
      </c>
      <c r="D1499" t="s">
        <v>3220</v>
      </c>
      <c r="E1499" t="s">
        <v>3225</v>
      </c>
      <c r="F1499" t="s">
        <v>3226</v>
      </c>
      <c r="G1499" s="4">
        <v>16630.09</v>
      </c>
      <c r="H1499" s="4">
        <v>14243.81</v>
      </c>
      <c r="I1499" s="3" t="s">
        <v>3734</v>
      </c>
      <c r="J1499">
        <v>1</v>
      </c>
      <c r="K1499" s="4">
        <f>Table3[[#This Row],[Sales]]-Table3[[#This Row],[Cost]]</f>
        <v>2386.2800000000007</v>
      </c>
      <c r="L1499" s="6">
        <f>Table3[[#This Row],[Profit]]/Table3[[#This Row],[Sales]]</f>
        <v>0.14349170689996268</v>
      </c>
    </row>
    <row r="1500" spans="1:12" x14ac:dyDescent="0.25">
      <c r="A1500" t="s">
        <v>1449</v>
      </c>
      <c r="B1500" s="2" t="s">
        <v>3729</v>
      </c>
      <c r="C1500" s="2" t="str">
        <f>TEXT(Table3[[#This Row],[Order Date]],"mmmm")</f>
        <v>Not Mentioned</v>
      </c>
      <c r="D1500" t="s">
        <v>3730</v>
      </c>
      <c r="E1500" t="s">
        <v>3225</v>
      </c>
      <c r="F1500" t="s">
        <v>3226</v>
      </c>
      <c r="G1500" s="4">
        <v>79299.42</v>
      </c>
      <c r="H1500" s="4">
        <v>57032.37</v>
      </c>
      <c r="I1500" s="3" t="s">
        <v>3734</v>
      </c>
      <c r="J1500">
        <v>4</v>
      </c>
      <c r="K1500" s="4">
        <f>Table3[[#This Row],[Sales]]-Table3[[#This Row],[Cost]]</f>
        <v>22267.049999999996</v>
      </c>
      <c r="L1500" s="6">
        <f>Table3[[#This Row],[Profit]]/Table3[[#This Row],[Sales]]</f>
        <v>0.28079713571675552</v>
      </c>
    </row>
    <row r="1501" spans="1:12" x14ac:dyDescent="0.25">
      <c r="A1501" t="s">
        <v>1450</v>
      </c>
      <c r="B1501" s="2">
        <v>44972</v>
      </c>
      <c r="C1501" s="2" t="str">
        <f>TEXT(Table3[[#This Row],[Order Date]],"mmmm")</f>
        <v>February</v>
      </c>
      <c r="D1501" t="s">
        <v>3731</v>
      </c>
      <c r="E1501" t="s">
        <v>3225</v>
      </c>
      <c r="F1501" t="s">
        <v>3226</v>
      </c>
      <c r="G1501" s="4">
        <v>57639.48</v>
      </c>
      <c r="H1501" s="4">
        <v>37661.410000000003</v>
      </c>
      <c r="I1501" s="3" t="s">
        <v>3734</v>
      </c>
      <c r="J1501">
        <v>3</v>
      </c>
      <c r="K1501" s="4">
        <f>Table3[[#This Row],[Sales]]-Table3[[#This Row],[Cost]]</f>
        <v>19978.07</v>
      </c>
      <c r="L1501" s="6">
        <f>Table3[[#This Row],[Profit]]/Table3[[#This Row],[Sales]]</f>
        <v>0.34660392494866366</v>
      </c>
    </row>
    <row r="1502" spans="1:12" x14ac:dyDescent="0.25">
      <c r="A1502" t="s">
        <v>1451</v>
      </c>
      <c r="B1502" s="2" t="s">
        <v>3729</v>
      </c>
      <c r="C1502" s="2" t="str">
        <f>TEXT(Table3[[#This Row],[Order Date]],"mmmm")</f>
        <v>Not Mentioned</v>
      </c>
      <c r="D1502" t="s">
        <v>3731</v>
      </c>
      <c r="E1502" t="s">
        <v>3224</v>
      </c>
      <c r="F1502" t="s">
        <v>3226</v>
      </c>
      <c r="G1502" s="4">
        <v>135837.98000000001</v>
      </c>
      <c r="H1502" s="4">
        <v>81011.460000000006</v>
      </c>
      <c r="I1502" s="3" t="s">
        <v>3734</v>
      </c>
      <c r="J1502" t="s">
        <v>3732</v>
      </c>
      <c r="K1502" s="4">
        <f>Table3[[#This Row],[Sales]]-Table3[[#This Row],[Cost]]</f>
        <v>54826.520000000004</v>
      </c>
      <c r="L1502" s="6">
        <f>Table3[[#This Row],[Profit]]/Table3[[#This Row],[Sales]]</f>
        <v>0.40361701491733021</v>
      </c>
    </row>
    <row r="1503" spans="1:12" x14ac:dyDescent="0.25">
      <c r="A1503" t="s">
        <v>1452</v>
      </c>
      <c r="B1503" s="2">
        <v>44972</v>
      </c>
      <c r="C1503" s="2" t="str">
        <f>TEXT(Table3[[#This Row],[Order Date]],"mmmm")</f>
        <v>February</v>
      </c>
      <c r="D1503" t="s">
        <v>3730</v>
      </c>
      <c r="E1503" t="s">
        <v>3224</v>
      </c>
      <c r="F1503" t="s">
        <v>3226</v>
      </c>
      <c r="G1503" s="4">
        <v>195607.9</v>
      </c>
      <c r="H1503" s="4">
        <v>115849.52</v>
      </c>
      <c r="I1503" s="3" t="s">
        <v>3734</v>
      </c>
      <c r="J1503">
        <v>3</v>
      </c>
      <c r="K1503" s="4">
        <f>Table3[[#This Row],[Sales]]-Table3[[#This Row],[Cost]]</f>
        <v>79758.37999999999</v>
      </c>
      <c r="L1503" s="6">
        <f>Table3[[#This Row],[Profit]]/Table3[[#This Row],[Sales]]</f>
        <v>0.40774621065918093</v>
      </c>
    </row>
    <row r="1504" spans="1:12" x14ac:dyDescent="0.25">
      <c r="A1504" t="s">
        <v>3484</v>
      </c>
      <c r="B1504" s="2" t="s">
        <v>3729</v>
      </c>
      <c r="C1504" s="2" t="str">
        <f>TEXT(Table3[[#This Row],[Order Date]],"mmmm")</f>
        <v>Not Mentioned</v>
      </c>
      <c r="D1504" t="s">
        <v>3730</v>
      </c>
      <c r="E1504" t="s">
        <v>3222</v>
      </c>
      <c r="F1504" t="s">
        <v>3226</v>
      </c>
      <c r="G1504" s="4">
        <v>58259.85</v>
      </c>
      <c r="H1504" s="4">
        <v>37650.51</v>
      </c>
      <c r="I1504" s="3" t="s">
        <v>3734</v>
      </c>
      <c r="J1504">
        <v>4</v>
      </c>
      <c r="K1504" s="4">
        <f>Table3[[#This Row],[Sales]]-Table3[[#This Row],[Cost]]</f>
        <v>20609.339999999997</v>
      </c>
      <c r="L1504" s="6">
        <f>Table3[[#This Row],[Profit]]/Table3[[#This Row],[Sales]]</f>
        <v>0.35374859358546235</v>
      </c>
    </row>
    <row r="1505" spans="1:12" x14ac:dyDescent="0.25">
      <c r="A1505" t="s">
        <v>3485</v>
      </c>
      <c r="B1505" s="2">
        <v>45102</v>
      </c>
      <c r="C1505" s="2" t="str">
        <f>TEXT(Table3[[#This Row],[Order Date]],"mmmm")</f>
        <v>June</v>
      </c>
      <c r="D1505" t="s">
        <v>3220</v>
      </c>
      <c r="E1505" t="s">
        <v>3222</v>
      </c>
      <c r="F1505" t="s">
        <v>3226</v>
      </c>
      <c r="G1505" s="4">
        <v>54013.71</v>
      </c>
      <c r="H1505" s="4">
        <v>41338.81</v>
      </c>
      <c r="I1505" s="3" t="s">
        <v>3734</v>
      </c>
      <c r="J1505">
        <v>4</v>
      </c>
      <c r="K1505" s="4">
        <f>Table3[[#This Row],[Sales]]-Table3[[#This Row],[Cost]]</f>
        <v>12674.900000000001</v>
      </c>
      <c r="L1505" s="6">
        <f>Table3[[#This Row],[Profit]]/Table3[[#This Row],[Sales]]</f>
        <v>0.23466079260247077</v>
      </c>
    </row>
    <row r="1506" spans="1:12" x14ac:dyDescent="0.25">
      <c r="A1506" t="s">
        <v>1455</v>
      </c>
      <c r="B1506" s="2">
        <v>45021</v>
      </c>
      <c r="C1506" s="2" t="str">
        <f>TEXT(Table3[[#This Row],[Order Date]],"mmmm")</f>
        <v>April</v>
      </c>
      <c r="D1506" t="s">
        <v>3216</v>
      </c>
      <c r="E1506" t="s">
        <v>3225</v>
      </c>
      <c r="F1506" t="s">
        <v>3226</v>
      </c>
      <c r="G1506" s="4">
        <v>56341.54</v>
      </c>
      <c r="H1506" s="4">
        <v>36156.959999999999</v>
      </c>
      <c r="I1506" s="3" t="s">
        <v>3734</v>
      </c>
      <c r="J1506">
        <v>3</v>
      </c>
      <c r="K1506" s="4">
        <f>Table3[[#This Row],[Sales]]-Table3[[#This Row],[Cost]]</f>
        <v>20184.580000000002</v>
      </c>
      <c r="L1506" s="6">
        <f>Table3[[#This Row],[Profit]]/Table3[[#This Row],[Sales]]</f>
        <v>0.3582539632392015</v>
      </c>
    </row>
    <row r="1507" spans="1:12" x14ac:dyDescent="0.25">
      <c r="A1507" t="s">
        <v>1456</v>
      </c>
      <c r="B1507" s="2">
        <v>45102</v>
      </c>
      <c r="C1507" s="2" t="str">
        <f>TEXT(Table3[[#This Row],[Order Date]],"mmmm")</f>
        <v>June</v>
      </c>
      <c r="D1507" t="s">
        <v>3220</v>
      </c>
      <c r="E1507" t="s">
        <v>3225</v>
      </c>
      <c r="F1507" t="s">
        <v>3226</v>
      </c>
      <c r="G1507" s="4">
        <v>62674.42</v>
      </c>
      <c r="H1507" s="4">
        <v>36423.79</v>
      </c>
      <c r="I1507" s="3" t="s">
        <v>3734</v>
      </c>
      <c r="J1507">
        <v>3</v>
      </c>
      <c r="K1507" s="4">
        <f>Table3[[#This Row],[Sales]]-Table3[[#This Row],[Cost]]</f>
        <v>26250.629999999997</v>
      </c>
      <c r="L1507" s="6">
        <f>Table3[[#This Row],[Profit]]/Table3[[#This Row],[Sales]]</f>
        <v>0.41884121145437003</v>
      </c>
    </row>
    <row r="1508" spans="1:12" x14ac:dyDescent="0.25">
      <c r="A1508" t="s">
        <v>1457</v>
      </c>
      <c r="B1508" s="2" t="s">
        <v>3729</v>
      </c>
      <c r="C1508" s="2" t="str">
        <f>TEXT(Table3[[#This Row],[Order Date]],"mmmm")</f>
        <v>Not Mentioned</v>
      </c>
      <c r="D1508" t="s">
        <v>3220</v>
      </c>
      <c r="E1508" t="s">
        <v>3224</v>
      </c>
      <c r="F1508" t="s">
        <v>3226</v>
      </c>
      <c r="G1508" s="4">
        <v>57403.66</v>
      </c>
      <c r="H1508" s="4">
        <v>42360.69</v>
      </c>
      <c r="I1508" s="3" t="s">
        <v>3734</v>
      </c>
      <c r="J1508">
        <v>1</v>
      </c>
      <c r="K1508" s="4">
        <f>Table3[[#This Row],[Sales]]-Table3[[#This Row],[Cost]]</f>
        <v>15042.970000000001</v>
      </c>
      <c r="L1508" s="6">
        <f>Table3[[#This Row],[Profit]]/Table3[[#This Row],[Sales]]</f>
        <v>0.26205593859346249</v>
      </c>
    </row>
    <row r="1509" spans="1:12" x14ac:dyDescent="0.25">
      <c r="A1509" t="s">
        <v>1458</v>
      </c>
      <c r="B1509" s="2">
        <v>44972</v>
      </c>
      <c r="C1509" s="2" t="str">
        <f>TEXT(Table3[[#This Row],[Order Date]],"mmmm")</f>
        <v>February</v>
      </c>
      <c r="D1509" t="s">
        <v>3220</v>
      </c>
      <c r="E1509" t="s">
        <v>3223</v>
      </c>
      <c r="F1509" t="s">
        <v>3226</v>
      </c>
      <c r="G1509" s="4">
        <v>45269.24</v>
      </c>
      <c r="H1509" s="4">
        <v>24041.46</v>
      </c>
      <c r="I1509" s="3" t="s">
        <v>3734</v>
      </c>
      <c r="J1509">
        <v>4</v>
      </c>
      <c r="K1509" s="4">
        <f>Table3[[#This Row],[Sales]]-Table3[[#This Row],[Cost]]</f>
        <v>21227.78</v>
      </c>
      <c r="L1509" s="6">
        <f>Table3[[#This Row],[Profit]]/Table3[[#This Row],[Sales]]</f>
        <v>0.46892282706756289</v>
      </c>
    </row>
    <row r="1510" spans="1:12" x14ac:dyDescent="0.25">
      <c r="A1510" t="s">
        <v>1180</v>
      </c>
      <c r="B1510" s="2">
        <v>45102</v>
      </c>
      <c r="C1510" s="2" t="str">
        <f>TEXT(Table3[[#This Row],[Order Date]],"mmmm")</f>
        <v>June</v>
      </c>
      <c r="D1510" t="s">
        <v>3730</v>
      </c>
      <c r="E1510" t="s">
        <v>3222</v>
      </c>
      <c r="F1510" t="s">
        <v>3226</v>
      </c>
      <c r="G1510" s="4">
        <v>16968.75</v>
      </c>
      <c r="H1510" s="4">
        <v>10096.31</v>
      </c>
      <c r="I1510" s="3" t="s">
        <v>3734</v>
      </c>
      <c r="J1510">
        <v>1</v>
      </c>
      <c r="K1510" s="4">
        <f>Table3[[#This Row],[Sales]]-Table3[[#This Row],[Cost]]</f>
        <v>6872.4400000000005</v>
      </c>
      <c r="L1510" s="6">
        <f>Table3[[#This Row],[Profit]]/Table3[[#This Row],[Sales]]</f>
        <v>0.40500567219152855</v>
      </c>
    </row>
    <row r="1511" spans="1:12" x14ac:dyDescent="0.25">
      <c r="A1511" t="s">
        <v>3416</v>
      </c>
      <c r="B1511" s="2">
        <v>44941</v>
      </c>
      <c r="C1511" s="2" t="str">
        <f>TEXT(Table3[[#This Row],[Order Date]],"mmmm")</f>
        <v>January</v>
      </c>
      <c r="D1511" t="s">
        <v>3730</v>
      </c>
      <c r="E1511" t="s">
        <v>3225</v>
      </c>
      <c r="F1511" t="s">
        <v>3226</v>
      </c>
      <c r="G1511" s="4">
        <v>66224.25</v>
      </c>
      <c r="H1511" s="4">
        <v>52979.4</v>
      </c>
      <c r="I1511" s="3" t="s">
        <v>3735</v>
      </c>
      <c r="J1511">
        <v>4</v>
      </c>
      <c r="K1511" s="4">
        <f>Table3[[#This Row],[Sales]]-Table3[[#This Row],[Cost]]</f>
        <v>13244.849999999999</v>
      </c>
      <c r="L1511" s="6">
        <f>Table3[[#This Row],[Profit]]/Table3[[#This Row],[Sales]]</f>
        <v>0.19999999999999998</v>
      </c>
    </row>
    <row r="1512" spans="1:12" x14ac:dyDescent="0.25">
      <c r="A1512" t="s">
        <v>1460</v>
      </c>
      <c r="B1512" s="2">
        <v>44941</v>
      </c>
      <c r="C1512" s="2" t="str">
        <f>TEXT(Table3[[#This Row],[Order Date]],"mmmm")</f>
        <v>January</v>
      </c>
      <c r="D1512" t="s">
        <v>3730</v>
      </c>
      <c r="E1512" t="s">
        <v>3224</v>
      </c>
      <c r="F1512" t="s">
        <v>3226</v>
      </c>
      <c r="G1512" s="4">
        <v>52578.01</v>
      </c>
      <c r="H1512" s="4">
        <v>38330.71</v>
      </c>
      <c r="I1512" s="3" t="s">
        <v>3734</v>
      </c>
      <c r="J1512">
        <v>1</v>
      </c>
      <c r="K1512" s="4">
        <f>Table3[[#This Row],[Sales]]-Table3[[#This Row],[Cost]]</f>
        <v>14247.300000000003</v>
      </c>
      <c r="L1512" s="6">
        <f>Table3[[#This Row],[Profit]]/Table3[[#This Row],[Sales]]</f>
        <v>0.27097450055641137</v>
      </c>
    </row>
    <row r="1513" spans="1:12" x14ac:dyDescent="0.25">
      <c r="A1513" t="s">
        <v>3486</v>
      </c>
      <c r="B1513" s="2">
        <v>44941</v>
      </c>
      <c r="C1513" s="2" t="str">
        <f>TEXT(Table3[[#This Row],[Order Date]],"mmmm")</f>
        <v>January</v>
      </c>
      <c r="D1513" t="s">
        <v>3220</v>
      </c>
      <c r="E1513" t="s">
        <v>3224</v>
      </c>
      <c r="F1513" t="s">
        <v>3226</v>
      </c>
      <c r="G1513" s="4">
        <v>66039.14</v>
      </c>
      <c r="H1513" s="4">
        <v>45230.27</v>
      </c>
      <c r="I1513" s="3" t="s">
        <v>3734</v>
      </c>
      <c r="J1513">
        <v>1</v>
      </c>
      <c r="K1513" s="4">
        <f>Table3[[#This Row],[Sales]]-Table3[[#This Row],[Cost]]</f>
        <v>20808.870000000003</v>
      </c>
      <c r="L1513" s="6">
        <f>Table3[[#This Row],[Profit]]/Table3[[#This Row],[Sales]]</f>
        <v>0.3150990458082889</v>
      </c>
    </row>
    <row r="1514" spans="1:12" x14ac:dyDescent="0.25">
      <c r="A1514" t="s">
        <v>1462</v>
      </c>
      <c r="B1514" s="2">
        <v>44941</v>
      </c>
      <c r="C1514" s="2" t="str">
        <f>TEXT(Table3[[#This Row],[Order Date]],"mmmm")</f>
        <v>January</v>
      </c>
      <c r="D1514" t="s">
        <v>3220</v>
      </c>
      <c r="E1514" t="s">
        <v>3225</v>
      </c>
      <c r="F1514" t="s">
        <v>3226</v>
      </c>
      <c r="G1514" s="4">
        <v>62144.37</v>
      </c>
      <c r="H1514" s="4">
        <v>45003.53</v>
      </c>
      <c r="I1514" s="3" t="s">
        <v>3734</v>
      </c>
      <c r="J1514">
        <v>3</v>
      </c>
      <c r="K1514" s="4">
        <f>Table3[[#This Row],[Sales]]-Table3[[#This Row],[Cost]]</f>
        <v>17140.840000000004</v>
      </c>
      <c r="L1514" s="6">
        <f>Table3[[#This Row],[Profit]]/Table3[[#This Row],[Sales]]</f>
        <v>0.27582289433459545</v>
      </c>
    </row>
    <row r="1515" spans="1:12" x14ac:dyDescent="0.25">
      <c r="A1515" t="s">
        <v>1463</v>
      </c>
      <c r="B1515" s="2">
        <v>45102</v>
      </c>
      <c r="C1515" s="2" t="str">
        <f>TEXT(Table3[[#This Row],[Order Date]],"mmmm")</f>
        <v>June</v>
      </c>
      <c r="D1515" t="s">
        <v>3730</v>
      </c>
      <c r="E1515" t="s">
        <v>3223</v>
      </c>
      <c r="F1515" t="s">
        <v>3226</v>
      </c>
      <c r="G1515" s="4">
        <v>9425.5</v>
      </c>
      <c r="H1515" s="4">
        <v>7540.4000000000005</v>
      </c>
      <c r="I1515" s="3" t="s">
        <v>3735</v>
      </c>
      <c r="J1515">
        <v>1</v>
      </c>
      <c r="K1515" s="4">
        <f>Table3[[#This Row],[Sales]]-Table3[[#This Row],[Cost]]</f>
        <v>1885.0999999999995</v>
      </c>
      <c r="L1515" s="6">
        <f>Table3[[#This Row],[Profit]]/Table3[[#This Row],[Sales]]</f>
        <v>0.19999999999999996</v>
      </c>
    </row>
    <row r="1516" spans="1:12" x14ac:dyDescent="0.25">
      <c r="A1516" t="s">
        <v>1464</v>
      </c>
      <c r="B1516" s="2">
        <v>45005</v>
      </c>
      <c r="C1516" s="2" t="str">
        <f>TEXT(Table3[[#This Row],[Order Date]],"mmmm")</f>
        <v>March</v>
      </c>
      <c r="D1516" t="s">
        <v>3216</v>
      </c>
      <c r="E1516" t="s">
        <v>3222</v>
      </c>
      <c r="F1516" t="s">
        <v>3226</v>
      </c>
      <c r="G1516" s="4">
        <v>16898.22</v>
      </c>
      <c r="H1516" s="4">
        <v>13518.576000000001</v>
      </c>
      <c r="I1516" s="3" t="s">
        <v>3735</v>
      </c>
      <c r="J1516">
        <v>1</v>
      </c>
      <c r="K1516" s="4">
        <f>Table3[[#This Row],[Sales]]-Table3[[#This Row],[Cost]]</f>
        <v>3379.6440000000002</v>
      </c>
      <c r="L1516" s="6">
        <f>Table3[[#This Row],[Profit]]/Table3[[#This Row],[Sales]]</f>
        <v>0.2</v>
      </c>
    </row>
    <row r="1517" spans="1:12" x14ac:dyDescent="0.25">
      <c r="A1517" t="s">
        <v>1465</v>
      </c>
      <c r="B1517" s="2" t="s">
        <v>3729</v>
      </c>
      <c r="C1517" s="2" t="str">
        <f>TEXT(Table3[[#This Row],[Order Date]],"mmmm")</f>
        <v>Not Mentioned</v>
      </c>
      <c r="D1517" t="s">
        <v>3730</v>
      </c>
      <c r="E1517" t="s">
        <v>3225</v>
      </c>
      <c r="F1517" t="s">
        <v>3226</v>
      </c>
      <c r="G1517" s="4">
        <v>89240.78</v>
      </c>
      <c r="H1517" s="4">
        <v>53988.88</v>
      </c>
      <c r="I1517" s="3" t="s">
        <v>3734</v>
      </c>
      <c r="J1517">
        <v>4</v>
      </c>
      <c r="K1517" s="4">
        <f>Table3[[#This Row],[Sales]]-Table3[[#This Row],[Cost]]</f>
        <v>35251.9</v>
      </c>
      <c r="L1517" s="6">
        <f>Table3[[#This Row],[Profit]]/Table3[[#This Row],[Sales]]</f>
        <v>0.39502007938523176</v>
      </c>
    </row>
    <row r="1518" spans="1:12" x14ac:dyDescent="0.25">
      <c r="A1518" t="s">
        <v>1466</v>
      </c>
      <c r="B1518" s="2">
        <v>44972</v>
      </c>
      <c r="C1518" s="2" t="str">
        <f>TEXT(Table3[[#This Row],[Order Date]],"mmmm")</f>
        <v>February</v>
      </c>
      <c r="D1518" t="s">
        <v>3730</v>
      </c>
      <c r="E1518" t="s">
        <v>3225</v>
      </c>
      <c r="F1518" t="s">
        <v>3226</v>
      </c>
      <c r="G1518" s="4">
        <v>103883.92</v>
      </c>
      <c r="H1518" s="4">
        <v>68056.38</v>
      </c>
      <c r="I1518" s="3" t="s">
        <v>3734</v>
      </c>
      <c r="J1518">
        <v>5</v>
      </c>
      <c r="K1518" s="4">
        <f>Table3[[#This Row],[Sales]]-Table3[[#This Row],[Cost]]</f>
        <v>35827.539999999994</v>
      </c>
      <c r="L1518" s="6">
        <f>Table3[[#This Row],[Profit]]/Table3[[#This Row],[Sales]]</f>
        <v>0.34488051663818609</v>
      </c>
    </row>
    <row r="1519" spans="1:12" x14ac:dyDescent="0.25">
      <c r="A1519" t="s">
        <v>1467</v>
      </c>
      <c r="B1519" s="2">
        <v>45021</v>
      </c>
      <c r="C1519" s="2" t="str">
        <f>TEXT(Table3[[#This Row],[Order Date]],"mmmm")</f>
        <v>April</v>
      </c>
      <c r="D1519" t="s">
        <v>3730</v>
      </c>
      <c r="E1519" t="s">
        <v>3225</v>
      </c>
      <c r="F1519" t="s">
        <v>3226</v>
      </c>
      <c r="G1519" s="4">
        <v>110666.9</v>
      </c>
      <c r="H1519" s="4">
        <v>75928.929999999993</v>
      </c>
      <c r="I1519" s="3" t="s">
        <v>3734</v>
      </c>
      <c r="J1519">
        <v>5</v>
      </c>
      <c r="K1519" s="4">
        <f>Table3[[#This Row],[Sales]]-Table3[[#This Row],[Cost]]</f>
        <v>34737.97</v>
      </c>
      <c r="L1519" s="6">
        <f>Table3[[#This Row],[Profit]]/Table3[[#This Row],[Sales]]</f>
        <v>0.31389665744680662</v>
      </c>
    </row>
    <row r="1520" spans="1:12" x14ac:dyDescent="0.25">
      <c r="A1520" t="s">
        <v>3487</v>
      </c>
      <c r="B1520" s="2">
        <v>45005</v>
      </c>
      <c r="C1520" s="2" t="str">
        <f>TEXT(Table3[[#This Row],[Order Date]],"mmmm")</f>
        <v>March</v>
      </c>
      <c r="D1520" t="s">
        <v>3220</v>
      </c>
      <c r="E1520" t="s">
        <v>3224</v>
      </c>
      <c r="F1520" t="s">
        <v>3226</v>
      </c>
      <c r="G1520" s="4">
        <v>213063.9</v>
      </c>
      <c r="H1520" s="4">
        <v>188912.1</v>
      </c>
      <c r="I1520" s="3" t="s">
        <v>3734</v>
      </c>
      <c r="J1520">
        <v>4</v>
      </c>
      <c r="K1520" s="4">
        <f>Table3[[#This Row],[Sales]]-Table3[[#This Row],[Cost]]</f>
        <v>24151.799999999988</v>
      </c>
      <c r="L1520" s="6">
        <f>Table3[[#This Row],[Profit]]/Table3[[#This Row],[Sales]]</f>
        <v>0.11335472597657317</v>
      </c>
    </row>
    <row r="1521" spans="1:12" x14ac:dyDescent="0.25">
      <c r="A1521" t="s">
        <v>1469</v>
      </c>
      <c r="B1521" s="2" t="s">
        <v>3729</v>
      </c>
      <c r="C1521" s="2" t="str">
        <f>TEXT(Table3[[#This Row],[Order Date]],"mmmm")</f>
        <v>Not Mentioned</v>
      </c>
      <c r="D1521" t="s">
        <v>3220</v>
      </c>
      <c r="E1521" t="s">
        <v>3224</v>
      </c>
      <c r="F1521" t="s">
        <v>3226</v>
      </c>
      <c r="G1521" s="4">
        <v>293248.24</v>
      </c>
      <c r="H1521" s="4">
        <v>228359.1</v>
      </c>
      <c r="I1521" s="3" t="s">
        <v>3734</v>
      </c>
      <c r="J1521">
        <v>5</v>
      </c>
      <c r="K1521" s="4">
        <f>Table3[[#This Row],[Sales]]-Table3[[#This Row],[Cost]]</f>
        <v>64889.139999999985</v>
      </c>
      <c r="L1521" s="6">
        <f>Table3[[#This Row],[Profit]]/Table3[[#This Row],[Sales]]</f>
        <v>0.22127716776748596</v>
      </c>
    </row>
    <row r="1522" spans="1:12" x14ac:dyDescent="0.25">
      <c r="A1522" t="s">
        <v>3488</v>
      </c>
      <c r="B1522" s="2">
        <v>44972</v>
      </c>
      <c r="C1522" s="2" t="str">
        <f>TEXT(Table3[[#This Row],[Order Date]],"mmmm")</f>
        <v>February</v>
      </c>
      <c r="D1522" t="s">
        <v>3731</v>
      </c>
      <c r="E1522" t="s">
        <v>3224</v>
      </c>
      <c r="F1522" t="s">
        <v>3226</v>
      </c>
      <c r="G1522" s="4">
        <v>122443.81</v>
      </c>
      <c r="H1522" s="4">
        <v>78991.72</v>
      </c>
      <c r="I1522" s="3" t="s">
        <v>3734</v>
      </c>
      <c r="J1522">
        <v>2</v>
      </c>
      <c r="K1522" s="4">
        <f>Table3[[#This Row],[Sales]]-Table3[[#This Row],[Cost]]</f>
        <v>43452.09</v>
      </c>
      <c r="L1522" s="6">
        <f>Table3[[#This Row],[Profit]]/Table3[[#This Row],[Sales]]</f>
        <v>0.35487371717688299</v>
      </c>
    </row>
    <row r="1523" spans="1:12" x14ac:dyDescent="0.25">
      <c r="A1523" t="s">
        <v>1344</v>
      </c>
      <c r="B1523" s="2">
        <v>44972</v>
      </c>
      <c r="C1523" s="2" t="str">
        <f>TEXT(Table3[[#This Row],[Order Date]],"mmmm")</f>
        <v>February</v>
      </c>
      <c r="D1523" t="s">
        <v>3730</v>
      </c>
      <c r="E1523" t="s">
        <v>3225</v>
      </c>
      <c r="F1523" t="s">
        <v>3226</v>
      </c>
      <c r="G1523" s="4">
        <v>16028.85</v>
      </c>
      <c r="H1523" s="4">
        <v>14053.3</v>
      </c>
      <c r="I1523" s="3" t="s">
        <v>3734</v>
      </c>
      <c r="J1523">
        <v>1</v>
      </c>
      <c r="K1523" s="4">
        <f>Table3[[#This Row],[Sales]]-Table3[[#This Row],[Cost]]</f>
        <v>1975.5500000000011</v>
      </c>
      <c r="L1523" s="6">
        <f>Table3[[#This Row],[Profit]]/Table3[[#This Row],[Sales]]</f>
        <v>0.12324964049198794</v>
      </c>
    </row>
    <row r="1524" spans="1:12" x14ac:dyDescent="0.25">
      <c r="A1524" t="s">
        <v>3489</v>
      </c>
      <c r="B1524" s="2">
        <v>44941</v>
      </c>
      <c r="C1524" s="2" t="str">
        <f>TEXT(Table3[[#This Row],[Order Date]],"mmmm")</f>
        <v>January</v>
      </c>
      <c r="D1524" t="s">
        <v>3731</v>
      </c>
      <c r="E1524" t="s">
        <v>3225</v>
      </c>
      <c r="F1524" t="s">
        <v>3226</v>
      </c>
      <c r="G1524" s="4">
        <v>71198.759999999995</v>
      </c>
      <c r="H1524" s="4">
        <v>41938.67</v>
      </c>
      <c r="I1524" s="3" t="s">
        <v>3734</v>
      </c>
      <c r="J1524">
        <v>3</v>
      </c>
      <c r="K1524" s="4">
        <f>Table3[[#This Row],[Sales]]-Table3[[#This Row],[Cost]]</f>
        <v>29260.089999999997</v>
      </c>
      <c r="L1524" s="6">
        <f>Table3[[#This Row],[Profit]]/Table3[[#This Row],[Sales]]</f>
        <v>0.41096347745382078</v>
      </c>
    </row>
    <row r="1525" spans="1:12" x14ac:dyDescent="0.25">
      <c r="A1525" t="s">
        <v>1472</v>
      </c>
      <c r="B1525" s="2">
        <v>45005</v>
      </c>
      <c r="C1525" s="2" t="str">
        <f>TEXT(Table3[[#This Row],[Order Date]],"mmmm")</f>
        <v>March</v>
      </c>
      <c r="D1525" t="s">
        <v>3730</v>
      </c>
      <c r="E1525" t="s">
        <v>3222</v>
      </c>
      <c r="F1525" t="s">
        <v>3226</v>
      </c>
      <c r="G1525" s="4">
        <v>61525.88</v>
      </c>
      <c r="H1525" s="4">
        <v>41356.980000000003</v>
      </c>
      <c r="I1525" s="3" t="s">
        <v>3734</v>
      </c>
      <c r="J1525">
        <v>4</v>
      </c>
      <c r="K1525" s="4">
        <f>Table3[[#This Row],[Sales]]-Table3[[#This Row],[Cost]]</f>
        <v>20168.899999999994</v>
      </c>
      <c r="L1525" s="6">
        <f>Table3[[#This Row],[Profit]]/Table3[[#This Row],[Sales]]</f>
        <v>0.32781164609104324</v>
      </c>
    </row>
    <row r="1526" spans="1:12" x14ac:dyDescent="0.25">
      <c r="A1526" t="s">
        <v>1473</v>
      </c>
      <c r="B1526" s="2">
        <v>45021</v>
      </c>
      <c r="C1526" s="2" t="str">
        <f>TEXT(Table3[[#This Row],[Order Date]],"mmmm")</f>
        <v>April</v>
      </c>
      <c r="D1526" t="s">
        <v>3730</v>
      </c>
      <c r="E1526" t="s">
        <v>3222</v>
      </c>
      <c r="F1526" t="s">
        <v>3226</v>
      </c>
      <c r="G1526" s="4">
        <v>29140.11</v>
      </c>
      <c r="H1526" s="4">
        <v>19656.990000000002</v>
      </c>
      <c r="I1526" s="3" t="s">
        <v>3734</v>
      </c>
      <c r="J1526">
        <v>2</v>
      </c>
      <c r="K1526" s="4">
        <f>Table3[[#This Row],[Sales]]-Table3[[#This Row],[Cost]]</f>
        <v>9483.119999999999</v>
      </c>
      <c r="L1526" s="6">
        <f>Table3[[#This Row],[Profit]]/Table3[[#This Row],[Sales]]</f>
        <v>0.32543185320851564</v>
      </c>
    </row>
    <row r="1527" spans="1:12" x14ac:dyDescent="0.25">
      <c r="A1527" t="s">
        <v>1474</v>
      </c>
      <c r="B1527" s="2">
        <v>45102</v>
      </c>
      <c r="C1527" s="2" t="str">
        <f>TEXT(Table3[[#This Row],[Order Date]],"mmmm")</f>
        <v>June</v>
      </c>
      <c r="D1527" t="s">
        <v>3220</v>
      </c>
      <c r="E1527" t="s">
        <v>3222</v>
      </c>
      <c r="F1527" t="s">
        <v>3226</v>
      </c>
      <c r="G1527" s="4">
        <v>34514.68</v>
      </c>
      <c r="H1527" s="4">
        <v>21418.89</v>
      </c>
      <c r="I1527" s="3" t="s">
        <v>3734</v>
      </c>
      <c r="J1527">
        <v>2</v>
      </c>
      <c r="K1527" s="4">
        <f>Table3[[#This Row],[Sales]]-Table3[[#This Row],[Cost]]</f>
        <v>13095.79</v>
      </c>
      <c r="L1527" s="6">
        <f>Table3[[#This Row],[Profit]]/Table3[[#This Row],[Sales]]</f>
        <v>0.3794266671456899</v>
      </c>
    </row>
    <row r="1528" spans="1:12" x14ac:dyDescent="0.25">
      <c r="A1528" t="s">
        <v>1475</v>
      </c>
      <c r="B1528" s="2">
        <v>45021</v>
      </c>
      <c r="C1528" s="2" t="str">
        <f>TEXT(Table3[[#This Row],[Order Date]],"mmmm")</f>
        <v>April</v>
      </c>
      <c r="D1528" t="s">
        <v>3730</v>
      </c>
      <c r="E1528" t="s">
        <v>3222</v>
      </c>
      <c r="F1528" t="s">
        <v>3226</v>
      </c>
      <c r="G1528" s="4">
        <v>54083.26</v>
      </c>
      <c r="H1528" s="4">
        <v>40334.300000000003</v>
      </c>
      <c r="I1528" s="3" t="s">
        <v>3734</v>
      </c>
      <c r="J1528">
        <v>4</v>
      </c>
      <c r="K1528" s="4">
        <f>Table3[[#This Row],[Sales]]-Table3[[#This Row],[Cost]]</f>
        <v>13748.96</v>
      </c>
      <c r="L1528" s="6">
        <f>Table3[[#This Row],[Profit]]/Table3[[#This Row],[Sales]]</f>
        <v>0.25421840325453754</v>
      </c>
    </row>
    <row r="1529" spans="1:12" x14ac:dyDescent="0.25">
      <c r="A1529" t="s">
        <v>3490</v>
      </c>
      <c r="B1529" s="2">
        <v>44941</v>
      </c>
      <c r="C1529" s="2" t="str">
        <f>TEXT(Table3[[#This Row],[Order Date]],"mmmm")</f>
        <v>January</v>
      </c>
      <c r="D1529" t="s">
        <v>3731</v>
      </c>
      <c r="E1529" t="s">
        <v>3222</v>
      </c>
      <c r="F1529" t="s">
        <v>3226</v>
      </c>
      <c r="G1529" s="4">
        <v>76218.509999999995</v>
      </c>
      <c r="H1529" s="4">
        <v>49716.33</v>
      </c>
      <c r="I1529" s="3" t="s">
        <v>3734</v>
      </c>
      <c r="J1529">
        <v>5</v>
      </c>
      <c r="K1529" s="4">
        <f>Table3[[#This Row],[Sales]]-Table3[[#This Row],[Cost]]</f>
        <v>26502.179999999993</v>
      </c>
      <c r="L1529" s="6">
        <f>Table3[[#This Row],[Profit]]/Table3[[#This Row],[Sales]]</f>
        <v>0.34771317361097709</v>
      </c>
    </row>
    <row r="1530" spans="1:12" x14ac:dyDescent="0.25">
      <c r="A1530" t="s">
        <v>3269</v>
      </c>
      <c r="B1530" s="2">
        <v>44972</v>
      </c>
      <c r="C1530" s="2" t="str">
        <f>TEXT(Table3[[#This Row],[Order Date]],"mmmm")</f>
        <v>February</v>
      </c>
      <c r="D1530" t="s">
        <v>3220</v>
      </c>
      <c r="E1530" t="s">
        <v>3225</v>
      </c>
      <c r="F1530" t="s">
        <v>3226</v>
      </c>
      <c r="G1530" s="4">
        <v>49008.87</v>
      </c>
      <c r="H1530" s="4">
        <v>45889.03</v>
      </c>
      <c r="I1530" s="3" t="s">
        <v>3734</v>
      </c>
      <c r="J1530">
        <v>3</v>
      </c>
      <c r="K1530" s="4">
        <f>Table3[[#This Row],[Sales]]-Table3[[#This Row],[Cost]]</f>
        <v>3119.8400000000038</v>
      </c>
      <c r="L1530" s="6">
        <f>Table3[[#This Row],[Profit]]/Table3[[#This Row],[Sales]]</f>
        <v>6.3658680561294381E-2</v>
      </c>
    </row>
    <row r="1531" spans="1:12" x14ac:dyDescent="0.25">
      <c r="A1531" t="s">
        <v>1477</v>
      </c>
      <c r="B1531" s="2">
        <v>44941</v>
      </c>
      <c r="C1531" s="2" t="str">
        <f>TEXT(Table3[[#This Row],[Order Date]],"mmmm")</f>
        <v>January</v>
      </c>
      <c r="D1531" t="s">
        <v>3220</v>
      </c>
      <c r="E1531" t="s">
        <v>3223</v>
      </c>
      <c r="F1531" t="s">
        <v>3226</v>
      </c>
      <c r="G1531" s="4">
        <v>45081.51</v>
      </c>
      <c r="H1531" s="4">
        <v>36065.208000000006</v>
      </c>
      <c r="I1531" s="3" t="s">
        <v>3735</v>
      </c>
      <c r="J1531">
        <v>4</v>
      </c>
      <c r="K1531" s="4">
        <f>Table3[[#This Row],[Sales]]-Table3[[#This Row],[Cost]]</f>
        <v>9016.301999999996</v>
      </c>
      <c r="L1531" s="6">
        <f>Table3[[#This Row],[Profit]]/Table3[[#This Row],[Sales]]</f>
        <v>0.1999999999999999</v>
      </c>
    </row>
    <row r="1532" spans="1:12" x14ac:dyDescent="0.25">
      <c r="A1532" t="s">
        <v>766</v>
      </c>
      <c r="B1532" s="2">
        <v>45005</v>
      </c>
      <c r="C1532" s="2" t="str">
        <f>TEXT(Table3[[#This Row],[Order Date]],"mmmm")</f>
        <v>March</v>
      </c>
      <c r="D1532" t="s">
        <v>3731</v>
      </c>
      <c r="E1532" t="s">
        <v>3225</v>
      </c>
      <c r="F1532" t="s">
        <v>3226</v>
      </c>
      <c r="G1532" s="4">
        <v>20215.89</v>
      </c>
      <c r="H1532" s="4">
        <v>13210.57</v>
      </c>
      <c r="I1532" s="3" t="s">
        <v>3734</v>
      </c>
      <c r="J1532">
        <v>1</v>
      </c>
      <c r="K1532" s="4">
        <f>Table3[[#This Row],[Sales]]-Table3[[#This Row],[Cost]]</f>
        <v>7005.32</v>
      </c>
      <c r="L1532" s="6">
        <f>Table3[[#This Row],[Profit]]/Table3[[#This Row],[Sales]]</f>
        <v>0.34652543123256013</v>
      </c>
    </row>
    <row r="1533" spans="1:12" x14ac:dyDescent="0.25">
      <c r="A1533" t="s">
        <v>957</v>
      </c>
      <c r="B1533" s="2" t="s">
        <v>3729</v>
      </c>
      <c r="C1533" s="2" t="str">
        <f>TEXT(Table3[[#This Row],[Order Date]],"mmmm")</f>
        <v>Not Mentioned</v>
      </c>
      <c r="D1533" t="s">
        <v>3220</v>
      </c>
      <c r="E1533" t="s">
        <v>3222</v>
      </c>
      <c r="F1533" t="s">
        <v>3226</v>
      </c>
      <c r="G1533" s="4">
        <v>49674.81</v>
      </c>
      <c r="H1533" s="4">
        <v>31210.86</v>
      </c>
      <c r="I1533" s="3" t="s">
        <v>3734</v>
      </c>
      <c r="J1533">
        <v>3</v>
      </c>
      <c r="K1533" s="4">
        <f>Table3[[#This Row],[Sales]]-Table3[[#This Row],[Cost]]</f>
        <v>18463.949999999997</v>
      </c>
      <c r="L1533" s="6">
        <f>Table3[[#This Row],[Profit]]/Table3[[#This Row],[Sales]]</f>
        <v>0.37169643930193186</v>
      </c>
    </row>
    <row r="1534" spans="1:12" x14ac:dyDescent="0.25">
      <c r="A1534" t="s">
        <v>1478</v>
      </c>
      <c r="B1534" s="2">
        <v>44941</v>
      </c>
      <c r="C1534" s="2" t="str">
        <f>TEXT(Table3[[#This Row],[Order Date]],"mmmm")</f>
        <v>January</v>
      </c>
      <c r="D1534" t="s">
        <v>3730</v>
      </c>
      <c r="E1534" t="s">
        <v>3224</v>
      </c>
      <c r="F1534" t="s">
        <v>3226</v>
      </c>
      <c r="G1534" s="4">
        <v>163384.79</v>
      </c>
      <c r="H1534" s="4">
        <v>136807.04999999999</v>
      </c>
      <c r="I1534" s="3" t="s">
        <v>3734</v>
      </c>
      <c r="J1534">
        <v>3</v>
      </c>
      <c r="K1534" s="4">
        <f>Table3[[#This Row],[Sales]]-Table3[[#This Row],[Cost]]</f>
        <v>26577.74000000002</v>
      </c>
      <c r="L1534" s="6">
        <f>Table3[[#This Row],[Profit]]/Table3[[#This Row],[Sales]]</f>
        <v>0.16266960957626483</v>
      </c>
    </row>
    <row r="1535" spans="1:12" x14ac:dyDescent="0.25">
      <c r="A1535" t="s">
        <v>3237</v>
      </c>
      <c r="B1535" s="2">
        <v>45005</v>
      </c>
      <c r="C1535" s="2" t="str">
        <f>TEXT(Table3[[#This Row],[Order Date]],"mmmm")</f>
        <v>March</v>
      </c>
      <c r="D1535" t="s">
        <v>3731</v>
      </c>
      <c r="E1535" t="s">
        <v>3222</v>
      </c>
      <c r="F1535" t="s">
        <v>3226</v>
      </c>
      <c r="G1535" s="4">
        <v>38146.410000000003</v>
      </c>
      <c r="H1535" s="4">
        <v>30517.128000000004</v>
      </c>
      <c r="I1535" s="3" t="s">
        <v>3735</v>
      </c>
      <c r="J1535">
        <v>3</v>
      </c>
      <c r="K1535" s="4">
        <f>Table3[[#This Row],[Sales]]-Table3[[#This Row],[Cost]]</f>
        <v>7629.2819999999992</v>
      </c>
      <c r="L1535" s="6">
        <f>Table3[[#This Row],[Profit]]/Table3[[#This Row],[Sales]]</f>
        <v>0.19999999999999996</v>
      </c>
    </row>
    <row r="1536" spans="1:12" x14ac:dyDescent="0.25">
      <c r="A1536" t="s">
        <v>1479</v>
      </c>
      <c r="B1536" s="2">
        <v>45021</v>
      </c>
      <c r="C1536" s="2" t="str">
        <f>TEXT(Table3[[#This Row],[Order Date]],"mmmm")</f>
        <v>April</v>
      </c>
      <c r="D1536" t="s">
        <v>3730</v>
      </c>
      <c r="E1536" t="s">
        <v>3223</v>
      </c>
      <c r="F1536" t="s">
        <v>3226</v>
      </c>
      <c r="G1536" s="4">
        <v>44654.16</v>
      </c>
      <c r="H1536" s="4">
        <v>30054.37</v>
      </c>
      <c r="I1536" s="3" t="s">
        <v>3734</v>
      </c>
      <c r="J1536">
        <v>5</v>
      </c>
      <c r="K1536" s="4">
        <f>Table3[[#This Row],[Sales]]-Table3[[#This Row],[Cost]]</f>
        <v>14599.790000000005</v>
      </c>
      <c r="L1536" s="6">
        <f>Table3[[#This Row],[Profit]]/Table3[[#This Row],[Sales]]</f>
        <v>0.32695251685397292</v>
      </c>
    </row>
    <row r="1537" spans="1:12" x14ac:dyDescent="0.25">
      <c r="A1537" t="s">
        <v>711</v>
      </c>
      <c r="B1537" s="2">
        <v>45021</v>
      </c>
      <c r="C1537" s="2" t="str">
        <f>TEXT(Table3[[#This Row],[Order Date]],"mmmm")</f>
        <v>April</v>
      </c>
      <c r="D1537" t="s">
        <v>3220</v>
      </c>
      <c r="E1537" t="s">
        <v>3225</v>
      </c>
      <c r="F1537" t="s">
        <v>3226</v>
      </c>
      <c r="G1537" s="4">
        <v>57641.88</v>
      </c>
      <c r="H1537" s="4">
        <v>36444.53</v>
      </c>
      <c r="I1537" s="3" t="s">
        <v>3734</v>
      </c>
      <c r="J1537">
        <v>3</v>
      </c>
      <c r="K1537" s="4">
        <f>Table3[[#This Row],[Sales]]-Table3[[#This Row],[Cost]]</f>
        <v>21197.35</v>
      </c>
      <c r="L1537" s="6">
        <f>Table3[[#This Row],[Profit]]/Table3[[#This Row],[Sales]]</f>
        <v>0.36774216940877014</v>
      </c>
    </row>
    <row r="1538" spans="1:12" x14ac:dyDescent="0.25">
      <c r="A1538" t="s">
        <v>640</v>
      </c>
      <c r="B1538" s="2">
        <v>44972</v>
      </c>
      <c r="C1538" s="2" t="str">
        <f>TEXT(Table3[[#This Row],[Order Date]],"mmmm")</f>
        <v>February</v>
      </c>
      <c r="D1538" t="s">
        <v>3730</v>
      </c>
      <c r="E1538" t="s">
        <v>3222</v>
      </c>
      <c r="F1538" t="s">
        <v>3226</v>
      </c>
      <c r="G1538" s="4">
        <v>66218.179999999993</v>
      </c>
      <c r="H1538" s="4">
        <v>41842.949999999997</v>
      </c>
      <c r="I1538" s="3" t="s">
        <v>3734</v>
      </c>
      <c r="J1538">
        <v>4</v>
      </c>
      <c r="K1538" s="4">
        <f>Table3[[#This Row],[Sales]]-Table3[[#This Row],[Cost]]</f>
        <v>24375.229999999996</v>
      </c>
      <c r="L1538" s="6">
        <f>Table3[[#This Row],[Profit]]/Table3[[#This Row],[Sales]]</f>
        <v>0.36810480143066449</v>
      </c>
    </row>
    <row r="1539" spans="1:12" x14ac:dyDescent="0.25">
      <c r="A1539" t="s">
        <v>3491</v>
      </c>
      <c r="B1539" s="2">
        <v>44941</v>
      </c>
      <c r="C1539" s="2" t="str">
        <f>TEXT(Table3[[#This Row],[Order Date]],"mmmm")</f>
        <v>January</v>
      </c>
      <c r="D1539" t="s">
        <v>3220</v>
      </c>
      <c r="E1539" t="s">
        <v>3224</v>
      </c>
      <c r="F1539" t="s">
        <v>3226</v>
      </c>
      <c r="G1539" s="4">
        <v>121920.08</v>
      </c>
      <c r="H1539" s="4">
        <v>92360.54</v>
      </c>
      <c r="I1539" s="3" t="s">
        <v>3734</v>
      </c>
      <c r="J1539">
        <v>2</v>
      </c>
      <c r="K1539" s="4">
        <f>Table3[[#This Row],[Sales]]-Table3[[#This Row],[Cost]]</f>
        <v>29559.540000000008</v>
      </c>
      <c r="L1539" s="6">
        <f>Table3[[#This Row],[Profit]]/Table3[[#This Row],[Sales]]</f>
        <v>0.24245013618757474</v>
      </c>
    </row>
    <row r="1540" spans="1:12" x14ac:dyDescent="0.25">
      <c r="A1540" t="s">
        <v>1481</v>
      </c>
      <c r="B1540" s="2">
        <v>45005</v>
      </c>
      <c r="C1540" s="2" t="str">
        <f>TEXT(Table3[[#This Row],[Order Date]],"mmmm")</f>
        <v>March</v>
      </c>
      <c r="D1540" t="s">
        <v>3220</v>
      </c>
      <c r="E1540" t="s">
        <v>3223</v>
      </c>
      <c r="F1540" t="s">
        <v>3226</v>
      </c>
      <c r="G1540" s="4">
        <v>41887.57</v>
      </c>
      <c r="H1540" s="4">
        <v>28457.64</v>
      </c>
      <c r="I1540" s="3" t="s">
        <v>3734</v>
      </c>
      <c r="J1540">
        <v>4</v>
      </c>
      <c r="K1540" s="4">
        <f>Table3[[#This Row],[Sales]]-Table3[[#This Row],[Cost]]</f>
        <v>13429.93</v>
      </c>
      <c r="L1540" s="6">
        <f>Table3[[#This Row],[Profit]]/Table3[[#This Row],[Sales]]</f>
        <v>0.32061850329345915</v>
      </c>
    </row>
    <row r="1541" spans="1:12" x14ac:dyDescent="0.25">
      <c r="A1541" t="s">
        <v>1482</v>
      </c>
      <c r="B1541" s="2">
        <v>45102</v>
      </c>
      <c r="C1541" s="2" t="str">
        <f>TEXT(Table3[[#This Row],[Order Date]],"mmmm")</f>
        <v>June</v>
      </c>
      <c r="D1541" t="s">
        <v>3730</v>
      </c>
      <c r="E1541" t="s">
        <v>3223</v>
      </c>
      <c r="F1541" t="s">
        <v>3226</v>
      </c>
      <c r="G1541" s="4">
        <v>9170.39</v>
      </c>
      <c r="H1541" s="4">
        <v>7336.3119999999999</v>
      </c>
      <c r="I1541" s="3" t="s">
        <v>3735</v>
      </c>
      <c r="J1541">
        <v>1</v>
      </c>
      <c r="K1541" s="4">
        <f>Table3[[#This Row],[Sales]]-Table3[[#This Row],[Cost]]</f>
        <v>1834.0779999999995</v>
      </c>
      <c r="L1541" s="6">
        <f>Table3[[#This Row],[Profit]]/Table3[[#This Row],[Sales]]</f>
        <v>0.19999999999999996</v>
      </c>
    </row>
    <row r="1542" spans="1:12" x14ac:dyDescent="0.25">
      <c r="A1542" t="s">
        <v>3492</v>
      </c>
      <c r="B1542" s="2" t="s">
        <v>3729</v>
      </c>
      <c r="C1542" s="2" t="str">
        <f>TEXT(Table3[[#This Row],[Order Date]],"mmmm")</f>
        <v>Not Mentioned</v>
      </c>
      <c r="D1542" t="s">
        <v>3220</v>
      </c>
      <c r="E1542" t="s">
        <v>3223</v>
      </c>
      <c r="F1542" t="s">
        <v>3226</v>
      </c>
      <c r="G1542" s="4">
        <v>33335.230000000003</v>
      </c>
      <c r="H1542" s="4">
        <v>26668.184000000005</v>
      </c>
      <c r="I1542" s="3" t="s">
        <v>3735</v>
      </c>
      <c r="J1542">
        <v>4</v>
      </c>
      <c r="K1542" s="4">
        <f>Table3[[#This Row],[Sales]]-Table3[[#This Row],[Cost]]</f>
        <v>6667.0459999999985</v>
      </c>
      <c r="L1542" s="6">
        <f>Table3[[#This Row],[Profit]]/Table3[[#This Row],[Sales]]</f>
        <v>0.19999999999999993</v>
      </c>
    </row>
    <row r="1543" spans="1:12" x14ac:dyDescent="0.25">
      <c r="A1543" t="s">
        <v>1484</v>
      </c>
      <c r="B1543" s="2">
        <v>45005</v>
      </c>
      <c r="C1543" s="2" t="str">
        <f>TEXT(Table3[[#This Row],[Order Date]],"mmmm")</f>
        <v>March</v>
      </c>
      <c r="D1543" t="s">
        <v>3730</v>
      </c>
      <c r="E1543" t="s">
        <v>3223</v>
      </c>
      <c r="F1543" t="s">
        <v>3226</v>
      </c>
      <c r="G1543" s="4">
        <v>41979.05</v>
      </c>
      <c r="H1543" s="4">
        <v>35723.120000000003</v>
      </c>
      <c r="I1543" s="3" t="s">
        <v>3734</v>
      </c>
      <c r="J1543">
        <v>5</v>
      </c>
      <c r="K1543" s="4">
        <f>Table3[[#This Row],[Sales]]-Table3[[#This Row],[Cost]]</f>
        <v>6255.93</v>
      </c>
      <c r="L1543" s="6">
        <f>Table3[[#This Row],[Profit]]/Table3[[#This Row],[Sales]]</f>
        <v>0.14902504939964101</v>
      </c>
    </row>
    <row r="1544" spans="1:12" x14ac:dyDescent="0.25">
      <c r="A1544" t="s">
        <v>1485</v>
      </c>
      <c r="B1544" s="2">
        <v>45005</v>
      </c>
      <c r="C1544" s="2" t="str">
        <f>TEXT(Table3[[#This Row],[Order Date]],"mmmm")</f>
        <v>March</v>
      </c>
      <c r="D1544" t="s">
        <v>3730</v>
      </c>
      <c r="E1544" t="s">
        <v>3222</v>
      </c>
      <c r="F1544" t="s">
        <v>3226</v>
      </c>
      <c r="G1544" s="4">
        <v>17275.09</v>
      </c>
      <c r="H1544" s="4">
        <v>9871.18</v>
      </c>
      <c r="I1544" s="3" t="s">
        <v>3734</v>
      </c>
      <c r="J1544">
        <v>1</v>
      </c>
      <c r="K1544" s="4">
        <f>Table3[[#This Row],[Sales]]-Table3[[#This Row],[Cost]]</f>
        <v>7403.91</v>
      </c>
      <c r="L1544" s="6">
        <f>Table3[[#This Row],[Profit]]/Table3[[#This Row],[Sales]]</f>
        <v>0.42858879461698896</v>
      </c>
    </row>
    <row r="1545" spans="1:12" x14ac:dyDescent="0.25">
      <c r="A1545" t="s">
        <v>1486</v>
      </c>
      <c r="B1545" s="2" t="s">
        <v>3729</v>
      </c>
      <c r="C1545" s="2" t="str">
        <f>TEXT(Table3[[#This Row],[Order Date]],"mmmm")</f>
        <v>Not Mentioned</v>
      </c>
      <c r="D1545" t="s">
        <v>3216</v>
      </c>
      <c r="E1545" t="s">
        <v>3222</v>
      </c>
      <c r="F1545" t="s">
        <v>3226</v>
      </c>
      <c r="G1545" s="4">
        <v>40405.660000000003</v>
      </c>
      <c r="H1545" s="4">
        <v>30366.36</v>
      </c>
      <c r="I1545" s="3" t="s">
        <v>3734</v>
      </c>
      <c r="J1545">
        <v>3</v>
      </c>
      <c r="K1545" s="4">
        <f>Table3[[#This Row],[Sales]]-Table3[[#This Row],[Cost]]</f>
        <v>10039.300000000003</v>
      </c>
      <c r="L1545" s="6">
        <f>Table3[[#This Row],[Profit]]/Table3[[#This Row],[Sales]]</f>
        <v>0.24846271537205436</v>
      </c>
    </row>
    <row r="1546" spans="1:12" x14ac:dyDescent="0.25">
      <c r="A1546" t="s">
        <v>1487</v>
      </c>
      <c r="B1546" s="2" t="s">
        <v>3729</v>
      </c>
      <c r="C1546" s="2" t="str">
        <f>TEXT(Table3[[#This Row],[Order Date]],"mmmm")</f>
        <v>Not Mentioned</v>
      </c>
      <c r="D1546" t="s">
        <v>3730</v>
      </c>
      <c r="E1546" t="s">
        <v>3223</v>
      </c>
      <c r="F1546" t="s">
        <v>3226</v>
      </c>
      <c r="G1546" s="4">
        <v>9245.2000000000007</v>
      </c>
      <c r="H1546" s="4">
        <v>6970.03</v>
      </c>
      <c r="I1546" s="3" t="s">
        <v>3734</v>
      </c>
      <c r="J1546">
        <v>1</v>
      </c>
      <c r="K1546" s="4">
        <f>Table3[[#This Row],[Sales]]-Table3[[#This Row],[Cost]]</f>
        <v>2275.170000000001</v>
      </c>
      <c r="L1546" s="6">
        <f>Table3[[#This Row],[Profit]]/Table3[[#This Row],[Sales]]</f>
        <v>0.24609202613247966</v>
      </c>
    </row>
    <row r="1547" spans="1:12" x14ac:dyDescent="0.25">
      <c r="A1547" t="s">
        <v>1488</v>
      </c>
      <c r="B1547" s="2" t="s">
        <v>3729</v>
      </c>
      <c r="C1547" s="2" t="str">
        <f>TEXT(Table3[[#This Row],[Order Date]],"mmmm")</f>
        <v>Not Mentioned</v>
      </c>
      <c r="D1547" t="s">
        <v>3216</v>
      </c>
      <c r="E1547" t="s">
        <v>3225</v>
      </c>
      <c r="F1547" t="s">
        <v>3226</v>
      </c>
      <c r="G1547" s="4">
        <v>16518.990000000002</v>
      </c>
      <c r="H1547" s="4">
        <v>13215.192000000003</v>
      </c>
      <c r="I1547" s="3" t="s">
        <v>3735</v>
      </c>
      <c r="J1547">
        <v>1</v>
      </c>
      <c r="K1547" s="4">
        <f>Table3[[#This Row],[Sales]]-Table3[[#This Row],[Cost]]</f>
        <v>3303.7979999999989</v>
      </c>
      <c r="L1547" s="6">
        <f>Table3[[#This Row],[Profit]]/Table3[[#This Row],[Sales]]</f>
        <v>0.1999999999999999</v>
      </c>
    </row>
    <row r="1548" spans="1:12" x14ac:dyDescent="0.25">
      <c r="A1548" t="s">
        <v>1489</v>
      </c>
      <c r="B1548" s="2">
        <v>45102</v>
      </c>
      <c r="C1548" s="2" t="str">
        <f>TEXT(Table3[[#This Row],[Order Date]],"mmmm")</f>
        <v>June</v>
      </c>
      <c r="D1548" t="s">
        <v>3731</v>
      </c>
      <c r="E1548" t="s">
        <v>3224</v>
      </c>
      <c r="F1548" t="s">
        <v>3226</v>
      </c>
      <c r="G1548" s="4">
        <v>260350.32</v>
      </c>
      <c r="H1548" s="4">
        <v>239782.5</v>
      </c>
      <c r="I1548" s="3" t="s">
        <v>3734</v>
      </c>
      <c r="J1548">
        <v>5</v>
      </c>
      <c r="K1548" s="4">
        <f>Table3[[#This Row],[Sales]]-Table3[[#This Row],[Cost]]</f>
        <v>20567.820000000007</v>
      </c>
      <c r="L1548" s="6">
        <f>Table3[[#This Row],[Profit]]/Table3[[#This Row],[Sales]]</f>
        <v>7.9000555866418784E-2</v>
      </c>
    </row>
    <row r="1549" spans="1:12" x14ac:dyDescent="0.25">
      <c r="A1549" t="s">
        <v>3493</v>
      </c>
      <c r="B1549" s="2">
        <v>45021</v>
      </c>
      <c r="C1549" s="2" t="str">
        <f>TEXT(Table3[[#This Row],[Order Date]],"mmmm")</f>
        <v>April</v>
      </c>
      <c r="D1549" t="s">
        <v>3730</v>
      </c>
      <c r="E1549" t="s">
        <v>3222</v>
      </c>
      <c r="F1549" t="s">
        <v>3226</v>
      </c>
      <c r="G1549" s="4">
        <v>53211.95</v>
      </c>
      <c r="H1549" s="4">
        <v>38625.83</v>
      </c>
      <c r="I1549" s="3" t="s">
        <v>3734</v>
      </c>
      <c r="J1549">
        <v>4</v>
      </c>
      <c r="K1549" s="4">
        <f>Table3[[#This Row],[Sales]]-Table3[[#This Row],[Cost]]</f>
        <v>14586.119999999995</v>
      </c>
      <c r="L1549" s="6">
        <f>Table3[[#This Row],[Profit]]/Table3[[#This Row],[Sales]]</f>
        <v>0.27411361545667834</v>
      </c>
    </row>
    <row r="1550" spans="1:12" x14ac:dyDescent="0.25">
      <c r="A1550" t="s">
        <v>1491</v>
      </c>
      <c r="B1550" s="2">
        <v>45021</v>
      </c>
      <c r="C1550" s="2" t="str">
        <f>TEXT(Table3[[#This Row],[Order Date]],"mmmm")</f>
        <v>April</v>
      </c>
      <c r="D1550" t="s">
        <v>3220</v>
      </c>
      <c r="E1550" t="s">
        <v>3224</v>
      </c>
      <c r="F1550" t="s">
        <v>3226</v>
      </c>
      <c r="G1550" s="4">
        <v>63891.06</v>
      </c>
      <c r="H1550" s="4">
        <v>40026.9</v>
      </c>
      <c r="I1550" s="3" t="s">
        <v>3734</v>
      </c>
      <c r="J1550">
        <v>1</v>
      </c>
      <c r="K1550" s="4">
        <f>Table3[[#This Row],[Sales]]-Table3[[#This Row],[Cost]]</f>
        <v>23864.159999999996</v>
      </c>
      <c r="L1550" s="6">
        <f>Table3[[#This Row],[Profit]]/Table3[[#This Row],[Sales]]</f>
        <v>0.37351328965273073</v>
      </c>
    </row>
    <row r="1551" spans="1:12" x14ac:dyDescent="0.25">
      <c r="A1551" t="s">
        <v>1492</v>
      </c>
      <c r="B1551" s="2">
        <v>44972</v>
      </c>
      <c r="C1551" s="2" t="str">
        <f>TEXT(Table3[[#This Row],[Order Date]],"mmmm")</f>
        <v>February</v>
      </c>
      <c r="D1551" t="s">
        <v>3730</v>
      </c>
      <c r="E1551" t="s">
        <v>3222</v>
      </c>
      <c r="F1551" t="s">
        <v>3226</v>
      </c>
      <c r="G1551" s="4">
        <v>12507.26</v>
      </c>
      <c r="H1551" s="4">
        <v>10963.36</v>
      </c>
      <c r="I1551" s="3" t="s">
        <v>3734</v>
      </c>
      <c r="J1551">
        <v>1</v>
      </c>
      <c r="K1551" s="4">
        <f>Table3[[#This Row],[Sales]]-Table3[[#This Row],[Cost]]</f>
        <v>1543.8999999999996</v>
      </c>
      <c r="L1551" s="6">
        <f>Table3[[#This Row],[Profit]]/Table3[[#This Row],[Sales]]</f>
        <v>0.12344030587035047</v>
      </c>
    </row>
    <row r="1552" spans="1:12" x14ac:dyDescent="0.25">
      <c r="A1552" t="s">
        <v>1493</v>
      </c>
      <c r="B1552" s="2">
        <v>45021</v>
      </c>
      <c r="C1552" s="2" t="str">
        <f>TEXT(Table3[[#This Row],[Order Date]],"mmmm")</f>
        <v>April</v>
      </c>
      <c r="D1552" t="s">
        <v>3730</v>
      </c>
      <c r="E1552" t="s">
        <v>3225</v>
      </c>
      <c r="F1552" t="s">
        <v>3226</v>
      </c>
      <c r="G1552" s="4">
        <v>55818.43</v>
      </c>
      <c r="H1552" s="4">
        <v>36068.42</v>
      </c>
      <c r="I1552" s="3" t="s">
        <v>3734</v>
      </c>
      <c r="J1552">
        <v>3</v>
      </c>
      <c r="K1552" s="4">
        <f>Table3[[#This Row],[Sales]]-Table3[[#This Row],[Cost]]</f>
        <v>19750.010000000002</v>
      </c>
      <c r="L1552" s="6">
        <f>Table3[[#This Row],[Profit]]/Table3[[#This Row],[Sales]]</f>
        <v>0.35382596751646367</v>
      </c>
    </row>
    <row r="1553" spans="1:12" x14ac:dyDescent="0.25">
      <c r="A1553" t="s">
        <v>1494</v>
      </c>
      <c r="B1553" s="2">
        <v>45102</v>
      </c>
      <c r="C1553" s="2" t="str">
        <f>TEXT(Table3[[#This Row],[Order Date]],"mmmm")</f>
        <v>June</v>
      </c>
      <c r="D1553" t="s">
        <v>3730</v>
      </c>
      <c r="E1553" t="s">
        <v>3223</v>
      </c>
      <c r="F1553" t="s">
        <v>3226</v>
      </c>
      <c r="G1553" s="4">
        <v>10514.68</v>
      </c>
      <c r="H1553" s="4">
        <v>7499.24</v>
      </c>
      <c r="I1553" s="3" t="s">
        <v>3734</v>
      </c>
      <c r="J1553">
        <v>1</v>
      </c>
      <c r="K1553" s="4">
        <f>Table3[[#This Row],[Sales]]-Table3[[#This Row],[Cost]]</f>
        <v>3015.4400000000005</v>
      </c>
      <c r="L1553" s="6">
        <f>Table3[[#This Row],[Profit]]/Table3[[#This Row],[Sales]]</f>
        <v>0.28678381082448545</v>
      </c>
    </row>
    <row r="1554" spans="1:12" x14ac:dyDescent="0.25">
      <c r="A1554" t="s">
        <v>1495</v>
      </c>
      <c r="B1554" s="2">
        <v>45102</v>
      </c>
      <c r="C1554" s="2" t="str">
        <f>TEXT(Table3[[#This Row],[Order Date]],"mmmm")</f>
        <v>June</v>
      </c>
      <c r="D1554" t="s">
        <v>3730</v>
      </c>
      <c r="E1554" t="s">
        <v>3225</v>
      </c>
      <c r="F1554" t="s">
        <v>3226</v>
      </c>
      <c r="G1554" s="4">
        <v>51192.1</v>
      </c>
      <c r="H1554" s="4">
        <v>37416.29</v>
      </c>
      <c r="I1554" s="3" t="s">
        <v>3734</v>
      </c>
      <c r="J1554">
        <v>3</v>
      </c>
      <c r="K1554" s="4">
        <f>Table3[[#This Row],[Sales]]-Table3[[#This Row],[Cost]]</f>
        <v>13775.809999999998</v>
      </c>
      <c r="L1554" s="6">
        <f>Table3[[#This Row],[Profit]]/Table3[[#This Row],[Sales]]</f>
        <v>0.26910031039945614</v>
      </c>
    </row>
    <row r="1555" spans="1:12" x14ac:dyDescent="0.25">
      <c r="A1555" t="s">
        <v>833</v>
      </c>
      <c r="B1555" s="2">
        <v>44972</v>
      </c>
      <c r="C1555" s="2" t="str">
        <f>TEXT(Table3[[#This Row],[Order Date]],"mmmm")</f>
        <v>February</v>
      </c>
      <c r="D1555" t="s">
        <v>3216</v>
      </c>
      <c r="E1555" t="s">
        <v>3223</v>
      </c>
      <c r="F1555" t="s">
        <v>3226</v>
      </c>
      <c r="G1555" s="4">
        <v>21442.13</v>
      </c>
      <c r="H1555" s="4">
        <v>17153.704000000002</v>
      </c>
      <c r="I1555" s="3" t="s">
        <v>3735</v>
      </c>
      <c r="J1555">
        <v>2</v>
      </c>
      <c r="K1555" s="4">
        <f>Table3[[#This Row],[Sales]]-Table3[[#This Row],[Cost]]</f>
        <v>4288.4259999999995</v>
      </c>
      <c r="L1555" s="6">
        <f>Table3[[#This Row],[Profit]]/Table3[[#This Row],[Sales]]</f>
        <v>0.19999999999999996</v>
      </c>
    </row>
    <row r="1556" spans="1:12" x14ac:dyDescent="0.25">
      <c r="A1556" t="s">
        <v>1496</v>
      </c>
      <c r="B1556" s="2">
        <v>45102</v>
      </c>
      <c r="C1556" s="2" t="str">
        <f>TEXT(Table3[[#This Row],[Order Date]],"mmmm")</f>
        <v>June</v>
      </c>
      <c r="D1556" t="s">
        <v>3216</v>
      </c>
      <c r="E1556" t="s">
        <v>3225</v>
      </c>
      <c r="F1556" t="s">
        <v>3226</v>
      </c>
      <c r="G1556" s="4">
        <v>85224.960000000006</v>
      </c>
      <c r="H1556" s="4">
        <v>75844.2</v>
      </c>
      <c r="I1556" s="3" t="s">
        <v>3734</v>
      </c>
      <c r="J1556">
        <v>5</v>
      </c>
      <c r="K1556" s="4">
        <f>Table3[[#This Row],[Sales]]-Table3[[#This Row],[Cost]]</f>
        <v>9380.7600000000093</v>
      </c>
      <c r="L1556" s="6">
        <f>Table3[[#This Row],[Profit]]/Table3[[#This Row],[Sales]]</f>
        <v>0.11007057087501136</v>
      </c>
    </row>
    <row r="1557" spans="1:12" x14ac:dyDescent="0.25">
      <c r="A1557" t="s">
        <v>709</v>
      </c>
      <c r="B1557" s="2">
        <v>45102</v>
      </c>
      <c r="C1557" s="2" t="str">
        <f>TEXT(Table3[[#This Row],[Order Date]],"mmmm")</f>
        <v>June</v>
      </c>
      <c r="D1557" t="s">
        <v>3730</v>
      </c>
      <c r="E1557" t="s">
        <v>3223</v>
      </c>
      <c r="F1557" t="s">
        <v>3226</v>
      </c>
      <c r="G1557" s="4">
        <v>10337.969999999999</v>
      </c>
      <c r="H1557" s="4">
        <v>8270.3760000000002</v>
      </c>
      <c r="I1557" s="3" t="s">
        <v>3735</v>
      </c>
      <c r="J1557">
        <v>1</v>
      </c>
      <c r="K1557" s="4">
        <f>Table3[[#This Row],[Sales]]-Table3[[#This Row],[Cost]]</f>
        <v>2067.5939999999991</v>
      </c>
      <c r="L1557" s="6">
        <f>Table3[[#This Row],[Profit]]/Table3[[#This Row],[Sales]]</f>
        <v>0.19999999999999993</v>
      </c>
    </row>
    <row r="1558" spans="1:12" x14ac:dyDescent="0.25">
      <c r="A1558" t="s">
        <v>1278</v>
      </c>
      <c r="B1558" s="2">
        <v>45005</v>
      </c>
      <c r="C1558" s="2" t="str">
        <f>TEXT(Table3[[#This Row],[Order Date]],"mmmm")</f>
        <v>March</v>
      </c>
      <c r="D1558" t="s">
        <v>3730</v>
      </c>
      <c r="E1558" t="s">
        <v>3222</v>
      </c>
      <c r="F1558" t="s">
        <v>3226</v>
      </c>
      <c r="G1558" s="4">
        <v>57928.47</v>
      </c>
      <c r="H1558" s="4">
        <v>39502.639999999999</v>
      </c>
      <c r="I1558" s="3" t="s">
        <v>3734</v>
      </c>
      <c r="J1558">
        <v>4</v>
      </c>
      <c r="K1558" s="4">
        <f>Table3[[#This Row],[Sales]]-Table3[[#This Row],[Cost]]</f>
        <v>18425.830000000002</v>
      </c>
      <c r="L1558" s="6">
        <f>Table3[[#This Row],[Profit]]/Table3[[#This Row],[Sales]]</f>
        <v>0.31807900329492567</v>
      </c>
    </row>
    <row r="1559" spans="1:12" x14ac:dyDescent="0.25">
      <c r="A1559" t="s">
        <v>1497</v>
      </c>
      <c r="B1559" s="2">
        <v>44941</v>
      </c>
      <c r="C1559" s="2" t="str">
        <f>TEXT(Table3[[#This Row],[Order Date]],"mmmm")</f>
        <v>January</v>
      </c>
      <c r="D1559" t="s">
        <v>3220</v>
      </c>
      <c r="E1559" t="s">
        <v>3223</v>
      </c>
      <c r="F1559" t="s">
        <v>3226</v>
      </c>
      <c r="G1559" s="4">
        <v>27922.55</v>
      </c>
      <c r="H1559" s="4">
        <v>22338.04</v>
      </c>
      <c r="I1559" s="3" t="s">
        <v>3735</v>
      </c>
      <c r="J1559" t="s">
        <v>3732</v>
      </c>
      <c r="K1559" s="4">
        <f>Table3[[#This Row],[Sales]]-Table3[[#This Row],[Cost]]</f>
        <v>5584.5099999999984</v>
      </c>
      <c r="L1559" s="6">
        <f>Table3[[#This Row],[Profit]]/Table3[[#This Row],[Sales]]</f>
        <v>0.19999999999999996</v>
      </c>
    </row>
    <row r="1560" spans="1:12" x14ac:dyDescent="0.25">
      <c r="A1560" t="s">
        <v>812</v>
      </c>
      <c r="B1560" s="2" t="s">
        <v>3729</v>
      </c>
      <c r="C1560" s="2" t="str">
        <f>TEXT(Table3[[#This Row],[Order Date]],"mmmm")</f>
        <v>Not Mentioned</v>
      </c>
      <c r="D1560" t="s">
        <v>3220</v>
      </c>
      <c r="E1560" t="s">
        <v>3225</v>
      </c>
      <c r="F1560" t="s">
        <v>3226</v>
      </c>
      <c r="G1560" s="4">
        <v>65813.320000000007</v>
      </c>
      <c r="H1560" s="4">
        <v>42924.43</v>
      </c>
      <c r="I1560" s="3" t="s">
        <v>3734</v>
      </c>
      <c r="J1560">
        <v>3</v>
      </c>
      <c r="K1560" s="4">
        <f>Table3[[#This Row],[Sales]]-Table3[[#This Row],[Cost]]</f>
        <v>22888.890000000007</v>
      </c>
      <c r="L1560" s="6">
        <f>Table3[[#This Row],[Profit]]/Table3[[#This Row],[Sales]]</f>
        <v>0.34778506843295559</v>
      </c>
    </row>
    <row r="1561" spans="1:12" x14ac:dyDescent="0.25">
      <c r="A1561" t="s">
        <v>3494</v>
      </c>
      <c r="B1561" s="2">
        <v>44972</v>
      </c>
      <c r="C1561" s="2" t="str">
        <f>TEXT(Table3[[#This Row],[Order Date]],"mmmm")</f>
        <v>February</v>
      </c>
      <c r="D1561" t="s">
        <v>3216</v>
      </c>
      <c r="E1561" t="s">
        <v>3223</v>
      </c>
      <c r="F1561" t="s">
        <v>3226</v>
      </c>
      <c r="G1561" s="4">
        <v>55439.78</v>
      </c>
      <c r="H1561" s="4">
        <v>38047.14</v>
      </c>
      <c r="I1561" s="3" t="s">
        <v>3734</v>
      </c>
      <c r="J1561">
        <v>5</v>
      </c>
      <c r="K1561" s="4">
        <f>Table3[[#This Row],[Sales]]-Table3[[#This Row],[Cost]]</f>
        <v>17392.64</v>
      </c>
      <c r="L1561" s="6">
        <f>Table3[[#This Row],[Profit]]/Table3[[#This Row],[Sales]]</f>
        <v>0.31372130264586184</v>
      </c>
    </row>
    <row r="1562" spans="1:12" x14ac:dyDescent="0.25">
      <c r="A1562" t="s">
        <v>1499</v>
      </c>
      <c r="B1562" s="2">
        <v>44941</v>
      </c>
      <c r="C1562" s="2" t="str">
        <f>TEXT(Table3[[#This Row],[Order Date]],"mmmm")</f>
        <v>January</v>
      </c>
      <c r="D1562" t="s">
        <v>3216</v>
      </c>
      <c r="E1562" t="s">
        <v>3225</v>
      </c>
      <c r="F1562" t="s">
        <v>3226</v>
      </c>
      <c r="G1562" s="4">
        <v>65905.41</v>
      </c>
      <c r="H1562" s="4">
        <v>55377.1</v>
      </c>
      <c r="I1562" s="3" t="s">
        <v>3734</v>
      </c>
      <c r="J1562">
        <v>4</v>
      </c>
      <c r="K1562" s="4">
        <f>Table3[[#This Row],[Sales]]-Table3[[#This Row],[Cost]]</f>
        <v>10528.310000000005</v>
      </c>
      <c r="L1562" s="6">
        <f>Table3[[#This Row],[Profit]]/Table3[[#This Row],[Sales]]</f>
        <v>0.15974879755698362</v>
      </c>
    </row>
    <row r="1563" spans="1:12" x14ac:dyDescent="0.25">
      <c r="A1563" t="s">
        <v>1500</v>
      </c>
      <c r="B1563" s="2" t="s">
        <v>3729</v>
      </c>
      <c r="C1563" s="2" t="str">
        <f>TEXT(Table3[[#This Row],[Order Date]],"mmmm")</f>
        <v>Not Mentioned</v>
      </c>
      <c r="D1563" t="s">
        <v>3730</v>
      </c>
      <c r="E1563" t="s">
        <v>3225</v>
      </c>
      <c r="F1563" t="s">
        <v>3226</v>
      </c>
      <c r="G1563" s="4">
        <v>62398.66</v>
      </c>
      <c r="H1563" s="4">
        <v>38196.160000000003</v>
      </c>
      <c r="I1563" s="3" t="s">
        <v>3734</v>
      </c>
      <c r="J1563" t="s">
        <v>3732</v>
      </c>
      <c r="K1563" s="4">
        <f>Table3[[#This Row],[Sales]]-Table3[[#This Row],[Cost]]</f>
        <v>24202.5</v>
      </c>
      <c r="L1563" s="6">
        <f>Table3[[#This Row],[Profit]]/Table3[[#This Row],[Sales]]</f>
        <v>0.38786890615920278</v>
      </c>
    </row>
    <row r="1564" spans="1:12" x14ac:dyDescent="0.25">
      <c r="A1564" t="s">
        <v>294</v>
      </c>
      <c r="B1564" s="2" t="s">
        <v>3729</v>
      </c>
      <c r="C1564" s="2" t="str">
        <f>TEXT(Table3[[#This Row],[Order Date]],"mmmm")</f>
        <v>Not Mentioned</v>
      </c>
      <c r="D1564" t="s">
        <v>3730</v>
      </c>
      <c r="E1564" t="s">
        <v>3223</v>
      </c>
      <c r="F1564" t="s">
        <v>3226</v>
      </c>
      <c r="G1564" s="4">
        <v>10629.89</v>
      </c>
      <c r="H1564" s="4">
        <v>7472.75</v>
      </c>
      <c r="I1564" s="3" t="s">
        <v>3734</v>
      </c>
      <c r="J1564">
        <v>1</v>
      </c>
      <c r="K1564" s="4">
        <f>Table3[[#This Row],[Sales]]-Table3[[#This Row],[Cost]]</f>
        <v>3157.1399999999994</v>
      </c>
      <c r="L1564" s="6">
        <f>Table3[[#This Row],[Profit]]/Table3[[#This Row],[Sales]]</f>
        <v>0.29700589563955976</v>
      </c>
    </row>
    <row r="1565" spans="1:12" x14ac:dyDescent="0.25">
      <c r="A1565" t="s">
        <v>3495</v>
      </c>
      <c r="B1565" s="2">
        <v>45005</v>
      </c>
      <c r="C1565" s="2" t="str">
        <f>TEXT(Table3[[#This Row],[Order Date]],"mmmm")</f>
        <v>March</v>
      </c>
      <c r="D1565" t="s">
        <v>3220</v>
      </c>
      <c r="E1565" t="s">
        <v>3225</v>
      </c>
      <c r="F1565" t="s">
        <v>3226</v>
      </c>
      <c r="G1565" s="4">
        <v>101279.27</v>
      </c>
      <c r="H1565" s="4">
        <v>70148.97</v>
      </c>
      <c r="I1565" s="3" t="s">
        <v>3734</v>
      </c>
      <c r="J1565">
        <v>5</v>
      </c>
      <c r="K1565" s="4">
        <f>Table3[[#This Row],[Sales]]-Table3[[#This Row],[Cost]]</f>
        <v>31130.300000000003</v>
      </c>
      <c r="L1565" s="6">
        <f>Table3[[#This Row],[Profit]]/Table3[[#This Row],[Sales]]</f>
        <v>0.30737089633446213</v>
      </c>
    </row>
    <row r="1566" spans="1:12" x14ac:dyDescent="0.25">
      <c r="A1566" t="s">
        <v>878</v>
      </c>
      <c r="B1566" s="2">
        <v>44941</v>
      </c>
      <c r="C1566" s="2" t="str">
        <f>TEXT(Table3[[#This Row],[Order Date]],"mmmm")</f>
        <v>January</v>
      </c>
      <c r="D1566" t="s">
        <v>3730</v>
      </c>
      <c r="E1566" t="s">
        <v>3222</v>
      </c>
      <c r="F1566" t="s">
        <v>3226</v>
      </c>
      <c r="G1566" s="4">
        <v>45396.87</v>
      </c>
      <c r="H1566" s="4">
        <v>36317.496000000006</v>
      </c>
      <c r="I1566" s="3" t="s">
        <v>3735</v>
      </c>
      <c r="J1566">
        <v>3</v>
      </c>
      <c r="K1566" s="4">
        <f>Table3[[#This Row],[Sales]]-Table3[[#This Row],[Cost]]</f>
        <v>9079.3739999999962</v>
      </c>
      <c r="L1566" s="6">
        <f>Table3[[#This Row],[Profit]]/Table3[[#This Row],[Sales]]</f>
        <v>0.1999999999999999</v>
      </c>
    </row>
    <row r="1567" spans="1:12" x14ac:dyDescent="0.25">
      <c r="A1567" t="s">
        <v>3496</v>
      </c>
      <c r="B1567" s="2">
        <v>44972</v>
      </c>
      <c r="C1567" s="2" t="str">
        <f>TEXT(Table3[[#This Row],[Order Date]],"mmmm")</f>
        <v>February</v>
      </c>
      <c r="D1567" t="s">
        <v>3730</v>
      </c>
      <c r="E1567" t="s">
        <v>3224</v>
      </c>
      <c r="F1567" t="s">
        <v>3226</v>
      </c>
      <c r="G1567" s="4">
        <v>62930.03</v>
      </c>
      <c r="H1567" s="4">
        <v>38671.11</v>
      </c>
      <c r="I1567" s="3" t="s">
        <v>3734</v>
      </c>
      <c r="J1567">
        <v>1</v>
      </c>
      <c r="K1567" s="4">
        <f>Table3[[#This Row],[Sales]]-Table3[[#This Row],[Cost]]</f>
        <v>24258.92</v>
      </c>
      <c r="L1567" s="6">
        <f>Table3[[#This Row],[Profit]]/Table3[[#This Row],[Sales]]</f>
        <v>0.38549036127902686</v>
      </c>
    </row>
    <row r="1568" spans="1:12" x14ac:dyDescent="0.25">
      <c r="A1568" t="s">
        <v>1504</v>
      </c>
      <c r="B1568" s="2">
        <v>44972</v>
      </c>
      <c r="C1568" s="2" t="str">
        <f>TEXT(Table3[[#This Row],[Order Date]],"mmmm")</f>
        <v>February</v>
      </c>
      <c r="D1568" t="s">
        <v>3220</v>
      </c>
      <c r="E1568" t="s">
        <v>3225</v>
      </c>
      <c r="F1568" t="s">
        <v>3226</v>
      </c>
      <c r="G1568" s="4">
        <v>54083.26</v>
      </c>
      <c r="H1568" s="4">
        <v>44894.84</v>
      </c>
      <c r="I1568" s="3" t="s">
        <v>3734</v>
      </c>
      <c r="J1568">
        <v>3</v>
      </c>
      <c r="K1568" s="4">
        <f>Table3[[#This Row],[Sales]]-Table3[[#This Row],[Cost]]</f>
        <v>9188.4200000000055</v>
      </c>
      <c r="L1568" s="6">
        <f>Table3[[#This Row],[Profit]]/Table3[[#This Row],[Sales]]</f>
        <v>0.16989397458659122</v>
      </c>
    </row>
    <row r="1569" spans="1:12" x14ac:dyDescent="0.25">
      <c r="A1569" t="s">
        <v>1505</v>
      </c>
      <c r="B1569" s="2">
        <v>45005</v>
      </c>
      <c r="C1569" s="2" t="str">
        <f>TEXT(Table3[[#This Row],[Order Date]],"mmmm")</f>
        <v>March</v>
      </c>
      <c r="D1569" t="s">
        <v>3731</v>
      </c>
      <c r="E1569" t="s">
        <v>3225</v>
      </c>
      <c r="F1569" t="s">
        <v>3226</v>
      </c>
      <c r="G1569" s="4">
        <v>64981.1</v>
      </c>
      <c r="H1569" s="4">
        <v>49700.27</v>
      </c>
      <c r="I1569" s="3" t="s">
        <v>3734</v>
      </c>
      <c r="J1569">
        <v>4</v>
      </c>
      <c r="K1569" s="4">
        <f>Table3[[#This Row],[Sales]]-Table3[[#This Row],[Cost]]</f>
        <v>15280.830000000002</v>
      </c>
      <c r="L1569" s="6">
        <f>Table3[[#This Row],[Profit]]/Table3[[#This Row],[Sales]]</f>
        <v>0.23515806903853587</v>
      </c>
    </row>
    <row r="1570" spans="1:12" x14ac:dyDescent="0.25">
      <c r="A1570" t="s">
        <v>3478</v>
      </c>
      <c r="B1570" s="2">
        <v>45005</v>
      </c>
      <c r="C1570" s="2" t="str">
        <f>TEXT(Table3[[#This Row],[Order Date]],"mmmm")</f>
        <v>March</v>
      </c>
      <c r="D1570" t="s">
        <v>3730</v>
      </c>
      <c r="E1570" t="s">
        <v>3222</v>
      </c>
      <c r="F1570" t="s">
        <v>3226</v>
      </c>
      <c r="G1570" s="4">
        <v>46205.11</v>
      </c>
      <c r="H1570" s="4">
        <v>31233.25</v>
      </c>
      <c r="I1570" s="3" t="s">
        <v>3734</v>
      </c>
      <c r="J1570">
        <v>3</v>
      </c>
      <c r="K1570" s="4">
        <f>Table3[[#This Row],[Sales]]-Table3[[#This Row],[Cost]]</f>
        <v>14971.86</v>
      </c>
      <c r="L1570" s="6">
        <f>Table3[[#This Row],[Profit]]/Table3[[#This Row],[Sales]]</f>
        <v>0.32403039404083228</v>
      </c>
    </row>
    <row r="1571" spans="1:12" x14ac:dyDescent="0.25">
      <c r="A1571" t="s">
        <v>1506</v>
      </c>
      <c r="B1571" s="2">
        <v>44972</v>
      </c>
      <c r="C1571" s="2" t="str">
        <f>TEXT(Table3[[#This Row],[Order Date]],"mmmm")</f>
        <v>February</v>
      </c>
      <c r="D1571" t="s">
        <v>3730</v>
      </c>
      <c r="E1571" t="s">
        <v>3224</v>
      </c>
      <c r="F1571" t="s">
        <v>3226</v>
      </c>
      <c r="G1571" s="4">
        <v>287685.73</v>
      </c>
      <c r="H1571" s="4">
        <v>230148.584</v>
      </c>
      <c r="I1571" s="3" t="s">
        <v>3735</v>
      </c>
      <c r="J1571">
        <v>4</v>
      </c>
      <c r="K1571" s="4">
        <f>Table3[[#This Row],[Sales]]-Table3[[#This Row],[Cost]]</f>
        <v>57537.145999999979</v>
      </c>
      <c r="L1571" s="6">
        <f>Table3[[#This Row],[Profit]]/Table3[[#This Row],[Sales]]</f>
        <v>0.19999999999999993</v>
      </c>
    </row>
    <row r="1572" spans="1:12" x14ac:dyDescent="0.25">
      <c r="A1572" t="s">
        <v>1507</v>
      </c>
      <c r="B1572" s="2">
        <v>44972</v>
      </c>
      <c r="C1572" s="2" t="str">
        <f>TEXT(Table3[[#This Row],[Order Date]],"mmmm")</f>
        <v>February</v>
      </c>
      <c r="D1572" t="s">
        <v>3731</v>
      </c>
      <c r="E1572" t="s">
        <v>3224</v>
      </c>
      <c r="F1572" t="s">
        <v>3226</v>
      </c>
      <c r="G1572" s="4">
        <v>63087.35</v>
      </c>
      <c r="H1572" s="4">
        <v>48766.89</v>
      </c>
      <c r="I1572" s="3" t="s">
        <v>3734</v>
      </c>
      <c r="J1572">
        <v>1</v>
      </c>
      <c r="K1572" s="4">
        <f>Table3[[#This Row],[Sales]]-Table3[[#This Row],[Cost]]</f>
        <v>14320.46</v>
      </c>
      <c r="L1572" s="6">
        <f>Table3[[#This Row],[Profit]]/Table3[[#This Row],[Sales]]</f>
        <v>0.22699415968494474</v>
      </c>
    </row>
    <row r="1573" spans="1:12" x14ac:dyDescent="0.25">
      <c r="A1573" t="s">
        <v>3497</v>
      </c>
      <c r="B1573" s="2" t="s">
        <v>3729</v>
      </c>
      <c r="C1573" s="2" t="str">
        <f>TEXT(Table3[[#This Row],[Order Date]],"mmmm")</f>
        <v>Not Mentioned</v>
      </c>
      <c r="D1573" t="s">
        <v>3730</v>
      </c>
      <c r="E1573" t="s">
        <v>3223</v>
      </c>
      <c r="F1573" t="s">
        <v>3226</v>
      </c>
      <c r="G1573" s="4">
        <v>43521.34</v>
      </c>
      <c r="H1573" s="4">
        <v>34817.072</v>
      </c>
      <c r="I1573" s="3" t="s">
        <v>3735</v>
      </c>
      <c r="J1573">
        <v>5</v>
      </c>
      <c r="K1573" s="4">
        <f>Table3[[#This Row],[Sales]]-Table3[[#This Row],[Cost]]</f>
        <v>8704.2679999999964</v>
      </c>
      <c r="L1573" s="6">
        <f>Table3[[#This Row],[Profit]]/Table3[[#This Row],[Sales]]</f>
        <v>0.19999999999999993</v>
      </c>
    </row>
    <row r="1574" spans="1:12" x14ac:dyDescent="0.25">
      <c r="A1574" t="s">
        <v>1509</v>
      </c>
      <c r="B1574" s="2" t="s">
        <v>3729</v>
      </c>
      <c r="C1574" s="2" t="str">
        <f>TEXT(Table3[[#This Row],[Order Date]],"mmmm")</f>
        <v>Not Mentioned</v>
      </c>
      <c r="D1574" t="s">
        <v>3220</v>
      </c>
      <c r="E1574" t="s">
        <v>3224</v>
      </c>
      <c r="F1574" t="s">
        <v>3226</v>
      </c>
      <c r="G1574" s="4">
        <v>330813.58</v>
      </c>
      <c r="H1574" s="4">
        <v>238327.84</v>
      </c>
      <c r="I1574" s="3" t="s">
        <v>3734</v>
      </c>
      <c r="J1574">
        <v>5</v>
      </c>
      <c r="K1574" s="4">
        <f>Table3[[#This Row],[Sales]]-Table3[[#This Row],[Cost]]</f>
        <v>92485.74000000002</v>
      </c>
      <c r="L1574" s="6">
        <f>Table3[[#This Row],[Profit]]/Table3[[#This Row],[Sales]]</f>
        <v>0.27957056660128649</v>
      </c>
    </row>
    <row r="1575" spans="1:12" x14ac:dyDescent="0.25">
      <c r="A1575" t="s">
        <v>1510</v>
      </c>
      <c r="B1575" s="2" t="s">
        <v>3729</v>
      </c>
      <c r="C1575" s="2" t="str">
        <f>TEXT(Table3[[#This Row],[Order Date]],"mmmm")</f>
        <v>Not Mentioned</v>
      </c>
      <c r="D1575" t="s">
        <v>3220</v>
      </c>
      <c r="E1575" t="s">
        <v>3222</v>
      </c>
      <c r="F1575" t="s">
        <v>3226</v>
      </c>
      <c r="G1575" s="4">
        <v>34556.5</v>
      </c>
      <c r="H1575" s="4">
        <v>21899.02</v>
      </c>
      <c r="I1575" s="3" t="s">
        <v>3734</v>
      </c>
      <c r="J1575">
        <v>2</v>
      </c>
      <c r="K1575" s="4">
        <f>Table3[[#This Row],[Sales]]-Table3[[#This Row],[Cost]]</f>
        <v>12657.48</v>
      </c>
      <c r="L1575" s="6">
        <f>Table3[[#This Row],[Profit]]/Table3[[#This Row],[Sales]]</f>
        <v>0.36628362247334073</v>
      </c>
    </row>
    <row r="1576" spans="1:12" x14ac:dyDescent="0.25">
      <c r="A1576" t="s">
        <v>1511</v>
      </c>
      <c r="B1576" s="2">
        <v>45005</v>
      </c>
      <c r="C1576" s="2" t="str">
        <f>TEXT(Table3[[#This Row],[Order Date]],"mmmm")</f>
        <v>March</v>
      </c>
      <c r="D1576" t="s">
        <v>3216</v>
      </c>
      <c r="E1576" t="s">
        <v>3224</v>
      </c>
      <c r="F1576" t="s">
        <v>3226</v>
      </c>
      <c r="G1576" s="4">
        <v>319645.7</v>
      </c>
      <c r="H1576" s="4">
        <v>215402.85</v>
      </c>
      <c r="I1576" s="3" t="s">
        <v>3734</v>
      </c>
      <c r="J1576">
        <v>5</v>
      </c>
      <c r="K1576" s="4">
        <f>Table3[[#This Row],[Sales]]-Table3[[#This Row],[Cost]]</f>
        <v>104242.85</v>
      </c>
      <c r="L1576" s="6">
        <f>Table3[[#This Row],[Profit]]/Table3[[#This Row],[Sales]]</f>
        <v>0.3261199822178118</v>
      </c>
    </row>
    <row r="1577" spans="1:12" x14ac:dyDescent="0.25">
      <c r="A1577" t="s">
        <v>1512</v>
      </c>
      <c r="B1577" s="2">
        <v>44941</v>
      </c>
      <c r="C1577" s="2" t="str">
        <f>TEXT(Table3[[#This Row],[Order Date]],"mmmm")</f>
        <v>January</v>
      </c>
      <c r="D1577" t="s">
        <v>3220</v>
      </c>
      <c r="E1577" t="s">
        <v>3223</v>
      </c>
      <c r="F1577" t="s">
        <v>3226</v>
      </c>
      <c r="G1577" s="4">
        <v>45206.63</v>
      </c>
      <c r="H1577" s="4">
        <v>29987.31</v>
      </c>
      <c r="I1577" s="3" t="s">
        <v>3734</v>
      </c>
      <c r="J1577">
        <v>4</v>
      </c>
      <c r="K1577" s="4">
        <f>Table3[[#This Row],[Sales]]-Table3[[#This Row],[Cost]]</f>
        <v>15219.319999999996</v>
      </c>
      <c r="L1577" s="6">
        <f>Table3[[#This Row],[Profit]]/Table3[[#This Row],[Sales]]</f>
        <v>0.33666123752201826</v>
      </c>
    </row>
    <row r="1578" spans="1:12" x14ac:dyDescent="0.25">
      <c r="A1578" t="s">
        <v>1513</v>
      </c>
      <c r="B1578" s="2">
        <v>44972</v>
      </c>
      <c r="C1578" s="2" t="str">
        <f>TEXT(Table3[[#This Row],[Order Date]],"mmmm")</f>
        <v>February</v>
      </c>
      <c r="D1578" t="s">
        <v>3731</v>
      </c>
      <c r="E1578" t="s">
        <v>3222</v>
      </c>
      <c r="F1578" t="s">
        <v>3226</v>
      </c>
      <c r="G1578" s="4">
        <v>42785.89</v>
      </c>
      <c r="H1578" s="4">
        <v>29300.34</v>
      </c>
      <c r="I1578" s="3" t="s">
        <v>3734</v>
      </c>
      <c r="J1578">
        <v>3</v>
      </c>
      <c r="K1578" s="4">
        <f>Table3[[#This Row],[Sales]]-Table3[[#This Row],[Cost]]</f>
        <v>13485.55</v>
      </c>
      <c r="L1578" s="6">
        <f>Table3[[#This Row],[Profit]]/Table3[[#This Row],[Sales]]</f>
        <v>0.31518685248805156</v>
      </c>
    </row>
    <row r="1579" spans="1:12" x14ac:dyDescent="0.25">
      <c r="A1579" t="s">
        <v>1514</v>
      </c>
      <c r="B1579" s="2">
        <v>44972</v>
      </c>
      <c r="C1579" s="2" t="str">
        <f>TEXT(Table3[[#This Row],[Order Date]],"mmmm")</f>
        <v>February</v>
      </c>
      <c r="D1579" t="s">
        <v>3220</v>
      </c>
      <c r="E1579" t="s">
        <v>3224</v>
      </c>
      <c r="F1579" t="s">
        <v>3226</v>
      </c>
      <c r="G1579" s="4">
        <v>246834.34</v>
      </c>
      <c r="H1579" s="4">
        <v>202820.87</v>
      </c>
      <c r="I1579" s="3" t="s">
        <v>3734</v>
      </c>
      <c r="J1579">
        <v>5</v>
      </c>
      <c r="K1579" s="4">
        <f>Table3[[#This Row],[Sales]]-Table3[[#This Row],[Cost]]</f>
        <v>44013.47</v>
      </c>
      <c r="L1579" s="6">
        <f>Table3[[#This Row],[Profit]]/Table3[[#This Row],[Sales]]</f>
        <v>0.1783117778506832</v>
      </c>
    </row>
    <row r="1580" spans="1:12" x14ac:dyDescent="0.25">
      <c r="A1580" t="s">
        <v>1515</v>
      </c>
      <c r="B1580" s="2">
        <v>44972</v>
      </c>
      <c r="C1580" s="2" t="str">
        <f>TEXT(Table3[[#This Row],[Order Date]],"mmmm")</f>
        <v>February</v>
      </c>
      <c r="D1580" t="s">
        <v>3731</v>
      </c>
      <c r="E1580" t="s">
        <v>3224</v>
      </c>
      <c r="F1580" t="s">
        <v>3226</v>
      </c>
      <c r="G1580" s="4">
        <v>213449.77</v>
      </c>
      <c r="H1580" s="4">
        <v>130906.18</v>
      </c>
      <c r="I1580" s="3" t="s">
        <v>3734</v>
      </c>
      <c r="J1580">
        <v>3</v>
      </c>
      <c r="K1580" s="4">
        <f>Table3[[#This Row],[Sales]]-Table3[[#This Row],[Cost]]</f>
        <v>82543.59</v>
      </c>
      <c r="L1580" s="6">
        <f>Table3[[#This Row],[Profit]]/Table3[[#This Row],[Sales]]</f>
        <v>0.38671201191737054</v>
      </c>
    </row>
    <row r="1581" spans="1:12" x14ac:dyDescent="0.25">
      <c r="A1581" t="s">
        <v>1516</v>
      </c>
      <c r="B1581" s="2">
        <v>44941</v>
      </c>
      <c r="C1581" s="2" t="str">
        <f>TEXT(Table3[[#This Row],[Order Date]],"mmmm")</f>
        <v>January</v>
      </c>
      <c r="D1581" t="s">
        <v>3220</v>
      </c>
      <c r="E1581" t="s">
        <v>3225</v>
      </c>
      <c r="F1581" t="s">
        <v>3226</v>
      </c>
      <c r="G1581" s="4">
        <v>46829.06</v>
      </c>
      <c r="H1581" s="4">
        <v>28739.81</v>
      </c>
      <c r="I1581" s="3" t="s">
        <v>3734</v>
      </c>
      <c r="J1581">
        <v>2</v>
      </c>
      <c r="K1581" s="4">
        <f>Table3[[#This Row],[Sales]]-Table3[[#This Row],[Cost]]</f>
        <v>18089.249999999996</v>
      </c>
      <c r="L1581" s="6">
        <f>Table3[[#This Row],[Profit]]/Table3[[#This Row],[Sales]]</f>
        <v>0.38628257752771455</v>
      </c>
    </row>
    <row r="1582" spans="1:12" x14ac:dyDescent="0.25">
      <c r="A1582" t="s">
        <v>722</v>
      </c>
      <c r="B1582" s="2">
        <v>44972</v>
      </c>
      <c r="C1582" s="2" t="str">
        <f>TEXT(Table3[[#This Row],[Order Date]],"mmmm")</f>
        <v>February</v>
      </c>
      <c r="D1582" t="s">
        <v>3730</v>
      </c>
      <c r="E1582" t="s">
        <v>3223</v>
      </c>
      <c r="F1582" t="s">
        <v>3226</v>
      </c>
      <c r="G1582" s="4">
        <v>37229.120000000003</v>
      </c>
      <c r="H1582" s="4">
        <v>29783.296000000002</v>
      </c>
      <c r="I1582" s="3" t="s">
        <v>3735</v>
      </c>
      <c r="J1582">
        <v>4</v>
      </c>
      <c r="K1582" s="4">
        <f>Table3[[#This Row],[Sales]]-Table3[[#This Row],[Cost]]</f>
        <v>7445.8240000000005</v>
      </c>
      <c r="L1582" s="6">
        <f>Table3[[#This Row],[Profit]]/Table3[[#This Row],[Sales]]</f>
        <v>0.2</v>
      </c>
    </row>
    <row r="1583" spans="1:12" x14ac:dyDescent="0.25">
      <c r="A1583" t="s">
        <v>667</v>
      </c>
      <c r="B1583" s="2">
        <v>45021</v>
      </c>
      <c r="C1583" s="2" t="str">
        <f>TEXT(Table3[[#This Row],[Order Date]],"mmmm")</f>
        <v>April</v>
      </c>
      <c r="D1583" t="s">
        <v>3216</v>
      </c>
      <c r="E1583" t="s">
        <v>3223</v>
      </c>
      <c r="F1583" t="s">
        <v>3226</v>
      </c>
      <c r="G1583" s="4">
        <v>46003.199999999997</v>
      </c>
      <c r="H1583" s="4">
        <v>32087.86</v>
      </c>
      <c r="I1583" s="3" t="s">
        <v>3734</v>
      </c>
      <c r="J1583">
        <v>5</v>
      </c>
      <c r="K1583" s="4">
        <f>Table3[[#This Row],[Sales]]-Table3[[#This Row],[Cost]]</f>
        <v>13915.339999999997</v>
      </c>
      <c r="L1583" s="6">
        <f>Table3[[#This Row],[Profit]]/Table3[[#This Row],[Sales]]</f>
        <v>0.30248634877573727</v>
      </c>
    </row>
    <row r="1584" spans="1:12" x14ac:dyDescent="0.25">
      <c r="A1584" t="s">
        <v>1517</v>
      </c>
      <c r="B1584" s="2">
        <v>45005</v>
      </c>
      <c r="C1584" s="2" t="str">
        <f>TEXT(Table3[[#This Row],[Order Date]],"mmmm")</f>
        <v>March</v>
      </c>
      <c r="D1584" t="s">
        <v>3730</v>
      </c>
      <c r="E1584" t="s">
        <v>3225</v>
      </c>
      <c r="F1584" t="s">
        <v>3226</v>
      </c>
      <c r="G1584" s="4">
        <v>17259.62</v>
      </c>
      <c r="H1584" s="4">
        <v>14896.52</v>
      </c>
      <c r="I1584" s="3" t="s">
        <v>3734</v>
      </c>
      <c r="J1584">
        <v>1</v>
      </c>
      <c r="K1584" s="4">
        <f>Table3[[#This Row],[Sales]]-Table3[[#This Row],[Cost]]</f>
        <v>2363.0999999999985</v>
      </c>
      <c r="L1584" s="6">
        <f>Table3[[#This Row],[Profit]]/Table3[[#This Row],[Sales]]</f>
        <v>0.13691494946006916</v>
      </c>
    </row>
    <row r="1585" spans="1:12" x14ac:dyDescent="0.25">
      <c r="A1585" t="s">
        <v>1519</v>
      </c>
      <c r="B1585" s="2">
        <v>44972</v>
      </c>
      <c r="C1585" s="2" t="str">
        <f>TEXT(Table3[[#This Row],[Order Date]],"mmmm")</f>
        <v>February</v>
      </c>
      <c r="D1585" t="s">
        <v>3730</v>
      </c>
      <c r="E1585" t="s">
        <v>3224</v>
      </c>
      <c r="F1585" t="s">
        <v>3226</v>
      </c>
      <c r="G1585" s="4">
        <v>304764.65999999997</v>
      </c>
      <c r="H1585" s="4">
        <v>199613.75</v>
      </c>
      <c r="I1585" s="3" t="s">
        <v>3734</v>
      </c>
      <c r="J1585">
        <v>5</v>
      </c>
      <c r="K1585" s="4">
        <f>Table3[[#This Row],[Sales]]-Table3[[#This Row],[Cost]]</f>
        <v>105150.90999999997</v>
      </c>
      <c r="L1585" s="6">
        <f>Table3[[#This Row],[Profit]]/Table3[[#This Row],[Sales]]</f>
        <v>0.34502330421119032</v>
      </c>
    </row>
    <row r="1586" spans="1:12" x14ac:dyDescent="0.25">
      <c r="A1586" t="s">
        <v>3486</v>
      </c>
      <c r="B1586" s="2">
        <v>45021</v>
      </c>
      <c r="C1586" s="2" t="str">
        <f>TEXT(Table3[[#This Row],[Order Date]],"mmmm")</f>
        <v>April</v>
      </c>
      <c r="D1586" t="s">
        <v>3216</v>
      </c>
      <c r="E1586" t="s">
        <v>3225</v>
      </c>
      <c r="F1586" t="s">
        <v>3226</v>
      </c>
      <c r="G1586" s="4">
        <v>53543.11</v>
      </c>
      <c r="H1586" s="4">
        <v>39891.4</v>
      </c>
      <c r="I1586" s="3" t="s">
        <v>3734</v>
      </c>
      <c r="J1586">
        <v>3</v>
      </c>
      <c r="K1586" s="4">
        <f>Table3[[#This Row],[Sales]]-Table3[[#This Row],[Cost]]</f>
        <v>13651.71</v>
      </c>
      <c r="L1586" s="6">
        <f>Table3[[#This Row],[Profit]]/Table3[[#This Row],[Sales]]</f>
        <v>0.25496669879653983</v>
      </c>
    </row>
    <row r="1587" spans="1:12" x14ac:dyDescent="0.25">
      <c r="A1587" t="s">
        <v>1520</v>
      </c>
      <c r="B1587" s="2">
        <v>44972</v>
      </c>
      <c r="C1587" s="2" t="str">
        <f>TEXT(Table3[[#This Row],[Order Date]],"mmmm")</f>
        <v>February</v>
      </c>
      <c r="D1587" t="s">
        <v>3730</v>
      </c>
      <c r="E1587" t="s">
        <v>3225</v>
      </c>
      <c r="F1587" t="s">
        <v>3226</v>
      </c>
      <c r="G1587" s="4">
        <v>22436.47</v>
      </c>
      <c r="H1587" s="4">
        <v>14910.06</v>
      </c>
      <c r="I1587" s="3" t="s">
        <v>3734</v>
      </c>
      <c r="J1587">
        <v>1</v>
      </c>
      <c r="K1587" s="4">
        <f>Table3[[#This Row],[Sales]]-Table3[[#This Row],[Cost]]</f>
        <v>7526.4100000000017</v>
      </c>
      <c r="L1587" s="6">
        <f>Table3[[#This Row],[Profit]]/Table3[[#This Row],[Sales]]</f>
        <v>0.3354542849209346</v>
      </c>
    </row>
    <row r="1588" spans="1:12" x14ac:dyDescent="0.25">
      <c r="A1588" t="s">
        <v>1522</v>
      </c>
      <c r="B1588" s="2" t="s">
        <v>3729</v>
      </c>
      <c r="C1588" s="2" t="str">
        <f>TEXT(Table3[[#This Row],[Order Date]],"mmmm")</f>
        <v>Not Mentioned</v>
      </c>
      <c r="D1588" t="s">
        <v>3220</v>
      </c>
      <c r="E1588" t="s">
        <v>3222</v>
      </c>
      <c r="F1588" t="s">
        <v>3226</v>
      </c>
      <c r="G1588" s="4">
        <v>31667.47</v>
      </c>
      <c r="H1588" s="4">
        <v>21394.74</v>
      </c>
      <c r="I1588" s="3" t="s">
        <v>3734</v>
      </c>
      <c r="J1588">
        <v>2</v>
      </c>
      <c r="K1588" s="4">
        <f>Table3[[#This Row],[Sales]]-Table3[[#This Row],[Cost]]</f>
        <v>10272.73</v>
      </c>
      <c r="L1588" s="6">
        <f>Table3[[#This Row],[Profit]]/Table3[[#This Row],[Sales]]</f>
        <v>0.32439377064223945</v>
      </c>
    </row>
    <row r="1589" spans="1:12" x14ac:dyDescent="0.25">
      <c r="A1589" t="s">
        <v>3347</v>
      </c>
      <c r="B1589" s="2">
        <v>44941</v>
      </c>
      <c r="C1589" s="2" t="str">
        <f>TEXT(Table3[[#This Row],[Order Date]],"mmmm")</f>
        <v>January</v>
      </c>
      <c r="D1589" t="s">
        <v>3216</v>
      </c>
      <c r="E1589" t="s">
        <v>3225</v>
      </c>
      <c r="F1589" t="s">
        <v>3226</v>
      </c>
      <c r="G1589" s="4">
        <v>69436.210000000006</v>
      </c>
      <c r="H1589" s="4">
        <v>59541.06</v>
      </c>
      <c r="I1589" s="3" t="s">
        <v>3734</v>
      </c>
      <c r="J1589">
        <v>4</v>
      </c>
      <c r="K1589" s="4">
        <f>Table3[[#This Row],[Sales]]-Table3[[#This Row],[Cost]]</f>
        <v>9895.1500000000087</v>
      </c>
      <c r="L1589" s="6">
        <f>Table3[[#This Row],[Profit]]/Table3[[#This Row],[Sales]]</f>
        <v>0.14250705791689966</v>
      </c>
    </row>
    <row r="1590" spans="1:12" x14ac:dyDescent="0.25">
      <c r="A1590" t="s">
        <v>1523</v>
      </c>
      <c r="B1590" s="2">
        <v>44941</v>
      </c>
      <c r="C1590" s="2" t="str">
        <f>TEXT(Table3[[#This Row],[Order Date]],"mmmm")</f>
        <v>January</v>
      </c>
      <c r="D1590" t="s">
        <v>3730</v>
      </c>
      <c r="E1590" t="s">
        <v>3225</v>
      </c>
      <c r="F1590" t="s">
        <v>3226</v>
      </c>
      <c r="G1590" s="4">
        <v>18597.18</v>
      </c>
      <c r="H1590" s="4">
        <v>13016.65</v>
      </c>
      <c r="I1590" s="3" t="s">
        <v>3734</v>
      </c>
      <c r="J1590">
        <v>1</v>
      </c>
      <c r="K1590" s="4">
        <f>Table3[[#This Row],[Sales]]-Table3[[#This Row],[Cost]]</f>
        <v>5580.5300000000007</v>
      </c>
      <c r="L1590" s="6">
        <f>Table3[[#This Row],[Profit]]/Table3[[#This Row],[Sales]]</f>
        <v>0.30007398971241878</v>
      </c>
    </row>
    <row r="1591" spans="1:12" x14ac:dyDescent="0.25">
      <c r="A1591" t="s">
        <v>1524</v>
      </c>
      <c r="B1591" s="2">
        <v>45005</v>
      </c>
      <c r="C1591" s="2" t="str">
        <f>TEXT(Table3[[#This Row],[Order Date]],"mmmm")</f>
        <v>March</v>
      </c>
      <c r="D1591" t="s">
        <v>3730</v>
      </c>
      <c r="E1591" t="s">
        <v>3225</v>
      </c>
      <c r="F1591" t="s">
        <v>3226</v>
      </c>
      <c r="G1591" s="4">
        <v>70939.48</v>
      </c>
      <c r="H1591" s="4">
        <v>41792.43</v>
      </c>
      <c r="I1591" s="3" t="s">
        <v>3734</v>
      </c>
      <c r="J1591">
        <v>3</v>
      </c>
      <c r="K1591" s="4">
        <f>Table3[[#This Row],[Sales]]-Table3[[#This Row],[Cost]]</f>
        <v>29147.049999999996</v>
      </c>
      <c r="L1591" s="6">
        <f>Table3[[#This Row],[Profit]]/Table3[[#This Row],[Sales]]</f>
        <v>0.41087205601168769</v>
      </c>
    </row>
    <row r="1592" spans="1:12" x14ac:dyDescent="0.25">
      <c r="A1592" t="s">
        <v>1525</v>
      </c>
      <c r="B1592" s="2">
        <v>45102</v>
      </c>
      <c r="C1592" s="2" t="str">
        <f>TEXT(Table3[[#This Row],[Order Date]],"mmmm")</f>
        <v>June</v>
      </c>
      <c r="D1592" t="s">
        <v>3730</v>
      </c>
      <c r="E1592" t="s">
        <v>3222</v>
      </c>
      <c r="F1592" t="s">
        <v>3226</v>
      </c>
      <c r="G1592" s="4">
        <v>24992.78</v>
      </c>
      <c r="H1592" s="4">
        <v>19616.86</v>
      </c>
      <c r="I1592" s="3" t="s">
        <v>3734</v>
      </c>
      <c r="J1592">
        <v>2</v>
      </c>
      <c r="K1592" s="4">
        <f>Table3[[#This Row],[Sales]]-Table3[[#This Row],[Cost]]</f>
        <v>5375.9199999999983</v>
      </c>
      <c r="L1592" s="6">
        <f>Table3[[#This Row],[Profit]]/Table3[[#This Row],[Sales]]</f>
        <v>0.21509892056826005</v>
      </c>
    </row>
    <row r="1593" spans="1:12" x14ac:dyDescent="0.25">
      <c r="A1593" t="s">
        <v>812</v>
      </c>
      <c r="B1593" s="2">
        <v>44972</v>
      </c>
      <c r="C1593" s="2" t="str">
        <f>TEXT(Table3[[#This Row],[Order Date]],"mmmm")</f>
        <v>February</v>
      </c>
      <c r="D1593" t="s">
        <v>3730</v>
      </c>
      <c r="E1593" t="s">
        <v>3225</v>
      </c>
      <c r="F1593" t="s">
        <v>3226</v>
      </c>
      <c r="G1593" s="4">
        <v>42127.82</v>
      </c>
      <c r="H1593" s="4">
        <v>29425.94</v>
      </c>
      <c r="I1593" s="3" t="s">
        <v>3734</v>
      </c>
      <c r="J1593">
        <v>2</v>
      </c>
      <c r="K1593" s="4">
        <f>Table3[[#This Row],[Sales]]-Table3[[#This Row],[Cost]]</f>
        <v>12701.880000000001</v>
      </c>
      <c r="L1593" s="6">
        <f>Table3[[#This Row],[Profit]]/Table3[[#This Row],[Sales]]</f>
        <v>0.30150812455997011</v>
      </c>
    </row>
    <row r="1594" spans="1:12" x14ac:dyDescent="0.25">
      <c r="A1594" t="s">
        <v>1526</v>
      </c>
      <c r="B1594" s="2">
        <v>45005</v>
      </c>
      <c r="C1594" s="2" t="str">
        <f>TEXT(Table3[[#This Row],[Order Date]],"mmmm")</f>
        <v>March</v>
      </c>
      <c r="D1594" t="s">
        <v>3220</v>
      </c>
      <c r="E1594" t="s">
        <v>3223</v>
      </c>
      <c r="F1594" t="s">
        <v>3226</v>
      </c>
      <c r="G1594" s="4">
        <v>35697.54</v>
      </c>
      <c r="H1594" s="4">
        <v>28558.032000000003</v>
      </c>
      <c r="I1594" s="3" t="s">
        <v>3735</v>
      </c>
      <c r="J1594">
        <v>4</v>
      </c>
      <c r="K1594" s="4">
        <f>Table3[[#This Row],[Sales]]-Table3[[#This Row],[Cost]]</f>
        <v>7139.507999999998</v>
      </c>
      <c r="L1594" s="6">
        <f>Table3[[#This Row],[Profit]]/Table3[[#This Row],[Sales]]</f>
        <v>0.19999999999999993</v>
      </c>
    </row>
    <row r="1595" spans="1:12" x14ac:dyDescent="0.25">
      <c r="A1595" t="s">
        <v>1527</v>
      </c>
      <c r="B1595" s="2">
        <v>44941</v>
      </c>
      <c r="C1595" s="2" t="str">
        <f>TEXT(Table3[[#This Row],[Order Date]],"mmmm")</f>
        <v>January</v>
      </c>
      <c r="D1595" t="s">
        <v>3216</v>
      </c>
      <c r="E1595" t="s">
        <v>3225</v>
      </c>
      <c r="F1595" t="s">
        <v>3226</v>
      </c>
      <c r="G1595" s="4">
        <v>95434.22</v>
      </c>
      <c r="H1595" s="4">
        <v>65444.37</v>
      </c>
      <c r="I1595" s="3" t="s">
        <v>3734</v>
      </c>
      <c r="J1595">
        <v>5</v>
      </c>
      <c r="K1595" s="4">
        <f>Table3[[#This Row],[Sales]]-Table3[[#This Row],[Cost]]</f>
        <v>29989.85</v>
      </c>
      <c r="L1595" s="6">
        <f>Table3[[#This Row],[Profit]]/Table3[[#This Row],[Sales]]</f>
        <v>0.31424629446334867</v>
      </c>
    </row>
    <row r="1596" spans="1:12" x14ac:dyDescent="0.25">
      <c r="A1596" t="s">
        <v>1528</v>
      </c>
      <c r="B1596" s="2">
        <v>45021</v>
      </c>
      <c r="C1596" s="2" t="str">
        <f>TEXT(Table3[[#This Row],[Order Date]],"mmmm")</f>
        <v>April</v>
      </c>
      <c r="D1596" t="s">
        <v>3730</v>
      </c>
      <c r="E1596" t="s">
        <v>3223</v>
      </c>
      <c r="F1596" t="s">
        <v>3226</v>
      </c>
      <c r="G1596" s="4">
        <v>26923.93</v>
      </c>
      <c r="H1596" s="4">
        <v>18867.009999999998</v>
      </c>
      <c r="I1596" s="3" t="s">
        <v>3734</v>
      </c>
      <c r="J1596">
        <v>3</v>
      </c>
      <c r="K1596" s="4">
        <f>Table3[[#This Row],[Sales]]-Table3[[#This Row],[Cost]]</f>
        <v>8056.9200000000019</v>
      </c>
      <c r="L1596" s="6">
        <f>Table3[[#This Row],[Profit]]/Table3[[#This Row],[Sales]]</f>
        <v>0.2992475466991632</v>
      </c>
    </row>
    <row r="1597" spans="1:12" x14ac:dyDescent="0.25">
      <c r="A1597" t="s">
        <v>1529</v>
      </c>
      <c r="B1597" s="2">
        <v>44941</v>
      </c>
      <c r="C1597" s="2" t="str">
        <f>TEXT(Table3[[#This Row],[Order Date]],"mmmm")</f>
        <v>January</v>
      </c>
      <c r="D1597" t="s">
        <v>3730</v>
      </c>
      <c r="E1597" t="s">
        <v>3224</v>
      </c>
      <c r="F1597" t="s">
        <v>3226</v>
      </c>
      <c r="G1597" s="4">
        <v>213032.49</v>
      </c>
      <c r="H1597" s="4">
        <v>140847.56</v>
      </c>
      <c r="I1597" s="3" t="s">
        <v>3734</v>
      </c>
      <c r="J1597">
        <v>3</v>
      </c>
      <c r="K1597" s="4">
        <f>Table3[[#This Row],[Sales]]-Table3[[#This Row],[Cost]]</f>
        <v>72184.929999999993</v>
      </c>
      <c r="L1597" s="6">
        <f>Table3[[#This Row],[Profit]]/Table3[[#This Row],[Sales]]</f>
        <v>0.33884469922874205</v>
      </c>
    </row>
    <row r="1598" spans="1:12" x14ac:dyDescent="0.25">
      <c r="A1598" t="s">
        <v>1530</v>
      </c>
      <c r="B1598" s="2" t="s">
        <v>3729</v>
      </c>
      <c r="C1598" s="2" t="str">
        <f>TEXT(Table3[[#This Row],[Order Date]],"mmmm")</f>
        <v>Not Mentioned</v>
      </c>
      <c r="D1598" t="s">
        <v>3731</v>
      </c>
      <c r="E1598" t="s">
        <v>3222</v>
      </c>
      <c r="F1598" t="s">
        <v>3226</v>
      </c>
      <c r="G1598" s="4">
        <v>15347.95</v>
      </c>
      <c r="H1598" s="4">
        <v>10815.44</v>
      </c>
      <c r="I1598" s="3" t="s">
        <v>3734</v>
      </c>
      <c r="J1598">
        <v>1</v>
      </c>
      <c r="K1598" s="4">
        <f>Table3[[#This Row],[Sales]]-Table3[[#This Row],[Cost]]</f>
        <v>4532.51</v>
      </c>
      <c r="L1598" s="6">
        <f>Table3[[#This Row],[Profit]]/Table3[[#This Row],[Sales]]</f>
        <v>0.295316964154822</v>
      </c>
    </row>
    <row r="1599" spans="1:12" x14ac:dyDescent="0.25">
      <c r="A1599" t="s">
        <v>3353</v>
      </c>
      <c r="B1599" s="2">
        <v>44941</v>
      </c>
      <c r="C1599" s="2" t="str">
        <f>TEXT(Table3[[#This Row],[Order Date]],"mmmm")</f>
        <v>January</v>
      </c>
      <c r="D1599" t="s">
        <v>3220</v>
      </c>
      <c r="E1599" t="s">
        <v>3224</v>
      </c>
      <c r="F1599" t="s">
        <v>3226</v>
      </c>
      <c r="G1599" s="4">
        <v>222216.62</v>
      </c>
      <c r="H1599" s="4">
        <v>197347.6</v>
      </c>
      <c r="I1599" s="3" t="s">
        <v>3734</v>
      </c>
      <c r="J1599">
        <v>4</v>
      </c>
      <c r="K1599" s="4">
        <f>Table3[[#This Row],[Sales]]-Table3[[#This Row],[Cost]]</f>
        <v>24869.01999999999</v>
      </c>
      <c r="L1599" s="6">
        <f>Table3[[#This Row],[Profit]]/Table3[[#This Row],[Sales]]</f>
        <v>0.11191341133709977</v>
      </c>
    </row>
    <row r="1600" spans="1:12" x14ac:dyDescent="0.25">
      <c r="A1600" t="s">
        <v>1531</v>
      </c>
      <c r="B1600" s="2">
        <v>45021</v>
      </c>
      <c r="C1600" s="2" t="str">
        <f>TEXT(Table3[[#This Row],[Order Date]],"mmmm")</f>
        <v>April</v>
      </c>
      <c r="D1600" t="s">
        <v>3220</v>
      </c>
      <c r="E1600" t="s">
        <v>3223</v>
      </c>
      <c r="F1600" t="s">
        <v>3226</v>
      </c>
      <c r="G1600" s="4">
        <v>57809.33</v>
      </c>
      <c r="H1600" s="4">
        <v>33547.32</v>
      </c>
      <c r="I1600" s="3" t="s">
        <v>3734</v>
      </c>
      <c r="J1600">
        <v>5</v>
      </c>
      <c r="K1600" s="4">
        <f>Table3[[#This Row],[Sales]]-Table3[[#This Row],[Cost]]</f>
        <v>24262.010000000002</v>
      </c>
      <c r="L1600" s="6">
        <f>Table3[[#This Row],[Profit]]/Table3[[#This Row],[Sales]]</f>
        <v>0.41969021263522688</v>
      </c>
    </row>
    <row r="1601" spans="1:12" x14ac:dyDescent="0.25">
      <c r="A1601" t="s">
        <v>1532</v>
      </c>
      <c r="B1601" s="2">
        <v>45021</v>
      </c>
      <c r="C1601" s="2" t="str">
        <f>TEXT(Table3[[#This Row],[Order Date]],"mmmm")</f>
        <v>April</v>
      </c>
      <c r="D1601" t="s">
        <v>3220</v>
      </c>
      <c r="E1601" t="s">
        <v>3225</v>
      </c>
      <c r="F1601" t="s">
        <v>3226</v>
      </c>
      <c r="G1601" s="4">
        <v>75476.66</v>
      </c>
      <c r="H1601" s="4">
        <v>58098.27</v>
      </c>
      <c r="I1601" s="3" t="s">
        <v>3734</v>
      </c>
      <c r="J1601">
        <v>4</v>
      </c>
      <c r="K1601" s="4">
        <f>Table3[[#This Row],[Sales]]-Table3[[#This Row],[Cost]]</f>
        <v>17378.390000000007</v>
      </c>
      <c r="L1601" s="6">
        <f>Table3[[#This Row],[Profit]]/Table3[[#This Row],[Sales]]</f>
        <v>0.23024852981040769</v>
      </c>
    </row>
    <row r="1602" spans="1:12" x14ac:dyDescent="0.25">
      <c r="A1602" t="s">
        <v>1533</v>
      </c>
      <c r="B1602" s="2">
        <v>44941</v>
      </c>
      <c r="C1602" s="2" t="str">
        <f>TEXT(Table3[[#This Row],[Order Date]],"mmmm")</f>
        <v>January</v>
      </c>
      <c r="D1602" t="s">
        <v>3730</v>
      </c>
      <c r="E1602" t="s">
        <v>3224</v>
      </c>
      <c r="F1602" t="s">
        <v>3226</v>
      </c>
      <c r="G1602" s="4">
        <v>264604.31</v>
      </c>
      <c r="H1602" s="4">
        <v>171599.07</v>
      </c>
      <c r="I1602" s="3" t="s">
        <v>3734</v>
      </c>
      <c r="J1602">
        <v>4</v>
      </c>
      <c r="K1602" s="4">
        <f>Table3[[#This Row],[Sales]]-Table3[[#This Row],[Cost]]</f>
        <v>93005.239999999991</v>
      </c>
      <c r="L1602" s="6">
        <f>Table3[[#This Row],[Profit]]/Table3[[#This Row],[Sales]]</f>
        <v>0.35148800108358019</v>
      </c>
    </row>
    <row r="1603" spans="1:12" x14ac:dyDescent="0.25">
      <c r="A1603" t="s">
        <v>3498</v>
      </c>
      <c r="B1603" s="2">
        <v>45005</v>
      </c>
      <c r="C1603" s="2" t="str">
        <f>TEXT(Table3[[#This Row],[Order Date]],"mmmm")</f>
        <v>March</v>
      </c>
      <c r="D1603" t="s">
        <v>3220</v>
      </c>
      <c r="E1603" t="s">
        <v>3225</v>
      </c>
      <c r="F1603" t="s">
        <v>3226</v>
      </c>
      <c r="G1603" s="4">
        <v>97159.8</v>
      </c>
      <c r="H1603" s="4">
        <v>61636.97</v>
      </c>
      <c r="I1603" s="3" t="s">
        <v>3734</v>
      </c>
      <c r="J1603">
        <v>5</v>
      </c>
      <c r="K1603" s="4">
        <f>Table3[[#This Row],[Sales]]-Table3[[#This Row],[Cost]]</f>
        <v>35522.83</v>
      </c>
      <c r="L1603" s="6">
        <f>Table3[[#This Row],[Profit]]/Table3[[#This Row],[Sales]]</f>
        <v>0.36561242406839045</v>
      </c>
    </row>
    <row r="1604" spans="1:12" x14ac:dyDescent="0.25">
      <c r="A1604" t="s">
        <v>1535</v>
      </c>
      <c r="B1604" s="2">
        <v>45021</v>
      </c>
      <c r="C1604" s="2" t="str">
        <f>TEXT(Table3[[#This Row],[Order Date]],"mmmm")</f>
        <v>April</v>
      </c>
      <c r="D1604" t="s">
        <v>3220</v>
      </c>
      <c r="E1604" t="s">
        <v>3225</v>
      </c>
      <c r="F1604" t="s">
        <v>3226</v>
      </c>
      <c r="G1604" s="4">
        <v>62154.13</v>
      </c>
      <c r="H1604" s="4">
        <v>37136.14</v>
      </c>
      <c r="I1604" s="3" t="s">
        <v>3734</v>
      </c>
      <c r="J1604">
        <v>3</v>
      </c>
      <c r="K1604" s="4">
        <f>Table3[[#This Row],[Sales]]-Table3[[#This Row],[Cost]]</f>
        <v>25017.989999999998</v>
      </c>
      <c r="L1604" s="6">
        <f>Table3[[#This Row],[Profit]]/Table3[[#This Row],[Sales]]</f>
        <v>0.40251532762183301</v>
      </c>
    </row>
    <row r="1605" spans="1:12" x14ac:dyDescent="0.25">
      <c r="A1605" t="s">
        <v>1537</v>
      </c>
      <c r="B1605" s="2" t="s">
        <v>3729</v>
      </c>
      <c r="C1605" s="2" t="str">
        <f>TEXT(Table3[[#This Row],[Order Date]],"mmmm")</f>
        <v>Not Mentioned</v>
      </c>
      <c r="D1605" t="s">
        <v>3220</v>
      </c>
      <c r="E1605" t="s">
        <v>3225</v>
      </c>
      <c r="F1605" t="s">
        <v>3226</v>
      </c>
      <c r="G1605" s="4">
        <v>23202.22</v>
      </c>
      <c r="H1605" s="4">
        <v>13028.24</v>
      </c>
      <c r="I1605" s="3" t="s">
        <v>3734</v>
      </c>
      <c r="J1605">
        <v>1</v>
      </c>
      <c r="K1605" s="4">
        <f>Table3[[#This Row],[Sales]]-Table3[[#This Row],[Cost]]</f>
        <v>10173.980000000001</v>
      </c>
      <c r="L1605" s="6">
        <f>Table3[[#This Row],[Profit]]/Table3[[#This Row],[Sales]]</f>
        <v>0.43849166157376324</v>
      </c>
    </row>
    <row r="1606" spans="1:12" x14ac:dyDescent="0.25">
      <c r="A1606" t="s">
        <v>1538</v>
      </c>
      <c r="B1606" s="2">
        <v>45021</v>
      </c>
      <c r="C1606" s="2" t="str">
        <f>TEXT(Table3[[#This Row],[Order Date]],"mmmm")</f>
        <v>April</v>
      </c>
      <c r="D1606" t="s">
        <v>3220</v>
      </c>
      <c r="E1606" t="s">
        <v>3222</v>
      </c>
      <c r="F1606" t="s">
        <v>3226</v>
      </c>
      <c r="G1606" s="4">
        <v>49767.07</v>
      </c>
      <c r="H1606" s="4">
        <v>28539.43</v>
      </c>
      <c r="I1606" s="3" t="s">
        <v>3734</v>
      </c>
      <c r="J1606">
        <v>3</v>
      </c>
      <c r="K1606" s="4">
        <f>Table3[[#This Row],[Sales]]-Table3[[#This Row],[Cost]]</f>
        <v>21227.64</v>
      </c>
      <c r="L1606" s="6">
        <f>Table3[[#This Row],[Profit]]/Table3[[#This Row],[Sales]]</f>
        <v>0.4265398786788131</v>
      </c>
    </row>
    <row r="1607" spans="1:12" x14ac:dyDescent="0.25">
      <c r="A1607" t="s">
        <v>569</v>
      </c>
      <c r="B1607" s="2">
        <v>45021</v>
      </c>
      <c r="C1607" s="2" t="str">
        <f>TEXT(Table3[[#This Row],[Order Date]],"mmmm")</f>
        <v>April</v>
      </c>
      <c r="D1607" t="s">
        <v>3730</v>
      </c>
      <c r="E1607" t="s">
        <v>3225</v>
      </c>
      <c r="F1607" t="s">
        <v>3226</v>
      </c>
      <c r="G1607" s="4">
        <v>49534.99</v>
      </c>
      <c r="H1607" s="4">
        <v>41340.639999999999</v>
      </c>
      <c r="I1607" s="3" t="s">
        <v>3734</v>
      </c>
      <c r="J1607">
        <v>3</v>
      </c>
      <c r="K1607" s="4">
        <f>Table3[[#This Row],[Sales]]-Table3[[#This Row],[Cost]]</f>
        <v>8194.3499999999985</v>
      </c>
      <c r="L1607" s="6">
        <f>Table3[[#This Row],[Profit]]/Table3[[#This Row],[Sales]]</f>
        <v>0.16542549014343191</v>
      </c>
    </row>
    <row r="1608" spans="1:12" x14ac:dyDescent="0.25">
      <c r="A1608" t="s">
        <v>3485</v>
      </c>
      <c r="B1608" s="2">
        <v>44972</v>
      </c>
      <c r="C1608" s="2" t="str">
        <f>TEXT(Table3[[#This Row],[Order Date]],"mmmm")</f>
        <v>February</v>
      </c>
      <c r="D1608" t="s">
        <v>3220</v>
      </c>
      <c r="E1608" t="s">
        <v>3223</v>
      </c>
      <c r="F1608" t="s">
        <v>3226</v>
      </c>
      <c r="G1608" s="4">
        <v>53223.09</v>
      </c>
      <c r="H1608" s="4">
        <v>35836.370000000003</v>
      </c>
      <c r="I1608" s="3" t="s">
        <v>3734</v>
      </c>
      <c r="J1608">
        <v>5</v>
      </c>
      <c r="K1608" s="4">
        <f>Table3[[#This Row],[Sales]]-Table3[[#This Row],[Cost]]</f>
        <v>17386.719999999994</v>
      </c>
      <c r="L1608" s="6">
        <f>Table3[[#This Row],[Profit]]/Table3[[#This Row],[Sales]]</f>
        <v>0.32667626024719715</v>
      </c>
    </row>
    <row r="1609" spans="1:12" x14ac:dyDescent="0.25">
      <c r="A1609" t="s">
        <v>1539</v>
      </c>
      <c r="B1609" s="2">
        <v>45021</v>
      </c>
      <c r="C1609" s="2" t="str">
        <f>TEXT(Table3[[#This Row],[Order Date]],"mmmm")</f>
        <v>April</v>
      </c>
      <c r="D1609" t="s">
        <v>3730</v>
      </c>
      <c r="E1609" t="s">
        <v>3224</v>
      </c>
      <c r="F1609" t="s">
        <v>3226</v>
      </c>
      <c r="G1609" s="4">
        <v>282028.06</v>
      </c>
      <c r="H1609" s="4">
        <v>190200.88</v>
      </c>
      <c r="I1609" s="3" t="s">
        <v>3734</v>
      </c>
      <c r="J1609">
        <v>4</v>
      </c>
      <c r="K1609" s="4">
        <f>Table3[[#This Row],[Sales]]-Table3[[#This Row],[Cost]]</f>
        <v>91827.18</v>
      </c>
      <c r="L1609" s="6">
        <f>Table3[[#This Row],[Profit]]/Table3[[#This Row],[Sales]]</f>
        <v>0.32559589992570243</v>
      </c>
    </row>
    <row r="1610" spans="1:12" x14ac:dyDescent="0.25">
      <c r="A1610" t="s">
        <v>1540</v>
      </c>
      <c r="B1610" s="2">
        <v>45102</v>
      </c>
      <c r="C1610" s="2" t="str">
        <f>TEXT(Table3[[#This Row],[Order Date]],"mmmm")</f>
        <v>June</v>
      </c>
      <c r="D1610" t="s">
        <v>3216</v>
      </c>
      <c r="E1610" t="s">
        <v>3222</v>
      </c>
      <c r="F1610" t="s">
        <v>3226</v>
      </c>
      <c r="G1610" s="4">
        <v>53793.440000000002</v>
      </c>
      <c r="H1610" s="4">
        <v>30560.97</v>
      </c>
      <c r="I1610" s="3" t="s">
        <v>3734</v>
      </c>
      <c r="J1610">
        <v>3</v>
      </c>
      <c r="K1610" s="4">
        <f>Table3[[#This Row],[Sales]]-Table3[[#This Row],[Cost]]</f>
        <v>23232.47</v>
      </c>
      <c r="L1610" s="6">
        <f>Table3[[#This Row],[Profit]]/Table3[[#This Row],[Sales]]</f>
        <v>0.43188295821944089</v>
      </c>
    </row>
    <row r="1611" spans="1:12" x14ac:dyDescent="0.25">
      <c r="A1611" t="s">
        <v>1541</v>
      </c>
      <c r="B1611" s="2" t="s">
        <v>3729</v>
      </c>
      <c r="C1611" s="2" t="str">
        <f>TEXT(Table3[[#This Row],[Order Date]],"mmmm")</f>
        <v>Not Mentioned</v>
      </c>
      <c r="D1611" t="s">
        <v>3730</v>
      </c>
      <c r="E1611" t="s">
        <v>3225</v>
      </c>
      <c r="F1611" t="s">
        <v>3226</v>
      </c>
      <c r="G1611" s="4">
        <v>71183.38</v>
      </c>
      <c r="H1611" s="4">
        <v>48558.34</v>
      </c>
      <c r="I1611" s="3" t="s">
        <v>3734</v>
      </c>
      <c r="J1611">
        <v>4</v>
      </c>
      <c r="K1611" s="4">
        <f>Table3[[#This Row],[Sales]]-Table3[[#This Row],[Cost]]</f>
        <v>22625.040000000008</v>
      </c>
      <c r="L1611" s="6">
        <f>Table3[[#This Row],[Profit]]/Table3[[#This Row],[Sales]]</f>
        <v>0.31784160853277837</v>
      </c>
    </row>
    <row r="1612" spans="1:12" x14ac:dyDescent="0.25">
      <c r="A1612" t="s">
        <v>1542</v>
      </c>
      <c r="B1612" s="2">
        <v>45005</v>
      </c>
      <c r="C1612" s="2" t="str">
        <f>TEXT(Table3[[#This Row],[Order Date]],"mmmm")</f>
        <v>March</v>
      </c>
      <c r="D1612" t="s">
        <v>3220</v>
      </c>
      <c r="E1612" t="s">
        <v>3223</v>
      </c>
      <c r="F1612" t="s">
        <v>3226</v>
      </c>
      <c r="G1612" s="4">
        <v>16131.02</v>
      </c>
      <c r="H1612" s="4">
        <v>14851.56</v>
      </c>
      <c r="I1612" s="3" t="s">
        <v>3734</v>
      </c>
      <c r="J1612">
        <v>2</v>
      </c>
      <c r="K1612" s="4">
        <f>Table3[[#This Row],[Sales]]-Table3[[#This Row],[Cost]]</f>
        <v>1279.4600000000009</v>
      </c>
      <c r="L1612" s="6">
        <f>Table3[[#This Row],[Profit]]/Table3[[#This Row],[Sales]]</f>
        <v>7.9316745004345726E-2</v>
      </c>
    </row>
    <row r="1613" spans="1:12" x14ac:dyDescent="0.25">
      <c r="A1613" t="s">
        <v>3499</v>
      </c>
      <c r="B1613" s="2">
        <v>44972</v>
      </c>
      <c r="C1613" s="2" t="str">
        <f>TEXT(Table3[[#This Row],[Order Date]],"mmmm")</f>
        <v>February</v>
      </c>
      <c r="D1613" t="s">
        <v>3220</v>
      </c>
      <c r="E1613" t="s">
        <v>3222</v>
      </c>
      <c r="F1613" t="s">
        <v>3226</v>
      </c>
      <c r="G1613" s="4">
        <v>58362.42</v>
      </c>
      <c r="H1613" s="4">
        <v>37822.559999999998</v>
      </c>
      <c r="I1613" s="3" t="s">
        <v>3734</v>
      </c>
      <c r="J1613">
        <v>4</v>
      </c>
      <c r="K1613" s="4">
        <f>Table3[[#This Row],[Sales]]-Table3[[#This Row],[Cost]]</f>
        <v>20539.86</v>
      </c>
      <c r="L1613" s="6">
        <f>Table3[[#This Row],[Profit]]/Table3[[#This Row],[Sales]]</f>
        <v>0.35193640016983535</v>
      </c>
    </row>
    <row r="1614" spans="1:12" x14ac:dyDescent="0.25">
      <c r="A1614" t="s">
        <v>1544</v>
      </c>
      <c r="B1614" s="2">
        <v>45005</v>
      </c>
      <c r="C1614" s="2" t="str">
        <f>TEXT(Table3[[#This Row],[Order Date]],"mmmm")</f>
        <v>March</v>
      </c>
      <c r="D1614" t="s">
        <v>3220</v>
      </c>
      <c r="E1614" t="s">
        <v>3223</v>
      </c>
      <c r="F1614" t="s">
        <v>3226</v>
      </c>
      <c r="G1614" s="4">
        <v>8388.2199999999993</v>
      </c>
      <c r="H1614" s="4">
        <v>6707.16</v>
      </c>
      <c r="I1614" s="3" t="s">
        <v>3734</v>
      </c>
      <c r="J1614">
        <v>1</v>
      </c>
      <c r="K1614" s="4">
        <f>Table3[[#This Row],[Sales]]-Table3[[#This Row],[Cost]]</f>
        <v>1681.0599999999995</v>
      </c>
      <c r="L1614" s="6">
        <f>Table3[[#This Row],[Profit]]/Table3[[#This Row],[Sales]]</f>
        <v>0.20040723776915717</v>
      </c>
    </row>
    <row r="1615" spans="1:12" x14ac:dyDescent="0.25">
      <c r="A1615" t="s">
        <v>312</v>
      </c>
      <c r="B1615" s="2" t="s">
        <v>3729</v>
      </c>
      <c r="C1615" s="2" t="str">
        <f>TEXT(Table3[[#This Row],[Order Date]],"mmmm")</f>
        <v>Not Mentioned</v>
      </c>
      <c r="D1615" t="s">
        <v>3216</v>
      </c>
      <c r="E1615" t="s">
        <v>3223</v>
      </c>
      <c r="F1615" t="s">
        <v>3226</v>
      </c>
      <c r="G1615" s="4">
        <v>48543.62</v>
      </c>
      <c r="H1615" s="4">
        <v>31841.47</v>
      </c>
      <c r="I1615" s="3" t="s">
        <v>3734</v>
      </c>
      <c r="J1615">
        <v>5</v>
      </c>
      <c r="K1615" s="4">
        <f>Table3[[#This Row],[Sales]]-Table3[[#This Row],[Cost]]</f>
        <v>16702.150000000001</v>
      </c>
      <c r="L1615" s="6">
        <f>Table3[[#This Row],[Profit]]/Table3[[#This Row],[Sales]]</f>
        <v>0.34406478132450774</v>
      </c>
    </row>
    <row r="1616" spans="1:12" x14ac:dyDescent="0.25">
      <c r="A1616" t="s">
        <v>3421</v>
      </c>
      <c r="B1616" s="2">
        <v>45005</v>
      </c>
      <c r="C1616" s="2" t="str">
        <f>TEXT(Table3[[#This Row],[Order Date]],"mmmm")</f>
        <v>March</v>
      </c>
      <c r="D1616" t="s">
        <v>3216</v>
      </c>
      <c r="E1616" t="s">
        <v>3225</v>
      </c>
      <c r="F1616" t="s">
        <v>3226</v>
      </c>
      <c r="G1616" s="4">
        <v>62949.03</v>
      </c>
      <c r="H1616" s="4">
        <v>38425.949999999997</v>
      </c>
      <c r="I1616" s="3" t="s">
        <v>3734</v>
      </c>
      <c r="J1616">
        <v>3</v>
      </c>
      <c r="K1616" s="4">
        <f>Table3[[#This Row],[Sales]]-Table3[[#This Row],[Cost]]</f>
        <v>24523.08</v>
      </c>
      <c r="L1616" s="6">
        <f>Table3[[#This Row],[Profit]]/Table3[[#This Row],[Sales]]</f>
        <v>0.38957041911527474</v>
      </c>
    </row>
    <row r="1617" spans="1:12" x14ac:dyDescent="0.25">
      <c r="A1617" t="s">
        <v>1545</v>
      </c>
      <c r="B1617" s="2">
        <v>45005</v>
      </c>
      <c r="C1617" s="2" t="str">
        <f>TEXT(Table3[[#This Row],[Order Date]],"mmmm")</f>
        <v>March</v>
      </c>
      <c r="D1617" t="s">
        <v>3220</v>
      </c>
      <c r="E1617" t="s">
        <v>3222</v>
      </c>
      <c r="F1617" t="s">
        <v>3226</v>
      </c>
      <c r="G1617" s="4">
        <v>61306.93</v>
      </c>
      <c r="H1617" s="4">
        <v>40319.33</v>
      </c>
      <c r="I1617" s="3" t="s">
        <v>3734</v>
      </c>
      <c r="J1617">
        <v>4</v>
      </c>
      <c r="K1617" s="4">
        <f>Table3[[#This Row],[Sales]]-Table3[[#This Row],[Cost]]</f>
        <v>20987.599999999999</v>
      </c>
      <c r="L1617" s="6">
        <f>Table3[[#This Row],[Profit]]/Table3[[#This Row],[Sales]]</f>
        <v>0.3423365025780935</v>
      </c>
    </row>
    <row r="1618" spans="1:12" x14ac:dyDescent="0.25">
      <c r="A1618" t="s">
        <v>3499</v>
      </c>
      <c r="B1618" s="2">
        <v>44972</v>
      </c>
      <c r="C1618" s="2" t="str">
        <f>TEXT(Table3[[#This Row],[Order Date]],"mmmm")</f>
        <v>February</v>
      </c>
      <c r="D1618" t="s">
        <v>3220</v>
      </c>
      <c r="E1618" t="s">
        <v>3225</v>
      </c>
      <c r="F1618" t="s">
        <v>3226</v>
      </c>
      <c r="G1618" s="4">
        <v>20623.259999999998</v>
      </c>
      <c r="H1618" s="4">
        <v>11961.23</v>
      </c>
      <c r="I1618" s="3" t="s">
        <v>3734</v>
      </c>
      <c r="J1618">
        <v>1</v>
      </c>
      <c r="K1618" s="4">
        <f>Table3[[#This Row],[Sales]]-Table3[[#This Row],[Cost]]</f>
        <v>8662.0299999999988</v>
      </c>
      <c r="L1618" s="6">
        <f>Table3[[#This Row],[Profit]]/Table3[[#This Row],[Sales]]</f>
        <v>0.42001264591534021</v>
      </c>
    </row>
    <row r="1619" spans="1:12" x14ac:dyDescent="0.25">
      <c r="A1619" t="s">
        <v>1546</v>
      </c>
      <c r="B1619" s="2">
        <v>44941</v>
      </c>
      <c r="C1619" s="2" t="str">
        <f>TEXT(Table3[[#This Row],[Order Date]],"mmmm")</f>
        <v>January</v>
      </c>
      <c r="D1619" t="s">
        <v>3731</v>
      </c>
      <c r="E1619" t="s">
        <v>3223</v>
      </c>
      <c r="F1619" t="s">
        <v>3226</v>
      </c>
      <c r="G1619" s="4">
        <v>42423.62</v>
      </c>
      <c r="H1619" s="4">
        <v>27416.73</v>
      </c>
      <c r="I1619" s="3" t="s">
        <v>3734</v>
      </c>
      <c r="J1619">
        <v>4</v>
      </c>
      <c r="K1619" s="4">
        <f>Table3[[#This Row],[Sales]]-Table3[[#This Row],[Cost]]</f>
        <v>15006.890000000003</v>
      </c>
      <c r="L1619" s="6">
        <f>Table3[[#This Row],[Profit]]/Table3[[#This Row],[Sales]]</f>
        <v>0.35373902557113235</v>
      </c>
    </row>
    <row r="1620" spans="1:12" x14ac:dyDescent="0.25">
      <c r="A1620" t="s">
        <v>1356</v>
      </c>
      <c r="B1620" s="2">
        <v>44972</v>
      </c>
      <c r="C1620" s="2" t="str">
        <f>TEXT(Table3[[#This Row],[Order Date]],"mmmm")</f>
        <v>February</v>
      </c>
      <c r="D1620" t="s">
        <v>3731</v>
      </c>
      <c r="E1620" t="s">
        <v>3224</v>
      </c>
      <c r="F1620" t="s">
        <v>3226</v>
      </c>
      <c r="G1620" s="4">
        <v>142256.98000000001</v>
      </c>
      <c r="H1620" s="4">
        <v>97802.77</v>
      </c>
      <c r="I1620" s="3" t="s">
        <v>3734</v>
      </c>
      <c r="J1620">
        <v>2</v>
      </c>
      <c r="K1620" s="4">
        <f>Table3[[#This Row],[Sales]]-Table3[[#This Row],[Cost]]</f>
        <v>44454.210000000006</v>
      </c>
      <c r="L1620" s="6">
        <f>Table3[[#This Row],[Profit]]/Table3[[#This Row],[Sales]]</f>
        <v>0.3124922938754921</v>
      </c>
    </row>
    <row r="1621" spans="1:12" x14ac:dyDescent="0.25">
      <c r="A1621" t="s">
        <v>1547</v>
      </c>
      <c r="B1621" s="2">
        <v>45005</v>
      </c>
      <c r="C1621" s="2" t="str">
        <f>TEXT(Table3[[#This Row],[Order Date]],"mmmm")</f>
        <v>March</v>
      </c>
      <c r="D1621" t="s">
        <v>3220</v>
      </c>
      <c r="E1621" t="s">
        <v>3224</v>
      </c>
      <c r="F1621" t="s">
        <v>3226</v>
      </c>
      <c r="G1621" s="4">
        <v>151512.12</v>
      </c>
      <c r="H1621" s="4">
        <v>114798.38</v>
      </c>
      <c r="I1621" s="3" t="s">
        <v>3734</v>
      </c>
      <c r="J1621">
        <v>3</v>
      </c>
      <c r="K1621" s="4">
        <f>Table3[[#This Row],[Sales]]-Table3[[#This Row],[Cost]]</f>
        <v>36713.739999999991</v>
      </c>
      <c r="L1621" s="6">
        <f>Table3[[#This Row],[Profit]]/Table3[[#This Row],[Sales]]</f>
        <v>0.24231553224916919</v>
      </c>
    </row>
    <row r="1622" spans="1:12" x14ac:dyDescent="0.25">
      <c r="A1622" t="s">
        <v>1548</v>
      </c>
      <c r="B1622" s="2">
        <v>45102</v>
      </c>
      <c r="C1622" s="2" t="str">
        <f>TEXT(Table3[[#This Row],[Order Date]],"mmmm")</f>
        <v>June</v>
      </c>
      <c r="D1622" t="s">
        <v>3220</v>
      </c>
      <c r="E1622" t="s">
        <v>3225</v>
      </c>
      <c r="F1622" t="s">
        <v>3226</v>
      </c>
      <c r="G1622" s="4">
        <v>92984.69</v>
      </c>
      <c r="H1622" s="4">
        <v>62698.54</v>
      </c>
      <c r="I1622" s="3" t="s">
        <v>3734</v>
      </c>
      <c r="J1622">
        <v>5</v>
      </c>
      <c r="K1622" s="4">
        <f>Table3[[#This Row],[Sales]]-Table3[[#This Row],[Cost]]</f>
        <v>30286.15</v>
      </c>
      <c r="L1622" s="6">
        <f>Table3[[#This Row],[Profit]]/Table3[[#This Row],[Sales]]</f>
        <v>0.32571114664145251</v>
      </c>
    </row>
    <row r="1623" spans="1:12" x14ac:dyDescent="0.25">
      <c r="A1623" t="s">
        <v>1550</v>
      </c>
      <c r="B1623" s="2">
        <v>45021</v>
      </c>
      <c r="C1623" s="2" t="str">
        <f>TEXT(Table3[[#This Row],[Order Date]],"mmmm")</f>
        <v>April</v>
      </c>
      <c r="D1623" t="s">
        <v>3731</v>
      </c>
      <c r="E1623" t="s">
        <v>3223</v>
      </c>
      <c r="F1623" t="s">
        <v>3226</v>
      </c>
      <c r="G1623" s="4">
        <v>27250.63</v>
      </c>
      <c r="H1623" s="4">
        <v>18077.560000000001</v>
      </c>
      <c r="I1623" s="3" t="s">
        <v>3734</v>
      </c>
      <c r="J1623">
        <v>3</v>
      </c>
      <c r="K1623" s="4">
        <f>Table3[[#This Row],[Sales]]-Table3[[#This Row],[Cost]]</f>
        <v>9173.07</v>
      </c>
      <c r="L1623" s="6">
        <f>Table3[[#This Row],[Profit]]/Table3[[#This Row],[Sales]]</f>
        <v>0.33661863964245964</v>
      </c>
    </row>
    <row r="1624" spans="1:12" x14ac:dyDescent="0.25">
      <c r="A1624" t="s">
        <v>508</v>
      </c>
      <c r="B1624" s="2">
        <v>45005</v>
      </c>
      <c r="C1624" s="2" t="str">
        <f>TEXT(Table3[[#This Row],[Order Date]],"mmmm")</f>
        <v>March</v>
      </c>
      <c r="D1624" t="s">
        <v>3730</v>
      </c>
      <c r="E1624" t="s">
        <v>3223</v>
      </c>
      <c r="F1624" t="s">
        <v>3226</v>
      </c>
      <c r="G1624" s="4">
        <v>35849.480000000003</v>
      </c>
      <c r="H1624" s="4">
        <v>21551.360000000001</v>
      </c>
      <c r="I1624" s="3" t="s">
        <v>3734</v>
      </c>
      <c r="J1624" t="s">
        <v>3732</v>
      </c>
      <c r="K1624" s="4">
        <f>Table3[[#This Row],[Sales]]-Table3[[#This Row],[Cost]]</f>
        <v>14298.120000000003</v>
      </c>
      <c r="L1624" s="6">
        <f>Table3[[#This Row],[Profit]]/Table3[[#This Row],[Sales]]</f>
        <v>0.39883758425505755</v>
      </c>
    </row>
    <row r="1625" spans="1:12" x14ac:dyDescent="0.25">
      <c r="A1625" t="s">
        <v>1551</v>
      </c>
      <c r="B1625" s="2">
        <v>45005</v>
      </c>
      <c r="C1625" s="2" t="str">
        <f>TEXT(Table3[[#This Row],[Order Date]],"mmmm")</f>
        <v>March</v>
      </c>
      <c r="D1625" t="s">
        <v>3220</v>
      </c>
      <c r="E1625" t="s">
        <v>3222</v>
      </c>
      <c r="F1625" t="s">
        <v>3226</v>
      </c>
      <c r="G1625" s="4">
        <v>15610.59</v>
      </c>
      <c r="H1625" s="4">
        <v>10996.62</v>
      </c>
      <c r="I1625" s="3" t="s">
        <v>3734</v>
      </c>
      <c r="J1625">
        <v>1</v>
      </c>
      <c r="K1625" s="4">
        <f>Table3[[#This Row],[Sales]]-Table3[[#This Row],[Cost]]</f>
        <v>4613.9699999999993</v>
      </c>
      <c r="L1625" s="6">
        <f>Table3[[#This Row],[Profit]]/Table3[[#This Row],[Sales]]</f>
        <v>0.29556666339965365</v>
      </c>
    </row>
    <row r="1626" spans="1:12" x14ac:dyDescent="0.25">
      <c r="A1626" t="s">
        <v>869</v>
      </c>
      <c r="B1626" s="2">
        <v>45005</v>
      </c>
      <c r="C1626" s="2" t="str">
        <f>TEXT(Table3[[#This Row],[Order Date]],"mmmm")</f>
        <v>March</v>
      </c>
      <c r="D1626" t="s">
        <v>3731</v>
      </c>
      <c r="E1626" t="s">
        <v>3225</v>
      </c>
      <c r="F1626" t="s">
        <v>3226</v>
      </c>
      <c r="G1626" s="4">
        <v>70842.73</v>
      </c>
      <c r="H1626" s="4">
        <v>55605.34</v>
      </c>
      <c r="I1626" s="3" t="s">
        <v>3734</v>
      </c>
      <c r="J1626">
        <v>4</v>
      </c>
      <c r="K1626" s="4">
        <f>Table3[[#This Row],[Sales]]-Table3[[#This Row],[Cost]]</f>
        <v>15237.39</v>
      </c>
      <c r="L1626" s="6">
        <f>Table3[[#This Row],[Profit]]/Table3[[#This Row],[Sales]]</f>
        <v>0.21508756085486824</v>
      </c>
    </row>
    <row r="1627" spans="1:12" x14ac:dyDescent="0.25">
      <c r="A1627" t="s">
        <v>1552</v>
      </c>
      <c r="B1627" s="2">
        <v>44972</v>
      </c>
      <c r="C1627" s="2" t="str">
        <f>TEXT(Table3[[#This Row],[Order Date]],"mmmm")</f>
        <v>February</v>
      </c>
      <c r="D1627" t="s">
        <v>3220</v>
      </c>
      <c r="E1627" t="s">
        <v>3223</v>
      </c>
      <c r="F1627" t="s">
        <v>3226</v>
      </c>
      <c r="G1627" s="4">
        <v>29799.82</v>
      </c>
      <c r="H1627" s="4">
        <v>20863.21</v>
      </c>
      <c r="I1627" s="3" t="s">
        <v>3734</v>
      </c>
      <c r="J1627">
        <v>3</v>
      </c>
      <c r="K1627" s="4">
        <f>Table3[[#This Row],[Sales]]-Table3[[#This Row],[Cost]]</f>
        <v>8936.61</v>
      </c>
      <c r="L1627" s="6">
        <f>Table3[[#This Row],[Profit]]/Table3[[#This Row],[Sales]]</f>
        <v>0.29988805301508537</v>
      </c>
    </row>
    <row r="1628" spans="1:12" x14ac:dyDescent="0.25">
      <c r="A1628" t="s">
        <v>1553</v>
      </c>
      <c r="B1628" s="2">
        <v>44941</v>
      </c>
      <c r="C1628" s="2" t="str">
        <f>TEXT(Table3[[#This Row],[Order Date]],"mmmm")</f>
        <v>January</v>
      </c>
      <c r="D1628" t="s">
        <v>3216</v>
      </c>
      <c r="E1628" t="s">
        <v>3225</v>
      </c>
      <c r="F1628" t="s">
        <v>3226</v>
      </c>
      <c r="G1628" s="4">
        <v>33535.61</v>
      </c>
      <c r="H1628" s="4">
        <v>26569.32</v>
      </c>
      <c r="I1628" s="3" t="s">
        <v>3734</v>
      </c>
      <c r="J1628">
        <v>2</v>
      </c>
      <c r="K1628" s="4">
        <f>Table3[[#This Row],[Sales]]-Table3[[#This Row],[Cost]]</f>
        <v>6966.2900000000009</v>
      </c>
      <c r="L1628" s="6">
        <f>Table3[[#This Row],[Profit]]/Table3[[#This Row],[Sales]]</f>
        <v>0.2077281433079643</v>
      </c>
    </row>
    <row r="1629" spans="1:12" x14ac:dyDescent="0.25">
      <c r="A1629" t="s">
        <v>3500</v>
      </c>
      <c r="B1629" s="2">
        <v>45102</v>
      </c>
      <c r="C1629" s="2" t="str">
        <f>TEXT(Table3[[#This Row],[Order Date]],"mmmm")</f>
        <v>June</v>
      </c>
      <c r="D1629" t="s">
        <v>3731</v>
      </c>
      <c r="E1629" t="s">
        <v>3224</v>
      </c>
      <c r="F1629" t="s">
        <v>3226</v>
      </c>
      <c r="G1629" s="4">
        <v>125765.26</v>
      </c>
      <c r="H1629" s="4">
        <v>89914.34</v>
      </c>
      <c r="I1629" s="3" t="s">
        <v>3734</v>
      </c>
      <c r="J1629">
        <v>2</v>
      </c>
      <c r="K1629" s="4">
        <f>Table3[[#This Row],[Sales]]-Table3[[#This Row],[Cost]]</f>
        <v>35850.92</v>
      </c>
      <c r="L1629" s="6">
        <f>Table3[[#This Row],[Profit]]/Table3[[#This Row],[Sales]]</f>
        <v>0.28506218648933734</v>
      </c>
    </row>
    <row r="1630" spans="1:12" x14ac:dyDescent="0.25">
      <c r="A1630" t="s">
        <v>1555</v>
      </c>
      <c r="B1630" s="2">
        <v>44972</v>
      </c>
      <c r="C1630" s="2" t="str">
        <f>TEXT(Table3[[#This Row],[Order Date]],"mmmm")</f>
        <v>February</v>
      </c>
      <c r="D1630" t="s">
        <v>3730</v>
      </c>
      <c r="E1630" t="s">
        <v>3224</v>
      </c>
      <c r="F1630" t="s">
        <v>3226</v>
      </c>
      <c r="G1630" s="4">
        <v>125582.77</v>
      </c>
      <c r="H1630" s="4">
        <v>80331.86</v>
      </c>
      <c r="I1630" s="3" t="s">
        <v>3734</v>
      </c>
      <c r="J1630">
        <v>2</v>
      </c>
      <c r="K1630" s="4">
        <f>Table3[[#This Row],[Sales]]-Table3[[#This Row],[Cost]]</f>
        <v>45250.91</v>
      </c>
      <c r="L1630" s="6">
        <f>Table3[[#This Row],[Profit]]/Table3[[#This Row],[Sales]]</f>
        <v>0.3603273761201477</v>
      </c>
    </row>
    <row r="1631" spans="1:12" x14ac:dyDescent="0.25">
      <c r="A1631" t="s">
        <v>1556</v>
      </c>
      <c r="B1631" s="2">
        <v>45005</v>
      </c>
      <c r="C1631" s="2" t="str">
        <f>TEXT(Table3[[#This Row],[Order Date]],"mmmm")</f>
        <v>March</v>
      </c>
      <c r="D1631" t="s">
        <v>3220</v>
      </c>
      <c r="E1631" t="s">
        <v>3225</v>
      </c>
      <c r="F1631" t="s">
        <v>3226</v>
      </c>
      <c r="G1631" s="4">
        <v>63439.78</v>
      </c>
      <c r="H1631" s="4">
        <v>38108.9</v>
      </c>
      <c r="I1631" s="3" t="s">
        <v>3734</v>
      </c>
      <c r="J1631">
        <v>3</v>
      </c>
      <c r="K1631" s="4">
        <f>Table3[[#This Row],[Sales]]-Table3[[#This Row],[Cost]]</f>
        <v>25330.879999999997</v>
      </c>
      <c r="L1631" s="6">
        <f>Table3[[#This Row],[Profit]]/Table3[[#This Row],[Sales]]</f>
        <v>0.39929016147281721</v>
      </c>
    </row>
    <row r="1632" spans="1:12" x14ac:dyDescent="0.25">
      <c r="A1632" t="s">
        <v>1557</v>
      </c>
      <c r="B1632" s="2">
        <v>45021</v>
      </c>
      <c r="C1632" s="2" t="str">
        <f>TEXT(Table3[[#This Row],[Order Date]],"mmmm")</f>
        <v>April</v>
      </c>
      <c r="D1632" t="s">
        <v>3731</v>
      </c>
      <c r="E1632" t="s">
        <v>3225</v>
      </c>
      <c r="F1632" t="s">
        <v>3226</v>
      </c>
      <c r="G1632" s="4">
        <v>21990.71</v>
      </c>
      <c r="H1632" s="4">
        <v>14050.34</v>
      </c>
      <c r="I1632" s="3" t="s">
        <v>3734</v>
      </c>
      <c r="J1632">
        <v>1</v>
      </c>
      <c r="K1632" s="4">
        <f>Table3[[#This Row],[Sales]]-Table3[[#This Row],[Cost]]</f>
        <v>7940.369999999999</v>
      </c>
      <c r="L1632" s="6">
        <f>Table3[[#This Row],[Profit]]/Table3[[#This Row],[Sales]]</f>
        <v>0.36107838264430747</v>
      </c>
    </row>
    <row r="1633" spans="1:12" x14ac:dyDescent="0.25">
      <c r="A1633" t="s">
        <v>901</v>
      </c>
      <c r="B1633" s="2">
        <v>44972</v>
      </c>
      <c r="C1633" s="2" t="str">
        <f>TEXT(Table3[[#This Row],[Order Date]],"mmmm")</f>
        <v>February</v>
      </c>
      <c r="D1633" t="s">
        <v>3730</v>
      </c>
      <c r="E1633" t="s">
        <v>3223</v>
      </c>
      <c r="F1633" t="s">
        <v>3226</v>
      </c>
      <c r="G1633" s="4">
        <v>43501.1</v>
      </c>
      <c r="H1633" s="4">
        <v>24390.74</v>
      </c>
      <c r="I1633" s="3" t="s">
        <v>3734</v>
      </c>
      <c r="J1633">
        <v>4</v>
      </c>
      <c r="K1633" s="4">
        <f>Table3[[#This Row],[Sales]]-Table3[[#This Row],[Cost]]</f>
        <v>19110.359999999997</v>
      </c>
      <c r="L1633" s="6">
        <f>Table3[[#This Row],[Profit]]/Table3[[#This Row],[Sales]]</f>
        <v>0.43930751176407029</v>
      </c>
    </row>
    <row r="1634" spans="1:12" x14ac:dyDescent="0.25">
      <c r="A1634" t="s">
        <v>1558</v>
      </c>
      <c r="B1634" s="2">
        <v>44941</v>
      </c>
      <c r="C1634" s="2" t="str">
        <f>TEXT(Table3[[#This Row],[Order Date]],"mmmm")</f>
        <v>January</v>
      </c>
      <c r="D1634" t="s">
        <v>3730</v>
      </c>
      <c r="E1634" t="s">
        <v>3223</v>
      </c>
      <c r="F1634" t="s">
        <v>3226</v>
      </c>
      <c r="G1634" s="4">
        <v>44513.03</v>
      </c>
      <c r="H1634" s="4">
        <v>25027.25</v>
      </c>
      <c r="I1634" s="3" t="s">
        <v>3734</v>
      </c>
      <c r="J1634">
        <v>4</v>
      </c>
      <c r="K1634" s="4">
        <f>Table3[[#This Row],[Sales]]-Table3[[#This Row],[Cost]]</f>
        <v>19485.78</v>
      </c>
      <c r="L1634" s="6">
        <f>Table3[[#This Row],[Profit]]/Table3[[#This Row],[Sales]]</f>
        <v>0.4377545181714208</v>
      </c>
    </row>
    <row r="1635" spans="1:12" x14ac:dyDescent="0.25">
      <c r="A1635" t="s">
        <v>1559</v>
      </c>
      <c r="B1635" s="2" t="s">
        <v>3729</v>
      </c>
      <c r="C1635" s="2" t="str">
        <f>TEXT(Table3[[#This Row],[Order Date]],"mmmm")</f>
        <v>Not Mentioned</v>
      </c>
      <c r="D1635" t="s">
        <v>3730</v>
      </c>
      <c r="E1635" t="s">
        <v>3225</v>
      </c>
      <c r="F1635" t="s">
        <v>3226</v>
      </c>
      <c r="G1635" s="4">
        <v>16444.38</v>
      </c>
      <c r="H1635" s="4">
        <v>12420.6</v>
      </c>
      <c r="I1635" s="3" t="s">
        <v>3734</v>
      </c>
      <c r="J1635">
        <v>1</v>
      </c>
      <c r="K1635" s="4">
        <f>Table3[[#This Row],[Sales]]-Table3[[#This Row],[Cost]]</f>
        <v>4023.7800000000007</v>
      </c>
      <c r="L1635" s="6">
        <f>Table3[[#This Row],[Profit]]/Table3[[#This Row],[Sales]]</f>
        <v>0.24469028324570463</v>
      </c>
    </row>
    <row r="1636" spans="1:12" x14ac:dyDescent="0.25">
      <c r="A1636" t="s">
        <v>1560</v>
      </c>
      <c r="B1636" s="2">
        <v>45005</v>
      </c>
      <c r="C1636" s="2" t="str">
        <f>TEXT(Table3[[#This Row],[Order Date]],"mmmm")</f>
        <v>March</v>
      </c>
      <c r="D1636" t="s">
        <v>3220</v>
      </c>
      <c r="E1636" t="s">
        <v>3222</v>
      </c>
      <c r="F1636" t="s">
        <v>3226</v>
      </c>
      <c r="G1636" s="4">
        <v>44878.76</v>
      </c>
      <c r="H1636" s="4">
        <v>32371.13</v>
      </c>
      <c r="I1636" s="3" t="s">
        <v>3734</v>
      </c>
      <c r="J1636">
        <v>3</v>
      </c>
      <c r="K1636" s="4">
        <f>Table3[[#This Row],[Sales]]-Table3[[#This Row],[Cost]]</f>
        <v>12507.630000000001</v>
      </c>
      <c r="L1636" s="6">
        <f>Table3[[#This Row],[Profit]]/Table3[[#This Row],[Sales]]</f>
        <v>0.27869820823926511</v>
      </c>
    </row>
    <row r="1637" spans="1:12" x14ac:dyDescent="0.25">
      <c r="A1637" t="s">
        <v>1561</v>
      </c>
      <c r="B1637" s="2">
        <v>45021</v>
      </c>
      <c r="C1637" s="2" t="str">
        <f>TEXT(Table3[[#This Row],[Order Date]],"mmmm")</f>
        <v>April</v>
      </c>
      <c r="D1637" t="s">
        <v>3220</v>
      </c>
      <c r="E1637" t="s">
        <v>3223</v>
      </c>
      <c r="F1637" t="s">
        <v>3226</v>
      </c>
      <c r="G1637" s="4">
        <v>17861</v>
      </c>
      <c r="H1637" s="4">
        <v>14092.73</v>
      </c>
      <c r="I1637" s="3" t="s">
        <v>3734</v>
      </c>
      <c r="J1637">
        <v>2</v>
      </c>
      <c r="K1637" s="4">
        <f>Table3[[#This Row],[Sales]]-Table3[[#This Row],[Cost]]</f>
        <v>3768.2700000000004</v>
      </c>
      <c r="L1637" s="6">
        <f>Table3[[#This Row],[Profit]]/Table3[[#This Row],[Sales]]</f>
        <v>0.21097754884944855</v>
      </c>
    </row>
    <row r="1638" spans="1:12" x14ac:dyDescent="0.25">
      <c r="A1638" t="s">
        <v>1562</v>
      </c>
      <c r="B1638" s="2">
        <v>44972</v>
      </c>
      <c r="C1638" s="2" t="str">
        <f>TEXT(Table3[[#This Row],[Order Date]],"mmmm")</f>
        <v>February</v>
      </c>
      <c r="D1638" t="s">
        <v>3730</v>
      </c>
      <c r="E1638" t="s">
        <v>3224</v>
      </c>
      <c r="F1638" t="s">
        <v>3226</v>
      </c>
      <c r="G1638" s="4">
        <v>258887.14</v>
      </c>
      <c r="H1638" s="4">
        <v>193528.23</v>
      </c>
      <c r="I1638" s="3" t="s">
        <v>3734</v>
      </c>
      <c r="J1638">
        <v>4</v>
      </c>
      <c r="K1638" s="4">
        <f>Table3[[#This Row],[Sales]]-Table3[[#This Row],[Cost]]</f>
        <v>65358.91</v>
      </c>
      <c r="L1638" s="6">
        <f>Table3[[#This Row],[Profit]]/Table3[[#This Row],[Sales]]</f>
        <v>0.25246101447912783</v>
      </c>
    </row>
    <row r="1639" spans="1:12" x14ac:dyDescent="0.25">
      <c r="A1639" t="s">
        <v>3501</v>
      </c>
      <c r="B1639" s="2">
        <v>45005</v>
      </c>
      <c r="C1639" s="2" t="str">
        <f>TEXT(Table3[[#This Row],[Order Date]],"mmmm")</f>
        <v>March</v>
      </c>
      <c r="D1639" t="s">
        <v>3730</v>
      </c>
      <c r="E1639" t="s">
        <v>3225</v>
      </c>
      <c r="F1639" t="s">
        <v>3226</v>
      </c>
      <c r="G1639" s="4">
        <v>52736.19</v>
      </c>
      <c r="H1639" s="4">
        <v>42188.952000000005</v>
      </c>
      <c r="I1639" s="3" t="s">
        <v>3735</v>
      </c>
      <c r="J1639">
        <v>3</v>
      </c>
      <c r="K1639" s="4">
        <f>Table3[[#This Row],[Sales]]-Table3[[#This Row],[Cost]]</f>
        <v>10547.237999999998</v>
      </c>
      <c r="L1639" s="6">
        <f>Table3[[#This Row],[Profit]]/Table3[[#This Row],[Sales]]</f>
        <v>0.19999999999999996</v>
      </c>
    </row>
    <row r="1640" spans="1:12" x14ac:dyDescent="0.25">
      <c r="A1640" t="s">
        <v>1564</v>
      </c>
      <c r="B1640" s="2">
        <v>45102</v>
      </c>
      <c r="C1640" s="2" t="str">
        <f>TEXT(Table3[[#This Row],[Order Date]],"mmmm")</f>
        <v>June</v>
      </c>
      <c r="D1640" t="s">
        <v>3731</v>
      </c>
      <c r="E1640" t="s">
        <v>3224</v>
      </c>
      <c r="F1640" t="s">
        <v>3226</v>
      </c>
      <c r="G1640" s="4">
        <v>170838.2</v>
      </c>
      <c r="H1640" s="4">
        <v>139891.26</v>
      </c>
      <c r="I1640" s="3" t="s">
        <v>3734</v>
      </c>
      <c r="J1640">
        <v>3</v>
      </c>
      <c r="K1640" s="4">
        <f>Table3[[#This Row],[Sales]]-Table3[[#This Row],[Cost]]</f>
        <v>30946.940000000002</v>
      </c>
      <c r="L1640" s="6">
        <f>Table3[[#This Row],[Profit]]/Table3[[#This Row],[Sales]]</f>
        <v>0.18114765901303104</v>
      </c>
    </row>
    <row r="1641" spans="1:12" x14ac:dyDescent="0.25">
      <c r="A1641" t="s">
        <v>1565</v>
      </c>
      <c r="B1641" s="2">
        <v>45005</v>
      </c>
      <c r="C1641" s="2" t="str">
        <f>TEXT(Table3[[#This Row],[Order Date]],"mmmm")</f>
        <v>March</v>
      </c>
      <c r="D1641" t="s">
        <v>3730</v>
      </c>
      <c r="E1641" t="s">
        <v>3224</v>
      </c>
      <c r="F1641" t="s">
        <v>3226</v>
      </c>
      <c r="G1641" s="4">
        <v>303401.36</v>
      </c>
      <c r="H1641" s="4">
        <v>236450.68</v>
      </c>
      <c r="I1641" s="3" t="s">
        <v>3734</v>
      </c>
      <c r="J1641">
        <v>5</v>
      </c>
      <c r="K1641" s="4">
        <f>Table3[[#This Row],[Sales]]-Table3[[#This Row],[Cost]]</f>
        <v>66950.679999999993</v>
      </c>
      <c r="L1641" s="6">
        <f>Table3[[#This Row],[Profit]]/Table3[[#This Row],[Sales]]</f>
        <v>0.22066703985769873</v>
      </c>
    </row>
    <row r="1642" spans="1:12" x14ac:dyDescent="0.25">
      <c r="A1642" t="s">
        <v>1566</v>
      </c>
      <c r="B1642" s="2">
        <v>45021</v>
      </c>
      <c r="C1642" s="2" t="str">
        <f>TEXT(Table3[[#This Row],[Order Date]],"mmmm")</f>
        <v>April</v>
      </c>
      <c r="D1642" t="s">
        <v>3220</v>
      </c>
      <c r="E1642" t="s">
        <v>3222</v>
      </c>
      <c r="F1642" t="s">
        <v>3226</v>
      </c>
      <c r="G1642" s="4">
        <v>65050.080000000002</v>
      </c>
      <c r="H1642" s="4">
        <v>34913.49</v>
      </c>
      <c r="I1642" s="3" t="s">
        <v>3734</v>
      </c>
      <c r="J1642">
        <v>4</v>
      </c>
      <c r="K1642" s="4">
        <f>Table3[[#This Row],[Sales]]-Table3[[#This Row],[Cost]]</f>
        <v>30136.590000000004</v>
      </c>
      <c r="L1642" s="6">
        <f>Table3[[#This Row],[Profit]]/Table3[[#This Row],[Sales]]</f>
        <v>0.46328290449450643</v>
      </c>
    </row>
    <row r="1643" spans="1:12" x14ac:dyDescent="0.25">
      <c r="A1643" t="s">
        <v>1567</v>
      </c>
      <c r="B1643" s="2">
        <v>45102</v>
      </c>
      <c r="C1643" s="2" t="str">
        <f>TEXT(Table3[[#This Row],[Order Date]],"mmmm")</f>
        <v>June</v>
      </c>
      <c r="D1643" t="s">
        <v>3220</v>
      </c>
      <c r="E1643" t="s">
        <v>3223</v>
      </c>
      <c r="F1643" t="s">
        <v>3226</v>
      </c>
      <c r="G1643" s="4">
        <v>9553.75</v>
      </c>
      <c r="H1643" s="4">
        <v>7643</v>
      </c>
      <c r="I1643" s="3" t="s">
        <v>3735</v>
      </c>
      <c r="J1643">
        <v>1</v>
      </c>
      <c r="K1643" s="4">
        <f>Table3[[#This Row],[Sales]]-Table3[[#This Row],[Cost]]</f>
        <v>1910.75</v>
      </c>
      <c r="L1643" s="6">
        <f>Table3[[#This Row],[Profit]]/Table3[[#This Row],[Sales]]</f>
        <v>0.2</v>
      </c>
    </row>
    <row r="1644" spans="1:12" x14ac:dyDescent="0.25">
      <c r="A1644" t="s">
        <v>3502</v>
      </c>
      <c r="B1644" s="2">
        <v>45021</v>
      </c>
      <c r="C1644" s="2" t="str">
        <f>TEXT(Table3[[#This Row],[Order Date]],"mmmm")</f>
        <v>April</v>
      </c>
      <c r="D1644" t="s">
        <v>3730</v>
      </c>
      <c r="E1644" t="s">
        <v>3225</v>
      </c>
      <c r="F1644" t="s">
        <v>3226</v>
      </c>
      <c r="G1644" s="4">
        <v>68581.119999999995</v>
      </c>
      <c r="H1644" s="4">
        <v>41098.79</v>
      </c>
      <c r="I1644" s="3" t="s">
        <v>3734</v>
      </c>
      <c r="J1644">
        <v>3</v>
      </c>
      <c r="K1644" s="4">
        <f>Table3[[#This Row],[Sales]]-Table3[[#This Row],[Cost]]</f>
        <v>27482.329999999994</v>
      </c>
      <c r="L1644" s="6">
        <f>Table3[[#This Row],[Profit]]/Table3[[#This Row],[Sales]]</f>
        <v>0.4007273430355176</v>
      </c>
    </row>
    <row r="1645" spans="1:12" x14ac:dyDescent="0.25">
      <c r="A1645" t="s">
        <v>1569</v>
      </c>
      <c r="B1645" s="2">
        <v>44972</v>
      </c>
      <c r="C1645" s="2" t="str">
        <f>TEXT(Table3[[#This Row],[Order Date]],"mmmm")</f>
        <v>February</v>
      </c>
      <c r="D1645" t="s">
        <v>3220</v>
      </c>
      <c r="E1645" t="s">
        <v>3224</v>
      </c>
      <c r="F1645" t="s">
        <v>3226</v>
      </c>
      <c r="G1645" s="4">
        <v>124063.67999999999</v>
      </c>
      <c r="H1645" s="4">
        <v>77999.97</v>
      </c>
      <c r="I1645" s="3" t="s">
        <v>3734</v>
      </c>
      <c r="J1645">
        <v>2</v>
      </c>
      <c r="K1645" s="4">
        <f>Table3[[#This Row],[Sales]]-Table3[[#This Row],[Cost]]</f>
        <v>46063.709999999992</v>
      </c>
      <c r="L1645" s="6">
        <f>Table3[[#This Row],[Profit]]/Table3[[#This Row],[Sales]]</f>
        <v>0.37129085643759718</v>
      </c>
    </row>
    <row r="1646" spans="1:12" x14ac:dyDescent="0.25">
      <c r="A1646" t="s">
        <v>1570</v>
      </c>
      <c r="B1646" s="2">
        <v>45021</v>
      </c>
      <c r="C1646" s="2" t="str">
        <f>TEXT(Table3[[#This Row],[Order Date]],"mmmm")</f>
        <v>April</v>
      </c>
      <c r="D1646" t="s">
        <v>3731</v>
      </c>
      <c r="E1646" t="s">
        <v>3222</v>
      </c>
      <c r="F1646" t="s">
        <v>3226</v>
      </c>
      <c r="G1646" s="4">
        <v>64481.2</v>
      </c>
      <c r="H1646" s="4">
        <v>43058.61</v>
      </c>
      <c r="I1646" s="3" t="s">
        <v>3734</v>
      </c>
      <c r="J1646" t="s">
        <v>3732</v>
      </c>
      <c r="K1646" s="4">
        <f>Table3[[#This Row],[Sales]]-Table3[[#This Row],[Cost]]</f>
        <v>21422.589999999997</v>
      </c>
      <c r="L1646" s="6">
        <f>Table3[[#This Row],[Profit]]/Table3[[#This Row],[Sales]]</f>
        <v>0.33223001432975807</v>
      </c>
    </row>
    <row r="1647" spans="1:12" x14ac:dyDescent="0.25">
      <c r="A1647" t="s">
        <v>3503</v>
      </c>
      <c r="B1647" s="2">
        <v>44972</v>
      </c>
      <c r="C1647" s="2" t="str">
        <f>TEXT(Table3[[#This Row],[Order Date]],"mmmm")</f>
        <v>February</v>
      </c>
      <c r="D1647" t="s">
        <v>3216</v>
      </c>
      <c r="E1647" t="s">
        <v>3225</v>
      </c>
      <c r="F1647" t="s">
        <v>3226</v>
      </c>
      <c r="G1647" s="4">
        <v>17651.54</v>
      </c>
      <c r="H1647" s="4">
        <v>13746.04</v>
      </c>
      <c r="I1647" s="3" t="s">
        <v>3734</v>
      </c>
      <c r="J1647">
        <v>1</v>
      </c>
      <c r="K1647" s="4">
        <f>Table3[[#This Row],[Sales]]-Table3[[#This Row],[Cost]]</f>
        <v>3905.5</v>
      </c>
      <c r="L1647" s="6">
        <f>Table3[[#This Row],[Profit]]/Table3[[#This Row],[Sales]]</f>
        <v>0.22125548252447094</v>
      </c>
    </row>
    <row r="1648" spans="1:12" x14ac:dyDescent="0.25">
      <c r="A1648" t="s">
        <v>3504</v>
      </c>
      <c r="B1648" s="2">
        <v>45021</v>
      </c>
      <c r="C1648" s="2" t="str">
        <f>TEXT(Table3[[#This Row],[Order Date]],"mmmm")</f>
        <v>April</v>
      </c>
      <c r="D1648" t="s">
        <v>3730</v>
      </c>
      <c r="E1648" t="s">
        <v>3222</v>
      </c>
      <c r="F1648" t="s">
        <v>3226</v>
      </c>
      <c r="G1648" s="4">
        <v>69787.83</v>
      </c>
      <c r="H1648" s="4">
        <v>36816.5</v>
      </c>
      <c r="I1648" s="3" t="s">
        <v>3734</v>
      </c>
      <c r="J1648">
        <v>4</v>
      </c>
      <c r="K1648" s="4">
        <f>Table3[[#This Row],[Sales]]-Table3[[#This Row],[Cost]]</f>
        <v>32971.33</v>
      </c>
      <c r="L1648" s="6">
        <f>Table3[[#This Row],[Profit]]/Table3[[#This Row],[Sales]]</f>
        <v>0.47245099897790205</v>
      </c>
    </row>
    <row r="1649" spans="1:12" x14ac:dyDescent="0.25">
      <c r="A1649" t="s">
        <v>3505</v>
      </c>
      <c r="B1649" s="2" t="s">
        <v>3729</v>
      </c>
      <c r="C1649" s="2" t="str">
        <f>TEXT(Table3[[#This Row],[Order Date]],"mmmm")</f>
        <v>Not Mentioned</v>
      </c>
      <c r="D1649" t="s">
        <v>3220</v>
      </c>
      <c r="E1649" t="s">
        <v>3222</v>
      </c>
      <c r="F1649" t="s">
        <v>3226</v>
      </c>
      <c r="G1649" s="4">
        <v>55437.65</v>
      </c>
      <c r="H1649" s="4">
        <v>44350.12</v>
      </c>
      <c r="I1649" s="3" t="s">
        <v>3735</v>
      </c>
      <c r="J1649">
        <v>4</v>
      </c>
      <c r="K1649" s="4">
        <f>Table3[[#This Row],[Sales]]-Table3[[#This Row],[Cost]]</f>
        <v>11087.529999999999</v>
      </c>
      <c r="L1649" s="6">
        <f>Table3[[#This Row],[Profit]]/Table3[[#This Row],[Sales]]</f>
        <v>0.19999999999999998</v>
      </c>
    </row>
    <row r="1650" spans="1:12" x14ac:dyDescent="0.25">
      <c r="A1650" t="s">
        <v>1266</v>
      </c>
      <c r="B1650" s="2">
        <v>45005</v>
      </c>
      <c r="C1650" s="2" t="str">
        <f>TEXT(Table3[[#This Row],[Order Date]],"mmmm")</f>
        <v>March</v>
      </c>
      <c r="D1650" t="s">
        <v>3220</v>
      </c>
      <c r="E1650" t="s">
        <v>3224</v>
      </c>
      <c r="F1650" t="s">
        <v>3226</v>
      </c>
      <c r="G1650" s="4">
        <v>69529.38</v>
      </c>
      <c r="H1650" s="4">
        <v>38442.620000000003</v>
      </c>
      <c r="I1650" s="3" t="s">
        <v>3734</v>
      </c>
      <c r="J1650">
        <v>1</v>
      </c>
      <c r="K1650" s="4">
        <f>Table3[[#This Row],[Sales]]-Table3[[#This Row],[Cost]]</f>
        <v>31086.760000000002</v>
      </c>
      <c r="L1650" s="6">
        <f>Table3[[#This Row],[Profit]]/Table3[[#This Row],[Sales]]</f>
        <v>0.44710250544446101</v>
      </c>
    </row>
    <row r="1651" spans="1:12" x14ac:dyDescent="0.25">
      <c r="A1651" t="s">
        <v>1574</v>
      </c>
      <c r="B1651" s="2">
        <v>44941</v>
      </c>
      <c r="C1651" s="2" t="str">
        <f>TEXT(Table3[[#This Row],[Order Date]],"mmmm")</f>
        <v>January</v>
      </c>
      <c r="D1651" t="s">
        <v>3731</v>
      </c>
      <c r="E1651" t="s">
        <v>3224</v>
      </c>
      <c r="F1651" t="s">
        <v>3226</v>
      </c>
      <c r="G1651" s="4">
        <v>169070.33</v>
      </c>
      <c r="H1651" s="4">
        <v>118170.07</v>
      </c>
      <c r="I1651" s="3" t="s">
        <v>3734</v>
      </c>
      <c r="J1651">
        <v>3</v>
      </c>
      <c r="K1651" s="4">
        <f>Table3[[#This Row],[Sales]]-Table3[[#This Row],[Cost]]</f>
        <v>50900.25999999998</v>
      </c>
      <c r="L1651" s="6">
        <f>Table3[[#This Row],[Profit]]/Table3[[#This Row],[Sales]]</f>
        <v>0.30105968326908678</v>
      </c>
    </row>
    <row r="1652" spans="1:12" x14ac:dyDescent="0.25">
      <c r="A1652" t="s">
        <v>1575</v>
      </c>
      <c r="B1652" s="2">
        <v>45005</v>
      </c>
      <c r="C1652" s="2" t="str">
        <f>TEXT(Table3[[#This Row],[Order Date]],"mmmm")</f>
        <v>March</v>
      </c>
      <c r="D1652" t="s">
        <v>3731</v>
      </c>
      <c r="E1652" t="s">
        <v>3225</v>
      </c>
      <c r="F1652" t="s">
        <v>3226</v>
      </c>
      <c r="G1652" s="4">
        <v>49088.91</v>
      </c>
      <c r="H1652" s="4">
        <v>39271.128000000004</v>
      </c>
      <c r="I1652" s="3" t="s">
        <v>3735</v>
      </c>
      <c r="J1652">
        <v>3</v>
      </c>
      <c r="K1652" s="4">
        <f>Table3[[#This Row],[Sales]]-Table3[[#This Row],[Cost]]</f>
        <v>9817.7819999999992</v>
      </c>
      <c r="L1652" s="6">
        <f>Table3[[#This Row],[Profit]]/Table3[[#This Row],[Sales]]</f>
        <v>0.19999999999999998</v>
      </c>
    </row>
    <row r="1653" spans="1:12" x14ac:dyDescent="0.25">
      <c r="A1653" t="s">
        <v>1218</v>
      </c>
      <c r="B1653" s="2">
        <v>45102</v>
      </c>
      <c r="C1653" s="2" t="str">
        <f>TEXT(Table3[[#This Row],[Order Date]],"mmmm")</f>
        <v>June</v>
      </c>
      <c r="D1653" t="s">
        <v>3731</v>
      </c>
      <c r="E1653" t="s">
        <v>3223</v>
      </c>
      <c r="F1653" t="s">
        <v>3226</v>
      </c>
      <c r="G1653" s="4">
        <v>33461.94</v>
      </c>
      <c r="H1653" s="4">
        <v>26828.3</v>
      </c>
      <c r="I1653" s="3" t="s">
        <v>3734</v>
      </c>
      <c r="J1653">
        <v>4</v>
      </c>
      <c r="K1653" s="4">
        <f>Table3[[#This Row],[Sales]]-Table3[[#This Row],[Cost]]</f>
        <v>6633.6400000000031</v>
      </c>
      <c r="L1653" s="6">
        <f>Table3[[#This Row],[Profit]]/Table3[[#This Row],[Sales]]</f>
        <v>0.19824433371167369</v>
      </c>
    </row>
    <row r="1654" spans="1:12" x14ac:dyDescent="0.25">
      <c r="A1654" t="s">
        <v>1184</v>
      </c>
      <c r="B1654" s="2">
        <v>44972</v>
      </c>
      <c r="C1654" s="2" t="str">
        <f>TEXT(Table3[[#This Row],[Order Date]],"mmmm")</f>
        <v>February</v>
      </c>
      <c r="D1654" t="s">
        <v>3220</v>
      </c>
      <c r="E1654" t="s">
        <v>3224</v>
      </c>
      <c r="F1654" t="s">
        <v>3226</v>
      </c>
      <c r="G1654" s="4">
        <v>163673.01999999999</v>
      </c>
      <c r="H1654" s="4">
        <v>124321.60000000001</v>
      </c>
      <c r="I1654" s="3" t="s">
        <v>3734</v>
      </c>
      <c r="J1654">
        <v>3</v>
      </c>
      <c r="K1654" s="4">
        <f>Table3[[#This Row],[Sales]]-Table3[[#This Row],[Cost]]</f>
        <v>39351.419999999984</v>
      </c>
      <c r="L1654" s="6">
        <f>Table3[[#This Row],[Profit]]/Table3[[#This Row],[Sales]]</f>
        <v>0.24042704167125398</v>
      </c>
    </row>
    <row r="1655" spans="1:12" x14ac:dyDescent="0.25">
      <c r="A1655" t="s">
        <v>817</v>
      </c>
      <c r="B1655" s="2">
        <v>45005</v>
      </c>
      <c r="C1655" s="2" t="str">
        <f>TEXT(Table3[[#This Row],[Order Date]],"mmmm")</f>
        <v>March</v>
      </c>
      <c r="D1655" t="s">
        <v>3730</v>
      </c>
      <c r="E1655" t="s">
        <v>3224</v>
      </c>
      <c r="F1655" t="s">
        <v>3226</v>
      </c>
      <c r="G1655" s="4">
        <v>251432.5</v>
      </c>
      <c r="H1655" s="4">
        <v>179300.2</v>
      </c>
      <c r="I1655" s="3" t="s">
        <v>3734</v>
      </c>
      <c r="J1655">
        <v>4</v>
      </c>
      <c r="K1655" s="4">
        <f>Table3[[#This Row],[Sales]]-Table3[[#This Row],[Cost]]</f>
        <v>72132.299999999988</v>
      </c>
      <c r="L1655" s="6">
        <f>Table3[[#This Row],[Profit]]/Table3[[#This Row],[Sales]]</f>
        <v>0.28688534696190821</v>
      </c>
    </row>
    <row r="1656" spans="1:12" x14ac:dyDescent="0.25">
      <c r="A1656" t="s">
        <v>114</v>
      </c>
      <c r="B1656" s="2">
        <v>45021</v>
      </c>
      <c r="C1656" s="2" t="str">
        <f>TEXT(Table3[[#This Row],[Order Date]],"mmmm")</f>
        <v>April</v>
      </c>
      <c r="D1656" t="s">
        <v>3731</v>
      </c>
      <c r="E1656" t="s">
        <v>3225</v>
      </c>
      <c r="F1656" t="s">
        <v>3226</v>
      </c>
      <c r="G1656" s="4">
        <v>42915.62</v>
      </c>
      <c r="H1656" s="4">
        <v>30565.040000000001</v>
      </c>
      <c r="I1656" s="3" t="s">
        <v>3734</v>
      </c>
      <c r="J1656">
        <v>2</v>
      </c>
      <c r="K1656" s="4">
        <f>Table3[[#This Row],[Sales]]-Table3[[#This Row],[Cost]]</f>
        <v>12350.580000000002</v>
      </c>
      <c r="L1656" s="6">
        <f>Table3[[#This Row],[Profit]]/Table3[[#This Row],[Sales]]</f>
        <v>0.28778752351707843</v>
      </c>
    </row>
    <row r="1657" spans="1:12" x14ac:dyDescent="0.25">
      <c r="A1657" t="s">
        <v>1576</v>
      </c>
      <c r="B1657" s="2">
        <v>45005</v>
      </c>
      <c r="C1657" s="2" t="str">
        <f>TEXT(Table3[[#This Row],[Order Date]],"mmmm")</f>
        <v>March</v>
      </c>
      <c r="D1657" t="s">
        <v>3730</v>
      </c>
      <c r="E1657" t="s">
        <v>3223</v>
      </c>
      <c r="F1657" t="s">
        <v>3226</v>
      </c>
      <c r="G1657" s="4">
        <v>30182.61</v>
      </c>
      <c r="H1657" s="4">
        <v>24146.088000000003</v>
      </c>
      <c r="I1657" s="3" t="s">
        <v>3735</v>
      </c>
      <c r="J1657">
        <v>3</v>
      </c>
      <c r="K1657" s="4">
        <f>Table3[[#This Row],[Sales]]-Table3[[#This Row],[Cost]]</f>
        <v>6036.5219999999972</v>
      </c>
      <c r="L1657" s="6">
        <f>Table3[[#This Row],[Profit]]/Table3[[#This Row],[Sales]]</f>
        <v>0.1999999999999999</v>
      </c>
    </row>
    <row r="1658" spans="1:12" x14ac:dyDescent="0.25">
      <c r="A1658" t="s">
        <v>1577</v>
      </c>
      <c r="B1658" s="2">
        <v>44941</v>
      </c>
      <c r="C1658" s="2" t="str">
        <f>TEXT(Table3[[#This Row],[Order Date]],"mmmm")</f>
        <v>January</v>
      </c>
      <c r="D1658" t="s">
        <v>3220</v>
      </c>
      <c r="E1658" t="s">
        <v>3222</v>
      </c>
      <c r="F1658" t="s">
        <v>3226</v>
      </c>
      <c r="G1658" s="4">
        <v>32724.15</v>
      </c>
      <c r="H1658" s="4">
        <v>19125.34</v>
      </c>
      <c r="I1658" s="3" t="s">
        <v>3734</v>
      </c>
      <c r="J1658">
        <v>2</v>
      </c>
      <c r="K1658" s="4">
        <f>Table3[[#This Row],[Sales]]-Table3[[#This Row],[Cost]]</f>
        <v>13598.810000000001</v>
      </c>
      <c r="L1658" s="6">
        <f>Table3[[#This Row],[Profit]]/Table3[[#This Row],[Sales]]</f>
        <v>0.41555884568430351</v>
      </c>
    </row>
    <row r="1659" spans="1:12" x14ac:dyDescent="0.25">
      <c r="A1659" t="s">
        <v>1578</v>
      </c>
      <c r="B1659" s="2" t="s">
        <v>3729</v>
      </c>
      <c r="C1659" s="2" t="str">
        <f>TEXT(Table3[[#This Row],[Order Date]],"mmmm")</f>
        <v>Not Mentioned</v>
      </c>
      <c r="D1659" t="s">
        <v>3730</v>
      </c>
      <c r="E1659" t="s">
        <v>3223</v>
      </c>
      <c r="F1659" t="s">
        <v>3226</v>
      </c>
      <c r="G1659" s="4">
        <v>19000.330000000002</v>
      </c>
      <c r="H1659" s="4">
        <v>13190.53</v>
      </c>
      <c r="I1659" s="3" t="s">
        <v>3734</v>
      </c>
      <c r="J1659">
        <v>2</v>
      </c>
      <c r="K1659" s="4">
        <f>Table3[[#This Row],[Sales]]-Table3[[#This Row],[Cost]]</f>
        <v>5809.8000000000011</v>
      </c>
      <c r="L1659" s="6">
        <f>Table3[[#This Row],[Profit]]/Table3[[#This Row],[Sales]]</f>
        <v>0.30577363656315448</v>
      </c>
    </row>
    <row r="1660" spans="1:12" x14ac:dyDescent="0.25">
      <c r="A1660" t="s">
        <v>1579</v>
      </c>
      <c r="B1660" s="2">
        <v>44972</v>
      </c>
      <c r="C1660" s="2" t="str">
        <f>TEXT(Table3[[#This Row],[Order Date]],"mmmm")</f>
        <v>February</v>
      </c>
      <c r="D1660" t="s">
        <v>3216</v>
      </c>
      <c r="E1660" t="s">
        <v>3222</v>
      </c>
      <c r="F1660" t="s">
        <v>3226</v>
      </c>
      <c r="G1660" s="4">
        <v>51231.81</v>
      </c>
      <c r="H1660" s="4">
        <v>41672.160000000003</v>
      </c>
      <c r="I1660" s="3" t="s">
        <v>3734</v>
      </c>
      <c r="J1660">
        <v>4</v>
      </c>
      <c r="K1660" s="4">
        <f>Table3[[#This Row],[Sales]]-Table3[[#This Row],[Cost]]</f>
        <v>9559.6499999999942</v>
      </c>
      <c r="L1660" s="6">
        <f>Table3[[#This Row],[Profit]]/Table3[[#This Row],[Sales]]</f>
        <v>0.18659598401852276</v>
      </c>
    </row>
    <row r="1661" spans="1:12" x14ac:dyDescent="0.25">
      <c r="A1661" t="s">
        <v>1580</v>
      </c>
      <c r="B1661" s="2">
        <v>45021</v>
      </c>
      <c r="C1661" s="2" t="str">
        <f>TEXT(Table3[[#This Row],[Order Date]],"mmmm")</f>
        <v>April</v>
      </c>
      <c r="D1661" t="s">
        <v>3731</v>
      </c>
      <c r="E1661" t="s">
        <v>3224</v>
      </c>
      <c r="F1661" t="s">
        <v>3226</v>
      </c>
      <c r="G1661" s="4">
        <v>142666.63</v>
      </c>
      <c r="H1661" s="4">
        <v>98510.03</v>
      </c>
      <c r="I1661" s="3" t="s">
        <v>3734</v>
      </c>
      <c r="J1661">
        <v>2</v>
      </c>
      <c r="K1661" s="4">
        <f>Table3[[#This Row],[Sales]]-Table3[[#This Row],[Cost]]</f>
        <v>44156.600000000006</v>
      </c>
      <c r="L1661" s="6">
        <f>Table3[[#This Row],[Profit]]/Table3[[#This Row],[Sales]]</f>
        <v>0.30950895805136774</v>
      </c>
    </row>
    <row r="1662" spans="1:12" x14ac:dyDescent="0.25">
      <c r="A1662" t="s">
        <v>1581</v>
      </c>
      <c r="B1662" s="2" t="s">
        <v>3729</v>
      </c>
      <c r="C1662" s="2" t="str">
        <f>TEXT(Table3[[#This Row],[Order Date]],"mmmm")</f>
        <v>Not Mentioned</v>
      </c>
      <c r="D1662" t="s">
        <v>3730</v>
      </c>
      <c r="E1662" t="s">
        <v>3224</v>
      </c>
      <c r="F1662" t="s">
        <v>3226</v>
      </c>
      <c r="G1662" s="4">
        <v>135709.29</v>
      </c>
      <c r="H1662" s="4">
        <v>91921.65</v>
      </c>
      <c r="I1662" s="3" t="s">
        <v>3734</v>
      </c>
      <c r="J1662">
        <v>2</v>
      </c>
      <c r="K1662" s="4">
        <f>Table3[[#This Row],[Sales]]-Table3[[#This Row],[Cost]]</f>
        <v>43787.640000000014</v>
      </c>
      <c r="L1662" s="6">
        <f>Table3[[#This Row],[Profit]]/Table3[[#This Row],[Sales]]</f>
        <v>0.32265764561880778</v>
      </c>
    </row>
    <row r="1663" spans="1:12" x14ac:dyDescent="0.25">
      <c r="A1663" t="s">
        <v>3506</v>
      </c>
      <c r="B1663" s="2">
        <v>44972</v>
      </c>
      <c r="C1663" s="2" t="str">
        <f>TEXT(Table3[[#This Row],[Order Date]],"mmmm")</f>
        <v>February</v>
      </c>
      <c r="D1663" t="s">
        <v>3730</v>
      </c>
      <c r="E1663" t="s">
        <v>3223</v>
      </c>
      <c r="F1663" t="s">
        <v>3226</v>
      </c>
      <c r="G1663" s="4">
        <v>43308.83</v>
      </c>
      <c r="H1663" s="4">
        <v>35430.410000000003</v>
      </c>
      <c r="I1663" s="3" t="s">
        <v>3734</v>
      </c>
      <c r="J1663">
        <v>5</v>
      </c>
      <c r="K1663" s="4">
        <f>Table3[[#This Row],[Sales]]-Table3[[#This Row],[Cost]]</f>
        <v>7878.4199999999983</v>
      </c>
      <c r="L1663" s="6">
        <f>Table3[[#This Row],[Profit]]/Table3[[#This Row],[Sales]]</f>
        <v>0.18191255686196089</v>
      </c>
    </row>
    <row r="1664" spans="1:12" x14ac:dyDescent="0.25">
      <c r="A1664" t="s">
        <v>1583</v>
      </c>
      <c r="B1664" s="2">
        <v>45021</v>
      </c>
      <c r="C1664" s="2" t="str">
        <f>TEXT(Table3[[#This Row],[Order Date]],"mmmm")</f>
        <v>April</v>
      </c>
      <c r="D1664" t="s">
        <v>3730</v>
      </c>
      <c r="E1664" t="s">
        <v>3224</v>
      </c>
      <c r="F1664" t="s">
        <v>3226</v>
      </c>
      <c r="G1664" s="4">
        <v>240904.93</v>
      </c>
      <c r="H1664" s="4">
        <v>207936.97</v>
      </c>
      <c r="I1664" s="3" t="s">
        <v>3734</v>
      </c>
      <c r="J1664">
        <v>5</v>
      </c>
      <c r="K1664" s="4">
        <f>Table3[[#This Row],[Sales]]-Table3[[#This Row],[Cost]]</f>
        <v>32967.959999999992</v>
      </c>
      <c r="L1664" s="6">
        <f>Table3[[#This Row],[Profit]]/Table3[[#This Row],[Sales]]</f>
        <v>0.1368504994895704</v>
      </c>
    </row>
    <row r="1665" spans="1:12" x14ac:dyDescent="0.25">
      <c r="A1665" t="s">
        <v>3504</v>
      </c>
      <c r="B1665" s="2">
        <v>45005</v>
      </c>
      <c r="C1665" s="2" t="str">
        <f>TEXT(Table3[[#This Row],[Order Date]],"mmmm")</f>
        <v>March</v>
      </c>
      <c r="D1665" t="s">
        <v>3730</v>
      </c>
      <c r="E1665" t="s">
        <v>3222</v>
      </c>
      <c r="F1665" t="s">
        <v>3226</v>
      </c>
      <c r="G1665" s="4">
        <v>62651.35</v>
      </c>
      <c r="H1665" s="4">
        <v>53070.54</v>
      </c>
      <c r="I1665" s="3" t="s">
        <v>3734</v>
      </c>
      <c r="J1665">
        <v>5</v>
      </c>
      <c r="K1665" s="4">
        <f>Table3[[#This Row],[Sales]]-Table3[[#This Row],[Cost]]</f>
        <v>9580.8099999999977</v>
      </c>
      <c r="L1665" s="6">
        <f>Table3[[#This Row],[Profit]]/Table3[[#This Row],[Sales]]</f>
        <v>0.1529226425288521</v>
      </c>
    </row>
    <row r="1666" spans="1:12" x14ac:dyDescent="0.25">
      <c r="A1666" t="s">
        <v>1584</v>
      </c>
      <c r="B1666" s="2">
        <v>45005</v>
      </c>
      <c r="C1666" s="2" t="str">
        <f>TEXT(Table3[[#This Row],[Order Date]],"mmmm")</f>
        <v>March</v>
      </c>
      <c r="D1666" t="s">
        <v>3220</v>
      </c>
      <c r="E1666" t="s">
        <v>3225</v>
      </c>
      <c r="F1666" t="s">
        <v>3226</v>
      </c>
      <c r="G1666" s="4">
        <v>19594.689999999999</v>
      </c>
      <c r="H1666" s="4">
        <v>15028.61</v>
      </c>
      <c r="I1666" s="3" t="s">
        <v>3734</v>
      </c>
      <c r="J1666">
        <v>1</v>
      </c>
      <c r="K1666" s="4">
        <f>Table3[[#This Row],[Sales]]-Table3[[#This Row],[Cost]]</f>
        <v>4566.0799999999981</v>
      </c>
      <c r="L1666" s="6">
        <f>Table3[[#This Row],[Profit]]/Table3[[#This Row],[Sales]]</f>
        <v>0.23302639643699383</v>
      </c>
    </row>
    <row r="1667" spans="1:12" x14ac:dyDescent="0.25">
      <c r="A1667" t="s">
        <v>3507</v>
      </c>
      <c r="B1667" s="2">
        <v>45021</v>
      </c>
      <c r="C1667" s="2" t="str">
        <f>TEXT(Table3[[#This Row],[Order Date]],"mmmm")</f>
        <v>April</v>
      </c>
      <c r="D1667" t="s">
        <v>3731</v>
      </c>
      <c r="E1667" t="s">
        <v>3225</v>
      </c>
      <c r="F1667" t="s">
        <v>3226</v>
      </c>
      <c r="G1667" s="4">
        <v>50320.76</v>
      </c>
      <c r="H1667" s="4">
        <v>45968.07</v>
      </c>
      <c r="I1667" s="3" t="s">
        <v>3734</v>
      </c>
      <c r="J1667">
        <v>3</v>
      </c>
      <c r="K1667" s="4">
        <f>Table3[[#This Row],[Sales]]-Table3[[#This Row],[Cost]]</f>
        <v>4352.6900000000023</v>
      </c>
      <c r="L1667" s="6">
        <f>Table3[[#This Row],[Profit]]/Table3[[#This Row],[Sales]]</f>
        <v>8.6498892306078087E-2</v>
      </c>
    </row>
    <row r="1668" spans="1:12" x14ac:dyDescent="0.25">
      <c r="A1668" t="s">
        <v>1586</v>
      </c>
      <c r="B1668" s="2">
        <v>45102</v>
      </c>
      <c r="C1668" s="2" t="str">
        <f>TEXT(Table3[[#This Row],[Order Date]],"mmmm")</f>
        <v>June</v>
      </c>
      <c r="D1668" t="s">
        <v>3730</v>
      </c>
      <c r="E1668" t="s">
        <v>3225</v>
      </c>
      <c r="F1668" t="s">
        <v>3226</v>
      </c>
      <c r="G1668" s="4">
        <v>22056.99</v>
      </c>
      <c r="H1668" s="4">
        <v>12565.44</v>
      </c>
      <c r="I1668" s="3" t="s">
        <v>3734</v>
      </c>
      <c r="J1668">
        <v>1</v>
      </c>
      <c r="K1668" s="4">
        <f>Table3[[#This Row],[Sales]]-Table3[[#This Row],[Cost]]</f>
        <v>9491.5500000000011</v>
      </c>
      <c r="L1668" s="6">
        <f>Table3[[#This Row],[Profit]]/Table3[[#This Row],[Sales]]</f>
        <v>0.43031936814588029</v>
      </c>
    </row>
    <row r="1669" spans="1:12" x14ac:dyDescent="0.25">
      <c r="A1669" t="s">
        <v>1478</v>
      </c>
      <c r="B1669" s="2" t="s">
        <v>3729</v>
      </c>
      <c r="C1669" s="2" t="str">
        <f>TEXT(Table3[[#This Row],[Order Date]],"mmmm")</f>
        <v>Not Mentioned</v>
      </c>
      <c r="D1669" t="s">
        <v>3731</v>
      </c>
      <c r="E1669" t="s">
        <v>3223</v>
      </c>
      <c r="F1669" t="s">
        <v>3226</v>
      </c>
      <c r="G1669" s="4">
        <v>22679.47</v>
      </c>
      <c r="H1669" s="4">
        <v>12959.54</v>
      </c>
      <c r="I1669" s="3" t="s">
        <v>3734</v>
      </c>
      <c r="J1669" t="s">
        <v>3732</v>
      </c>
      <c r="K1669" s="4">
        <f>Table3[[#This Row],[Sales]]-Table3[[#This Row],[Cost]]</f>
        <v>9719.93</v>
      </c>
      <c r="L1669" s="6">
        <f>Table3[[#This Row],[Profit]]/Table3[[#This Row],[Sales]]</f>
        <v>0.42857835743075123</v>
      </c>
    </row>
    <row r="1670" spans="1:12" x14ac:dyDescent="0.25">
      <c r="A1670" t="s">
        <v>3233</v>
      </c>
      <c r="B1670" s="2" t="s">
        <v>3729</v>
      </c>
      <c r="C1670" s="2" t="str">
        <f>TEXT(Table3[[#This Row],[Order Date]],"mmmm")</f>
        <v>Not Mentioned</v>
      </c>
      <c r="D1670" t="s">
        <v>3220</v>
      </c>
      <c r="E1670" t="s">
        <v>3224</v>
      </c>
      <c r="F1670" t="s">
        <v>3226</v>
      </c>
      <c r="G1670" s="4">
        <v>126770.03</v>
      </c>
      <c r="H1670" s="4">
        <v>85057.74</v>
      </c>
      <c r="I1670" s="3" t="s">
        <v>3734</v>
      </c>
      <c r="J1670">
        <v>2</v>
      </c>
      <c r="K1670" s="4">
        <f>Table3[[#This Row],[Sales]]-Table3[[#This Row],[Cost]]</f>
        <v>41712.289999999994</v>
      </c>
      <c r="L1670" s="6">
        <f>Table3[[#This Row],[Profit]]/Table3[[#This Row],[Sales]]</f>
        <v>0.32903904810939932</v>
      </c>
    </row>
    <row r="1671" spans="1:12" x14ac:dyDescent="0.25">
      <c r="A1671" t="s">
        <v>1587</v>
      </c>
      <c r="B1671" s="2">
        <v>44941</v>
      </c>
      <c r="C1671" s="2" t="str">
        <f>TEXT(Table3[[#This Row],[Order Date]],"mmmm")</f>
        <v>January</v>
      </c>
      <c r="D1671" t="s">
        <v>3730</v>
      </c>
      <c r="E1671" t="s">
        <v>3224</v>
      </c>
      <c r="F1671" t="s">
        <v>3226</v>
      </c>
      <c r="G1671" s="4">
        <v>254132.08</v>
      </c>
      <c r="H1671" s="4">
        <v>160239.75</v>
      </c>
      <c r="I1671" s="3" t="s">
        <v>3734</v>
      </c>
      <c r="J1671">
        <v>4</v>
      </c>
      <c r="K1671" s="4">
        <f>Table3[[#This Row],[Sales]]-Table3[[#This Row],[Cost]]</f>
        <v>93892.329999999987</v>
      </c>
      <c r="L1671" s="6">
        <f>Table3[[#This Row],[Profit]]/Table3[[#This Row],[Sales]]</f>
        <v>0.3694627219042948</v>
      </c>
    </row>
    <row r="1672" spans="1:12" x14ac:dyDescent="0.25">
      <c r="A1672" t="s">
        <v>1589</v>
      </c>
      <c r="B1672" s="2">
        <v>45102</v>
      </c>
      <c r="C1672" s="2" t="str">
        <f>TEXT(Table3[[#This Row],[Order Date]],"mmmm")</f>
        <v>June</v>
      </c>
      <c r="D1672" t="s">
        <v>3216</v>
      </c>
      <c r="E1672" t="s">
        <v>3223</v>
      </c>
      <c r="F1672" t="s">
        <v>3226</v>
      </c>
      <c r="G1672" s="4">
        <v>32006.77</v>
      </c>
      <c r="H1672" s="4">
        <v>25605.416000000001</v>
      </c>
      <c r="I1672" s="3" t="s">
        <v>3735</v>
      </c>
      <c r="J1672">
        <v>4</v>
      </c>
      <c r="K1672" s="4">
        <f>Table3[[#This Row],[Sales]]-Table3[[#This Row],[Cost]]</f>
        <v>6401.3539999999994</v>
      </c>
      <c r="L1672" s="6">
        <f>Table3[[#This Row],[Profit]]/Table3[[#This Row],[Sales]]</f>
        <v>0.19999999999999998</v>
      </c>
    </row>
    <row r="1673" spans="1:12" x14ac:dyDescent="0.25">
      <c r="A1673" t="s">
        <v>1590</v>
      </c>
      <c r="B1673" s="2">
        <v>44941</v>
      </c>
      <c r="C1673" s="2" t="str">
        <f>TEXT(Table3[[#This Row],[Order Date]],"mmmm")</f>
        <v>January</v>
      </c>
      <c r="D1673" t="s">
        <v>3216</v>
      </c>
      <c r="E1673" t="s">
        <v>3224</v>
      </c>
      <c r="F1673" t="s">
        <v>3226</v>
      </c>
      <c r="G1673" s="4">
        <v>197228.85</v>
      </c>
      <c r="H1673" s="4">
        <v>145671.32</v>
      </c>
      <c r="I1673" s="3" t="s">
        <v>3734</v>
      </c>
      <c r="J1673">
        <v>3</v>
      </c>
      <c r="K1673" s="4">
        <f>Table3[[#This Row],[Sales]]-Table3[[#This Row],[Cost]]</f>
        <v>51557.53</v>
      </c>
      <c r="L1673" s="6">
        <f>Table3[[#This Row],[Profit]]/Table3[[#This Row],[Sales]]</f>
        <v>0.26140967713394869</v>
      </c>
    </row>
    <row r="1674" spans="1:12" x14ac:dyDescent="0.25">
      <c r="A1674" t="s">
        <v>1591</v>
      </c>
      <c r="B1674" s="2">
        <v>44941</v>
      </c>
      <c r="C1674" s="2" t="str">
        <f>TEXT(Table3[[#This Row],[Order Date]],"mmmm")</f>
        <v>January</v>
      </c>
      <c r="D1674" t="s">
        <v>3730</v>
      </c>
      <c r="E1674" t="s">
        <v>3225</v>
      </c>
      <c r="F1674" t="s">
        <v>3226</v>
      </c>
      <c r="G1674" s="4">
        <v>20233.400000000001</v>
      </c>
      <c r="H1674" s="4">
        <v>16186.720000000001</v>
      </c>
      <c r="I1674" s="3" t="s">
        <v>3735</v>
      </c>
      <c r="J1674">
        <v>1</v>
      </c>
      <c r="K1674" s="4">
        <f>Table3[[#This Row],[Sales]]-Table3[[#This Row],[Cost]]</f>
        <v>4046.6800000000003</v>
      </c>
      <c r="L1674" s="6">
        <f>Table3[[#This Row],[Profit]]/Table3[[#This Row],[Sales]]</f>
        <v>0.2</v>
      </c>
    </row>
    <row r="1675" spans="1:12" x14ac:dyDescent="0.25">
      <c r="A1675" t="s">
        <v>1594</v>
      </c>
      <c r="B1675" s="2">
        <v>45021</v>
      </c>
      <c r="C1675" s="2" t="str">
        <f>TEXT(Table3[[#This Row],[Order Date]],"mmmm")</f>
        <v>April</v>
      </c>
      <c r="D1675" t="s">
        <v>3220</v>
      </c>
      <c r="E1675" t="s">
        <v>3223</v>
      </c>
      <c r="F1675" t="s">
        <v>3226</v>
      </c>
      <c r="G1675" s="4">
        <v>41669.39</v>
      </c>
      <c r="H1675" s="4">
        <v>32293.67</v>
      </c>
      <c r="I1675" s="3" t="s">
        <v>3734</v>
      </c>
      <c r="J1675">
        <v>5</v>
      </c>
      <c r="K1675" s="4">
        <f>Table3[[#This Row],[Sales]]-Table3[[#This Row],[Cost]]</f>
        <v>9375.7200000000012</v>
      </c>
      <c r="L1675" s="6">
        <f>Table3[[#This Row],[Profit]]/Table3[[#This Row],[Sales]]</f>
        <v>0.22500257383177438</v>
      </c>
    </row>
    <row r="1676" spans="1:12" x14ac:dyDescent="0.25">
      <c r="A1676" t="s">
        <v>3508</v>
      </c>
      <c r="B1676" s="2">
        <v>44941</v>
      </c>
      <c r="C1676" s="2" t="str">
        <f>TEXT(Table3[[#This Row],[Order Date]],"mmmm")</f>
        <v>January</v>
      </c>
      <c r="D1676" t="s">
        <v>3730</v>
      </c>
      <c r="E1676" t="s">
        <v>3223</v>
      </c>
      <c r="F1676" t="s">
        <v>3226</v>
      </c>
      <c r="G1676" s="4">
        <v>21640.36</v>
      </c>
      <c r="H1676" s="4">
        <v>13027.46</v>
      </c>
      <c r="I1676" s="3" t="s">
        <v>3734</v>
      </c>
      <c r="J1676">
        <v>2</v>
      </c>
      <c r="K1676" s="4">
        <f>Table3[[#This Row],[Sales]]-Table3[[#This Row],[Cost]]</f>
        <v>8612.9000000000015</v>
      </c>
      <c r="L1676" s="6">
        <f>Table3[[#This Row],[Profit]]/Table3[[#This Row],[Sales]]</f>
        <v>0.39800169682944281</v>
      </c>
    </row>
    <row r="1677" spans="1:12" x14ac:dyDescent="0.25">
      <c r="A1677" t="s">
        <v>3509</v>
      </c>
      <c r="B1677" s="2" t="s">
        <v>3729</v>
      </c>
      <c r="C1677" s="2" t="str">
        <f>TEXT(Table3[[#This Row],[Order Date]],"mmmm")</f>
        <v>Not Mentioned</v>
      </c>
      <c r="D1677" t="s">
        <v>3216</v>
      </c>
      <c r="E1677" t="s">
        <v>3224</v>
      </c>
      <c r="F1677" t="s">
        <v>3226</v>
      </c>
      <c r="G1677" s="4">
        <v>246073.41</v>
      </c>
      <c r="H1677" s="4">
        <v>184450.62</v>
      </c>
      <c r="I1677" s="3" t="s">
        <v>3734</v>
      </c>
      <c r="J1677">
        <v>4</v>
      </c>
      <c r="K1677" s="4">
        <f>Table3[[#This Row],[Sales]]-Table3[[#This Row],[Cost]]</f>
        <v>61622.790000000008</v>
      </c>
      <c r="L1677" s="6">
        <f>Table3[[#This Row],[Profit]]/Table3[[#This Row],[Sales]]</f>
        <v>0.25042441603097226</v>
      </c>
    </row>
    <row r="1678" spans="1:12" x14ac:dyDescent="0.25">
      <c r="A1678" t="s">
        <v>1597</v>
      </c>
      <c r="B1678" s="2">
        <v>45005</v>
      </c>
      <c r="C1678" s="2" t="str">
        <f>TEXT(Table3[[#This Row],[Order Date]],"mmmm")</f>
        <v>March</v>
      </c>
      <c r="D1678" t="s">
        <v>3730</v>
      </c>
      <c r="E1678" t="s">
        <v>3223</v>
      </c>
      <c r="F1678" t="s">
        <v>3226</v>
      </c>
      <c r="G1678" s="4">
        <v>32795.19</v>
      </c>
      <c r="H1678" s="4">
        <v>19079.39</v>
      </c>
      <c r="I1678" s="3" t="s">
        <v>3734</v>
      </c>
      <c r="J1678">
        <v>3</v>
      </c>
      <c r="K1678" s="4">
        <f>Table3[[#This Row],[Sales]]-Table3[[#This Row],[Cost]]</f>
        <v>13715.800000000003</v>
      </c>
      <c r="L1678" s="6">
        <f>Table3[[#This Row],[Profit]]/Table3[[#This Row],[Sales]]</f>
        <v>0.41822596545408036</v>
      </c>
    </row>
    <row r="1679" spans="1:12" x14ac:dyDescent="0.25">
      <c r="A1679" t="s">
        <v>1286</v>
      </c>
      <c r="B1679" s="2">
        <v>44972</v>
      </c>
      <c r="C1679" s="2" t="str">
        <f>TEXT(Table3[[#This Row],[Order Date]],"mmmm")</f>
        <v>February</v>
      </c>
      <c r="D1679" t="s">
        <v>3731</v>
      </c>
      <c r="E1679" t="s">
        <v>3223</v>
      </c>
      <c r="F1679" t="s">
        <v>3226</v>
      </c>
      <c r="G1679" s="4">
        <v>28008.18</v>
      </c>
      <c r="H1679" s="4">
        <v>22215.61</v>
      </c>
      <c r="I1679" s="3" t="s">
        <v>3734</v>
      </c>
      <c r="J1679">
        <v>3</v>
      </c>
      <c r="K1679" s="4">
        <f>Table3[[#This Row],[Sales]]-Table3[[#This Row],[Cost]]</f>
        <v>5792.57</v>
      </c>
      <c r="L1679" s="6">
        <f>Table3[[#This Row],[Profit]]/Table3[[#This Row],[Sales]]</f>
        <v>0.2068170798673816</v>
      </c>
    </row>
    <row r="1680" spans="1:12" x14ac:dyDescent="0.25">
      <c r="A1680" t="s">
        <v>1598</v>
      </c>
      <c r="B1680" s="2" t="s">
        <v>3729</v>
      </c>
      <c r="C1680" s="2" t="str">
        <f>TEXT(Table3[[#This Row],[Order Date]],"mmmm")</f>
        <v>Not Mentioned</v>
      </c>
      <c r="D1680" t="s">
        <v>3220</v>
      </c>
      <c r="E1680" t="s">
        <v>3225</v>
      </c>
      <c r="F1680" t="s">
        <v>3226</v>
      </c>
      <c r="G1680" s="4">
        <v>17221.57</v>
      </c>
      <c r="H1680" s="4">
        <v>12503.59</v>
      </c>
      <c r="I1680" s="3" t="s">
        <v>3734</v>
      </c>
      <c r="J1680">
        <v>1</v>
      </c>
      <c r="K1680" s="4">
        <f>Table3[[#This Row],[Sales]]-Table3[[#This Row],[Cost]]</f>
        <v>4717.9799999999996</v>
      </c>
      <c r="L1680" s="6">
        <f>Table3[[#This Row],[Profit]]/Table3[[#This Row],[Sales]]</f>
        <v>0.27395760084591586</v>
      </c>
    </row>
    <row r="1681" spans="1:12" x14ac:dyDescent="0.25">
      <c r="A1681" t="s">
        <v>1599</v>
      </c>
      <c r="B1681" s="2" t="s">
        <v>3729</v>
      </c>
      <c r="C1681" s="2" t="str">
        <f>TEXT(Table3[[#This Row],[Order Date]],"mmmm")</f>
        <v>Not Mentioned</v>
      </c>
      <c r="D1681" t="s">
        <v>3220</v>
      </c>
      <c r="E1681" t="s">
        <v>3224</v>
      </c>
      <c r="F1681" t="s">
        <v>3226</v>
      </c>
      <c r="G1681" s="4">
        <v>337137.43</v>
      </c>
      <c r="H1681" s="4">
        <v>226474.59</v>
      </c>
      <c r="I1681" s="3" t="s">
        <v>3734</v>
      </c>
      <c r="J1681">
        <v>5</v>
      </c>
      <c r="K1681" s="4">
        <f>Table3[[#This Row],[Sales]]-Table3[[#This Row],[Cost]]</f>
        <v>110662.84</v>
      </c>
      <c r="L1681" s="6">
        <f>Table3[[#This Row],[Profit]]/Table3[[#This Row],[Sales]]</f>
        <v>0.32824252115821134</v>
      </c>
    </row>
    <row r="1682" spans="1:12" x14ac:dyDescent="0.25">
      <c r="A1682" t="s">
        <v>1600</v>
      </c>
      <c r="B1682" s="2">
        <v>45005</v>
      </c>
      <c r="C1682" s="2" t="str">
        <f>TEXT(Table3[[#This Row],[Order Date]],"mmmm")</f>
        <v>March</v>
      </c>
      <c r="D1682" t="s">
        <v>3216</v>
      </c>
      <c r="E1682" t="s">
        <v>3223</v>
      </c>
      <c r="F1682" t="s">
        <v>3226</v>
      </c>
      <c r="G1682" s="4">
        <v>27672.18</v>
      </c>
      <c r="H1682" s="4">
        <v>18882.32</v>
      </c>
      <c r="I1682" s="3" t="s">
        <v>3734</v>
      </c>
      <c r="J1682">
        <v>3</v>
      </c>
      <c r="K1682" s="4">
        <f>Table3[[#This Row],[Sales]]-Table3[[#This Row],[Cost]]</f>
        <v>8789.86</v>
      </c>
      <c r="L1682" s="6">
        <f>Table3[[#This Row],[Profit]]/Table3[[#This Row],[Sales]]</f>
        <v>0.31764248425675173</v>
      </c>
    </row>
    <row r="1683" spans="1:12" x14ac:dyDescent="0.25">
      <c r="A1683" t="s">
        <v>1601</v>
      </c>
      <c r="B1683" s="2">
        <v>45102</v>
      </c>
      <c r="C1683" s="2" t="str">
        <f>TEXT(Table3[[#This Row],[Order Date]],"mmmm")</f>
        <v>June</v>
      </c>
      <c r="D1683" t="s">
        <v>3216</v>
      </c>
      <c r="E1683" t="s">
        <v>3222</v>
      </c>
      <c r="F1683" t="s">
        <v>3226</v>
      </c>
      <c r="G1683" s="4">
        <v>64458.720000000001</v>
      </c>
      <c r="H1683" s="4">
        <v>47562.46</v>
      </c>
      <c r="I1683" s="3" t="s">
        <v>3734</v>
      </c>
      <c r="J1683">
        <v>5</v>
      </c>
      <c r="K1683" s="4">
        <f>Table3[[#This Row],[Sales]]-Table3[[#This Row],[Cost]]</f>
        <v>16896.260000000002</v>
      </c>
      <c r="L1683" s="6">
        <f>Table3[[#This Row],[Profit]]/Table3[[#This Row],[Sales]]</f>
        <v>0.26212527955876258</v>
      </c>
    </row>
    <row r="1684" spans="1:12" x14ac:dyDescent="0.25">
      <c r="A1684" t="s">
        <v>390</v>
      </c>
      <c r="B1684" s="2">
        <v>44941</v>
      </c>
      <c r="C1684" s="2" t="str">
        <f>TEXT(Table3[[#This Row],[Order Date]],"mmmm")</f>
        <v>January</v>
      </c>
      <c r="D1684" t="s">
        <v>3730</v>
      </c>
      <c r="E1684" t="s">
        <v>3225</v>
      </c>
      <c r="F1684" t="s">
        <v>3226</v>
      </c>
      <c r="G1684" s="4">
        <v>20378.34</v>
      </c>
      <c r="H1684" s="4">
        <v>14107.64</v>
      </c>
      <c r="I1684" s="3" t="s">
        <v>3734</v>
      </c>
      <c r="J1684">
        <v>1</v>
      </c>
      <c r="K1684" s="4">
        <f>Table3[[#This Row],[Sales]]-Table3[[#This Row],[Cost]]</f>
        <v>6270.7000000000007</v>
      </c>
      <c r="L1684" s="6">
        <f>Table3[[#This Row],[Profit]]/Table3[[#This Row],[Sales]]</f>
        <v>0.30771397473984635</v>
      </c>
    </row>
    <row r="1685" spans="1:12" x14ac:dyDescent="0.25">
      <c r="A1685" t="s">
        <v>1602</v>
      </c>
      <c r="B1685" s="2">
        <v>45005</v>
      </c>
      <c r="C1685" s="2" t="str">
        <f>TEXT(Table3[[#This Row],[Order Date]],"mmmm")</f>
        <v>March</v>
      </c>
      <c r="D1685" t="s">
        <v>3216</v>
      </c>
      <c r="E1685" t="s">
        <v>3225</v>
      </c>
      <c r="F1685" t="s">
        <v>3226</v>
      </c>
      <c r="G1685" s="4">
        <v>20976.48</v>
      </c>
      <c r="H1685" s="4">
        <v>12181.13</v>
      </c>
      <c r="I1685" s="3" t="s">
        <v>3734</v>
      </c>
      <c r="J1685">
        <v>1</v>
      </c>
      <c r="K1685" s="4">
        <f>Table3[[#This Row],[Sales]]-Table3[[#This Row],[Cost]]</f>
        <v>8795.35</v>
      </c>
      <c r="L1685" s="6">
        <f>Table3[[#This Row],[Profit]]/Table3[[#This Row],[Sales]]</f>
        <v>0.41929580177417758</v>
      </c>
    </row>
    <row r="1686" spans="1:12" x14ac:dyDescent="0.25">
      <c r="A1686" t="s">
        <v>1603</v>
      </c>
      <c r="B1686" s="2">
        <v>45005</v>
      </c>
      <c r="C1686" s="2" t="str">
        <f>TEXT(Table3[[#This Row],[Order Date]],"mmmm")</f>
        <v>March</v>
      </c>
      <c r="D1686" t="s">
        <v>3730</v>
      </c>
      <c r="E1686" t="s">
        <v>3222</v>
      </c>
      <c r="F1686" t="s">
        <v>3226</v>
      </c>
      <c r="G1686" s="4">
        <v>53772.91</v>
      </c>
      <c r="H1686" s="4">
        <v>35945.56</v>
      </c>
      <c r="I1686" s="3" t="s">
        <v>3734</v>
      </c>
      <c r="J1686">
        <v>4</v>
      </c>
      <c r="K1686" s="4">
        <f>Table3[[#This Row],[Sales]]-Table3[[#This Row],[Cost]]</f>
        <v>17827.350000000006</v>
      </c>
      <c r="L1686" s="6">
        <f>Table3[[#This Row],[Profit]]/Table3[[#This Row],[Sales]]</f>
        <v>0.33153031889105505</v>
      </c>
    </row>
    <row r="1687" spans="1:12" x14ac:dyDescent="0.25">
      <c r="A1687" t="s">
        <v>1604</v>
      </c>
      <c r="B1687" s="2">
        <v>45005</v>
      </c>
      <c r="C1687" s="2" t="str">
        <f>TEXT(Table3[[#This Row],[Order Date]],"mmmm")</f>
        <v>March</v>
      </c>
      <c r="D1687" t="s">
        <v>3730</v>
      </c>
      <c r="E1687" t="s">
        <v>3224</v>
      </c>
      <c r="F1687" t="s">
        <v>3226</v>
      </c>
      <c r="G1687" s="4">
        <v>185967.79</v>
      </c>
      <c r="H1687" s="4">
        <v>135396.15</v>
      </c>
      <c r="I1687" s="3" t="s">
        <v>3734</v>
      </c>
      <c r="J1687">
        <v>3</v>
      </c>
      <c r="K1687" s="4">
        <f>Table3[[#This Row],[Sales]]-Table3[[#This Row],[Cost]]</f>
        <v>50571.640000000014</v>
      </c>
      <c r="L1687" s="6">
        <f>Table3[[#This Row],[Profit]]/Table3[[#This Row],[Sales]]</f>
        <v>0.27193762962930307</v>
      </c>
    </row>
    <row r="1688" spans="1:12" x14ac:dyDescent="0.25">
      <c r="A1688" t="s">
        <v>3510</v>
      </c>
      <c r="B1688" s="2">
        <v>45021</v>
      </c>
      <c r="C1688" s="2" t="str">
        <f>TEXT(Table3[[#This Row],[Order Date]],"mmmm")</f>
        <v>April</v>
      </c>
      <c r="D1688" t="s">
        <v>3731</v>
      </c>
      <c r="E1688" t="s">
        <v>3225</v>
      </c>
      <c r="F1688" t="s">
        <v>3226</v>
      </c>
      <c r="G1688" s="4">
        <v>33263.15</v>
      </c>
      <c r="H1688" s="4">
        <v>27548.76</v>
      </c>
      <c r="I1688" s="3" t="s">
        <v>3734</v>
      </c>
      <c r="J1688">
        <v>2</v>
      </c>
      <c r="K1688" s="4">
        <f>Table3[[#This Row],[Sales]]-Table3[[#This Row],[Cost]]</f>
        <v>5714.3900000000031</v>
      </c>
      <c r="L1688" s="6">
        <f>Table3[[#This Row],[Profit]]/Table3[[#This Row],[Sales]]</f>
        <v>0.17179341102691725</v>
      </c>
    </row>
    <row r="1689" spans="1:12" x14ac:dyDescent="0.25">
      <c r="A1689" t="s">
        <v>857</v>
      </c>
      <c r="B1689" s="2">
        <v>45005</v>
      </c>
      <c r="C1689" s="2" t="str">
        <f>TEXT(Table3[[#This Row],[Order Date]],"mmmm")</f>
        <v>March</v>
      </c>
      <c r="D1689" t="s">
        <v>3220</v>
      </c>
      <c r="E1689" t="s">
        <v>3224</v>
      </c>
      <c r="F1689" t="s">
        <v>3226</v>
      </c>
      <c r="G1689" s="4">
        <v>107179.9</v>
      </c>
      <c r="H1689" s="4">
        <v>85743.92</v>
      </c>
      <c r="I1689" s="3" t="s">
        <v>3735</v>
      </c>
      <c r="J1689">
        <v>2</v>
      </c>
      <c r="K1689" s="4">
        <f>Table3[[#This Row],[Sales]]-Table3[[#This Row],[Cost]]</f>
        <v>21435.979999999996</v>
      </c>
      <c r="L1689" s="6">
        <f>Table3[[#This Row],[Profit]]/Table3[[#This Row],[Sales]]</f>
        <v>0.19999999999999998</v>
      </c>
    </row>
    <row r="1690" spans="1:12" x14ac:dyDescent="0.25">
      <c r="A1690" t="s">
        <v>1606</v>
      </c>
      <c r="B1690" s="2">
        <v>45102</v>
      </c>
      <c r="C1690" s="2" t="str">
        <f>TEXT(Table3[[#This Row],[Order Date]],"mmmm")</f>
        <v>June</v>
      </c>
      <c r="D1690" t="s">
        <v>3731</v>
      </c>
      <c r="E1690" t="s">
        <v>3223</v>
      </c>
      <c r="F1690" t="s">
        <v>3226</v>
      </c>
      <c r="G1690" s="4">
        <v>22479.05</v>
      </c>
      <c r="H1690" s="4">
        <v>14529.04</v>
      </c>
      <c r="I1690" s="3" t="s">
        <v>3734</v>
      </c>
      <c r="J1690">
        <v>2</v>
      </c>
      <c r="K1690" s="4">
        <f>Table3[[#This Row],[Sales]]-Table3[[#This Row],[Cost]]</f>
        <v>7950.0099999999984</v>
      </c>
      <c r="L1690" s="6">
        <f>Table3[[#This Row],[Profit]]/Table3[[#This Row],[Sales]]</f>
        <v>0.35366307739873343</v>
      </c>
    </row>
    <row r="1691" spans="1:12" x14ac:dyDescent="0.25">
      <c r="A1691" t="s">
        <v>1607</v>
      </c>
      <c r="B1691" s="2" t="s">
        <v>3729</v>
      </c>
      <c r="C1691" s="2" t="str">
        <f>TEXT(Table3[[#This Row],[Order Date]],"mmmm")</f>
        <v>Not Mentioned</v>
      </c>
      <c r="D1691" t="s">
        <v>3731</v>
      </c>
      <c r="E1691" t="s">
        <v>3222</v>
      </c>
      <c r="F1691" t="s">
        <v>3226</v>
      </c>
      <c r="G1691" s="4">
        <v>14053.04</v>
      </c>
      <c r="H1691" s="4">
        <v>10973.29</v>
      </c>
      <c r="I1691" s="3" t="s">
        <v>3734</v>
      </c>
      <c r="J1691">
        <v>1</v>
      </c>
      <c r="K1691" s="4">
        <f>Table3[[#This Row],[Sales]]-Table3[[#This Row],[Cost]]</f>
        <v>3079.75</v>
      </c>
      <c r="L1691" s="6">
        <f>Table3[[#This Row],[Profit]]/Table3[[#This Row],[Sales]]</f>
        <v>0.21915187034264472</v>
      </c>
    </row>
    <row r="1692" spans="1:12" x14ac:dyDescent="0.25">
      <c r="A1692" t="s">
        <v>1608</v>
      </c>
      <c r="B1692" s="2" t="s">
        <v>3729</v>
      </c>
      <c r="C1692" s="2" t="str">
        <f>TEXT(Table3[[#This Row],[Order Date]],"mmmm")</f>
        <v>Not Mentioned</v>
      </c>
      <c r="D1692" t="s">
        <v>3731</v>
      </c>
      <c r="E1692" t="s">
        <v>3223</v>
      </c>
      <c r="F1692" t="s">
        <v>3226</v>
      </c>
      <c r="G1692" s="4">
        <v>54300.639999999999</v>
      </c>
      <c r="H1692" s="4">
        <v>36307.1</v>
      </c>
      <c r="I1692" s="3" t="s">
        <v>3734</v>
      </c>
      <c r="J1692">
        <v>5</v>
      </c>
      <c r="K1692" s="4">
        <f>Table3[[#This Row],[Sales]]-Table3[[#This Row],[Cost]]</f>
        <v>17993.54</v>
      </c>
      <c r="L1692" s="6">
        <f>Table3[[#This Row],[Profit]]/Table3[[#This Row],[Sales]]</f>
        <v>0.3313688383783322</v>
      </c>
    </row>
    <row r="1693" spans="1:12" x14ac:dyDescent="0.25">
      <c r="A1693" t="s">
        <v>1609</v>
      </c>
      <c r="B1693" s="2">
        <v>45102</v>
      </c>
      <c r="C1693" s="2" t="str">
        <f>TEXT(Table3[[#This Row],[Order Date]],"mmmm")</f>
        <v>June</v>
      </c>
      <c r="D1693" t="s">
        <v>3216</v>
      </c>
      <c r="E1693" t="s">
        <v>3223</v>
      </c>
      <c r="F1693" t="s">
        <v>3226</v>
      </c>
      <c r="G1693" s="4">
        <v>29951.73</v>
      </c>
      <c r="H1693" s="4">
        <v>23031.87</v>
      </c>
      <c r="I1693" s="3" t="s">
        <v>3734</v>
      </c>
      <c r="J1693">
        <v>3</v>
      </c>
      <c r="K1693" s="4">
        <f>Table3[[#This Row],[Sales]]-Table3[[#This Row],[Cost]]</f>
        <v>6919.8600000000006</v>
      </c>
      <c r="L1693" s="6">
        <f>Table3[[#This Row],[Profit]]/Table3[[#This Row],[Sales]]</f>
        <v>0.23103373327684246</v>
      </c>
    </row>
    <row r="1694" spans="1:12" x14ac:dyDescent="0.25">
      <c r="A1694" t="s">
        <v>3409</v>
      </c>
      <c r="B1694" s="2">
        <v>45021</v>
      </c>
      <c r="C1694" s="2" t="str">
        <f>TEXT(Table3[[#This Row],[Order Date]],"mmmm")</f>
        <v>April</v>
      </c>
      <c r="D1694" t="s">
        <v>3730</v>
      </c>
      <c r="E1694" t="s">
        <v>3222</v>
      </c>
      <c r="F1694" t="s">
        <v>3226</v>
      </c>
      <c r="G1694" s="4">
        <v>86251.77</v>
      </c>
      <c r="H1694" s="4">
        <v>52719.78</v>
      </c>
      <c r="I1694" s="3" t="s">
        <v>3734</v>
      </c>
      <c r="J1694">
        <v>5</v>
      </c>
      <c r="K1694" s="4">
        <f>Table3[[#This Row],[Sales]]-Table3[[#This Row],[Cost]]</f>
        <v>33531.990000000005</v>
      </c>
      <c r="L1694" s="6">
        <f>Table3[[#This Row],[Profit]]/Table3[[#This Row],[Sales]]</f>
        <v>0.38876871744197256</v>
      </c>
    </row>
    <row r="1695" spans="1:12" x14ac:dyDescent="0.25">
      <c r="A1695" t="s">
        <v>1610</v>
      </c>
      <c r="B1695" s="2">
        <v>44972</v>
      </c>
      <c r="C1695" s="2" t="str">
        <f>TEXT(Table3[[#This Row],[Order Date]],"mmmm")</f>
        <v>February</v>
      </c>
      <c r="D1695" t="s">
        <v>3216</v>
      </c>
      <c r="E1695" t="s">
        <v>3224</v>
      </c>
      <c r="F1695" t="s">
        <v>3226</v>
      </c>
      <c r="G1695" s="4">
        <v>156196.74</v>
      </c>
      <c r="H1695" s="4">
        <v>124957.39199999999</v>
      </c>
      <c r="I1695" s="3" t="s">
        <v>3735</v>
      </c>
      <c r="J1695">
        <v>3</v>
      </c>
      <c r="K1695" s="4">
        <f>Table3[[#This Row],[Sales]]-Table3[[#This Row],[Cost]]</f>
        <v>31239.347999999998</v>
      </c>
      <c r="L1695" s="6">
        <f>Table3[[#This Row],[Profit]]/Table3[[#This Row],[Sales]]</f>
        <v>0.2</v>
      </c>
    </row>
    <row r="1696" spans="1:12" x14ac:dyDescent="0.25">
      <c r="A1696" t="s">
        <v>287</v>
      </c>
      <c r="B1696" s="2">
        <v>44972</v>
      </c>
      <c r="C1696" s="2" t="str">
        <f>TEXT(Table3[[#This Row],[Order Date]],"mmmm")</f>
        <v>February</v>
      </c>
      <c r="D1696" t="s">
        <v>3220</v>
      </c>
      <c r="E1696" t="s">
        <v>3224</v>
      </c>
      <c r="F1696" t="s">
        <v>3226</v>
      </c>
      <c r="G1696" s="4">
        <v>62035.68</v>
      </c>
      <c r="H1696" s="4">
        <v>39901.72</v>
      </c>
      <c r="I1696" s="3" t="s">
        <v>3734</v>
      </c>
      <c r="J1696" t="s">
        <v>3732</v>
      </c>
      <c r="K1696" s="4">
        <f>Table3[[#This Row],[Sales]]-Table3[[#This Row],[Cost]]</f>
        <v>22133.96</v>
      </c>
      <c r="L1696" s="6">
        <f>Table3[[#This Row],[Profit]]/Table3[[#This Row],[Sales]]</f>
        <v>0.35679402563170098</v>
      </c>
    </row>
    <row r="1697" spans="1:12" x14ac:dyDescent="0.25">
      <c r="A1697" t="s">
        <v>1611</v>
      </c>
      <c r="B1697" s="2">
        <v>45021</v>
      </c>
      <c r="C1697" s="2" t="str">
        <f>TEXT(Table3[[#This Row],[Order Date]],"mmmm")</f>
        <v>April</v>
      </c>
      <c r="D1697" t="s">
        <v>3220</v>
      </c>
      <c r="E1697" t="s">
        <v>3223</v>
      </c>
      <c r="F1697" t="s">
        <v>3226</v>
      </c>
      <c r="G1697" s="4">
        <v>9078.5400000000009</v>
      </c>
      <c r="H1697" s="4">
        <v>7325.79</v>
      </c>
      <c r="I1697" s="3" t="s">
        <v>3734</v>
      </c>
      <c r="J1697">
        <v>1</v>
      </c>
      <c r="K1697" s="4">
        <f>Table3[[#This Row],[Sales]]-Table3[[#This Row],[Cost]]</f>
        <v>1752.7500000000009</v>
      </c>
      <c r="L1697" s="6">
        <f>Table3[[#This Row],[Profit]]/Table3[[#This Row],[Sales]]</f>
        <v>0.19306518449001719</v>
      </c>
    </row>
    <row r="1698" spans="1:12" x14ac:dyDescent="0.25">
      <c r="A1698" t="s">
        <v>1612</v>
      </c>
      <c r="B1698" s="2">
        <v>44972</v>
      </c>
      <c r="C1698" s="2" t="str">
        <f>TEXT(Table3[[#This Row],[Order Date]],"mmmm")</f>
        <v>February</v>
      </c>
      <c r="D1698" t="s">
        <v>3216</v>
      </c>
      <c r="E1698" t="s">
        <v>3225</v>
      </c>
      <c r="F1698" t="s">
        <v>3226</v>
      </c>
      <c r="G1698" s="4">
        <v>90539.34</v>
      </c>
      <c r="H1698" s="4">
        <v>72431.471999999994</v>
      </c>
      <c r="I1698" s="3" t="s">
        <v>3735</v>
      </c>
      <c r="J1698">
        <v>5</v>
      </c>
      <c r="K1698" s="4">
        <f>Table3[[#This Row],[Sales]]-Table3[[#This Row],[Cost]]</f>
        <v>18107.868000000002</v>
      </c>
      <c r="L1698" s="6">
        <f>Table3[[#This Row],[Profit]]/Table3[[#This Row],[Sales]]</f>
        <v>0.20000000000000004</v>
      </c>
    </row>
    <row r="1699" spans="1:12" x14ac:dyDescent="0.25">
      <c r="A1699" t="s">
        <v>1613</v>
      </c>
      <c r="B1699" s="2">
        <v>45005</v>
      </c>
      <c r="C1699" s="2" t="str">
        <f>TEXT(Table3[[#This Row],[Order Date]],"mmmm")</f>
        <v>March</v>
      </c>
      <c r="D1699" t="s">
        <v>3220</v>
      </c>
      <c r="E1699" t="s">
        <v>3224</v>
      </c>
      <c r="F1699" t="s">
        <v>3226</v>
      </c>
      <c r="G1699" s="4">
        <v>58554.44</v>
      </c>
      <c r="H1699" s="4">
        <v>46094.91</v>
      </c>
      <c r="I1699" s="3" t="s">
        <v>3734</v>
      </c>
      <c r="J1699">
        <v>1</v>
      </c>
      <c r="K1699" s="4">
        <f>Table3[[#This Row],[Sales]]-Table3[[#This Row],[Cost]]</f>
        <v>12459.529999999999</v>
      </c>
      <c r="L1699" s="6">
        <f>Table3[[#This Row],[Profit]]/Table3[[#This Row],[Sales]]</f>
        <v>0.21278540107291605</v>
      </c>
    </row>
    <row r="1700" spans="1:12" x14ac:dyDescent="0.25">
      <c r="A1700" t="s">
        <v>1615</v>
      </c>
      <c r="B1700" s="2">
        <v>45005</v>
      </c>
      <c r="C1700" s="2" t="str">
        <f>TEXT(Table3[[#This Row],[Order Date]],"mmmm")</f>
        <v>March</v>
      </c>
      <c r="D1700" t="s">
        <v>3730</v>
      </c>
      <c r="E1700" t="s">
        <v>3222</v>
      </c>
      <c r="F1700" t="s">
        <v>3226</v>
      </c>
      <c r="G1700" s="4">
        <v>53400.11</v>
      </c>
      <c r="H1700" s="4">
        <v>30953.200000000001</v>
      </c>
      <c r="I1700" s="3" t="s">
        <v>3734</v>
      </c>
      <c r="J1700">
        <v>3</v>
      </c>
      <c r="K1700" s="4">
        <f>Table3[[#This Row],[Sales]]-Table3[[#This Row],[Cost]]</f>
        <v>22446.91</v>
      </c>
      <c r="L1700" s="6">
        <f>Table3[[#This Row],[Profit]]/Table3[[#This Row],[Sales]]</f>
        <v>0.42035325395397127</v>
      </c>
    </row>
    <row r="1701" spans="1:12" x14ac:dyDescent="0.25">
      <c r="A1701" t="s">
        <v>1616</v>
      </c>
      <c r="B1701" s="2" t="s">
        <v>3729</v>
      </c>
      <c r="C1701" s="2" t="str">
        <f>TEXT(Table3[[#This Row],[Order Date]],"mmmm")</f>
        <v>Not Mentioned</v>
      </c>
      <c r="D1701" t="s">
        <v>3220</v>
      </c>
      <c r="E1701" t="s">
        <v>3223</v>
      </c>
      <c r="F1701" t="s">
        <v>3226</v>
      </c>
      <c r="G1701" s="4">
        <v>22521.47</v>
      </c>
      <c r="H1701" s="4">
        <v>13157.1</v>
      </c>
      <c r="I1701" s="3" t="s">
        <v>3734</v>
      </c>
      <c r="J1701">
        <v>2</v>
      </c>
      <c r="K1701" s="4">
        <f>Table3[[#This Row],[Sales]]-Table3[[#This Row],[Cost]]</f>
        <v>9364.3700000000008</v>
      </c>
      <c r="L1701" s="6">
        <f>Table3[[#This Row],[Profit]]/Table3[[#This Row],[Sales]]</f>
        <v>0.41579745904685617</v>
      </c>
    </row>
    <row r="1702" spans="1:12" x14ac:dyDescent="0.25">
      <c r="A1702" t="s">
        <v>1617</v>
      </c>
      <c r="B1702" s="2" t="s">
        <v>3729</v>
      </c>
      <c r="C1702" s="2" t="str">
        <f>TEXT(Table3[[#This Row],[Order Date]],"mmmm")</f>
        <v>Not Mentioned</v>
      </c>
      <c r="D1702" t="s">
        <v>3730</v>
      </c>
      <c r="E1702" t="s">
        <v>3225</v>
      </c>
      <c r="F1702" t="s">
        <v>3226</v>
      </c>
      <c r="G1702" s="4">
        <v>37603.230000000003</v>
      </c>
      <c r="H1702" s="4">
        <v>29203.34</v>
      </c>
      <c r="I1702" s="3" t="s">
        <v>3734</v>
      </c>
      <c r="J1702">
        <v>2</v>
      </c>
      <c r="K1702" s="4">
        <f>Table3[[#This Row],[Sales]]-Table3[[#This Row],[Cost]]</f>
        <v>8399.8900000000031</v>
      </c>
      <c r="L1702" s="6">
        <f>Table3[[#This Row],[Profit]]/Table3[[#This Row],[Sales]]</f>
        <v>0.2233821403108191</v>
      </c>
    </row>
    <row r="1703" spans="1:12" x14ac:dyDescent="0.25">
      <c r="A1703" t="s">
        <v>1618</v>
      </c>
      <c r="B1703" s="2">
        <v>44972</v>
      </c>
      <c r="C1703" s="2" t="str">
        <f>TEXT(Table3[[#This Row],[Order Date]],"mmmm")</f>
        <v>February</v>
      </c>
      <c r="D1703" t="s">
        <v>3731</v>
      </c>
      <c r="E1703" t="s">
        <v>3224</v>
      </c>
      <c r="F1703" t="s">
        <v>3226</v>
      </c>
      <c r="G1703" s="4">
        <v>267232.65999999997</v>
      </c>
      <c r="H1703" s="4">
        <v>171360.64000000001</v>
      </c>
      <c r="I1703" s="3" t="s">
        <v>3734</v>
      </c>
      <c r="J1703">
        <v>4</v>
      </c>
      <c r="K1703" s="4">
        <f>Table3[[#This Row],[Sales]]-Table3[[#This Row],[Cost]]</f>
        <v>95872.01999999996</v>
      </c>
      <c r="L1703" s="6">
        <f>Table3[[#This Row],[Profit]]/Table3[[#This Row],[Sales]]</f>
        <v>0.35875861880056115</v>
      </c>
    </row>
    <row r="1704" spans="1:12" x14ac:dyDescent="0.25">
      <c r="A1704" t="s">
        <v>572</v>
      </c>
      <c r="B1704" s="2">
        <v>44972</v>
      </c>
      <c r="C1704" s="2" t="str">
        <f>TEXT(Table3[[#This Row],[Order Date]],"mmmm")</f>
        <v>February</v>
      </c>
      <c r="D1704" t="s">
        <v>3731</v>
      </c>
      <c r="E1704" t="s">
        <v>3225</v>
      </c>
      <c r="F1704" t="s">
        <v>3226</v>
      </c>
      <c r="G1704" s="4">
        <v>66593.36</v>
      </c>
      <c r="H1704" s="4">
        <v>42753.61</v>
      </c>
      <c r="I1704" s="3" t="s">
        <v>3734</v>
      </c>
      <c r="J1704">
        <v>3</v>
      </c>
      <c r="K1704" s="4">
        <f>Table3[[#This Row],[Sales]]-Table3[[#This Row],[Cost]]</f>
        <v>23839.75</v>
      </c>
      <c r="L1704" s="6">
        <f>Table3[[#This Row],[Profit]]/Table3[[#This Row],[Sales]]</f>
        <v>0.35798989568929995</v>
      </c>
    </row>
    <row r="1705" spans="1:12" x14ac:dyDescent="0.25">
      <c r="A1705" t="s">
        <v>1619</v>
      </c>
      <c r="B1705" s="2">
        <v>44972</v>
      </c>
      <c r="C1705" s="2" t="str">
        <f>TEXT(Table3[[#This Row],[Order Date]],"mmmm")</f>
        <v>February</v>
      </c>
      <c r="D1705" t="s">
        <v>3730</v>
      </c>
      <c r="E1705" t="s">
        <v>3222</v>
      </c>
      <c r="F1705" t="s">
        <v>3226</v>
      </c>
      <c r="G1705" s="4">
        <v>12846.85</v>
      </c>
      <c r="H1705" s="4">
        <v>9468.15</v>
      </c>
      <c r="I1705" s="3" t="s">
        <v>3734</v>
      </c>
      <c r="J1705">
        <v>1</v>
      </c>
      <c r="K1705" s="4">
        <f>Table3[[#This Row],[Sales]]-Table3[[#This Row],[Cost]]</f>
        <v>3378.7000000000007</v>
      </c>
      <c r="L1705" s="6">
        <f>Table3[[#This Row],[Profit]]/Table3[[#This Row],[Sales]]</f>
        <v>0.26299832254599381</v>
      </c>
    </row>
    <row r="1706" spans="1:12" x14ac:dyDescent="0.25">
      <c r="A1706" t="s">
        <v>1620</v>
      </c>
      <c r="B1706" s="2">
        <v>44972</v>
      </c>
      <c r="C1706" s="2" t="str">
        <f>TEXT(Table3[[#This Row],[Order Date]],"mmmm")</f>
        <v>February</v>
      </c>
      <c r="D1706" t="s">
        <v>3220</v>
      </c>
      <c r="E1706" t="s">
        <v>3223</v>
      </c>
      <c r="F1706" t="s">
        <v>3226</v>
      </c>
      <c r="G1706" s="4">
        <v>32768.82</v>
      </c>
      <c r="H1706" s="4">
        <v>19516.87</v>
      </c>
      <c r="I1706" s="3" t="s">
        <v>3734</v>
      </c>
      <c r="J1706">
        <v>3</v>
      </c>
      <c r="K1706" s="4">
        <f>Table3[[#This Row],[Sales]]-Table3[[#This Row],[Cost]]</f>
        <v>13251.95</v>
      </c>
      <c r="L1706" s="6">
        <f>Table3[[#This Row],[Profit]]/Table3[[#This Row],[Sales]]</f>
        <v>0.40440729937788422</v>
      </c>
    </row>
    <row r="1707" spans="1:12" x14ac:dyDescent="0.25">
      <c r="A1707" t="s">
        <v>1621</v>
      </c>
      <c r="B1707" s="2">
        <v>44941</v>
      </c>
      <c r="C1707" s="2" t="str">
        <f>TEXT(Table3[[#This Row],[Order Date]],"mmmm")</f>
        <v>January</v>
      </c>
      <c r="D1707" t="s">
        <v>3730</v>
      </c>
      <c r="E1707" t="s">
        <v>3222</v>
      </c>
      <c r="F1707" t="s">
        <v>3226</v>
      </c>
      <c r="G1707" s="4">
        <v>24398.36</v>
      </c>
      <c r="H1707" s="4">
        <v>17407.96</v>
      </c>
      <c r="I1707" s="3" t="s">
        <v>3734</v>
      </c>
      <c r="J1707">
        <v>2</v>
      </c>
      <c r="K1707" s="4">
        <f>Table3[[#This Row],[Sales]]-Table3[[#This Row],[Cost]]</f>
        <v>6990.4000000000015</v>
      </c>
      <c r="L1707" s="6">
        <f>Table3[[#This Row],[Profit]]/Table3[[#This Row],[Sales]]</f>
        <v>0.28651106057948161</v>
      </c>
    </row>
    <row r="1708" spans="1:12" x14ac:dyDescent="0.25">
      <c r="A1708" t="s">
        <v>3504</v>
      </c>
      <c r="B1708" s="2">
        <v>45102</v>
      </c>
      <c r="C1708" s="2" t="str">
        <f>TEXT(Table3[[#This Row],[Order Date]],"mmmm")</f>
        <v>June</v>
      </c>
      <c r="D1708" t="s">
        <v>3216</v>
      </c>
      <c r="E1708" t="s">
        <v>3223</v>
      </c>
      <c r="F1708" t="s">
        <v>3226</v>
      </c>
      <c r="G1708" s="4">
        <v>9925.7199999999993</v>
      </c>
      <c r="H1708" s="4">
        <v>6507.65</v>
      </c>
      <c r="I1708" s="3" t="s">
        <v>3734</v>
      </c>
      <c r="J1708">
        <v>1</v>
      </c>
      <c r="K1708" s="4">
        <f>Table3[[#This Row],[Sales]]-Table3[[#This Row],[Cost]]</f>
        <v>3418.0699999999997</v>
      </c>
      <c r="L1708" s="6">
        <f>Table3[[#This Row],[Profit]]/Table3[[#This Row],[Sales]]</f>
        <v>0.34436494279508184</v>
      </c>
    </row>
    <row r="1709" spans="1:12" x14ac:dyDescent="0.25">
      <c r="A1709" t="s">
        <v>1622</v>
      </c>
      <c r="B1709" s="2">
        <v>45005</v>
      </c>
      <c r="C1709" s="2" t="str">
        <f>TEXT(Table3[[#This Row],[Order Date]],"mmmm")</f>
        <v>March</v>
      </c>
      <c r="D1709" t="s">
        <v>3220</v>
      </c>
      <c r="E1709" t="s">
        <v>3224</v>
      </c>
      <c r="F1709" t="s">
        <v>3226</v>
      </c>
      <c r="G1709" s="4">
        <v>111287.82</v>
      </c>
      <c r="H1709" s="4">
        <v>88369.33</v>
      </c>
      <c r="I1709" s="3" t="s">
        <v>3734</v>
      </c>
      <c r="J1709">
        <v>2</v>
      </c>
      <c r="K1709" s="4">
        <f>Table3[[#This Row],[Sales]]-Table3[[#This Row],[Cost]]</f>
        <v>22918.490000000005</v>
      </c>
      <c r="L1709" s="6">
        <f>Table3[[#This Row],[Profit]]/Table3[[#This Row],[Sales]]</f>
        <v>0.20593888890985557</v>
      </c>
    </row>
    <row r="1710" spans="1:12" x14ac:dyDescent="0.25">
      <c r="A1710" t="s">
        <v>1623</v>
      </c>
      <c r="B1710" s="2">
        <v>44972</v>
      </c>
      <c r="C1710" s="2" t="str">
        <f>TEXT(Table3[[#This Row],[Order Date]],"mmmm")</f>
        <v>February</v>
      </c>
      <c r="D1710" t="s">
        <v>3220</v>
      </c>
      <c r="E1710" t="s">
        <v>3224</v>
      </c>
      <c r="F1710" t="s">
        <v>3226</v>
      </c>
      <c r="G1710" s="4">
        <v>49618.17</v>
      </c>
      <c r="H1710" s="4">
        <v>43478.14</v>
      </c>
      <c r="I1710" s="3" t="s">
        <v>3734</v>
      </c>
      <c r="J1710" t="s">
        <v>3732</v>
      </c>
      <c r="K1710" s="4">
        <f>Table3[[#This Row],[Sales]]-Table3[[#This Row],[Cost]]</f>
        <v>6140.0299999999988</v>
      </c>
      <c r="L1710" s="6">
        <f>Table3[[#This Row],[Profit]]/Table3[[#This Row],[Sales]]</f>
        <v>0.12374559561547713</v>
      </c>
    </row>
    <row r="1711" spans="1:12" x14ac:dyDescent="0.25">
      <c r="A1711" t="s">
        <v>3511</v>
      </c>
      <c r="B1711" s="2">
        <v>45005</v>
      </c>
      <c r="C1711" s="2" t="str">
        <f>TEXT(Table3[[#This Row],[Order Date]],"mmmm")</f>
        <v>March</v>
      </c>
      <c r="D1711" t="s">
        <v>3220</v>
      </c>
      <c r="E1711" t="s">
        <v>3223</v>
      </c>
      <c r="F1711" t="s">
        <v>3226</v>
      </c>
      <c r="G1711" s="4">
        <v>50437.04</v>
      </c>
      <c r="H1711" s="4">
        <v>30936.94</v>
      </c>
      <c r="I1711" s="3" t="s">
        <v>3734</v>
      </c>
      <c r="J1711">
        <v>5</v>
      </c>
      <c r="K1711" s="4">
        <f>Table3[[#This Row],[Sales]]-Table3[[#This Row],[Cost]]</f>
        <v>19500.100000000002</v>
      </c>
      <c r="L1711" s="6">
        <f>Table3[[#This Row],[Profit]]/Table3[[#This Row],[Sales]]</f>
        <v>0.3866226090983928</v>
      </c>
    </row>
    <row r="1712" spans="1:12" x14ac:dyDescent="0.25">
      <c r="A1712" t="s">
        <v>3512</v>
      </c>
      <c r="B1712" s="2">
        <v>44972</v>
      </c>
      <c r="C1712" s="2" t="str">
        <f>TEXT(Table3[[#This Row],[Order Date]],"mmmm")</f>
        <v>February</v>
      </c>
      <c r="D1712" t="s">
        <v>3216</v>
      </c>
      <c r="E1712" t="s">
        <v>3222</v>
      </c>
      <c r="F1712" t="s">
        <v>3226</v>
      </c>
      <c r="G1712" s="4">
        <v>60023.08</v>
      </c>
      <c r="H1712" s="4">
        <v>37311.760000000002</v>
      </c>
      <c r="I1712" s="3" t="s">
        <v>3734</v>
      </c>
      <c r="J1712">
        <v>4</v>
      </c>
      <c r="K1712" s="4">
        <f>Table3[[#This Row],[Sales]]-Table3[[#This Row],[Cost]]</f>
        <v>22711.32</v>
      </c>
      <c r="L1712" s="6">
        <f>Table3[[#This Row],[Profit]]/Table3[[#This Row],[Sales]]</f>
        <v>0.37837645119177488</v>
      </c>
    </row>
    <row r="1713" spans="1:12" x14ac:dyDescent="0.25">
      <c r="A1713" t="s">
        <v>1626</v>
      </c>
      <c r="B1713" s="2">
        <v>44972</v>
      </c>
      <c r="C1713" s="2" t="str">
        <f>TEXT(Table3[[#This Row],[Order Date]],"mmmm")</f>
        <v>February</v>
      </c>
      <c r="D1713" t="s">
        <v>3730</v>
      </c>
      <c r="E1713" t="s">
        <v>3225</v>
      </c>
      <c r="F1713" t="s">
        <v>3226</v>
      </c>
      <c r="G1713" s="4">
        <v>72504.759999999995</v>
      </c>
      <c r="H1713" s="4">
        <v>54809.83</v>
      </c>
      <c r="I1713" s="3" t="s">
        <v>3734</v>
      </c>
      <c r="J1713">
        <v>4</v>
      </c>
      <c r="K1713" s="4">
        <f>Table3[[#This Row],[Sales]]-Table3[[#This Row],[Cost]]</f>
        <v>17694.929999999993</v>
      </c>
      <c r="L1713" s="6">
        <f>Table3[[#This Row],[Profit]]/Table3[[#This Row],[Sales]]</f>
        <v>0.24405197672539009</v>
      </c>
    </row>
    <row r="1714" spans="1:12" x14ac:dyDescent="0.25">
      <c r="A1714" t="s">
        <v>3491</v>
      </c>
      <c r="B1714" s="2">
        <v>45102</v>
      </c>
      <c r="C1714" s="2" t="str">
        <f>TEXT(Table3[[#This Row],[Order Date]],"mmmm")</f>
        <v>June</v>
      </c>
      <c r="D1714" t="s">
        <v>3730</v>
      </c>
      <c r="E1714" t="s">
        <v>3223</v>
      </c>
      <c r="F1714" t="s">
        <v>3226</v>
      </c>
      <c r="G1714" s="4">
        <v>10438.24</v>
      </c>
      <c r="H1714" s="4">
        <v>7143.04</v>
      </c>
      <c r="I1714" s="3" t="s">
        <v>3734</v>
      </c>
      <c r="J1714">
        <v>1</v>
      </c>
      <c r="K1714" s="4">
        <f>Table3[[#This Row],[Sales]]-Table3[[#This Row],[Cost]]</f>
        <v>3295.2</v>
      </c>
      <c r="L1714" s="6">
        <f>Table3[[#This Row],[Profit]]/Table3[[#This Row],[Sales]]</f>
        <v>0.31568540290317143</v>
      </c>
    </row>
    <row r="1715" spans="1:12" x14ac:dyDescent="0.25">
      <c r="A1715" t="s">
        <v>1627</v>
      </c>
      <c r="B1715" s="2" t="s">
        <v>3729</v>
      </c>
      <c r="C1715" s="2" t="str">
        <f>TEXT(Table3[[#This Row],[Order Date]],"mmmm")</f>
        <v>Not Mentioned</v>
      </c>
      <c r="D1715" t="s">
        <v>3730</v>
      </c>
      <c r="E1715" t="s">
        <v>3224</v>
      </c>
      <c r="F1715" t="s">
        <v>3226</v>
      </c>
      <c r="G1715" s="4">
        <v>256295.6</v>
      </c>
      <c r="H1715" s="4">
        <v>195354.97</v>
      </c>
      <c r="I1715" s="3" t="s">
        <v>3734</v>
      </c>
      <c r="J1715">
        <v>4</v>
      </c>
      <c r="K1715" s="4">
        <f>Table3[[#This Row],[Sales]]-Table3[[#This Row],[Cost]]</f>
        <v>60940.630000000005</v>
      </c>
      <c r="L1715" s="6">
        <f>Table3[[#This Row],[Profit]]/Table3[[#This Row],[Sales]]</f>
        <v>0.23777478037079061</v>
      </c>
    </row>
    <row r="1716" spans="1:12" x14ac:dyDescent="0.25">
      <c r="A1716" t="s">
        <v>1628</v>
      </c>
      <c r="B1716" s="2">
        <v>45021</v>
      </c>
      <c r="C1716" s="2" t="str">
        <f>TEXT(Table3[[#This Row],[Order Date]],"mmmm")</f>
        <v>April</v>
      </c>
      <c r="D1716" t="s">
        <v>3220</v>
      </c>
      <c r="E1716" t="s">
        <v>3225</v>
      </c>
      <c r="F1716" t="s">
        <v>3226</v>
      </c>
      <c r="G1716" s="4">
        <v>90831.45</v>
      </c>
      <c r="H1716" s="4">
        <v>50192.46</v>
      </c>
      <c r="I1716" s="3" t="s">
        <v>3734</v>
      </c>
      <c r="J1716">
        <v>4</v>
      </c>
      <c r="K1716" s="4">
        <f>Table3[[#This Row],[Sales]]-Table3[[#This Row],[Cost]]</f>
        <v>40638.99</v>
      </c>
      <c r="L1716" s="6">
        <f>Table3[[#This Row],[Profit]]/Table3[[#This Row],[Sales]]</f>
        <v>0.44741100136571638</v>
      </c>
    </row>
    <row r="1717" spans="1:12" x14ac:dyDescent="0.25">
      <c r="A1717" t="s">
        <v>1629</v>
      </c>
      <c r="B1717" s="2">
        <v>44941</v>
      </c>
      <c r="C1717" s="2" t="str">
        <f>TEXT(Table3[[#This Row],[Order Date]],"mmmm")</f>
        <v>January</v>
      </c>
      <c r="D1717" t="s">
        <v>3730</v>
      </c>
      <c r="E1717" t="s">
        <v>3222</v>
      </c>
      <c r="F1717" t="s">
        <v>3226</v>
      </c>
      <c r="G1717" s="4">
        <v>59236.27</v>
      </c>
      <c r="H1717" s="4">
        <v>43062.66</v>
      </c>
      <c r="I1717" s="3" t="s">
        <v>3734</v>
      </c>
      <c r="J1717">
        <v>4</v>
      </c>
      <c r="K1717" s="4">
        <f>Table3[[#This Row],[Sales]]-Table3[[#This Row],[Cost]]</f>
        <v>16173.609999999993</v>
      </c>
      <c r="L1717" s="6">
        <f>Table3[[#This Row],[Profit]]/Table3[[#This Row],[Sales]]</f>
        <v>0.27303559120113391</v>
      </c>
    </row>
    <row r="1718" spans="1:12" x14ac:dyDescent="0.25">
      <c r="A1718" t="s">
        <v>3276</v>
      </c>
      <c r="B1718" s="2">
        <v>44941</v>
      </c>
      <c r="C1718" s="2" t="str">
        <f>TEXT(Table3[[#This Row],[Order Date]],"mmmm")</f>
        <v>January</v>
      </c>
      <c r="D1718" t="s">
        <v>3731</v>
      </c>
      <c r="E1718" t="s">
        <v>3223</v>
      </c>
      <c r="F1718" t="s">
        <v>3226</v>
      </c>
      <c r="G1718" s="4">
        <v>44465.52</v>
      </c>
      <c r="H1718" s="4">
        <v>27734.55</v>
      </c>
      <c r="I1718" s="3" t="s">
        <v>3734</v>
      </c>
      <c r="J1718">
        <v>4</v>
      </c>
      <c r="K1718" s="4">
        <f>Table3[[#This Row],[Sales]]-Table3[[#This Row],[Cost]]</f>
        <v>16730.969999999998</v>
      </c>
      <c r="L1718" s="6">
        <f>Table3[[#This Row],[Profit]]/Table3[[#This Row],[Sales]]</f>
        <v>0.37626839852541921</v>
      </c>
    </row>
    <row r="1719" spans="1:12" x14ac:dyDescent="0.25">
      <c r="A1719" t="s">
        <v>1630</v>
      </c>
      <c r="B1719" s="2">
        <v>45102</v>
      </c>
      <c r="C1719" s="2" t="str">
        <f>TEXT(Table3[[#This Row],[Order Date]],"mmmm")</f>
        <v>June</v>
      </c>
      <c r="D1719" t="s">
        <v>3730</v>
      </c>
      <c r="E1719" t="s">
        <v>3224</v>
      </c>
      <c r="F1719" t="s">
        <v>3226</v>
      </c>
      <c r="G1719" s="4">
        <v>289398.09999999998</v>
      </c>
      <c r="H1719" s="4">
        <v>197315.08</v>
      </c>
      <c r="I1719" s="3" t="s">
        <v>3734</v>
      </c>
      <c r="J1719">
        <v>5</v>
      </c>
      <c r="K1719" s="4">
        <f>Table3[[#This Row],[Sales]]-Table3[[#This Row],[Cost]]</f>
        <v>92083.01999999999</v>
      </c>
      <c r="L1719" s="6">
        <f>Table3[[#This Row],[Profit]]/Table3[[#This Row],[Sales]]</f>
        <v>0.31818805997689686</v>
      </c>
    </row>
    <row r="1720" spans="1:12" x14ac:dyDescent="0.25">
      <c r="A1720" t="s">
        <v>1631</v>
      </c>
      <c r="B1720" s="2">
        <v>45021</v>
      </c>
      <c r="C1720" s="2" t="str">
        <f>TEXT(Table3[[#This Row],[Order Date]],"mmmm")</f>
        <v>April</v>
      </c>
      <c r="D1720" t="s">
        <v>3220</v>
      </c>
      <c r="E1720" t="s">
        <v>3223</v>
      </c>
      <c r="F1720" t="s">
        <v>3226</v>
      </c>
      <c r="G1720" s="4">
        <v>30333.83</v>
      </c>
      <c r="H1720" s="4">
        <v>21549.040000000001</v>
      </c>
      <c r="I1720" s="3" t="s">
        <v>3734</v>
      </c>
      <c r="J1720">
        <v>3</v>
      </c>
      <c r="K1720" s="4">
        <f>Table3[[#This Row],[Sales]]-Table3[[#This Row],[Cost]]</f>
        <v>8784.7900000000009</v>
      </c>
      <c r="L1720" s="6">
        <f>Table3[[#This Row],[Profit]]/Table3[[#This Row],[Sales]]</f>
        <v>0.28960371967535919</v>
      </c>
    </row>
    <row r="1721" spans="1:12" x14ac:dyDescent="0.25">
      <c r="A1721" t="s">
        <v>3412</v>
      </c>
      <c r="B1721" s="2" t="s">
        <v>3729</v>
      </c>
      <c r="C1721" s="2" t="str">
        <f>TEXT(Table3[[#This Row],[Order Date]],"mmmm")</f>
        <v>Not Mentioned</v>
      </c>
      <c r="D1721" t="s">
        <v>3730</v>
      </c>
      <c r="E1721" t="s">
        <v>3222</v>
      </c>
      <c r="F1721" t="s">
        <v>3226</v>
      </c>
      <c r="G1721" s="4">
        <v>16685.490000000002</v>
      </c>
      <c r="H1721" s="4">
        <v>10817.96</v>
      </c>
      <c r="I1721" s="3" t="s">
        <v>3734</v>
      </c>
      <c r="J1721">
        <v>1</v>
      </c>
      <c r="K1721" s="4">
        <f>Table3[[#This Row],[Sales]]-Table3[[#This Row],[Cost]]</f>
        <v>5867.5300000000025</v>
      </c>
      <c r="L1721" s="6">
        <f>Table3[[#This Row],[Profit]]/Table3[[#This Row],[Sales]]</f>
        <v>0.35165464124817442</v>
      </c>
    </row>
    <row r="1722" spans="1:12" x14ac:dyDescent="0.25">
      <c r="A1722" t="s">
        <v>1632</v>
      </c>
      <c r="B1722" s="2">
        <v>45102</v>
      </c>
      <c r="C1722" s="2" t="str">
        <f>TEXT(Table3[[#This Row],[Order Date]],"mmmm")</f>
        <v>June</v>
      </c>
      <c r="D1722" t="s">
        <v>3730</v>
      </c>
      <c r="E1722" t="s">
        <v>3225</v>
      </c>
      <c r="F1722" t="s">
        <v>3226</v>
      </c>
      <c r="G1722" s="4">
        <v>33074.519999999997</v>
      </c>
      <c r="H1722" s="4">
        <v>28917.25</v>
      </c>
      <c r="I1722" s="3" t="s">
        <v>3734</v>
      </c>
      <c r="J1722">
        <v>2</v>
      </c>
      <c r="K1722" s="4">
        <f>Table3[[#This Row],[Sales]]-Table3[[#This Row],[Cost]]</f>
        <v>4157.2699999999968</v>
      </c>
      <c r="L1722" s="6">
        <f>Table3[[#This Row],[Profit]]/Table3[[#This Row],[Sales]]</f>
        <v>0.12569403879481841</v>
      </c>
    </row>
    <row r="1723" spans="1:12" x14ac:dyDescent="0.25">
      <c r="A1723" t="s">
        <v>1633</v>
      </c>
      <c r="B1723" s="2">
        <v>44941</v>
      </c>
      <c r="C1723" s="2" t="str">
        <f>TEXT(Table3[[#This Row],[Order Date]],"mmmm")</f>
        <v>January</v>
      </c>
      <c r="D1723" t="s">
        <v>3730</v>
      </c>
      <c r="E1723" t="s">
        <v>3225</v>
      </c>
      <c r="F1723" t="s">
        <v>3226</v>
      </c>
      <c r="G1723" s="4">
        <v>69225.33</v>
      </c>
      <c r="H1723" s="4">
        <v>60642.400000000001</v>
      </c>
      <c r="I1723" s="3" t="s">
        <v>3734</v>
      </c>
      <c r="J1723">
        <v>4</v>
      </c>
      <c r="K1723" s="4">
        <f>Table3[[#This Row],[Sales]]-Table3[[#This Row],[Cost]]</f>
        <v>8582.93</v>
      </c>
      <c r="L1723" s="6">
        <f>Table3[[#This Row],[Profit]]/Table3[[#This Row],[Sales]]</f>
        <v>0.12398539667488764</v>
      </c>
    </row>
    <row r="1724" spans="1:12" x14ac:dyDescent="0.25">
      <c r="A1724" t="s">
        <v>1634</v>
      </c>
      <c r="B1724" s="2">
        <v>45102</v>
      </c>
      <c r="C1724" s="2" t="str">
        <f>TEXT(Table3[[#This Row],[Order Date]],"mmmm")</f>
        <v>June</v>
      </c>
      <c r="D1724" t="s">
        <v>3730</v>
      </c>
      <c r="E1724" t="s">
        <v>3222</v>
      </c>
      <c r="F1724" t="s">
        <v>3226</v>
      </c>
      <c r="G1724" s="4">
        <v>16247.35</v>
      </c>
      <c r="H1724" s="4">
        <v>8956.6</v>
      </c>
      <c r="I1724" s="3" t="s">
        <v>3734</v>
      </c>
      <c r="J1724">
        <v>1</v>
      </c>
      <c r="K1724" s="4">
        <f>Table3[[#This Row],[Sales]]-Table3[[#This Row],[Cost]]</f>
        <v>7290.75</v>
      </c>
      <c r="L1724" s="6">
        <f>Table3[[#This Row],[Profit]]/Table3[[#This Row],[Sales]]</f>
        <v>0.44873471673842197</v>
      </c>
    </row>
    <row r="1725" spans="1:12" x14ac:dyDescent="0.25">
      <c r="A1725" t="s">
        <v>1635</v>
      </c>
      <c r="B1725" s="2">
        <v>45005</v>
      </c>
      <c r="C1725" s="2" t="str">
        <f>TEXT(Table3[[#This Row],[Order Date]],"mmmm")</f>
        <v>March</v>
      </c>
      <c r="D1725" t="s">
        <v>3220</v>
      </c>
      <c r="E1725" t="s">
        <v>3225</v>
      </c>
      <c r="F1725" t="s">
        <v>3226</v>
      </c>
      <c r="G1725" s="4">
        <v>35922.019999999997</v>
      </c>
      <c r="H1725" s="4">
        <v>28964.720000000001</v>
      </c>
      <c r="I1725" s="3" t="s">
        <v>3734</v>
      </c>
      <c r="J1725">
        <v>2</v>
      </c>
      <c r="K1725" s="4">
        <f>Table3[[#This Row],[Sales]]-Table3[[#This Row],[Cost]]</f>
        <v>6957.2999999999956</v>
      </c>
      <c r="L1725" s="6">
        <f>Table3[[#This Row],[Profit]]/Table3[[#This Row],[Sales]]</f>
        <v>0.19367786110023869</v>
      </c>
    </row>
    <row r="1726" spans="1:12" x14ac:dyDescent="0.25">
      <c r="A1726" t="s">
        <v>1636</v>
      </c>
      <c r="B1726" s="2">
        <v>45102</v>
      </c>
      <c r="C1726" s="2" t="str">
        <f>TEXT(Table3[[#This Row],[Order Date]],"mmmm")</f>
        <v>June</v>
      </c>
      <c r="D1726" t="s">
        <v>3730</v>
      </c>
      <c r="E1726" t="s">
        <v>3224</v>
      </c>
      <c r="F1726" t="s">
        <v>3226</v>
      </c>
      <c r="G1726" s="4">
        <v>242168</v>
      </c>
      <c r="H1726" s="4">
        <v>225482.71</v>
      </c>
      <c r="I1726" s="3" t="s">
        <v>3734</v>
      </c>
      <c r="J1726">
        <v>5</v>
      </c>
      <c r="K1726" s="4">
        <f>Table3[[#This Row],[Sales]]-Table3[[#This Row],[Cost]]</f>
        <v>16685.290000000008</v>
      </c>
      <c r="L1726" s="6">
        <f>Table3[[#This Row],[Profit]]/Table3[[#This Row],[Sales]]</f>
        <v>6.8899648178124315E-2</v>
      </c>
    </row>
    <row r="1727" spans="1:12" x14ac:dyDescent="0.25">
      <c r="A1727" t="s">
        <v>1637</v>
      </c>
      <c r="B1727" s="2">
        <v>45102</v>
      </c>
      <c r="C1727" s="2" t="str">
        <f>TEXT(Table3[[#This Row],[Order Date]],"mmmm")</f>
        <v>June</v>
      </c>
      <c r="D1727" t="s">
        <v>3730</v>
      </c>
      <c r="E1727" t="s">
        <v>3225</v>
      </c>
      <c r="F1727" t="s">
        <v>3226</v>
      </c>
      <c r="G1727" s="4">
        <v>46838.2</v>
      </c>
      <c r="H1727" s="4">
        <v>25203.759999999998</v>
      </c>
      <c r="I1727" s="3" t="s">
        <v>3734</v>
      </c>
      <c r="J1727">
        <v>2</v>
      </c>
      <c r="K1727" s="4">
        <f>Table3[[#This Row],[Sales]]-Table3[[#This Row],[Cost]]</f>
        <v>21634.44</v>
      </c>
      <c r="L1727" s="6">
        <f>Table3[[#This Row],[Profit]]/Table3[[#This Row],[Sales]]</f>
        <v>0.46189734020521711</v>
      </c>
    </row>
    <row r="1728" spans="1:12" x14ac:dyDescent="0.25">
      <c r="A1728" t="s">
        <v>1638</v>
      </c>
      <c r="B1728" s="2">
        <v>44972</v>
      </c>
      <c r="C1728" s="2" t="str">
        <f>TEXT(Table3[[#This Row],[Order Date]],"mmmm")</f>
        <v>February</v>
      </c>
      <c r="D1728" t="s">
        <v>3731</v>
      </c>
      <c r="E1728" t="s">
        <v>3225</v>
      </c>
      <c r="F1728" t="s">
        <v>3226</v>
      </c>
      <c r="G1728" s="4">
        <v>98474.58</v>
      </c>
      <c r="H1728" s="4">
        <v>70693.03</v>
      </c>
      <c r="I1728" s="3" t="s">
        <v>3734</v>
      </c>
      <c r="J1728" t="s">
        <v>3732</v>
      </c>
      <c r="K1728" s="4">
        <f>Table3[[#This Row],[Sales]]-Table3[[#This Row],[Cost]]</f>
        <v>27781.550000000003</v>
      </c>
      <c r="L1728" s="6">
        <f>Table3[[#This Row],[Profit]]/Table3[[#This Row],[Sales]]</f>
        <v>0.28211899964437526</v>
      </c>
    </row>
    <row r="1729" spans="1:12" x14ac:dyDescent="0.25">
      <c r="A1729" t="s">
        <v>1639</v>
      </c>
      <c r="B1729" s="2">
        <v>45005</v>
      </c>
      <c r="C1729" s="2" t="str">
        <f>TEXT(Table3[[#This Row],[Order Date]],"mmmm")</f>
        <v>March</v>
      </c>
      <c r="D1729" t="s">
        <v>3220</v>
      </c>
      <c r="E1729" t="s">
        <v>3225</v>
      </c>
      <c r="F1729" t="s">
        <v>3226</v>
      </c>
      <c r="G1729" s="4">
        <v>100905.74</v>
      </c>
      <c r="H1729" s="4">
        <v>65536.84</v>
      </c>
      <c r="I1729" s="3" t="s">
        <v>3734</v>
      </c>
      <c r="J1729">
        <v>5</v>
      </c>
      <c r="K1729" s="4">
        <f>Table3[[#This Row],[Sales]]-Table3[[#This Row],[Cost]]</f>
        <v>35368.900000000009</v>
      </c>
      <c r="L1729" s="6">
        <f>Table3[[#This Row],[Profit]]/Table3[[#This Row],[Sales]]</f>
        <v>0.35051425221201499</v>
      </c>
    </row>
    <row r="1730" spans="1:12" x14ac:dyDescent="0.25">
      <c r="A1730" t="s">
        <v>3513</v>
      </c>
      <c r="B1730" s="2">
        <v>45021</v>
      </c>
      <c r="C1730" s="2" t="str">
        <f>TEXT(Table3[[#This Row],[Order Date]],"mmmm")</f>
        <v>April</v>
      </c>
      <c r="D1730" t="s">
        <v>3220</v>
      </c>
      <c r="E1730" t="s">
        <v>3222</v>
      </c>
      <c r="F1730" t="s">
        <v>3226</v>
      </c>
      <c r="G1730" s="4">
        <v>41443.17</v>
      </c>
      <c r="H1730" s="4">
        <v>27290.54</v>
      </c>
      <c r="I1730" s="3" t="s">
        <v>3734</v>
      </c>
      <c r="J1730">
        <v>3</v>
      </c>
      <c r="K1730" s="4">
        <f>Table3[[#This Row],[Sales]]-Table3[[#This Row],[Cost]]</f>
        <v>14152.629999999997</v>
      </c>
      <c r="L1730" s="6">
        <f>Table3[[#This Row],[Profit]]/Table3[[#This Row],[Sales]]</f>
        <v>0.34149487116936272</v>
      </c>
    </row>
    <row r="1731" spans="1:12" x14ac:dyDescent="0.25">
      <c r="A1731" t="s">
        <v>1641</v>
      </c>
      <c r="B1731" s="2">
        <v>44941</v>
      </c>
      <c r="C1731" s="2" t="str">
        <f>TEXT(Table3[[#This Row],[Order Date]],"mmmm")</f>
        <v>January</v>
      </c>
      <c r="D1731" t="s">
        <v>3731</v>
      </c>
      <c r="E1731" t="s">
        <v>3225</v>
      </c>
      <c r="F1731" t="s">
        <v>3226</v>
      </c>
      <c r="G1731" s="4">
        <v>39852.92</v>
      </c>
      <c r="H1731" s="4">
        <v>26936.639999999999</v>
      </c>
      <c r="I1731" s="3" t="s">
        <v>3734</v>
      </c>
      <c r="J1731">
        <v>2</v>
      </c>
      <c r="K1731" s="4">
        <f>Table3[[#This Row],[Sales]]-Table3[[#This Row],[Cost]]</f>
        <v>12916.279999999999</v>
      </c>
      <c r="L1731" s="6">
        <f>Table3[[#This Row],[Profit]]/Table3[[#This Row],[Sales]]</f>
        <v>0.32409871096020065</v>
      </c>
    </row>
    <row r="1732" spans="1:12" x14ac:dyDescent="0.25">
      <c r="A1732" t="s">
        <v>1642</v>
      </c>
      <c r="B1732" s="2" t="s">
        <v>3729</v>
      </c>
      <c r="C1732" s="2" t="str">
        <f>TEXT(Table3[[#This Row],[Order Date]],"mmmm")</f>
        <v>Not Mentioned</v>
      </c>
      <c r="D1732" t="s">
        <v>3731</v>
      </c>
      <c r="E1732" t="s">
        <v>3224</v>
      </c>
      <c r="F1732" t="s">
        <v>3226</v>
      </c>
      <c r="G1732" s="4">
        <v>61667.8</v>
      </c>
      <c r="H1732" s="4">
        <v>38460.65</v>
      </c>
      <c r="I1732" s="3" t="s">
        <v>3734</v>
      </c>
      <c r="J1732">
        <v>1</v>
      </c>
      <c r="K1732" s="4">
        <f>Table3[[#This Row],[Sales]]-Table3[[#This Row],[Cost]]</f>
        <v>23207.15</v>
      </c>
      <c r="L1732" s="6">
        <f>Table3[[#This Row],[Profit]]/Table3[[#This Row],[Sales]]</f>
        <v>0.37632524591439942</v>
      </c>
    </row>
    <row r="1733" spans="1:12" x14ac:dyDescent="0.25">
      <c r="A1733" t="s">
        <v>1643</v>
      </c>
      <c r="B1733" s="2">
        <v>45021</v>
      </c>
      <c r="C1733" s="2" t="str">
        <f>TEXT(Table3[[#This Row],[Order Date]],"mmmm")</f>
        <v>April</v>
      </c>
      <c r="D1733" t="s">
        <v>3216</v>
      </c>
      <c r="E1733" t="s">
        <v>3222</v>
      </c>
      <c r="F1733" t="s">
        <v>3226</v>
      </c>
      <c r="G1733" s="4">
        <v>31518.04</v>
      </c>
      <c r="H1733" s="4">
        <v>18403.759999999998</v>
      </c>
      <c r="I1733" s="3" t="s">
        <v>3734</v>
      </c>
      <c r="J1733">
        <v>2</v>
      </c>
      <c r="K1733" s="4">
        <f>Table3[[#This Row],[Sales]]-Table3[[#This Row],[Cost]]</f>
        <v>13114.280000000002</v>
      </c>
      <c r="L1733" s="6">
        <f>Table3[[#This Row],[Profit]]/Table3[[#This Row],[Sales]]</f>
        <v>0.41608805623699957</v>
      </c>
    </row>
    <row r="1734" spans="1:12" x14ac:dyDescent="0.25">
      <c r="A1734" t="s">
        <v>1644</v>
      </c>
      <c r="B1734" s="2">
        <v>45021</v>
      </c>
      <c r="C1734" s="2" t="str">
        <f>TEXT(Table3[[#This Row],[Order Date]],"mmmm")</f>
        <v>April</v>
      </c>
      <c r="D1734" t="s">
        <v>3220</v>
      </c>
      <c r="E1734" t="s">
        <v>3223</v>
      </c>
      <c r="F1734" t="s">
        <v>3226</v>
      </c>
      <c r="G1734" s="4">
        <v>45646.51</v>
      </c>
      <c r="H1734" s="4">
        <v>28717.84</v>
      </c>
      <c r="I1734" s="3" t="s">
        <v>3734</v>
      </c>
      <c r="J1734">
        <v>4</v>
      </c>
      <c r="K1734" s="4">
        <f>Table3[[#This Row],[Sales]]-Table3[[#This Row],[Cost]]</f>
        <v>16928.670000000002</v>
      </c>
      <c r="L1734" s="6">
        <f>Table3[[#This Row],[Profit]]/Table3[[#This Row],[Sales]]</f>
        <v>0.37086449763629248</v>
      </c>
    </row>
    <row r="1735" spans="1:12" x14ac:dyDescent="0.25">
      <c r="A1735" t="s">
        <v>1645</v>
      </c>
      <c r="B1735" s="2">
        <v>45005</v>
      </c>
      <c r="C1735" s="2" t="str">
        <f>TEXT(Table3[[#This Row],[Order Date]],"mmmm")</f>
        <v>March</v>
      </c>
      <c r="D1735" t="s">
        <v>3731</v>
      </c>
      <c r="E1735" t="s">
        <v>3225</v>
      </c>
      <c r="F1735" t="s">
        <v>3226</v>
      </c>
      <c r="G1735" s="4">
        <v>63722.62</v>
      </c>
      <c r="H1735" s="4">
        <v>40578.03</v>
      </c>
      <c r="I1735" s="3" t="s">
        <v>3734</v>
      </c>
      <c r="J1735">
        <v>3</v>
      </c>
      <c r="K1735" s="4">
        <f>Table3[[#This Row],[Sales]]-Table3[[#This Row],[Cost]]</f>
        <v>23144.590000000004</v>
      </c>
      <c r="L1735" s="6">
        <f>Table3[[#This Row],[Profit]]/Table3[[#This Row],[Sales]]</f>
        <v>0.36320838659804011</v>
      </c>
    </row>
    <row r="1736" spans="1:12" x14ac:dyDescent="0.25">
      <c r="A1736" t="s">
        <v>1646</v>
      </c>
      <c r="B1736" s="2">
        <v>45102</v>
      </c>
      <c r="C1736" s="2" t="str">
        <f>TEXT(Table3[[#This Row],[Order Date]],"mmmm")</f>
        <v>June</v>
      </c>
      <c r="D1736" t="s">
        <v>3220</v>
      </c>
      <c r="E1736" t="s">
        <v>3223</v>
      </c>
      <c r="F1736" t="s">
        <v>3226</v>
      </c>
      <c r="G1736" s="4">
        <v>57599.71</v>
      </c>
      <c r="H1736" s="4">
        <v>30632.04</v>
      </c>
      <c r="I1736" s="3" t="s">
        <v>3734</v>
      </c>
      <c r="J1736">
        <v>5</v>
      </c>
      <c r="K1736" s="4">
        <f>Table3[[#This Row],[Sales]]-Table3[[#This Row],[Cost]]</f>
        <v>26967.67</v>
      </c>
      <c r="L1736" s="6">
        <f>Table3[[#This Row],[Profit]]/Table3[[#This Row],[Sales]]</f>
        <v>0.46819107248977465</v>
      </c>
    </row>
    <row r="1737" spans="1:12" x14ac:dyDescent="0.25">
      <c r="A1737" t="s">
        <v>1647</v>
      </c>
      <c r="B1737" s="2">
        <v>45102</v>
      </c>
      <c r="C1737" s="2" t="str">
        <f>TEXT(Table3[[#This Row],[Order Date]],"mmmm")</f>
        <v>June</v>
      </c>
      <c r="D1737" t="s">
        <v>3216</v>
      </c>
      <c r="E1737" t="s">
        <v>3222</v>
      </c>
      <c r="F1737" t="s">
        <v>3226</v>
      </c>
      <c r="G1737" s="4">
        <v>40700.29</v>
      </c>
      <c r="H1737" s="4">
        <v>26213.23</v>
      </c>
      <c r="I1737" s="3" t="s">
        <v>3734</v>
      </c>
      <c r="J1737">
        <v>3</v>
      </c>
      <c r="K1737" s="4">
        <f>Table3[[#This Row],[Sales]]-Table3[[#This Row],[Cost]]</f>
        <v>14487.060000000001</v>
      </c>
      <c r="L1737" s="6">
        <f>Table3[[#This Row],[Profit]]/Table3[[#This Row],[Sales]]</f>
        <v>0.35594488393080248</v>
      </c>
    </row>
    <row r="1738" spans="1:12" x14ac:dyDescent="0.25">
      <c r="A1738" t="s">
        <v>1648</v>
      </c>
      <c r="B1738" s="2">
        <v>45021</v>
      </c>
      <c r="C1738" s="2" t="str">
        <f>TEXT(Table3[[#This Row],[Order Date]],"mmmm")</f>
        <v>April</v>
      </c>
      <c r="D1738" t="s">
        <v>3220</v>
      </c>
      <c r="E1738" t="s">
        <v>3225</v>
      </c>
      <c r="F1738" t="s">
        <v>3226</v>
      </c>
      <c r="G1738" s="4">
        <v>20331.439999999999</v>
      </c>
      <c r="H1738" s="4">
        <v>14050.52</v>
      </c>
      <c r="I1738" s="3" t="s">
        <v>3734</v>
      </c>
      <c r="J1738">
        <v>1</v>
      </c>
      <c r="K1738" s="4">
        <f>Table3[[#This Row],[Sales]]-Table3[[#This Row],[Cost]]</f>
        <v>6280.9199999999983</v>
      </c>
      <c r="L1738" s="6">
        <f>Table3[[#This Row],[Profit]]/Table3[[#This Row],[Sales]]</f>
        <v>0.30892647053037064</v>
      </c>
    </row>
    <row r="1739" spans="1:12" x14ac:dyDescent="0.25">
      <c r="A1739" t="s">
        <v>1649</v>
      </c>
      <c r="B1739" s="2">
        <v>45021</v>
      </c>
      <c r="C1739" s="2" t="str">
        <f>TEXT(Table3[[#This Row],[Order Date]],"mmmm")</f>
        <v>April</v>
      </c>
      <c r="D1739" t="s">
        <v>3220</v>
      </c>
      <c r="E1739" t="s">
        <v>3223</v>
      </c>
      <c r="F1739" t="s">
        <v>3226</v>
      </c>
      <c r="G1739" s="4">
        <v>44838.44</v>
      </c>
      <c r="H1739" s="4">
        <v>28205.54</v>
      </c>
      <c r="I1739" s="3" t="s">
        <v>3734</v>
      </c>
      <c r="J1739">
        <v>4</v>
      </c>
      <c r="K1739" s="4">
        <f>Table3[[#This Row],[Sales]]-Table3[[#This Row],[Cost]]</f>
        <v>16632.900000000001</v>
      </c>
      <c r="L1739" s="6">
        <f>Table3[[#This Row],[Profit]]/Table3[[#This Row],[Sales]]</f>
        <v>0.3709517993935561</v>
      </c>
    </row>
    <row r="1740" spans="1:12" x14ac:dyDescent="0.25">
      <c r="A1740" t="s">
        <v>1650</v>
      </c>
      <c r="B1740" s="2">
        <v>45102</v>
      </c>
      <c r="C1740" s="2" t="str">
        <f>TEXT(Table3[[#This Row],[Order Date]],"mmmm")</f>
        <v>June</v>
      </c>
      <c r="D1740" t="s">
        <v>3220</v>
      </c>
      <c r="E1740" t="s">
        <v>3222</v>
      </c>
      <c r="F1740" t="s">
        <v>3226</v>
      </c>
      <c r="G1740" s="4">
        <v>65380.94</v>
      </c>
      <c r="H1740" s="4">
        <v>36701.47</v>
      </c>
      <c r="I1740" s="3" t="s">
        <v>3734</v>
      </c>
      <c r="J1740">
        <v>4</v>
      </c>
      <c r="K1740" s="4">
        <f>Table3[[#This Row],[Sales]]-Table3[[#This Row],[Cost]]</f>
        <v>28679.47</v>
      </c>
      <c r="L1740" s="6">
        <f>Table3[[#This Row],[Profit]]/Table3[[#This Row],[Sales]]</f>
        <v>0.43865184562962845</v>
      </c>
    </row>
    <row r="1741" spans="1:12" x14ac:dyDescent="0.25">
      <c r="A1741" t="s">
        <v>1651</v>
      </c>
      <c r="B1741" s="2">
        <v>45021</v>
      </c>
      <c r="C1741" s="2" t="str">
        <f>TEXT(Table3[[#This Row],[Order Date]],"mmmm")</f>
        <v>April</v>
      </c>
      <c r="D1741" t="s">
        <v>3731</v>
      </c>
      <c r="E1741" t="s">
        <v>3222</v>
      </c>
      <c r="F1741" t="s">
        <v>3226</v>
      </c>
      <c r="G1741" s="4">
        <v>14226.92</v>
      </c>
      <c r="H1741" s="4">
        <v>11381.536</v>
      </c>
      <c r="I1741" s="3" t="s">
        <v>3735</v>
      </c>
      <c r="J1741">
        <v>1</v>
      </c>
      <c r="K1741" s="4">
        <f>Table3[[#This Row],[Sales]]-Table3[[#This Row],[Cost]]</f>
        <v>2845.384</v>
      </c>
      <c r="L1741" s="6">
        <f>Table3[[#This Row],[Profit]]/Table3[[#This Row],[Sales]]</f>
        <v>0.2</v>
      </c>
    </row>
    <row r="1742" spans="1:12" x14ac:dyDescent="0.25">
      <c r="A1742" t="s">
        <v>1652</v>
      </c>
      <c r="B1742" s="2">
        <v>44941</v>
      </c>
      <c r="C1742" s="2" t="str">
        <f>TEXT(Table3[[#This Row],[Order Date]],"mmmm")</f>
        <v>January</v>
      </c>
      <c r="D1742" t="s">
        <v>3220</v>
      </c>
      <c r="E1742" t="s">
        <v>3223</v>
      </c>
      <c r="F1742" t="s">
        <v>3226</v>
      </c>
      <c r="G1742" s="4">
        <v>44292.42</v>
      </c>
      <c r="H1742" s="4">
        <v>26607.07</v>
      </c>
      <c r="I1742" s="3" t="s">
        <v>3734</v>
      </c>
      <c r="J1742">
        <v>4</v>
      </c>
      <c r="K1742" s="4">
        <f>Table3[[#This Row],[Sales]]-Table3[[#This Row],[Cost]]</f>
        <v>17685.349999999999</v>
      </c>
      <c r="L1742" s="6">
        <f>Table3[[#This Row],[Profit]]/Table3[[#This Row],[Sales]]</f>
        <v>0.39928615325150441</v>
      </c>
    </row>
    <row r="1743" spans="1:12" x14ac:dyDescent="0.25">
      <c r="A1743" t="s">
        <v>1653</v>
      </c>
      <c r="B1743" s="2">
        <v>45021</v>
      </c>
      <c r="C1743" s="2" t="str">
        <f>TEXT(Table3[[#This Row],[Order Date]],"mmmm")</f>
        <v>April</v>
      </c>
      <c r="D1743" t="s">
        <v>3220</v>
      </c>
      <c r="E1743" t="s">
        <v>3224</v>
      </c>
      <c r="F1743" t="s">
        <v>3226</v>
      </c>
      <c r="G1743" s="4">
        <v>169521.24</v>
      </c>
      <c r="H1743" s="4">
        <v>135616.992</v>
      </c>
      <c r="I1743" s="3" t="s">
        <v>3735</v>
      </c>
      <c r="J1743">
        <v>3</v>
      </c>
      <c r="K1743" s="4">
        <f>Table3[[#This Row],[Sales]]-Table3[[#This Row],[Cost]]</f>
        <v>33904.247999999992</v>
      </c>
      <c r="L1743" s="6">
        <f>Table3[[#This Row],[Profit]]/Table3[[#This Row],[Sales]]</f>
        <v>0.19999999999999996</v>
      </c>
    </row>
    <row r="1744" spans="1:12" x14ac:dyDescent="0.25">
      <c r="A1744" t="s">
        <v>3514</v>
      </c>
      <c r="B1744" s="2">
        <v>44941</v>
      </c>
      <c r="C1744" s="2" t="str">
        <f>TEXT(Table3[[#This Row],[Order Date]],"mmmm")</f>
        <v>January</v>
      </c>
      <c r="D1744" t="s">
        <v>3731</v>
      </c>
      <c r="E1744" t="s">
        <v>3223</v>
      </c>
      <c r="F1744" t="s">
        <v>3226</v>
      </c>
      <c r="G1744" s="4">
        <v>26908.77</v>
      </c>
      <c r="H1744" s="4">
        <v>19307.5</v>
      </c>
      <c r="I1744" s="3" t="s">
        <v>3734</v>
      </c>
      <c r="J1744">
        <v>3</v>
      </c>
      <c r="K1744" s="4">
        <f>Table3[[#This Row],[Sales]]-Table3[[#This Row],[Cost]]</f>
        <v>7601.27</v>
      </c>
      <c r="L1744" s="6">
        <f>Table3[[#This Row],[Profit]]/Table3[[#This Row],[Sales]]</f>
        <v>0.28248299717898662</v>
      </c>
    </row>
    <row r="1745" spans="1:12" x14ac:dyDescent="0.25">
      <c r="A1745" t="s">
        <v>1655</v>
      </c>
      <c r="B1745" s="2">
        <v>44972</v>
      </c>
      <c r="C1745" s="2" t="str">
        <f>TEXT(Table3[[#This Row],[Order Date]],"mmmm")</f>
        <v>February</v>
      </c>
      <c r="D1745" t="s">
        <v>3220</v>
      </c>
      <c r="E1745" t="s">
        <v>3223</v>
      </c>
      <c r="F1745" t="s">
        <v>3226</v>
      </c>
      <c r="G1745" s="4">
        <v>52215.63</v>
      </c>
      <c r="H1745" s="4">
        <v>32537.43</v>
      </c>
      <c r="I1745" s="3" t="s">
        <v>3734</v>
      </c>
      <c r="J1745">
        <v>5</v>
      </c>
      <c r="K1745" s="4">
        <f>Table3[[#This Row],[Sales]]-Table3[[#This Row],[Cost]]</f>
        <v>19678.199999999997</v>
      </c>
      <c r="L1745" s="6">
        <f>Table3[[#This Row],[Profit]]/Table3[[#This Row],[Sales]]</f>
        <v>0.37686416883220597</v>
      </c>
    </row>
    <row r="1746" spans="1:12" x14ac:dyDescent="0.25">
      <c r="A1746" t="s">
        <v>3515</v>
      </c>
      <c r="B1746" s="2">
        <v>45005</v>
      </c>
      <c r="C1746" s="2" t="str">
        <f>TEXT(Table3[[#This Row],[Order Date]],"mmmm")</f>
        <v>March</v>
      </c>
      <c r="D1746" t="s">
        <v>3730</v>
      </c>
      <c r="E1746" t="s">
        <v>3223</v>
      </c>
      <c r="F1746" t="s">
        <v>3226</v>
      </c>
      <c r="G1746" s="4">
        <v>17666.38</v>
      </c>
      <c r="H1746" s="4">
        <v>14374.49</v>
      </c>
      <c r="I1746" s="3" t="s">
        <v>3734</v>
      </c>
      <c r="J1746">
        <v>2</v>
      </c>
      <c r="K1746" s="4">
        <f>Table3[[#This Row],[Sales]]-Table3[[#This Row],[Cost]]</f>
        <v>3291.8900000000012</v>
      </c>
      <c r="L1746" s="6">
        <f>Table3[[#This Row],[Profit]]/Table3[[#This Row],[Sales]]</f>
        <v>0.18633641979850998</v>
      </c>
    </row>
    <row r="1747" spans="1:12" x14ac:dyDescent="0.25">
      <c r="A1747" t="s">
        <v>1657</v>
      </c>
      <c r="B1747" s="2">
        <v>45021</v>
      </c>
      <c r="C1747" s="2" t="str">
        <f>TEXT(Table3[[#This Row],[Order Date]],"mmmm")</f>
        <v>April</v>
      </c>
      <c r="D1747" t="s">
        <v>3730</v>
      </c>
      <c r="E1747" t="s">
        <v>3222</v>
      </c>
      <c r="F1747" t="s">
        <v>3226</v>
      </c>
      <c r="G1747" s="4">
        <v>74147.839999999997</v>
      </c>
      <c r="H1747" s="4">
        <v>50341.71</v>
      </c>
      <c r="I1747" s="3" t="s">
        <v>3734</v>
      </c>
      <c r="J1747">
        <v>5</v>
      </c>
      <c r="K1747" s="4">
        <f>Table3[[#This Row],[Sales]]-Table3[[#This Row],[Cost]]</f>
        <v>23806.129999999997</v>
      </c>
      <c r="L1747" s="6">
        <f>Table3[[#This Row],[Profit]]/Table3[[#This Row],[Sales]]</f>
        <v>0.32106302759460015</v>
      </c>
    </row>
    <row r="1748" spans="1:12" x14ac:dyDescent="0.25">
      <c r="A1748" t="s">
        <v>3516</v>
      </c>
      <c r="B1748" s="2" t="s">
        <v>3729</v>
      </c>
      <c r="C1748" s="2" t="str">
        <f>TEXT(Table3[[#This Row],[Order Date]],"mmmm")</f>
        <v>Not Mentioned</v>
      </c>
      <c r="D1748" t="s">
        <v>3731</v>
      </c>
      <c r="E1748" t="s">
        <v>3222</v>
      </c>
      <c r="F1748" t="s">
        <v>3226</v>
      </c>
      <c r="G1748" s="4">
        <v>50333.08</v>
      </c>
      <c r="H1748" s="4">
        <v>26800.21</v>
      </c>
      <c r="I1748" s="3" t="s">
        <v>3734</v>
      </c>
      <c r="J1748">
        <v>3</v>
      </c>
      <c r="K1748" s="4">
        <f>Table3[[#This Row],[Sales]]-Table3[[#This Row],[Cost]]</f>
        <v>23532.870000000003</v>
      </c>
      <c r="L1748" s="6">
        <f>Table3[[#This Row],[Profit]]/Table3[[#This Row],[Sales]]</f>
        <v>0.46754281677179305</v>
      </c>
    </row>
    <row r="1749" spans="1:12" x14ac:dyDescent="0.25">
      <c r="A1749" t="s">
        <v>1659</v>
      </c>
      <c r="B1749" s="2">
        <v>45005</v>
      </c>
      <c r="C1749" s="2" t="str">
        <f>TEXT(Table3[[#This Row],[Order Date]],"mmmm")</f>
        <v>March</v>
      </c>
      <c r="D1749" t="s">
        <v>3730</v>
      </c>
      <c r="E1749" t="s">
        <v>3225</v>
      </c>
      <c r="F1749" t="s">
        <v>3226</v>
      </c>
      <c r="G1749" s="4">
        <v>19434.05</v>
      </c>
      <c r="H1749" s="4">
        <v>14658.72</v>
      </c>
      <c r="I1749" s="3" t="s">
        <v>3734</v>
      </c>
      <c r="J1749" t="s">
        <v>3732</v>
      </c>
      <c r="K1749" s="4">
        <f>Table3[[#This Row],[Sales]]-Table3[[#This Row],[Cost]]</f>
        <v>4775.33</v>
      </c>
      <c r="L1749" s="6">
        <f>Table3[[#This Row],[Profit]]/Table3[[#This Row],[Sales]]</f>
        <v>0.24571975476033045</v>
      </c>
    </row>
    <row r="1750" spans="1:12" x14ac:dyDescent="0.25">
      <c r="A1750" t="s">
        <v>1660</v>
      </c>
      <c r="B1750" s="2">
        <v>44972</v>
      </c>
      <c r="C1750" s="2" t="str">
        <f>TEXT(Table3[[#This Row],[Order Date]],"mmmm")</f>
        <v>February</v>
      </c>
      <c r="D1750" t="s">
        <v>3730</v>
      </c>
      <c r="E1750" t="s">
        <v>3223</v>
      </c>
      <c r="F1750" t="s">
        <v>3226</v>
      </c>
      <c r="G1750" s="4">
        <v>29658.44</v>
      </c>
      <c r="H1750" s="4">
        <v>19708.12</v>
      </c>
      <c r="I1750" s="3" t="s">
        <v>3734</v>
      </c>
      <c r="J1750">
        <v>3</v>
      </c>
      <c r="K1750" s="4">
        <f>Table3[[#This Row],[Sales]]-Table3[[#This Row],[Cost]]</f>
        <v>9950.32</v>
      </c>
      <c r="L1750" s="6">
        <f>Table3[[#This Row],[Profit]]/Table3[[#This Row],[Sales]]</f>
        <v>0.33549707941483098</v>
      </c>
    </row>
    <row r="1751" spans="1:12" x14ac:dyDescent="0.25">
      <c r="A1751" t="s">
        <v>3517</v>
      </c>
      <c r="B1751" s="2">
        <v>45021</v>
      </c>
      <c r="C1751" s="2" t="str">
        <f>TEXT(Table3[[#This Row],[Order Date]],"mmmm")</f>
        <v>April</v>
      </c>
      <c r="D1751" t="s">
        <v>3730</v>
      </c>
      <c r="E1751" t="s">
        <v>3223</v>
      </c>
      <c r="F1751" t="s">
        <v>3226</v>
      </c>
      <c r="G1751" s="4">
        <v>9626.9699999999993</v>
      </c>
      <c r="H1751" s="4">
        <v>6908.5</v>
      </c>
      <c r="I1751" s="3" t="s">
        <v>3734</v>
      </c>
      <c r="J1751">
        <v>1</v>
      </c>
      <c r="K1751" s="4">
        <f>Table3[[#This Row],[Sales]]-Table3[[#This Row],[Cost]]</f>
        <v>2718.4699999999993</v>
      </c>
      <c r="L1751" s="6">
        <f>Table3[[#This Row],[Profit]]/Table3[[#This Row],[Sales]]</f>
        <v>0.2823806452082015</v>
      </c>
    </row>
    <row r="1752" spans="1:12" x14ac:dyDescent="0.25">
      <c r="A1752" t="s">
        <v>908</v>
      </c>
      <c r="B1752" s="2">
        <v>44941</v>
      </c>
      <c r="C1752" s="2" t="str">
        <f>TEXT(Table3[[#This Row],[Order Date]],"mmmm")</f>
        <v>January</v>
      </c>
      <c r="D1752" t="s">
        <v>3731</v>
      </c>
      <c r="E1752" t="s">
        <v>3222</v>
      </c>
      <c r="F1752" t="s">
        <v>3226</v>
      </c>
      <c r="G1752" s="4">
        <v>29479.25</v>
      </c>
      <c r="H1752" s="4">
        <v>17104.97</v>
      </c>
      <c r="I1752" s="3" t="s">
        <v>3734</v>
      </c>
      <c r="J1752">
        <v>2</v>
      </c>
      <c r="K1752" s="4">
        <f>Table3[[#This Row],[Sales]]-Table3[[#This Row],[Cost]]</f>
        <v>12374.279999999999</v>
      </c>
      <c r="L1752" s="6">
        <f>Table3[[#This Row],[Profit]]/Table3[[#This Row],[Sales]]</f>
        <v>0.41976237523003462</v>
      </c>
    </row>
    <row r="1753" spans="1:12" x14ac:dyDescent="0.25">
      <c r="A1753" t="s">
        <v>1663</v>
      </c>
      <c r="B1753" s="2">
        <v>44972</v>
      </c>
      <c r="C1753" s="2" t="str">
        <f>TEXT(Table3[[#This Row],[Order Date]],"mmmm")</f>
        <v>February</v>
      </c>
      <c r="D1753" t="s">
        <v>3220</v>
      </c>
      <c r="E1753" t="s">
        <v>3225</v>
      </c>
      <c r="F1753" t="s">
        <v>3226</v>
      </c>
      <c r="G1753" s="4">
        <v>74175.23</v>
      </c>
      <c r="H1753" s="4">
        <v>54969.79</v>
      </c>
      <c r="I1753" s="3" t="s">
        <v>3734</v>
      </c>
      <c r="J1753">
        <v>4</v>
      </c>
      <c r="K1753" s="4">
        <f>Table3[[#This Row],[Sales]]-Table3[[#This Row],[Cost]]</f>
        <v>19205.439999999995</v>
      </c>
      <c r="L1753" s="6">
        <f>Table3[[#This Row],[Profit]]/Table3[[#This Row],[Sales]]</f>
        <v>0.25891985774766046</v>
      </c>
    </row>
    <row r="1754" spans="1:12" x14ac:dyDescent="0.25">
      <c r="A1754" t="s">
        <v>1664</v>
      </c>
      <c r="B1754" s="2">
        <v>45005</v>
      </c>
      <c r="C1754" s="2" t="str">
        <f>TEXT(Table3[[#This Row],[Order Date]],"mmmm")</f>
        <v>March</v>
      </c>
      <c r="D1754" t="s">
        <v>3220</v>
      </c>
      <c r="E1754" t="s">
        <v>3222</v>
      </c>
      <c r="F1754" t="s">
        <v>3226</v>
      </c>
      <c r="G1754" s="4">
        <v>35086.01</v>
      </c>
      <c r="H1754" s="4">
        <v>18965.189999999999</v>
      </c>
      <c r="I1754" s="3" t="s">
        <v>3734</v>
      </c>
      <c r="J1754">
        <v>2</v>
      </c>
      <c r="K1754" s="4">
        <f>Table3[[#This Row],[Sales]]-Table3[[#This Row],[Cost]]</f>
        <v>16120.820000000003</v>
      </c>
      <c r="L1754" s="6">
        <f>Table3[[#This Row],[Profit]]/Table3[[#This Row],[Sales]]</f>
        <v>0.45946575287415131</v>
      </c>
    </row>
    <row r="1755" spans="1:12" x14ac:dyDescent="0.25">
      <c r="A1755" t="s">
        <v>3518</v>
      </c>
      <c r="B1755" s="2">
        <v>45021</v>
      </c>
      <c r="C1755" s="2" t="str">
        <f>TEXT(Table3[[#This Row],[Order Date]],"mmmm")</f>
        <v>April</v>
      </c>
      <c r="D1755" t="s">
        <v>3730</v>
      </c>
      <c r="E1755" t="s">
        <v>3225</v>
      </c>
      <c r="F1755" t="s">
        <v>3226</v>
      </c>
      <c r="G1755" s="4">
        <v>117246.32</v>
      </c>
      <c r="H1755" s="4">
        <v>66409.72</v>
      </c>
      <c r="I1755" s="3" t="s">
        <v>3734</v>
      </c>
      <c r="J1755">
        <v>5</v>
      </c>
      <c r="K1755" s="4">
        <f>Table3[[#This Row],[Sales]]-Table3[[#This Row],[Cost]]</f>
        <v>50836.600000000006</v>
      </c>
      <c r="L1755" s="6">
        <f>Table3[[#This Row],[Profit]]/Table3[[#This Row],[Sales]]</f>
        <v>0.43358802220828768</v>
      </c>
    </row>
    <row r="1756" spans="1:12" x14ac:dyDescent="0.25">
      <c r="A1756" t="s">
        <v>437</v>
      </c>
      <c r="B1756" s="2">
        <v>44941</v>
      </c>
      <c r="C1756" s="2" t="str">
        <f>TEXT(Table3[[#This Row],[Order Date]],"mmmm")</f>
        <v>January</v>
      </c>
      <c r="D1756" t="s">
        <v>3220</v>
      </c>
      <c r="E1756" t="s">
        <v>3225</v>
      </c>
      <c r="F1756" t="s">
        <v>3226</v>
      </c>
      <c r="G1756" s="4">
        <v>70750.490000000005</v>
      </c>
      <c r="H1756" s="4">
        <v>52783.21</v>
      </c>
      <c r="I1756" s="3" t="s">
        <v>3734</v>
      </c>
      <c r="J1756">
        <v>4</v>
      </c>
      <c r="K1756" s="4">
        <f>Table3[[#This Row],[Sales]]-Table3[[#This Row],[Cost]]</f>
        <v>17967.280000000006</v>
      </c>
      <c r="L1756" s="6">
        <f>Table3[[#This Row],[Profit]]/Table3[[#This Row],[Sales]]</f>
        <v>0.25395272880795605</v>
      </c>
    </row>
    <row r="1757" spans="1:12" x14ac:dyDescent="0.25">
      <c r="A1757" t="s">
        <v>1666</v>
      </c>
      <c r="B1757" s="2">
        <v>45005</v>
      </c>
      <c r="C1757" s="2" t="str">
        <f>TEXT(Table3[[#This Row],[Order Date]],"mmmm")</f>
        <v>March</v>
      </c>
      <c r="D1757" t="s">
        <v>3220</v>
      </c>
      <c r="E1757" t="s">
        <v>3225</v>
      </c>
      <c r="F1757" t="s">
        <v>3226</v>
      </c>
      <c r="G1757" s="4">
        <v>34078.29</v>
      </c>
      <c r="H1757" s="4">
        <v>29684.77</v>
      </c>
      <c r="I1757" s="3" t="s">
        <v>3734</v>
      </c>
      <c r="J1757">
        <v>2</v>
      </c>
      <c r="K1757" s="4">
        <f>Table3[[#This Row],[Sales]]-Table3[[#This Row],[Cost]]</f>
        <v>4393.5200000000004</v>
      </c>
      <c r="L1757" s="6">
        <f>Table3[[#This Row],[Profit]]/Table3[[#This Row],[Sales]]</f>
        <v>0.12892430928899309</v>
      </c>
    </row>
    <row r="1758" spans="1:12" x14ac:dyDescent="0.25">
      <c r="A1758" t="s">
        <v>1667</v>
      </c>
      <c r="B1758" s="2">
        <v>44941</v>
      </c>
      <c r="C1758" s="2" t="str">
        <f>TEXT(Table3[[#This Row],[Order Date]],"mmmm")</f>
        <v>January</v>
      </c>
      <c r="D1758" t="s">
        <v>3730</v>
      </c>
      <c r="E1758" t="s">
        <v>3224</v>
      </c>
      <c r="F1758" t="s">
        <v>3226</v>
      </c>
      <c r="G1758" s="4">
        <v>125665.07</v>
      </c>
      <c r="H1758" s="4">
        <v>89447.42</v>
      </c>
      <c r="I1758" s="3" t="s">
        <v>3734</v>
      </c>
      <c r="J1758">
        <v>2</v>
      </c>
      <c r="K1758" s="4">
        <f>Table3[[#This Row],[Sales]]-Table3[[#This Row],[Cost]]</f>
        <v>36217.650000000009</v>
      </c>
      <c r="L1758" s="6">
        <f>Table3[[#This Row],[Profit]]/Table3[[#This Row],[Sales]]</f>
        <v>0.28820777324995728</v>
      </c>
    </row>
    <row r="1759" spans="1:12" x14ac:dyDescent="0.25">
      <c r="A1759" t="s">
        <v>1668</v>
      </c>
      <c r="B1759" s="2">
        <v>45102</v>
      </c>
      <c r="C1759" s="2" t="str">
        <f>TEXT(Table3[[#This Row],[Order Date]],"mmmm")</f>
        <v>June</v>
      </c>
      <c r="D1759" t="s">
        <v>3730</v>
      </c>
      <c r="E1759" t="s">
        <v>3225</v>
      </c>
      <c r="F1759" t="s">
        <v>3226</v>
      </c>
      <c r="G1759" s="4">
        <v>83238.33</v>
      </c>
      <c r="H1759" s="4">
        <v>58985.54</v>
      </c>
      <c r="I1759" s="3" t="s">
        <v>3734</v>
      </c>
      <c r="J1759">
        <v>4</v>
      </c>
      <c r="K1759" s="4">
        <f>Table3[[#This Row],[Sales]]-Table3[[#This Row],[Cost]]</f>
        <v>24252.79</v>
      </c>
      <c r="L1759" s="6">
        <f>Table3[[#This Row],[Profit]]/Table3[[#This Row],[Sales]]</f>
        <v>0.291365648493909</v>
      </c>
    </row>
    <row r="1760" spans="1:12" x14ac:dyDescent="0.25">
      <c r="A1760" t="s">
        <v>3519</v>
      </c>
      <c r="B1760" s="2">
        <v>44972</v>
      </c>
      <c r="C1760" s="2" t="str">
        <f>TEXT(Table3[[#This Row],[Order Date]],"mmmm")</f>
        <v>February</v>
      </c>
      <c r="D1760" t="s">
        <v>3216</v>
      </c>
      <c r="E1760" t="s">
        <v>3222</v>
      </c>
      <c r="F1760" t="s">
        <v>3226</v>
      </c>
      <c r="G1760" s="4">
        <v>26948.46</v>
      </c>
      <c r="H1760" s="4">
        <v>17045.47</v>
      </c>
      <c r="I1760" s="3" t="s">
        <v>3734</v>
      </c>
      <c r="J1760">
        <v>2</v>
      </c>
      <c r="K1760" s="4">
        <f>Table3[[#This Row],[Sales]]-Table3[[#This Row],[Cost]]</f>
        <v>9902.989999999998</v>
      </c>
      <c r="L1760" s="6">
        <f>Table3[[#This Row],[Profit]]/Table3[[#This Row],[Sales]]</f>
        <v>0.36747888376552867</v>
      </c>
    </row>
    <row r="1761" spans="1:12" x14ac:dyDescent="0.25">
      <c r="A1761" t="s">
        <v>653</v>
      </c>
      <c r="B1761" s="2">
        <v>44941</v>
      </c>
      <c r="C1761" s="2" t="str">
        <f>TEXT(Table3[[#This Row],[Order Date]],"mmmm")</f>
        <v>January</v>
      </c>
      <c r="D1761" t="s">
        <v>3220</v>
      </c>
      <c r="E1761" t="s">
        <v>3222</v>
      </c>
      <c r="F1761" t="s">
        <v>3226</v>
      </c>
      <c r="G1761" s="4">
        <v>51556.27</v>
      </c>
      <c r="H1761" s="4">
        <v>34475.480000000003</v>
      </c>
      <c r="I1761" s="3" t="s">
        <v>3734</v>
      </c>
      <c r="J1761">
        <v>4</v>
      </c>
      <c r="K1761" s="4">
        <f>Table3[[#This Row],[Sales]]-Table3[[#This Row],[Cost]]</f>
        <v>17080.789999999994</v>
      </c>
      <c r="L1761" s="6">
        <f>Table3[[#This Row],[Profit]]/Table3[[#This Row],[Sales]]</f>
        <v>0.33130383559555404</v>
      </c>
    </row>
    <row r="1762" spans="1:12" x14ac:dyDescent="0.25">
      <c r="A1762" t="s">
        <v>3265</v>
      </c>
      <c r="B1762" s="2">
        <v>45005</v>
      </c>
      <c r="C1762" s="2" t="str">
        <f>TEXT(Table3[[#This Row],[Order Date]],"mmmm")</f>
        <v>March</v>
      </c>
      <c r="D1762" t="s">
        <v>3731</v>
      </c>
      <c r="E1762" t="s">
        <v>3222</v>
      </c>
      <c r="F1762" t="s">
        <v>3226</v>
      </c>
      <c r="G1762" s="4">
        <v>13086.67</v>
      </c>
      <c r="H1762" s="4">
        <v>10469.336000000001</v>
      </c>
      <c r="I1762" s="3" t="s">
        <v>3735</v>
      </c>
      <c r="J1762">
        <v>1</v>
      </c>
      <c r="K1762" s="4">
        <f>Table3[[#This Row],[Sales]]-Table3[[#This Row],[Cost]]</f>
        <v>2617.3339999999989</v>
      </c>
      <c r="L1762" s="6">
        <f>Table3[[#This Row],[Profit]]/Table3[[#This Row],[Sales]]</f>
        <v>0.19999999999999993</v>
      </c>
    </row>
    <row r="1763" spans="1:12" x14ac:dyDescent="0.25">
      <c r="A1763" t="s">
        <v>1670</v>
      </c>
      <c r="B1763" s="2">
        <v>44941</v>
      </c>
      <c r="C1763" s="2" t="str">
        <f>TEXT(Table3[[#This Row],[Order Date]],"mmmm")</f>
        <v>January</v>
      </c>
      <c r="D1763" t="s">
        <v>3730</v>
      </c>
      <c r="E1763" t="s">
        <v>3224</v>
      </c>
      <c r="F1763" t="s">
        <v>3226</v>
      </c>
      <c r="G1763" s="4">
        <v>200620.54</v>
      </c>
      <c r="H1763" s="4">
        <v>170728.26</v>
      </c>
      <c r="I1763" s="3" t="s">
        <v>3734</v>
      </c>
      <c r="J1763">
        <v>4</v>
      </c>
      <c r="K1763" s="4">
        <f>Table3[[#This Row],[Sales]]-Table3[[#This Row],[Cost]]</f>
        <v>29892.28</v>
      </c>
      <c r="L1763" s="6">
        <f>Table3[[#This Row],[Profit]]/Table3[[#This Row],[Sales]]</f>
        <v>0.14899910049090684</v>
      </c>
    </row>
    <row r="1764" spans="1:12" x14ac:dyDescent="0.25">
      <c r="A1764" t="s">
        <v>1671</v>
      </c>
      <c r="B1764" s="2">
        <v>44941</v>
      </c>
      <c r="C1764" s="2" t="str">
        <f>TEXT(Table3[[#This Row],[Order Date]],"mmmm")</f>
        <v>January</v>
      </c>
      <c r="D1764" t="s">
        <v>3730</v>
      </c>
      <c r="E1764" t="s">
        <v>3223</v>
      </c>
      <c r="F1764" t="s">
        <v>3226</v>
      </c>
      <c r="G1764" s="4">
        <v>53840.61</v>
      </c>
      <c r="H1764" s="4">
        <v>36938.47</v>
      </c>
      <c r="I1764" s="3" t="s">
        <v>3734</v>
      </c>
      <c r="J1764">
        <v>5</v>
      </c>
      <c r="K1764" s="4">
        <f>Table3[[#This Row],[Sales]]-Table3[[#This Row],[Cost]]</f>
        <v>16902.14</v>
      </c>
      <c r="L1764" s="6">
        <f>Table3[[#This Row],[Profit]]/Table3[[#This Row],[Sales]]</f>
        <v>0.31392920696849458</v>
      </c>
    </row>
    <row r="1765" spans="1:12" x14ac:dyDescent="0.25">
      <c r="A1765" t="s">
        <v>1672</v>
      </c>
      <c r="B1765" s="2">
        <v>45021</v>
      </c>
      <c r="C1765" s="2" t="str">
        <f>TEXT(Table3[[#This Row],[Order Date]],"mmmm")</f>
        <v>April</v>
      </c>
      <c r="D1765" t="s">
        <v>3220</v>
      </c>
      <c r="E1765" t="s">
        <v>3224</v>
      </c>
      <c r="F1765" t="s">
        <v>3226</v>
      </c>
      <c r="G1765" s="4">
        <v>351688.73</v>
      </c>
      <c r="H1765" s="4">
        <v>223791.29</v>
      </c>
      <c r="I1765" s="3" t="s">
        <v>3734</v>
      </c>
      <c r="J1765">
        <v>5</v>
      </c>
      <c r="K1765" s="4">
        <f>Table3[[#This Row],[Sales]]-Table3[[#This Row],[Cost]]</f>
        <v>127897.43999999997</v>
      </c>
      <c r="L1765" s="6">
        <f>Table3[[#This Row],[Profit]]/Table3[[#This Row],[Sales]]</f>
        <v>0.36366658664325119</v>
      </c>
    </row>
    <row r="1766" spans="1:12" x14ac:dyDescent="0.25">
      <c r="A1766" t="s">
        <v>1673</v>
      </c>
      <c r="B1766" s="2">
        <v>44972</v>
      </c>
      <c r="C1766" s="2" t="str">
        <f>TEXT(Table3[[#This Row],[Order Date]],"mmmm")</f>
        <v>February</v>
      </c>
      <c r="D1766" t="s">
        <v>3730</v>
      </c>
      <c r="E1766" t="s">
        <v>3224</v>
      </c>
      <c r="F1766" t="s">
        <v>3226</v>
      </c>
      <c r="G1766" s="4">
        <v>303094.65999999997</v>
      </c>
      <c r="H1766" s="4">
        <v>241272.56</v>
      </c>
      <c r="I1766" s="3" t="s">
        <v>3734</v>
      </c>
      <c r="J1766">
        <v>5</v>
      </c>
      <c r="K1766" s="4">
        <f>Table3[[#This Row],[Sales]]-Table3[[#This Row],[Cost]]</f>
        <v>61822.099999999977</v>
      </c>
      <c r="L1766" s="6">
        <f>Table3[[#This Row],[Profit]]/Table3[[#This Row],[Sales]]</f>
        <v>0.20396961134188238</v>
      </c>
    </row>
    <row r="1767" spans="1:12" x14ac:dyDescent="0.25">
      <c r="A1767" t="s">
        <v>1674</v>
      </c>
      <c r="B1767" s="2">
        <v>45021</v>
      </c>
      <c r="C1767" s="2" t="str">
        <f>TEXT(Table3[[#This Row],[Order Date]],"mmmm")</f>
        <v>April</v>
      </c>
      <c r="D1767" t="s">
        <v>3220</v>
      </c>
      <c r="E1767" t="s">
        <v>3224</v>
      </c>
      <c r="F1767" t="s">
        <v>3226</v>
      </c>
      <c r="G1767" s="4">
        <v>192548.99</v>
      </c>
      <c r="H1767" s="4">
        <v>146194.23000000001</v>
      </c>
      <c r="I1767" s="3" t="s">
        <v>3734</v>
      </c>
      <c r="J1767">
        <v>3</v>
      </c>
      <c r="K1767" s="4">
        <f>Table3[[#This Row],[Sales]]-Table3[[#This Row],[Cost]]</f>
        <v>46354.75999999998</v>
      </c>
      <c r="L1767" s="6">
        <f>Table3[[#This Row],[Profit]]/Table3[[#This Row],[Sales]]</f>
        <v>0.24074268060299867</v>
      </c>
    </row>
    <row r="1768" spans="1:12" x14ac:dyDescent="0.25">
      <c r="A1768" t="s">
        <v>1399</v>
      </c>
      <c r="B1768" s="2">
        <v>44941</v>
      </c>
      <c r="C1768" s="2" t="str">
        <f>TEXT(Table3[[#This Row],[Order Date]],"mmmm")</f>
        <v>January</v>
      </c>
      <c r="D1768" t="s">
        <v>3730</v>
      </c>
      <c r="E1768" t="s">
        <v>3225</v>
      </c>
      <c r="F1768" t="s">
        <v>3226</v>
      </c>
      <c r="G1768" s="4">
        <v>20740.93</v>
      </c>
      <c r="H1768" s="4">
        <v>12025.75</v>
      </c>
      <c r="I1768" s="3" t="s">
        <v>3734</v>
      </c>
      <c r="J1768">
        <v>1</v>
      </c>
      <c r="K1768" s="4">
        <f>Table3[[#This Row],[Sales]]-Table3[[#This Row],[Cost]]</f>
        <v>8715.18</v>
      </c>
      <c r="L1768" s="6">
        <f>Table3[[#This Row],[Profit]]/Table3[[#This Row],[Sales]]</f>
        <v>0.42019234431628671</v>
      </c>
    </row>
    <row r="1769" spans="1:12" x14ac:dyDescent="0.25">
      <c r="A1769" t="s">
        <v>3520</v>
      </c>
      <c r="B1769" s="2">
        <v>45102</v>
      </c>
      <c r="C1769" s="2" t="str">
        <f>TEXT(Table3[[#This Row],[Order Date]],"mmmm")</f>
        <v>June</v>
      </c>
      <c r="D1769" t="s">
        <v>3730</v>
      </c>
      <c r="E1769" t="s">
        <v>3225</v>
      </c>
      <c r="F1769" t="s">
        <v>3226</v>
      </c>
      <c r="G1769" s="4">
        <v>94610.8</v>
      </c>
      <c r="H1769" s="4">
        <v>61512.01</v>
      </c>
      <c r="I1769" s="3" t="s">
        <v>3734</v>
      </c>
      <c r="J1769">
        <v>4</v>
      </c>
      <c r="K1769" s="4">
        <f>Table3[[#This Row],[Sales]]-Table3[[#This Row],[Cost]]</f>
        <v>33098.79</v>
      </c>
      <c r="L1769" s="6">
        <f>Table3[[#This Row],[Profit]]/Table3[[#This Row],[Sales]]</f>
        <v>0.34984156142850498</v>
      </c>
    </row>
    <row r="1770" spans="1:12" x14ac:dyDescent="0.25">
      <c r="A1770" t="s">
        <v>1676</v>
      </c>
      <c r="B1770" s="2">
        <v>44972</v>
      </c>
      <c r="C1770" s="2" t="str">
        <f>TEXT(Table3[[#This Row],[Order Date]],"mmmm")</f>
        <v>February</v>
      </c>
      <c r="D1770" t="s">
        <v>3731</v>
      </c>
      <c r="E1770" t="s">
        <v>3225</v>
      </c>
      <c r="F1770" t="s">
        <v>3226</v>
      </c>
      <c r="G1770" s="4">
        <v>85356.76</v>
      </c>
      <c r="H1770" s="4">
        <v>60047.21</v>
      </c>
      <c r="I1770" s="3" t="s">
        <v>3734</v>
      </c>
      <c r="J1770">
        <v>4</v>
      </c>
      <c r="K1770" s="4">
        <f>Table3[[#This Row],[Sales]]-Table3[[#This Row],[Cost]]</f>
        <v>25309.549999999996</v>
      </c>
      <c r="L1770" s="6">
        <f>Table3[[#This Row],[Profit]]/Table3[[#This Row],[Sales]]</f>
        <v>0.29651488646007645</v>
      </c>
    </row>
    <row r="1771" spans="1:12" x14ac:dyDescent="0.25">
      <c r="A1771" t="s">
        <v>1677</v>
      </c>
      <c r="B1771" s="2">
        <v>45021</v>
      </c>
      <c r="C1771" s="2" t="str">
        <f>TEXT(Table3[[#This Row],[Order Date]],"mmmm")</f>
        <v>April</v>
      </c>
      <c r="D1771" t="s">
        <v>3216</v>
      </c>
      <c r="E1771" t="s">
        <v>3225</v>
      </c>
      <c r="F1771" t="s">
        <v>3226</v>
      </c>
      <c r="G1771" s="4">
        <v>88038.13</v>
      </c>
      <c r="H1771" s="4">
        <v>50437.41</v>
      </c>
      <c r="I1771" s="3" t="s">
        <v>3734</v>
      </c>
      <c r="J1771">
        <v>4</v>
      </c>
      <c r="K1771" s="4">
        <f>Table3[[#This Row],[Sales]]-Table3[[#This Row],[Cost]]</f>
        <v>37600.720000000001</v>
      </c>
      <c r="L1771" s="6">
        <f>Table3[[#This Row],[Profit]]/Table3[[#This Row],[Sales]]</f>
        <v>0.42709585040027542</v>
      </c>
    </row>
    <row r="1772" spans="1:12" x14ac:dyDescent="0.25">
      <c r="A1772" t="s">
        <v>1678</v>
      </c>
      <c r="B1772" s="2">
        <v>45102</v>
      </c>
      <c r="C1772" s="2" t="str">
        <f>TEXT(Table3[[#This Row],[Order Date]],"mmmm")</f>
        <v>June</v>
      </c>
      <c r="D1772" t="s">
        <v>3216</v>
      </c>
      <c r="E1772" t="s">
        <v>3222</v>
      </c>
      <c r="F1772" t="s">
        <v>3226</v>
      </c>
      <c r="G1772" s="4">
        <v>12382.34</v>
      </c>
      <c r="H1772" s="4">
        <v>10614.9</v>
      </c>
      <c r="I1772" s="3" t="s">
        <v>3734</v>
      </c>
      <c r="J1772">
        <v>1</v>
      </c>
      <c r="K1772" s="4">
        <f>Table3[[#This Row],[Sales]]-Table3[[#This Row],[Cost]]</f>
        <v>1767.4400000000005</v>
      </c>
      <c r="L1772" s="6">
        <f>Table3[[#This Row],[Profit]]/Table3[[#This Row],[Sales]]</f>
        <v>0.14273877150845482</v>
      </c>
    </row>
    <row r="1773" spans="1:12" x14ac:dyDescent="0.25">
      <c r="A1773" t="s">
        <v>1679</v>
      </c>
      <c r="B1773" s="2">
        <v>45102</v>
      </c>
      <c r="C1773" s="2" t="str">
        <f>TEXT(Table3[[#This Row],[Order Date]],"mmmm")</f>
        <v>June</v>
      </c>
      <c r="D1773" t="s">
        <v>3730</v>
      </c>
      <c r="E1773" t="s">
        <v>3222</v>
      </c>
      <c r="F1773" t="s">
        <v>3226</v>
      </c>
      <c r="G1773" s="4">
        <v>17470.650000000001</v>
      </c>
      <c r="H1773" s="4">
        <v>10563.59</v>
      </c>
      <c r="I1773" s="3" t="s">
        <v>3734</v>
      </c>
      <c r="J1773">
        <v>1</v>
      </c>
      <c r="K1773" s="4">
        <f>Table3[[#This Row],[Sales]]-Table3[[#This Row],[Cost]]</f>
        <v>6907.0600000000013</v>
      </c>
      <c r="L1773" s="6">
        <f>Table3[[#This Row],[Profit]]/Table3[[#This Row],[Sales]]</f>
        <v>0.39535220498378715</v>
      </c>
    </row>
    <row r="1774" spans="1:12" x14ac:dyDescent="0.25">
      <c r="A1774" t="s">
        <v>1681</v>
      </c>
      <c r="B1774" s="2">
        <v>44972</v>
      </c>
      <c r="C1774" s="2" t="str">
        <f>TEXT(Table3[[#This Row],[Order Date]],"mmmm")</f>
        <v>February</v>
      </c>
      <c r="D1774" t="s">
        <v>3220</v>
      </c>
      <c r="E1774" t="s">
        <v>3223</v>
      </c>
      <c r="F1774" t="s">
        <v>3226</v>
      </c>
      <c r="G1774" s="4">
        <v>32533.48</v>
      </c>
      <c r="H1774" s="4">
        <v>20665.62</v>
      </c>
      <c r="I1774" s="3" t="s">
        <v>3734</v>
      </c>
      <c r="J1774">
        <v>3</v>
      </c>
      <c r="K1774" s="4">
        <f>Table3[[#This Row],[Sales]]-Table3[[#This Row],[Cost]]</f>
        <v>11867.86</v>
      </c>
      <c r="L1774" s="6">
        <f>Table3[[#This Row],[Profit]]/Table3[[#This Row],[Sales]]</f>
        <v>0.36478913414734609</v>
      </c>
    </row>
    <row r="1775" spans="1:12" x14ac:dyDescent="0.25">
      <c r="A1775" t="s">
        <v>1682</v>
      </c>
      <c r="B1775" s="2">
        <v>45005</v>
      </c>
      <c r="C1775" s="2" t="str">
        <f>TEXT(Table3[[#This Row],[Order Date]],"mmmm")</f>
        <v>March</v>
      </c>
      <c r="D1775" t="s">
        <v>3220</v>
      </c>
      <c r="E1775" t="s">
        <v>3224</v>
      </c>
      <c r="F1775" t="s">
        <v>3226</v>
      </c>
      <c r="G1775" s="4">
        <v>150135.41</v>
      </c>
      <c r="H1775" s="4">
        <v>116320</v>
      </c>
      <c r="I1775" s="3" t="s">
        <v>3734</v>
      </c>
      <c r="J1775">
        <v>3</v>
      </c>
      <c r="K1775" s="4">
        <f>Table3[[#This Row],[Sales]]-Table3[[#This Row],[Cost]]</f>
        <v>33815.410000000003</v>
      </c>
      <c r="L1775" s="6">
        <f>Table3[[#This Row],[Profit]]/Table3[[#This Row],[Sales]]</f>
        <v>0.22523274156309961</v>
      </c>
    </row>
    <row r="1776" spans="1:12" x14ac:dyDescent="0.25">
      <c r="A1776" t="s">
        <v>3521</v>
      </c>
      <c r="B1776" s="2">
        <v>44972</v>
      </c>
      <c r="C1776" s="2" t="str">
        <f>TEXT(Table3[[#This Row],[Order Date]],"mmmm")</f>
        <v>February</v>
      </c>
      <c r="D1776" t="s">
        <v>3216</v>
      </c>
      <c r="E1776" t="s">
        <v>3223</v>
      </c>
      <c r="F1776" t="s">
        <v>3226</v>
      </c>
      <c r="G1776" s="4">
        <v>54473.59</v>
      </c>
      <c r="H1776" s="4">
        <v>34082.06</v>
      </c>
      <c r="I1776" s="3" t="s">
        <v>3734</v>
      </c>
      <c r="J1776">
        <v>5</v>
      </c>
      <c r="K1776" s="4">
        <f>Table3[[#This Row],[Sales]]-Table3[[#This Row],[Cost]]</f>
        <v>20391.53</v>
      </c>
      <c r="L1776" s="6">
        <f>Table3[[#This Row],[Profit]]/Table3[[#This Row],[Sales]]</f>
        <v>0.37433791310614922</v>
      </c>
    </row>
    <row r="1777" spans="1:12" x14ac:dyDescent="0.25">
      <c r="A1777" t="s">
        <v>1685</v>
      </c>
      <c r="B1777" s="2">
        <v>45021</v>
      </c>
      <c r="C1777" s="2" t="str">
        <f>TEXT(Table3[[#This Row],[Order Date]],"mmmm")</f>
        <v>April</v>
      </c>
      <c r="D1777" t="s">
        <v>3730</v>
      </c>
      <c r="E1777" t="s">
        <v>3223</v>
      </c>
      <c r="F1777" t="s">
        <v>3226</v>
      </c>
      <c r="G1777" s="4">
        <v>28098.61</v>
      </c>
      <c r="H1777" s="4">
        <v>19473.87</v>
      </c>
      <c r="I1777" s="3" t="s">
        <v>3734</v>
      </c>
      <c r="J1777">
        <v>3</v>
      </c>
      <c r="K1777" s="4">
        <f>Table3[[#This Row],[Sales]]-Table3[[#This Row],[Cost]]</f>
        <v>8624.7400000000016</v>
      </c>
      <c r="L1777" s="6">
        <f>Table3[[#This Row],[Profit]]/Table3[[#This Row],[Sales]]</f>
        <v>0.3069454325320719</v>
      </c>
    </row>
    <row r="1778" spans="1:12" x14ac:dyDescent="0.25">
      <c r="A1778" t="s">
        <v>3522</v>
      </c>
      <c r="B1778" s="2">
        <v>44941</v>
      </c>
      <c r="C1778" s="2" t="str">
        <f>TEXT(Table3[[#This Row],[Order Date]],"mmmm")</f>
        <v>January</v>
      </c>
      <c r="D1778" t="s">
        <v>3731</v>
      </c>
      <c r="E1778" t="s">
        <v>3225</v>
      </c>
      <c r="F1778" t="s">
        <v>3226</v>
      </c>
      <c r="G1778" s="4">
        <v>48422.879999999997</v>
      </c>
      <c r="H1778" s="4">
        <v>40379.78</v>
      </c>
      <c r="I1778" s="3" t="s">
        <v>3734</v>
      </c>
      <c r="J1778">
        <v>3</v>
      </c>
      <c r="K1778" s="4">
        <f>Table3[[#This Row],[Sales]]-Table3[[#This Row],[Cost]]</f>
        <v>8043.0999999999985</v>
      </c>
      <c r="L1778" s="6">
        <f>Table3[[#This Row],[Profit]]/Table3[[#This Row],[Sales]]</f>
        <v>0.16610123148395964</v>
      </c>
    </row>
    <row r="1779" spans="1:12" x14ac:dyDescent="0.25">
      <c r="A1779" t="s">
        <v>1687</v>
      </c>
      <c r="B1779" s="2">
        <v>45021</v>
      </c>
      <c r="C1779" s="2" t="str">
        <f>TEXT(Table3[[#This Row],[Order Date]],"mmmm")</f>
        <v>April</v>
      </c>
      <c r="D1779" t="s">
        <v>3730</v>
      </c>
      <c r="E1779" t="s">
        <v>3225</v>
      </c>
      <c r="F1779" t="s">
        <v>3226</v>
      </c>
      <c r="G1779" s="4">
        <v>111193.7</v>
      </c>
      <c r="H1779" s="4">
        <v>71240.009999999995</v>
      </c>
      <c r="I1779" s="3" t="s">
        <v>3734</v>
      </c>
      <c r="J1779">
        <v>5</v>
      </c>
      <c r="K1779" s="4">
        <f>Table3[[#This Row],[Sales]]-Table3[[#This Row],[Cost]]</f>
        <v>39953.69</v>
      </c>
      <c r="L1779" s="6">
        <f>Table3[[#This Row],[Profit]]/Table3[[#This Row],[Sales]]</f>
        <v>0.35931613032033294</v>
      </c>
    </row>
    <row r="1780" spans="1:12" x14ac:dyDescent="0.25">
      <c r="A1780" t="s">
        <v>1688</v>
      </c>
      <c r="B1780" s="2" t="s">
        <v>3729</v>
      </c>
      <c r="C1780" s="2" t="str">
        <f>TEXT(Table3[[#This Row],[Order Date]],"mmmm")</f>
        <v>Not Mentioned</v>
      </c>
      <c r="D1780" t="s">
        <v>3730</v>
      </c>
      <c r="E1780" t="s">
        <v>3223</v>
      </c>
      <c r="F1780" t="s">
        <v>3226</v>
      </c>
      <c r="G1780" s="4">
        <v>44055.38</v>
      </c>
      <c r="H1780" s="4">
        <v>32312.11</v>
      </c>
      <c r="I1780" s="3" t="s">
        <v>3734</v>
      </c>
      <c r="J1780">
        <v>5</v>
      </c>
      <c r="K1780" s="4">
        <f>Table3[[#This Row],[Sales]]-Table3[[#This Row],[Cost]]</f>
        <v>11743.269999999997</v>
      </c>
      <c r="L1780" s="6">
        <f>Table3[[#This Row],[Profit]]/Table3[[#This Row],[Sales]]</f>
        <v>0.26655700166472285</v>
      </c>
    </row>
    <row r="1781" spans="1:12" x14ac:dyDescent="0.25">
      <c r="A1781" t="s">
        <v>1689</v>
      </c>
      <c r="B1781" s="2">
        <v>45005</v>
      </c>
      <c r="C1781" s="2" t="str">
        <f>TEXT(Table3[[#This Row],[Order Date]],"mmmm")</f>
        <v>March</v>
      </c>
      <c r="D1781" t="s">
        <v>3730</v>
      </c>
      <c r="E1781" t="s">
        <v>3223</v>
      </c>
      <c r="F1781" t="s">
        <v>3226</v>
      </c>
      <c r="G1781" s="4">
        <v>9509.14</v>
      </c>
      <c r="H1781" s="4">
        <v>7105.33</v>
      </c>
      <c r="I1781" s="3" t="s">
        <v>3734</v>
      </c>
      <c r="J1781">
        <v>1</v>
      </c>
      <c r="K1781" s="4">
        <f>Table3[[#This Row],[Sales]]-Table3[[#This Row],[Cost]]</f>
        <v>2403.8099999999995</v>
      </c>
      <c r="L1781" s="6">
        <f>Table3[[#This Row],[Profit]]/Table3[[#This Row],[Sales]]</f>
        <v>0.25278942154600725</v>
      </c>
    </row>
    <row r="1782" spans="1:12" x14ac:dyDescent="0.25">
      <c r="A1782" t="s">
        <v>1690</v>
      </c>
      <c r="B1782" s="2">
        <v>45005</v>
      </c>
      <c r="C1782" s="2" t="str">
        <f>TEXT(Table3[[#This Row],[Order Date]],"mmmm")</f>
        <v>March</v>
      </c>
      <c r="D1782" t="s">
        <v>3220</v>
      </c>
      <c r="E1782" t="s">
        <v>3224</v>
      </c>
      <c r="F1782" t="s">
        <v>3226</v>
      </c>
      <c r="G1782" s="4">
        <v>330672.93</v>
      </c>
      <c r="H1782" s="4">
        <v>200490.56</v>
      </c>
      <c r="I1782" s="3" t="s">
        <v>3734</v>
      </c>
      <c r="J1782">
        <v>5</v>
      </c>
      <c r="K1782" s="4">
        <f>Table3[[#This Row],[Sales]]-Table3[[#This Row],[Cost]]</f>
        <v>130182.37</v>
      </c>
      <c r="L1782" s="6">
        <f>Table3[[#This Row],[Profit]]/Table3[[#This Row],[Sales]]</f>
        <v>0.39368922639056059</v>
      </c>
    </row>
    <row r="1783" spans="1:12" x14ac:dyDescent="0.25">
      <c r="A1783" t="s">
        <v>1691</v>
      </c>
      <c r="B1783" s="2">
        <v>45102</v>
      </c>
      <c r="C1783" s="2" t="str">
        <f>TEXT(Table3[[#This Row],[Order Date]],"mmmm")</f>
        <v>June</v>
      </c>
      <c r="D1783" t="s">
        <v>3731</v>
      </c>
      <c r="E1783" t="s">
        <v>3224</v>
      </c>
      <c r="F1783" t="s">
        <v>3226</v>
      </c>
      <c r="G1783" s="4">
        <v>58343.41</v>
      </c>
      <c r="H1783" s="4">
        <v>39807.61</v>
      </c>
      <c r="I1783" s="3" t="s">
        <v>3734</v>
      </c>
      <c r="J1783">
        <v>1</v>
      </c>
      <c r="K1783" s="4">
        <f>Table3[[#This Row],[Sales]]-Table3[[#This Row],[Cost]]</f>
        <v>18535.800000000003</v>
      </c>
      <c r="L1783" s="6">
        <f>Table3[[#This Row],[Profit]]/Table3[[#This Row],[Sales]]</f>
        <v>0.31770169073079552</v>
      </c>
    </row>
    <row r="1784" spans="1:12" x14ac:dyDescent="0.25">
      <c r="A1784" t="s">
        <v>1692</v>
      </c>
      <c r="B1784" s="2">
        <v>45021</v>
      </c>
      <c r="C1784" s="2" t="str">
        <f>TEXT(Table3[[#This Row],[Order Date]],"mmmm")</f>
        <v>April</v>
      </c>
      <c r="D1784" t="s">
        <v>3730</v>
      </c>
      <c r="E1784" t="s">
        <v>3224</v>
      </c>
      <c r="F1784" t="s">
        <v>3226</v>
      </c>
      <c r="G1784" s="4">
        <v>55694.25</v>
      </c>
      <c r="H1784" s="4">
        <v>44683.6</v>
      </c>
      <c r="I1784" s="3" t="s">
        <v>3734</v>
      </c>
      <c r="J1784">
        <v>1</v>
      </c>
      <c r="K1784" s="4">
        <f>Table3[[#This Row],[Sales]]-Table3[[#This Row],[Cost]]</f>
        <v>11010.650000000001</v>
      </c>
      <c r="L1784" s="6">
        <f>Table3[[#This Row],[Profit]]/Table3[[#This Row],[Sales]]</f>
        <v>0.19769814657707038</v>
      </c>
    </row>
    <row r="1785" spans="1:12" x14ac:dyDescent="0.25">
      <c r="A1785" t="s">
        <v>3302</v>
      </c>
      <c r="B1785" s="2">
        <v>45021</v>
      </c>
      <c r="C1785" s="2" t="str">
        <f>TEXT(Table3[[#This Row],[Order Date]],"mmmm")</f>
        <v>April</v>
      </c>
      <c r="D1785" t="s">
        <v>3220</v>
      </c>
      <c r="E1785" t="s">
        <v>3224</v>
      </c>
      <c r="F1785" t="s">
        <v>3226</v>
      </c>
      <c r="G1785" s="4">
        <v>260660.12</v>
      </c>
      <c r="H1785" s="4">
        <v>218603.56</v>
      </c>
      <c r="I1785" s="3" t="s">
        <v>3734</v>
      </c>
      <c r="J1785">
        <v>5</v>
      </c>
      <c r="K1785" s="4">
        <f>Table3[[#This Row],[Sales]]-Table3[[#This Row],[Cost]]</f>
        <v>42056.56</v>
      </c>
      <c r="L1785" s="6">
        <f>Table3[[#This Row],[Profit]]/Table3[[#This Row],[Sales]]</f>
        <v>0.16134635401840527</v>
      </c>
    </row>
    <row r="1786" spans="1:12" x14ac:dyDescent="0.25">
      <c r="A1786" t="s">
        <v>1694</v>
      </c>
      <c r="B1786" s="2">
        <v>45102</v>
      </c>
      <c r="C1786" s="2" t="str">
        <f>TEXT(Table3[[#This Row],[Order Date]],"mmmm")</f>
        <v>June</v>
      </c>
      <c r="D1786" t="s">
        <v>3220</v>
      </c>
      <c r="E1786" t="s">
        <v>3223</v>
      </c>
      <c r="F1786" t="s">
        <v>3226</v>
      </c>
      <c r="G1786" s="4">
        <v>8418.82</v>
      </c>
      <c r="H1786" s="4">
        <v>7204.31</v>
      </c>
      <c r="I1786" s="3" t="s">
        <v>3734</v>
      </c>
      <c r="J1786">
        <v>1</v>
      </c>
      <c r="K1786" s="4">
        <f>Table3[[#This Row],[Sales]]-Table3[[#This Row],[Cost]]</f>
        <v>1214.5099999999993</v>
      </c>
      <c r="L1786" s="6">
        <f>Table3[[#This Row],[Profit]]/Table3[[#This Row],[Sales]]</f>
        <v>0.14426130977975529</v>
      </c>
    </row>
    <row r="1787" spans="1:12" x14ac:dyDescent="0.25">
      <c r="A1787" t="s">
        <v>1695</v>
      </c>
      <c r="B1787" s="2">
        <v>44941</v>
      </c>
      <c r="C1787" s="2" t="str">
        <f>TEXT(Table3[[#This Row],[Order Date]],"mmmm")</f>
        <v>January</v>
      </c>
      <c r="D1787" t="s">
        <v>3731</v>
      </c>
      <c r="E1787" t="s">
        <v>3225</v>
      </c>
      <c r="F1787" t="s">
        <v>3226</v>
      </c>
      <c r="G1787" s="4">
        <v>22524.97</v>
      </c>
      <c r="H1787" s="4">
        <v>14508.2</v>
      </c>
      <c r="I1787" s="3" t="s">
        <v>3734</v>
      </c>
      <c r="J1787">
        <v>1</v>
      </c>
      <c r="K1787" s="4">
        <f>Table3[[#This Row],[Sales]]-Table3[[#This Row],[Cost]]</f>
        <v>8016.77</v>
      </c>
      <c r="L1787" s="6">
        <f>Table3[[#This Row],[Profit]]/Table3[[#This Row],[Sales]]</f>
        <v>0.35590591241630953</v>
      </c>
    </row>
    <row r="1788" spans="1:12" x14ac:dyDescent="0.25">
      <c r="A1788" t="s">
        <v>1696</v>
      </c>
      <c r="B1788" s="2">
        <v>44941</v>
      </c>
      <c r="C1788" s="2" t="str">
        <f>TEXT(Table3[[#This Row],[Order Date]],"mmmm")</f>
        <v>January</v>
      </c>
      <c r="D1788" t="s">
        <v>3220</v>
      </c>
      <c r="E1788" t="s">
        <v>3222</v>
      </c>
      <c r="F1788" t="s">
        <v>3226</v>
      </c>
      <c r="G1788" s="4">
        <v>33972.639999999999</v>
      </c>
      <c r="H1788" s="4">
        <v>17494.45</v>
      </c>
      <c r="I1788" s="3" t="s">
        <v>3734</v>
      </c>
      <c r="J1788">
        <v>2</v>
      </c>
      <c r="K1788" s="4">
        <f>Table3[[#This Row],[Sales]]-Table3[[#This Row],[Cost]]</f>
        <v>16478.189999999999</v>
      </c>
      <c r="L1788" s="6">
        <f>Table3[[#This Row],[Profit]]/Table3[[#This Row],[Sales]]</f>
        <v>0.48504296398513624</v>
      </c>
    </row>
    <row r="1789" spans="1:12" x14ac:dyDescent="0.25">
      <c r="A1789" t="s">
        <v>1697</v>
      </c>
      <c r="B1789" s="2">
        <v>45102</v>
      </c>
      <c r="C1789" s="2" t="str">
        <f>TEXT(Table3[[#This Row],[Order Date]],"mmmm")</f>
        <v>June</v>
      </c>
      <c r="D1789" t="s">
        <v>3730</v>
      </c>
      <c r="E1789" t="s">
        <v>3222</v>
      </c>
      <c r="F1789" t="s">
        <v>3226</v>
      </c>
      <c r="G1789" s="4">
        <v>74158.05</v>
      </c>
      <c r="H1789" s="4">
        <v>45440.06</v>
      </c>
      <c r="I1789" s="3" t="s">
        <v>3734</v>
      </c>
      <c r="J1789">
        <v>5</v>
      </c>
      <c r="K1789" s="4">
        <f>Table3[[#This Row],[Sales]]-Table3[[#This Row],[Cost]]</f>
        <v>28717.990000000005</v>
      </c>
      <c r="L1789" s="6">
        <f>Table3[[#This Row],[Profit]]/Table3[[#This Row],[Sales]]</f>
        <v>0.38725384499727278</v>
      </c>
    </row>
    <row r="1790" spans="1:12" x14ac:dyDescent="0.25">
      <c r="A1790" t="s">
        <v>1622</v>
      </c>
      <c r="B1790" s="2">
        <v>44972</v>
      </c>
      <c r="C1790" s="2" t="str">
        <f>TEXT(Table3[[#This Row],[Order Date]],"mmmm")</f>
        <v>February</v>
      </c>
      <c r="D1790" t="s">
        <v>3730</v>
      </c>
      <c r="E1790" t="s">
        <v>3225</v>
      </c>
      <c r="F1790" t="s">
        <v>3226</v>
      </c>
      <c r="G1790" s="4">
        <v>110915.26</v>
      </c>
      <c r="H1790" s="4">
        <v>88732.207999999999</v>
      </c>
      <c r="I1790" s="3" t="s">
        <v>3735</v>
      </c>
      <c r="J1790">
        <v>5</v>
      </c>
      <c r="K1790" s="4">
        <f>Table3[[#This Row],[Sales]]-Table3[[#This Row],[Cost]]</f>
        <v>22183.051999999996</v>
      </c>
      <c r="L1790" s="6">
        <f>Table3[[#This Row],[Profit]]/Table3[[#This Row],[Sales]]</f>
        <v>0.19999999999999998</v>
      </c>
    </row>
    <row r="1791" spans="1:12" x14ac:dyDescent="0.25">
      <c r="A1791" t="s">
        <v>1698</v>
      </c>
      <c r="B1791" s="2" t="s">
        <v>3729</v>
      </c>
      <c r="C1791" s="2" t="str">
        <f>TEXT(Table3[[#This Row],[Order Date]],"mmmm")</f>
        <v>Not Mentioned</v>
      </c>
      <c r="D1791" t="s">
        <v>3731</v>
      </c>
      <c r="E1791" t="s">
        <v>3223</v>
      </c>
      <c r="F1791" t="s">
        <v>3226</v>
      </c>
      <c r="G1791" s="4">
        <v>10044.120000000001</v>
      </c>
      <c r="H1791" s="4">
        <v>6049.47</v>
      </c>
      <c r="I1791" s="3" t="s">
        <v>3734</v>
      </c>
      <c r="J1791">
        <v>1</v>
      </c>
      <c r="K1791" s="4">
        <f>Table3[[#This Row],[Sales]]-Table3[[#This Row],[Cost]]</f>
        <v>3994.6500000000005</v>
      </c>
      <c r="L1791" s="6">
        <f>Table3[[#This Row],[Profit]]/Table3[[#This Row],[Sales]]</f>
        <v>0.39771030214692776</v>
      </c>
    </row>
    <row r="1792" spans="1:12" x14ac:dyDescent="0.25">
      <c r="A1792" t="s">
        <v>3266</v>
      </c>
      <c r="B1792" s="2">
        <v>45005</v>
      </c>
      <c r="C1792" s="2" t="str">
        <f>TEXT(Table3[[#This Row],[Order Date]],"mmmm")</f>
        <v>March</v>
      </c>
      <c r="D1792" t="s">
        <v>3731</v>
      </c>
      <c r="E1792" t="s">
        <v>3223</v>
      </c>
      <c r="F1792" t="s">
        <v>3226</v>
      </c>
      <c r="G1792" s="4">
        <v>10213.59</v>
      </c>
      <c r="H1792" s="4">
        <v>6182.39</v>
      </c>
      <c r="I1792" s="3" t="s">
        <v>3734</v>
      </c>
      <c r="J1792">
        <v>1</v>
      </c>
      <c r="K1792" s="4">
        <f>Table3[[#This Row],[Sales]]-Table3[[#This Row],[Cost]]</f>
        <v>4031.2</v>
      </c>
      <c r="L1792" s="6">
        <f>Table3[[#This Row],[Profit]]/Table3[[#This Row],[Sales]]</f>
        <v>0.39468982013180476</v>
      </c>
    </row>
    <row r="1793" spans="1:12" x14ac:dyDescent="0.25">
      <c r="A1793" t="s">
        <v>727</v>
      </c>
      <c r="B1793" s="2">
        <v>45102</v>
      </c>
      <c r="C1793" s="2" t="str">
        <f>TEXT(Table3[[#This Row],[Order Date]],"mmmm")</f>
        <v>June</v>
      </c>
      <c r="D1793" t="s">
        <v>3220</v>
      </c>
      <c r="E1793" t="s">
        <v>3224</v>
      </c>
      <c r="F1793" t="s">
        <v>3226</v>
      </c>
      <c r="G1793" s="4">
        <v>105001.35</v>
      </c>
      <c r="H1793" s="4">
        <v>80341.47</v>
      </c>
      <c r="I1793" s="3" t="s">
        <v>3734</v>
      </c>
      <c r="J1793">
        <v>2</v>
      </c>
      <c r="K1793" s="4">
        <f>Table3[[#This Row],[Sales]]-Table3[[#This Row],[Cost]]</f>
        <v>24659.880000000005</v>
      </c>
      <c r="L1793" s="6">
        <f>Table3[[#This Row],[Profit]]/Table3[[#This Row],[Sales]]</f>
        <v>0.23485298046167982</v>
      </c>
    </row>
    <row r="1794" spans="1:12" x14ac:dyDescent="0.25">
      <c r="A1794" t="s">
        <v>1699</v>
      </c>
      <c r="B1794" s="2" t="s">
        <v>3729</v>
      </c>
      <c r="C1794" s="2" t="str">
        <f>TEXT(Table3[[#This Row],[Order Date]],"mmmm")</f>
        <v>Not Mentioned</v>
      </c>
      <c r="D1794" t="s">
        <v>3220</v>
      </c>
      <c r="E1794" t="s">
        <v>3223</v>
      </c>
      <c r="F1794" t="s">
        <v>3226</v>
      </c>
      <c r="G1794" s="4">
        <v>18907.07</v>
      </c>
      <c r="H1794" s="4">
        <v>14906.77</v>
      </c>
      <c r="I1794" s="3" t="s">
        <v>3734</v>
      </c>
      <c r="J1794">
        <v>2</v>
      </c>
      <c r="K1794" s="4">
        <f>Table3[[#This Row],[Sales]]-Table3[[#This Row],[Cost]]</f>
        <v>4000.2999999999993</v>
      </c>
      <c r="L1794" s="6">
        <f>Table3[[#This Row],[Profit]]/Table3[[#This Row],[Sales]]</f>
        <v>0.2115769392084548</v>
      </c>
    </row>
    <row r="1795" spans="1:12" x14ac:dyDescent="0.25">
      <c r="A1795" t="s">
        <v>1700</v>
      </c>
      <c r="B1795" s="2">
        <v>45021</v>
      </c>
      <c r="C1795" s="2" t="str">
        <f>TEXT(Table3[[#This Row],[Order Date]],"mmmm")</f>
        <v>April</v>
      </c>
      <c r="D1795" t="s">
        <v>3730</v>
      </c>
      <c r="E1795" t="s">
        <v>3224</v>
      </c>
      <c r="F1795" t="s">
        <v>3226</v>
      </c>
      <c r="G1795" s="4">
        <v>222982.68</v>
      </c>
      <c r="H1795" s="4">
        <v>188888.16</v>
      </c>
      <c r="I1795" s="3" t="s">
        <v>3734</v>
      </c>
      <c r="J1795">
        <v>4</v>
      </c>
      <c r="K1795" s="4">
        <f>Table3[[#This Row],[Sales]]-Table3[[#This Row],[Cost]]</f>
        <v>34094.51999999999</v>
      </c>
      <c r="L1795" s="6">
        <f>Table3[[#This Row],[Profit]]/Table3[[#This Row],[Sales]]</f>
        <v>0.15290209984022074</v>
      </c>
    </row>
    <row r="1796" spans="1:12" x14ac:dyDescent="0.25">
      <c r="A1796" t="s">
        <v>1105</v>
      </c>
      <c r="B1796" s="2">
        <v>44972</v>
      </c>
      <c r="C1796" s="2" t="str">
        <f>TEXT(Table3[[#This Row],[Order Date]],"mmmm")</f>
        <v>February</v>
      </c>
      <c r="D1796" t="s">
        <v>3731</v>
      </c>
      <c r="E1796" t="s">
        <v>3223</v>
      </c>
      <c r="F1796" t="s">
        <v>3226</v>
      </c>
      <c r="G1796" s="4">
        <v>42861.83</v>
      </c>
      <c r="H1796" s="4">
        <v>29253.69</v>
      </c>
      <c r="I1796" s="3" t="s">
        <v>3734</v>
      </c>
      <c r="J1796">
        <v>4</v>
      </c>
      <c r="K1796" s="4">
        <f>Table3[[#This Row],[Sales]]-Table3[[#This Row],[Cost]]</f>
        <v>13608.140000000003</v>
      </c>
      <c r="L1796" s="6">
        <f>Table3[[#This Row],[Profit]]/Table3[[#This Row],[Sales]]</f>
        <v>0.31748854400290427</v>
      </c>
    </row>
    <row r="1797" spans="1:12" x14ac:dyDescent="0.25">
      <c r="A1797" t="s">
        <v>3423</v>
      </c>
      <c r="B1797" s="2">
        <v>44941</v>
      </c>
      <c r="C1797" s="2" t="str">
        <f>TEXT(Table3[[#This Row],[Order Date]],"mmmm")</f>
        <v>January</v>
      </c>
      <c r="D1797" t="s">
        <v>3731</v>
      </c>
      <c r="E1797" t="s">
        <v>3225</v>
      </c>
      <c r="F1797" t="s">
        <v>3226</v>
      </c>
      <c r="G1797" s="4">
        <v>104519.43</v>
      </c>
      <c r="H1797" s="4">
        <v>67693.22</v>
      </c>
      <c r="I1797" s="3" t="s">
        <v>3734</v>
      </c>
      <c r="J1797">
        <v>5</v>
      </c>
      <c r="K1797" s="4">
        <f>Table3[[#This Row],[Sales]]-Table3[[#This Row],[Cost]]</f>
        <v>36826.209999999992</v>
      </c>
      <c r="L1797" s="6">
        <f>Table3[[#This Row],[Profit]]/Table3[[#This Row],[Sales]]</f>
        <v>0.35233841210194117</v>
      </c>
    </row>
    <row r="1798" spans="1:12" x14ac:dyDescent="0.25">
      <c r="A1798" t="s">
        <v>1701</v>
      </c>
      <c r="B1798" s="2">
        <v>45005</v>
      </c>
      <c r="C1798" s="2" t="str">
        <f>TEXT(Table3[[#This Row],[Order Date]],"mmmm")</f>
        <v>March</v>
      </c>
      <c r="D1798" t="s">
        <v>3730</v>
      </c>
      <c r="E1798" t="s">
        <v>3223</v>
      </c>
      <c r="F1798" t="s">
        <v>3226</v>
      </c>
      <c r="G1798" s="4">
        <v>29234.51</v>
      </c>
      <c r="H1798" s="4">
        <v>23387.608</v>
      </c>
      <c r="I1798" s="3" t="s">
        <v>3735</v>
      </c>
      <c r="J1798">
        <v>3</v>
      </c>
      <c r="K1798" s="4">
        <f>Table3[[#This Row],[Sales]]-Table3[[#This Row],[Cost]]</f>
        <v>5846.9019999999982</v>
      </c>
      <c r="L1798" s="6">
        <f>Table3[[#This Row],[Profit]]/Table3[[#This Row],[Sales]]</f>
        <v>0.19999999999999996</v>
      </c>
    </row>
    <row r="1799" spans="1:12" x14ac:dyDescent="0.25">
      <c r="A1799" t="s">
        <v>1702</v>
      </c>
      <c r="B1799" s="2">
        <v>44941</v>
      </c>
      <c r="C1799" s="2" t="str">
        <f>TEXT(Table3[[#This Row],[Order Date]],"mmmm")</f>
        <v>January</v>
      </c>
      <c r="D1799" t="s">
        <v>3730</v>
      </c>
      <c r="E1799" t="s">
        <v>3222</v>
      </c>
      <c r="F1799" t="s">
        <v>3226</v>
      </c>
      <c r="G1799" s="4">
        <v>64672.41</v>
      </c>
      <c r="H1799" s="4">
        <v>51737.928000000007</v>
      </c>
      <c r="I1799" s="3" t="s">
        <v>3735</v>
      </c>
      <c r="J1799">
        <v>5</v>
      </c>
      <c r="K1799" s="4">
        <f>Table3[[#This Row],[Sales]]-Table3[[#This Row],[Cost]]</f>
        <v>12934.481999999996</v>
      </c>
      <c r="L1799" s="6">
        <f>Table3[[#This Row],[Profit]]/Table3[[#This Row],[Sales]]</f>
        <v>0.19999999999999993</v>
      </c>
    </row>
    <row r="1800" spans="1:12" x14ac:dyDescent="0.25">
      <c r="A1800" t="s">
        <v>3409</v>
      </c>
      <c r="B1800" s="2">
        <v>44941</v>
      </c>
      <c r="C1800" s="2" t="str">
        <f>TEXT(Table3[[#This Row],[Order Date]],"mmmm")</f>
        <v>January</v>
      </c>
      <c r="D1800" t="s">
        <v>3731</v>
      </c>
      <c r="E1800" t="s">
        <v>3224</v>
      </c>
      <c r="F1800" t="s">
        <v>3226</v>
      </c>
      <c r="G1800" s="4">
        <v>167040.35</v>
      </c>
      <c r="H1800" s="4">
        <v>126020.93</v>
      </c>
      <c r="I1800" s="3" t="s">
        <v>3734</v>
      </c>
      <c r="J1800">
        <v>3</v>
      </c>
      <c r="K1800" s="4">
        <f>Table3[[#This Row],[Sales]]-Table3[[#This Row],[Cost]]</f>
        <v>41019.420000000013</v>
      </c>
      <c r="L1800" s="6">
        <f>Table3[[#This Row],[Profit]]/Table3[[#This Row],[Sales]]</f>
        <v>0.24556593661351889</v>
      </c>
    </row>
    <row r="1801" spans="1:12" x14ac:dyDescent="0.25">
      <c r="A1801" t="s">
        <v>448</v>
      </c>
      <c r="B1801" s="2">
        <v>44972</v>
      </c>
      <c r="C1801" s="2" t="str">
        <f>TEXT(Table3[[#This Row],[Order Date]],"mmmm")</f>
        <v>February</v>
      </c>
      <c r="D1801" t="s">
        <v>3730</v>
      </c>
      <c r="E1801" t="s">
        <v>3222</v>
      </c>
      <c r="F1801" t="s">
        <v>3226</v>
      </c>
      <c r="G1801" s="4">
        <v>67942.95</v>
      </c>
      <c r="H1801" s="4">
        <v>39889.730000000003</v>
      </c>
      <c r="I1801" s="3" t="s">
        <v>3734</v>
      </c>
      <c r="J1801">
        <v>4</v>
      </c>
      <c r="K1801" s="4">
        <f>Table3[[#This Row],[Sales]]-Table3[[#This Row],[Cost]]</f>
        <v>28053.219999999994</v>
      </c>
      <c r="L1801" s="6">
        <f>Table3[[#This Row],[Profit]]/Table3[[#This Row],[Sales]]</f>
        <v>0.41289375866075867</v>
      </c>
    </row>
    <row r="1802" spans="1:12" x14ac:dyDescent="0.25">
      <c r="A1802" t="s">
        <v>1703</v>
      </c>
      <c r="B1802" s="2">
        <v>45021</v>
      </c>
      <c r="C1802" s="2" t="str">
        <f>TEXT(Table3[[#This Row],[Order Date]],"mmmm")</f>
        <v>April</v>
      </c>
      <c r="D1802" t="s">
        <v>3220</v>
      </c>
      <c r="E1802" t="s">
        <v>3224</v>
      </c>
      <c r="F1802" t="s">
        <v>3226</v>
      </c>
      <c r="G1802" s="4">
        <v>132577.85</v>
      </c>
      <c r="H1802" s="4">
        <v>106062.28000000001</v>
      </c>
      <c r="I1802" s="3" t="s">
        <v>3735</v>
      </c>
      <c r="J1802">
        <v>2</v>
      </c>
      <c r="K1802" s="4">
        <f>Table3[[#This Row],[Sales]]-Table3[[#This Row],[Cost]]</f>
        <v>26515.569999999992</v>
      </c>
      <c r="L1802" s="6">
        <f>Table3[[#This Row],[Profit]]/Table3[[#This Row],[Sales]]</f>
        <v>0.19999999999999993</v>
      </c>
    </row>
    <row r="1803" spans="1:12" x14ac:dyDescent="0.25">
      <c r="A1803" t="s">
        <v>984</v>
      </c>
      <c r="B1803" s="2">
        <v>45005</v>
      </c>
      <c r="C1803" s="2" t="str">
        <f>TEXT(Table3[[#This Row],[Order Date]],"mmmm")</f>
        <v>March</v>
      </c>
      <c r="D1803" t="s">
        <v>3216</v>
      </c>
      <c r="E1803" t="s">
        <v>3222</v>
      </c>
      <c r="F1803" t="s">
        <v>3226</v>
      </c>
      <c r="G1803" s="4">
        <v>13854.81</v>
      </c>
      <c r="H1803" s="4">
        <v>10219.200000000001</v>
      </c>
      <c r="I1803" s="3" t="s">
        <v>3734</v>
      </c>
      <c r="J1803">
        <v>1</v>
      </c>
      <c r="K1803" s="4">
        <f>Table3[[#This Row],[Sales]]-Table3[[#This Row],[Cost]]</f>
        <v>3635.6099999999988</v>
      </c>
      <c r="L1803" s="6">
        <f>Table3[[#This Row],[Profit]]/Table3[[#This Row],[Sales]]</f>
        <v>0.26240778473324416</v>
      </c>
    </row>
    <row r="1804" spans="1:12" x14ac:dyDescent="0.25">
      <c r="A1804" t="s">
        <v>1704</v>
      </c>
      <c r="B1804" s="2">
        <v>45021</v>
      </c>
      <c r="C1804" s="2" t="str">
        <f>TEXT(Table3[[#This Row],[Order Date]],"mmmm")</f>
        <v>April</v>
      </c>
      <c r="D1804" t="s">
        <v>3216</v>
      </c>
      <c r="E1804" t="s">
        <v>3223</v>
      </c>
      <c r="F1804" t="s">
        <v>3226</v>
      </c>
      <c r="G1804" s="4">
        <v>27686.91</v>
      </c>
      <c r="H1804" s="4">
        <v>22149.528000000002</v>
      </c>
      <c r="I1804" s="3" t="s">
        <v>3735</v>
      </c>
      <c r="J1804">
        <v>3</v>
      </c>
      <c r="K1804" s="4">
        <f>Table3[[#This Row],[Sales]]-Table3[[#This Row],[Cost]]</f>
        <v>5537.3819999999978</v>
      </c>
      <c r="L1804" s="6">
        <f>Table3[[#This Row],[Profit]]/Table3[[#This Row],[Sales]]</f>
        <v>0.19999999999999993</v>
      </c>
    </row>
    <row r="1805" spans="1:12" x14ac:dyDescent="0.25">
      <c r="A1805" t="s">
        <v>1705</v>
      </c>
      <c r="B1805" s="2">
        <v>45021</v>
      </c>
      <c r="C1805" s="2" t="str">
        <f>TEXT(Table3[[#This Row],[Order Date]],"mmmm")</f>
        <v>April</v>
      </c>
      <c r="D1805" t="s">
        <v>3731</v>
      </c>
      <c r="E1805" t="s">
        <v>3223</v>
      </c>
      <c r="F1805" t="s">
        <v>3226</v>
      </c>
      <c r="G1805" s="4">
        <v>11638.21</v>
      </c>
      <c r="H1805" s="4">
        <v>6330.24</v>
      </c>
      <c r="I1805" s="3" t="s">
        <v>3734</v>
      </c>
      <c r="J1805">
        <v>1</v>
      </c>
      <c r="K1805" s="4">
        <f>Table3[[#This Row],[Sales]]-Table3[[#This Row],[Cost]]</f>
        <v>5307.9699999999993</v>
      </c>
      <c r="L1805" s="6">
        <f>Table3[[#This Row],[Profit]]/Table3[[#This Row],[Sales]]</f>
        <v>0.45608130459924678</v>
      </c>
    </row>
    <row r="1806" spans="1:12" x14ac:dyDescent="0.25">
      <c r="A1806" t="s">
        <v>1706</v>
      </c>
      <c r="B1806" s="2">
        <v>44941</v>
      </c>
      <c r="C1806" s="2" t="str">
        <f>TEXT(Table3[[#This Row],[Order Date]],"mmmm")</f>
        <v>January</v>
      </c>
      <c r="D1806" t="s">
        <v>3730</v>
      </c>
      <c r="E1806" t="s">
        <v>3224</v>
      </c>
      <c r="F1806" t="s">
        <v>3226</v>
      </c>
      <c r="G1806" s="4">
        <v>284892.69</v>
      </c>
      <c r="H1806" s="4">
        <v>212340.81</v>
      </c>
      <c r="I1806" s="3" t="s">
        <v>3734</v>
      </c>
      <c r="J1806">
        <v>5</v>
      </c>
      <c r="K1806" s="4">
        <f>Table3[[#This Row],[Sales]]-Table3[[#This Row],[Cost]]</f>
        <v>72551.88</v>
      </c>
      <c r="L1806" s="6">
        <f>Table3[[#This Row],[Profit]]/Table3[[#This Row],[Sales]]</f>
        <v>0.2546638876553835</v>
      </c>
    </row>
    <row r="1807" spans="1:12" x14ac:dyDescent="0.25">
      <c r="A1807" t="s">
        <v>1707</v>
      </c>
      <c r="B1807" s="2">
        <v>45102</v>
      </c>
      <c r="C1807" s="2" t="str">
        <f>TEXT(Table3[[#This Row],[Order Date]],"mmmm")</f>
        <v>June</v>
      </c>
      <c r="D1807" t="s">
        <v>3730</v>
      </c>
      <c r="E1807" t="s">
        <v>3224</v>
      </c>
      <c r="F1807" t="s">
        <v>3226</v>
      </c>
      <c r="G1807" s="4">
        <v>272918.84000000003</v>
      </c>
      <c r="H1807" s="4">
        <v>165159.21</v>
      </c>
      <c r="I1807" s="3" t="s">
        <v>3734</v>
      </c>
      <c r="J1807">
        <v>4</v>
      </c>
      <c r="K1807" s="4">
        <f>Table3[[#This Row],[Sales]]-Table3[[#This Row],[Cost]]</f>
        <v>107759.63000000003</v>
      </c>
      <c r="L1807" s="6">
        <f>Table3[[#This Row],[Profit]]/Table3[[#This Row],[Sales]]</f>
        <v>0.39484130153858205</v>
      </c>
    </row>
    <row r="1808" spans="1:12" x14ac:dyDescent="0.25">
      <c r="A1808" t="s">
        <v>3523</v>
      </c>
      <c r="B1808" s="2">
        <v>45005</v>
      </c>
      <c r="C1808" s="2" t="str">
        <f>TEXT(Table3[[#This Row],[Order Date]],"mmmm")</f>
        <v>March</v>
      </c>
      <c r="D1808" t="s">
        <v>3730</v>
      </c>
      <c r="E1808" t="s">
        <v>3224</v>
      </c>
      <c r="F1808" t="s">
        <v>3226</v>
      </c>
      <c r="G1808" s="4">
        <v>235196.12</v>
      </c>
      <c r="H1808" s="4">
        <v>160072.32999999999</v>
      </c>
      <c r="I1808" s="3" t="s">
        <v>3734</v>
      </c>
      <c r="J1808">
        <v>4</v>
      </c>
      <c r="K1808" s="4">
        <f>Table3[[#This Row],[Sales]]-Table3[[#This Row],[Cost]]</f>
        <v>75123.790000000008</v>
      </c>
      <c r="L1808" s="6">
        <f>Table3[[#This Row],[Profit]]/Table3[[#This Row],[Sales]]</f>
        <v>0.31940913821197392</v>
      </c>
    </row>
    <row r="1809" spans="1:12" x14ac:dyDescent="0.25">
      <c r="A1809" t="s">
        <v>1709</v>
      </c>
      <c r="B1809" s="2">
        <v>44972</v>
      </c>
      <c r="C1809" s="2" t="str">
        <f>TEXT(Table3[[#This Row],[Order Date]],"mmmm")</f>
        <v>February</v>
      </c>
      <c r="D1809" t="s">
        <v>3220</v>
      </c>
      <c r="E1809" t="s">
        <v>3222</v>
      </c>
      <c r="F1809" t="s">
        <v>3226</v>
      </c>
      <c r="G1809" s="4">
        <v>29992.75</v>
      </c>
      <c r="H1809" s="4">
        <v>17640.77</v>
      </c>
      <c r="I1809" s="3" t="s">
        <v>3734</v>
      </c>
      <c r="J1809">
        <v>2</v>
      </c>
      <c r="K1809" s="4">
        <f>Table3[[#This Row],[Sales]]-Table3[[#This Row],[Cost]]</f>
        <v>12351.98</v>
      </c>
      <c r="L1809" s="6">
        <f>Table3[[#This Row],[Profit]]/Table3[[#This Row],[Sales]]</f>
        <v>0.41183219277992178</v>
      </c>
    </row>
    <row r="1810" spans="1:12" x14ac:dyDescent="0.25">
      <c r="A1810" t="s">
        <v>1710</v>
      </c>
      <c r="B1810" s="2">
        <v>44941</v>
      </c>
      <c r="C1810" s="2" t="str">
        <f>TEXT(Table3[[#This Row],[Order Date]],"mmmm")</f>
        <v>January</v>
      </c>
      <c r="D1810" t="s">
        <v>3220</v>
      </c>
      <c r="E1810" t="s">
        <v>3223</v>
      </c>
      <c r="F1810" t="s">
        <v>3226</v>
      </c>
      <c r="G1810" s="4">
        <v>9491.11</v>
      </c>
      <c r="H1810" s="4">
        <v>6374.72</v>
      </c>
      <c r="I1810" s="3" t="s">
        <v>3734</v>
      </c>
      <c r="J1810">
        <v>1</v>
      </c>
      <c r="K1810" s="4">
        <f>Table3[[#This Row],[Sales]]-Table3[[#This Row],[Cost]]</f>
        <v>3116.3900000000003</v>
      </c>
      <c r="L1810" s="6">
        <f>Table3[[#This Row],[Profit]]/Table3[[#This Row],[Sales]]</f>
        <v>0.32834831753082622</v>
      </c>
    </row>
    <row r="1811" spans="1:12" x14ac:dyDescent="0.25">
      <c r="A1811" t="s">
        <v>1711</v>
      </c>
      <c r="B1811" s="2" t="s">
        <v>3729</v>
      </c>
      <c r="C1811" s="2" t="str">
        <f>TEXT(Table3[[#This Row],[Order Date]],"mmmm")</f>
        <v>Not Mentioned</v>
      </c>
      <c r="D1811" t="s">
        <v>3730</v>
      </c>
      <c r="E1811" t="s">
        <v>3222</v>
      </c>
      <c r="F1811" t="s">
        <v>3226</v>
      </c>
      <c r="G1811" s="4">
        <v>46939.01</v>
      </c>
      <c r="H1811" s="4">
        <v>29819.33</v>
      </c>
      <c r="I1811" s="3" t="s">
        <v>3734</v>
      </c>
      <c r="J1811">
        <v>3</v>
      </c>
      <c r="K1811" s="4">
        <f>Table3[[#This Row],[Sales]]-Table3[[#This Row],[Cost]]</f>
        <v>17119.68</v>
      </c>
      <c r="L1811" s="6">
        <f>Table3[[#This Row],[Profit]]/Table3[[#This Row],[Sales]]</f>
        <v>0.36472179536807442</v>
      </c>
    </row>
    <row r="1812" spans="1:12" x14ac:dyDescent="0.25">
      <c r="A1812" t="s">
        <v>1712</v>
      </c>
      <c r="B1812" s="2" t="s">
        <v>3729</v>
      </c>
      <c r="C1812" s="2" t="str">
        <f>TEXT(Table3[[#This Row],[Order Date]],"mmmm")</f>
        <v>Not Mentioned</v>
      </c>
      <c r="D1812" t="s">
        <v>3220</v>
      </c>
      <c r="E1812" t="s">
        <v>3224</v>
      </c>
      <c r="F1812" t="s">
        <v>3226</v>
      </c>
      <c r="G1812" s="4">
        <v>110398.84</v>
      </c>
      <c r="H1812" s="4">
        <v>79350.789999999994</v>
      </c>
      <c r="I1812" s="3" t="s">
        <v>3734</v>
      </c>
      <c r="J1812">
        <v>2</v>
      </c>
      <c r="K1812" s="4">
        <f>Table3[[#This Row],[Sales]]-Table3[[#This Row],[Cost]]</f>
        <v>31048.050000000003</v>
      </c>
      <c r="L1812" s="6">
        <f>Table3[[#This Row],[Profit]]/Table3[[#This Row],[Sales]]</f>
        <v>0.28123529196502428</v>
      </c>
    </row>
    <row r="1813" spans="1:12" x14ac:dyDescent="0.25">
      <c r="A1813" t="s">
        <v>1713</v>
      </c>
      <c r="B1813" s="2">
        <v>45021</v>
      </c>
      <c r="C1813" s="2" t="str">
        <f>TEXT(Table3[[#This Row],[Order Date]],"mmmm")</f>
        <v>April</v>
      </c>
      <c r="D1813" t="s">
        <v>3220</v>
      </c>
      <c r="E1813" t="s">
        <v>3225</v>
      </c>
      <c r="F1813" t="s">
        <v>3226</v>
      </c>
      <c r="G1813" s="4">
        <v>119582.53</v>
      </c>
      <c r="H1813" s="4">
        <v>61527.11</v>
      </c>
      <c r="I1813" s="3" t="s">
        <v>3734</v>
      </c>
      <c r="J1813">
        <v>5</v>
      </c>
      <c r="K1813" s="4">
        <f>Table3[[#This Row],[Sales]]-Table3[[#This Row],[Cost]]</f>
        <v>58055.42</v>
      </c>
      <c r="L1813" s="6">
        <f>Table3[[#This Row],[Profit]]/Table3[[#This Row],[Sales]]</f>
        <v>0.48548412548220882</v>
      </c>
    </row>
    <row r="1814" spans="1:12" x14ac:dyDescent="0.25">
      <c r="A1814" t="s">
        <v>1714</v>
      </c>
      <c r="B1814" s="2">
        <v>44972</v>
      </c>
      <c r="C1814" s="2" t="str">
        <f>TEXT(Table3[[#This Row],[Order Date]],"mmmm")</f>
        <v>February</v>
      </c>
      <c r="D1814" t="s">
        <v>3731</v>
      </c>
      <c r="E1814" t="s">
        <v>3222</v>
      </c>
      <c r="F1814" t="s">
        <v>3226</v>
      </c>
      <c r="G1814" s="4">
        <v>14428.99</v>
      </c>
      <c r="H1814" s="4">
        <v>10953.89</v>
      </c>
      <c r="I1814" s="3" t="s">
        <v>3734</v>
      </c>
      <c r="J1814">
        <v>1</v>
      </c>
      <c r="K1814" s="4">
        <f>Table3[[#This Row],[Sales]]-Table3[[#This Row],[Cost]]</f>
        <v>3475.1000000000004</v>
      </c>
      <c r="L1814" s="6">
        <f>Table3[[#This Row],[Profit]]/Table3[[#This Row],[Sales]]</f>
        <v>0.24084152806260178</v>
      </c>
    </row>
    <row r="1815" spans="1:12" x14ac:dyDescent="0.25">
      <c r="A1815" t="s">
        <v>3287</v>
      </c>
      <c r="B1815" s="2" t="s">
        <v>3729</v>
      </c>
      <c r="C1815" s="2" t="str">
        <f>TEXT(Table3[[#This Row],[Order Date]],"mmmm")</f>
        <v>Not Mentioned</v>
      </c>
      <c r="D1815" t="s">
        <v>3216</v>
      </c>
      <c r="E1815" t="s">
        <v>3223</v>
      </c>
      <c r="F1815" t="s">
        <v>3226</v>
      </c>
      <c r="G1815" s="4">
        <v>38821.360000000001</v>
      </c>
      <c r="H1815" s="4">
        <v>30795.47</v>
      </c>
      <c r="I1815" s="3" t="s">
        <v>3734</v>
      </c>
      <c r="J1815">
        <v>4</v>
      </c>
      <c r="K1815" s="4">
        <f>Table3[[#This Row],[Sales]]-Table3[[#This Row],[Cost]]</f>
        <v>8025.8899999999994</v>
      </c>
      <c r="L1815" s="6">
        <f>Table3[[#This Row],[Profit]]/Table3[[#This Row],[Sales]]</f>
        <v>0.20673902202292757</v>
      </c>
    </row>
    <row r="1816" spans="1:12" x14ac:dyDescent="0.25">
      <c r="A1816" t="s">
        <v>1715</v>
      </c>
      <c r="B1816" s="2">
        <v>44941</v>
      </c>
      <c r="C1816" s="2" t="str">
        <f>TEXT(Table3[[#This Row],[Order Date]],"mmmm")</f>
        <v>January</v>
      </c>
      <c r="D1816" t="s">
        <v>3730</v>
      </c>
      <c r="E1816" t="s">
        <v>3222</v>
      </c>
      <c r="F1816" t="s">
        <v>3226</v>
      </c>
      <c r="G1816" s="4">
        <v>68277.36</v>
      </c>
      <c r="H1816" s="4">
        <v>42135.46</v>
      </c>
      <c r="I1816" s="3" t="s">
        <v>3734</v>
      </c>
      <c r="J1816">
        <v>4</v>
      </c>
      <c r="K1816" s="4">
        <f>Table3[[#This Row],[Sales]]-Table3[[#This Row],[Cost]]</f>
        <v>26141.9</v>
      </c>
      <c r="L1816" s="6">
        <f>Table3[[#This Row],[Profit]]/Table3[[#This Row],[Sales]]</f>
        <v>0.38287801402983362</v>
      </c>
    </row>
    <row r="1817" spans="1:12" x14ac:dyDescent="0.25">
      <c r="A1817" t="s">
        <v>1302</v>
      </c>
      <c r="B1817" s="2" t="s">
        <v>3729</v>
      </c>
      <c r="C1817" s="2" t="str">
        <f>TEXT(Table3[[#This Row],[Order Date]],"mmmm")</f>
        <v>Not Mentioned</v>
      </c>
      <c r="D1817" t="s">
        <v>3730</v>
      </c>
      <c r="E1817" t="s">
        <v>3225</v>
      </c>
      <c r="F1817" t="s">
        <v>3226</v>
      </c>
      <c r="G1817" s="4">
        <v>19645.47</v>
      </c>
      <c r="H1817" s="4">
        <v>13058.52</v>
      </c>
      <c r="I1817" s="3" t="s">
        <v>3734</v>
      </c>
      <c r="J1817">
        <v>1</v>
      </c>
      <c r="K1817" s="4">
        <f>Table3[[#This Row],[Sales]]-Table3[[#This Row],[Cost]]</f>
        <v>6586.9500000000007</v>
      </c>
      <c r="L1817" s="6">
        <f>Table3[[#This Row],[Profit]]/Table3[[#This Row],[Sales]]</f>
        <v>0.33529103655957332</v>
      </c>
    </row>
    <row r="1818" spans="1:12" x14ac:dyDescent="0.25">
      <c r="A1818" t="s">
        <v>1716</v>
      </c>
      <c r="B1818" s="2">
        <v>44972</v>
      </c>
      <c r="C1818" s="2" t="str">
        <f>TEXT(Table3[[#This Row],[Order Date]],"mmmm")</f>
        <v>February</v>
      </c>
      <c r="D1818" t="s">
        <v>3731</v>
      </c>
      <c r="E1818" t="s">
        <v>3223</v>
      </c>
      <c r="F1818" t="s">
        <v>3226</v>
      </c>
      <c r="G1818" s="4">
        <v>9994.0300000000007</v>
      </c>
      <c r="H1818" s="4">
        <v>7027.71</v>
      </c>
      <c r="I1818" s="3" t="s">
        <v>3734</v>
      </c>
      <c r="J1818">
        <v>1</v>
      </c>
      <c r="K1818" s="4">
        <f>Table3[[#This Row],[Sales]]-Table3[[#This Row],[Cost]]</f>
        <v>2966.3200000000006</v>
      </c>
      <c r="L1818" s="6">
        <f>Table3[[#This Row],[Profit]]/Table3[[#This Row],[Sales]]</f>
        <v>0.29680919508946846</v>
      </c>
    </row>
    <row r="1819" spans="1:12" x14ac:dyDescent="0.25">
      <c r="A1819" t="s">
        <v>322</v>
      </c>
      <c r="B1819" s="2">
        <v>45005</v>
      </c>
      <c r="C1819" s="2" t="str">
        <f>TEXT(Table3[[#This Row],[Order Date]],"mmmm")</f>
        <v>March</v>
      </c>
      <c r="D1819" t="s">
        <v>3216</v>
      </c>
      <c r="E1819" t="s">
        <v>3224</v>
      </c>
      <c r="F1819" t="s">
        <v>3226</v>
      </c>
      <c r="G1819" s="4">
        <v>120305.58</v>
      </c>
      <c r="H1819" s="4">
        <v>87529.56</v>
      </c>
      <c r="I1819" s="3" t="s">
        <v>3734</v>
      </c>
      <c r="J1819">
        <v>2</v>
      </c>
      <c r="K1819" s="4">
        <f>Table3[[#This Row],[Sales]]-Table3[[#This Row],[Cost]]</f>
        <v>32776.020000000004</v>
      </c>
      <c r="L1819" s="6">
        <f>Table3[[#This Row],[Profit]]/Table3[[#This Row],[Sales]]</f>
        <v>0.27243973222189699</v>
      </c>
    </row>
    <row r="1820" spans="1:12" x14ac:dyDescent="0.25">
      <c r="A1820" t="s">
        <v>1717</v>
      </c>
      <c r="B1820" s="2">
        <v>45005</v>
      </c>
      <c r="C1820" s="2" t="str">
        <f>TEXT(Table3[[#This Row],[Order Date]],"mmmm")</f>
        <v>March</v>
      </c>
      <c r="D1820" t="s">
        <v>3220</v>
      </c>
      <c r="E1820" t="s">
        <v>3224</v>
      </c>
      <c r="F1820" t="s">
        <v>3226</v>
      </c>
      <c r="G1820" s="4">
        <v>152410.49</v>
      </c>
      <c r="H1820" s="4">
        <v>127363.51</v>
      </c>
      <c r="I1820" s="3" t="s">
        <v>3734</v>
      </c>
      <c r="J1820">
        <v>3</v>
      </c>
      <c r="K1820" s="4">
        <f>Table3[[#This Row],[Sales]]-Table3[[#This Row],[Cost]]</f>
        <v>25046.979999999996</v>
      </c>
      <c r="L1820" s="6">
        <f>Table3[[#This Row],[Profit]]/Table3[[#This Row],[Sales]]</f>
        <v>0.16433895068508733</v>
      </c>
    </row>
    <row r="1821" spans="1:12" x14ac:dyDescent="0.25">
      <c r="A1821" t="s">
        <v>1718</v>
      </c>
      <c r="B1821" s="2">
        <v>44972</v>
      </c>
      <c r="C1821" s="2" t="str">
        <f>TEXT(Table3[[#This Row],[Order Date]],"mmmm")</f>
        <v>February</v>
      </c>
      <c r="D1821" t="s">
        <v>3730</v>
      </c>
      <c r="E1821" t="s">
        <v>3223</v>
      </c>
      <c r="F1821" t="s">
        <v>3226</v>
      </c>
      <c r="G1821" s="4">
        <v>52535.39</v>
      </c>
      <c r="H1821" s="4">
        <v>42028.312000000005</v>
      </c>
      <c r="I1821" s="3" t="s">
        <v>3735</v>
      </c>
      <c r="J1821">
        <v>5</v>
      </c>
      <c r="K1821" s="4">
        <f>Table3[[#This Row],[Sales]]-Table3[[#This Row],[Cost]]</f>
        <v>10507.077999999994</v>
      </c>
      <c r="L1821" s="6">
        <f>Table3[[#This Row],[Profit]]/Table3[[#This Row],[Sales]]</f>
        <v>0.1999999999999999</v>
      </c>
    </row>
    <row r="1822" spans="1:12" x14ac:dyDescent="0.25">
      <c r="A1822" t="s">
        <v>1719</v>
      </c>
      <c r="B1822" s="2">
        <v>45021</v>
      </c>
      <c r="C1822" s="2" t="str">
        <f>TEXT(Table3[[#This Row],[Order Date]],"mmmm")</f>
        <v>April</v>
      </c>
      <c r="D1822" t="s">
        <v>3731</v>
      </c>
      <c r="E1822" t="s">
        <v>3222</v>
      </c>
      <c r="F1822" t="s">
        <v>3226</v>
      </c>
      <c r="G1822" s="4">
        <v>27545.64</v>
      </c>
      <c r="H1822" s="4">
        <v>22036.512000000002</v>
      </c>
      <c r="I1822" s="3" t="s">
        <v>3735</v>
      </c>
      <c r="J1822">
        <v>2</v>
      </c>
      <c r="K1822" s="4">
        <f>Table3[[#This Row],[Sales]]-Table3[[#This Row],[Cost]]</f>
        <v>5509.127999999997</v>
      </c>
      <c r="L1822" s="6">
        <f>Table3[[#This Row],[Profit]]/Table3[[#This Row],[Sales]]</f>
        <v>0.1999999999999999</v>
      </c>
    </row>
    <row r="1823" spans="1:12" x14ac:dyDescent="0.25">
      <c r="A1823" t="s">
        <v>442</v>
      </c>
      <c r="B1823" s="2">
        <v>44972</v>
      </c>
      <c r="C1823" s="2" t="str">
        <f>TEXT(Table3[[#This Row],[Order Date]],"mmmm")</f>
        <v>February</v>
      </c>
      <c r="D1823" t="s">
        <v>3731</v>
      </c>
      <c r="E1823" t="s">
        <v>3223</v>
      </c>
      <c r="F1823" t="s">
        <v>3226</v>
      </c>
      <c r="G1823" s="4">
        <v>43151.81</v>
      </c>
      <c r="H1823" s="4">
        <v>31819.23</v>
      </c>
      <c r="I1823" s="3" t="s">
        <v>3734</v>
      </c>
      <c r="J1823">
        <v>5</v>
      </c>
      <c r="K1823" s="4">
        <f>Table3[[#This Row],[Sales]]-Table3[[#This Row],[Cost]]</f>
        <v>11332.579999999998</v>
      </c>
      <c r="L1823" s="6">
        <f>Table3[[#This Row],[Profit]]/Table3[[#This Row],[Sales]]</f>
        <v>0.26262119711780335</v>
      </c>
    </row>
    <row r="1824" spans="1:12" x14ac:dyDescent="0.25">
      <c r="A1824" t="s">
        <v>191</v>
      </c>
      <c r="B1824" s="2">
        <v>44941</v>
      </c>
      <c r="C1824" s="2" t="str">
        <f>TEXT(Table3[[#This Row],[Order Date]],"mmmm")</f>
        <v>January</v>
      </c>
      <c r="D1824" t="s">
        <v>3220</v>
      </c>
      <c r="E1824" t="s">
        <v>3223</v>
      </c>
      <c r="F1824" t="s">
        <v>3226</v>
      </c>
      <c r="G1824" s="4">
        <v>42886.05</v>
      </c>
      <c r="H1824" s="4">
        <v>32648.86</v>
      </c>
      <c r="I1824" s="3" t="s">
        <v>3734</v>
      </c>
      <c r="J1824">
        <v>5</v>
      </c>
      <c r="K1824" s="4">
        <f>Table3[[#This Row],[Sales]]-Table3[[#This Row],[Cost]]</f>
        <v>10237.190000000002</v>
      </c>
      <c r="L1824" s="6">
        <f>Table3[[#This Row],[Profit]]/Table3[[#This Row],[Sales]]</f>
        <v>0.2387067589577497</v>
      </c>
    </row>
    <row r="1825" spans="1:12" x14ac:dyDescent="0.25">
      <c r="A1825" t="s">
        <v>633</v>
      </c>
      <c r="B1825" s="2">
        <v>45021</v>
      </c>
      <c r="C1825" s="2" t="str">
        <f>TEXT(Table3[[#This Row],[Order Date]],"mmmm")</f>
        <v>April</v>
      </c>
      <c r="D1825" t="s">
        <v>3731</v>
      </c>
      <c r="E1825" t="s">
        <v>3223</v>
      </c>
      <c r="F1825" t="s">
        <v>3226</v>
      </c>
      <c r="G1825" s="4">
        <v>35075.129999999997</v>
      </c>
      <c r="H1825" s="4">
        <v>18940.580000000002</v>
      </c>
      <c r="I1825" s="3" t="s">
        <v>3734</v>
      </c>
      <c r="J1825">
        <v>3</v>
      </c>
      <c r="K1825" s="4">
        <f>Table3[[#This Row],[Sales]]-Table3[[#This Row],[Cost]]</f>
        <v>16134.549999999996</v>
      </c>
      <c r="L1825" s="6">
        <f>Table3[[#This Row],[Profit]]/Table3[[#This Row],[Sales]]</f>
        <v>0.45999972059975247</v>
      </c>
    </row>
    <row r="1826" spans="1:12" x14ac:dyDescent="0.25">
      <c r="A1826" t="s">
        <v>1721</v>
      </c>
      <c r="B1826" s="2">
        <v>45021</v>
      </c>
      <c r="C1826" s="2" t="str">
        <f>TEXT(Table3[[#This Row],[Order Date]],"mmmm")</f>
        <v>April</v>
      </c>
      <c r="D1826" t="s">
        <v>3730</v>
      </c>
      <c r="E1826" t="s">
        <v>3224</v>
      </c>
      <c r="F1826" t="s">
        <v>3226</v>
      </c>
      <c r="G1826" s="4">
        <v>139922.17000000001</v>
      </c>
      <c r="H1826" s="4">
        <v>83336.88</v>
      </c>
      <c r="I1826" s="3" t="s">
        <v>3734</v>
      </c>
      <c r="J1826">
        <v>2</v>
      </c>
      <c r="K1826" s="4">
        <f>Table3[[#This Row],[Sales]]-Table3[[#This Row],[Cost]]</f>
        <v>56585.290000000008</v>
      </c>
      <c r="L1826" s="6">
        <f>Table3[[#This Row],[Profit]]/Table3[[#This Row],[Sales]]</f>
        <v>0.4044054634086936</v>
      </c>
    </row>
    <row r="1827" spans="1:12" x14ac:dyDescent="0.25">
      <c r="A1827" t="s">
        <v>3524</v>
      </c>
      <c r="B1827" s="2">
        <v>44972</v>
      </c>
      <c r="C1827" s="2" t="str">
        <f>TEXT(Table3[[#This Row],[Order Date]],"mmmm")</f>
        <v>February</v>
      </c>
      <c r="D1827" t="s">
        <v>3220</v>
      </c>
      <c r="E1827" t="s">
        <v>3224</v>
      </c>
      <c r="F1827" t="s">
        <v>3226</v>
      </c>
      <c r="G1827" s="4">
        <v>136828.82999999999</v>
      </c>
      <c r="H1827" s="4">
        <v>94577.03</v>
      </c>
      <c r="I1827" s="3" t="s">
        <v>3734</v>
      </c>
      <c r="J1827">
        <v>2</v>
      </c>
      <c r="K1827" s="4">
        <f>Table3[[#This Row],[Sales]]-Table3[[#This Row],[Cost]]</f>
        <v>42251.799999999988</v>
      </c>
      <c r="L1827" s="6">
        <f>Table3[[#This Row],[Profit]]/Table3[[#This Row],[Sales]]</f>
        <v>0.30879311034085427</v>
      </c>
    </row>
    <row r="1828" spans="1:12" x14ac:dyDescent="0.25">
      <c r="A1828" t="s">
        <v>1723</v>
      </c>
      <c r="B1828" s="2">
        <v>45005</v>
      </c>
      <c r="C1828" s="2" t="str">
        <f>TEXT(Table3[[#This Row],[Order Date]],"mmmm")</f>
        <v>March</v>
      </c>
      <c r="D1828" t="s">
        <v>3220</v>
      </c>
      <c r="E1828" t="s">
        <v>3222</v>
      </c>
      <c r="F1828" t="s">
        <v>3226</v>
      </c>
      <c r="G1828" s="4">
        <v>88695.26</v>
      </c>
      <c r="H1828" s="4">
        <v>52211.01</v>
      </c>
      <c r="I1828" s="3" t="s">
        <v>3734</v>
      </c>
      <c r="J1828">
        <v>5</v>
      </c>
      <c r="K1828" s="4">
        <f>Table3[[#This Row],[Sales]]-Table3[[#This Row],[Cost]]</f>
        <v>36484.249999999993</v>
      </c>
      <c r="L1828" s="6">
        <f>Table3[[#This Row],[Profit]]/Table3[[#This Row],[Sales]]</f>
        <v>0.41134385309880139</v>
      </c>
    </row>
    <row r="1829" spans="1:12" x14ac:dyDescent="0.25">
      <c r="A1829" t="s">
        <v>1724</v>
      </c>
      <c r="B1829" s="2">
        <v>45005</v>
      </c>
      <c r="C1829" s="2" t="str">
        <f>TEXT(Table3[[#This Row],[Order Date]],"mmmm")</f>
        <v>March</v>
      </c>
      <c r="D1829" t="s">
        <v>3220</v>
      </c>
      <c r="E1829" t="s">
        <v>3225</v>
      </c>
      <c r="F1829" t="s">
        <v>3226</v>
      </c>
      <c r="G1829" s="4">
        <v>65151.48</v>
      </c>
      <c r="H1829" s="4">
        <v>48015.199999999997</v>
      </c>
      <c r="I1829" s="3" t="s">
        <v>3734</v>
      </c>
      <c r="J1829">
        <v>4</v>
      </c>
      <c r="K1829" s="4">
        <f>Table3[[#This Row],[Sales]]-Table3[[#This Row],[Cost]]</f>
        <v>17136.280000000006</v>
      </c>
      <c r="L1829" s="6">
        <f>Table3[[#This Row],[Profit]]/Table3[[#This Row],[Sales]]</f>
        <v>0.26302211400262904</v>
      </c>
    </row>
    <row r="1830" spans="1:12" x14ac:dyDescent="0.25">
      <c r="A1830" t="s">
        <v>1725</v>
      </c>
      <c r="B1830" s="2">
        <v>45005</v>
      </c>
      <c r="C1830" s="2" t="str">
        <f>TEXT(Table3[[#This Row],[Order Date]],"mmmm")</f>
        <v>March</v>
      </c>
      <c r="D1830" t="s">
        <v>3730</v>
      </c>
      <c r="E1830" t="s">
        <v>3224</v>
      </c>
      <c r="F1830" t="s">
        <v>3226</v>
      </c>
      <c r="G1830" s="4">
        <v>71790.399999999994</v>
      </c>
      <c r="H1830" s="4">
        <v>43374.13</v>
      </c>
      <c r="I1830" s="3" t="s">
        <v>3734</v>
      </c>
      <c r="J1830">
        <v>1</v>
      </c>
      <c r="K1830" s="4">
        <f>Table3[[#This Row],[Sales]]-Table3[[#This Row],[Cost]]</f>
        <v>28416.269999999997</v>
      </c>
      <c r="L1830" s="6">
        <f>Table3[[#This Row],[Profit]]/Table3[[#This Row],[Sales]]</f>
        <v>0.39582270052820434</v>
      </c>
    </row>
    <row r="1831" spans="1:12" x14ac:dyDescent="0.25">
      <c r="A1831" t="s">
        <v>47</v>
      </c>
      <c r="B1831" s="2">
        <v>45102</v>
      </c>
      <c r="C1831" s="2" t="str">
        <f>TEXT(Table3[[#This Row],[Order Date]],"mmmm")</f>
        <v>June</v>
      </c>
      <c r="D1831" t="s">
        <v>3220</v>
      </c>
      <c r="E1831" t="s">
        <v>3224</v>
      </c>
      <c r="F1831" t="s">
        <v>3226</v>
      </c>
      <c r="G1831" s="4">
        <v>285182.36</v>
      </c>
      <c r="H1831" s="4">
        <v>242074.08</v>
      </c>
      <c r="I1831" s="3" t="s">
        <v>3734</v>
      </c>
      <c r="J1831">
        <v>5</v>
      </c>
      <c r="K1831" s="4">
        <f>Table3[[#This Row],[Sales]]-Table3[[#This Row],[Cost]]</f>
        <v>43108.28</v>
      </c>
      <c r="L1831" s="6">
        <f>Table3[[#This Row],[Profit]]/Table3[[#This Row],[Sales]]</f>
        <v>0.15116040136563846</v>
      </c>
    </row>
    <row r="1832" spans="1:12" x14ac:dyDescent="0.25">
      <c r="A1832" t="s">
        <v>3525</v>
      </c>
      <c r="B1832" s="2">
        <v>45005</v>
      </c>
      <c r="C1832" s="2" t="str">
        <f>TEXT(Table3[[#This Row],[Order Date]],"mmmm")</f>
        <v>March</v>
      </c>
      <c r="D1832" t="s">
        <v>3730</v>
      </c>
      <c r="E1832" t="s">
        <v>3222</v>
      </c>
      <c r="F1832" t="s">
        <v>3226</v>
      </c>
      <c r="G1832" s="4">
        <v>48716.58</v>
      </c>
      <c r="H1832" s="4">
        <v>30635.42</v>
      </c>
      <c r="I1832" s="3" t="s">
        <v>3734</v>
      </c>
      <c r="J1832">
        <v>3</v>
      </c>
      <c r="K1832" s="4">
        <f>Table3[[#This Row],[Sales]]-Table3[[#This Row],[Cost]]</f>
        <v>18081.160000000003</v>
      </c>
      <c r="L1832" s="6">
        <f>Table3[[#This Row],[Profit]]/Table3[[#This Row],[Sales]]</f>
        <v>0.37115002736234776</v>
      </c>
    </row>
    <row r="1833" spans="1:12" x14ac:dyDescent="0.25">
      <c r="A1833" t="s">
        <v>1727</v>
      </c>
      <c r="B1833" s="2">
        <v>44941</v>
      </c>
      <c r="C1833" s="2" t="str">
        <f>TEXT(Table3[[#This Row],[Order Date]],"mmmm")</f>
        <v>January</v>
      </c>
      <c r="D1833" t="s">
        <v>3730</v>
      </c>
      <c r="E1833" t="s">
        <v>3224</v>
      </c>
      <c r="F1833" t="s">
        <v>3226</v>
      </c>
      <c r="G1833" s="4">
        <v>58712.39</v>
      </c>
      <c r="H1833" s="4">
        <v>45884.27</v>
      </c>
      <c r="I1833" s="3" t="s">
        <v>3734</v>
      </c>
      <c r="J1833">
        <v>1</v>
      </c>
      <c r="K1833" s="4">
        <f>Table3[[#This Row],[Sales]]-Table3[[#This Row],[Cost]]</f>
        <v>12828.120000000003</v>
      </c>
      <c r="L1833" s="6">
        <f>Table3[[#This Row],[Profit]]/Table3[[#This Row],[Sales]]</f>
        <v>0.21849085005737295</v>
      </c>
    </row>
    <row r="1834" spans="1:12" x14ac:dyDescent="0.25">
      <c r="A1834" t="s">
        <v>1728</v>
      </c>
      <c r="B1834" s="2">
        <v>45102</v>
      </c>
      <c r="C1834" s="2" t="str">
        <f>TEXT(Table3[[#This Row],[Order Date]],"mmmm")</f>
        <v>June</v>
      </c>
      <c r="D1834" t="s">
        <v>3220</v>
      </c>
      <c r="E1834" t="s">
        <v>3224</v>
      </c>
      <c r="F1834" t="s">
        <v>3226</v>
      </c>
      <c r="G1834" s="4">
        <v>203388.21</v>
      </c>
      <c r="H1834" s="4">
        <v>138364.70000000001</v>
      </c>
      <c r="I1834" s="3" t="s">
        <v>3734</v>
      </c>
      <c r="J1834">
        <v>3</v>
      </c>
      <c r="K1834" s="4">
        <f>Table3[[#This Row],[Sales]]-Table3[[#This Row],[Cost]]</f>
        <v>65023.50999999998</v>
      </c>
      <c r="L1834" s="6">
        <f>Table3[[#This Row],[Profit]]/Table3[[#This Row],[Sales]]</f>
        <v>0.31970147138813987</v>
      </c>
    </row>
    <row r="1835" spans="1:12" x14ac:dyDescent="0.25">
      <c r="A1835" t="s">
        <v>1729</v>
      </c>
      <c r="B1835" s="2">
        <v>45102</v>
      </c>
      <c r="C1835" s="2" t="str">
        <f>TEXT(Table3[[#This Row],[Order Date]],"mmmm")</f>
        <v>June</v>
      </c>
      <c r="D1835" t="s">
        <v>3220</v>
      </c>
      <c r="E1835" t="s">
        <v>3225</v>
      </c>
      <c r="F1835" t="s">
        <v>3226</v>
      </c>
      <c r="G1835" s="4">
        <v>116870.21</v>
      </c>
      <c r="H1835" s="4">
        <v>75706.070000000007</v>
      </c>
      <c r="I1835" s="3" t="s">
        <v>3734</v>
      </c>
      <c r="J1835">
        <v>5</v>
      </c>
      <c r="K1835" s="4">
        <f>Table3[[#This Row],[Sales]]-Table3[[#This Row],[Cost]]</f>
        <v>41164.14</v>
      </c>
      <c r="L1835" s="6">
        <f>Table3[[#This Row],[Profit]]/Table3[[#This Row],[Sales]]</f>
        <v>0.35222098086415687</v>
      </c>
    </row>
    <row r="1836" spans="1:12" x14ac:dyDescent="0.25">
      <c r="A1836" t="s">
        <v>1730</v>
      </c>
      <c r="B1836" s="2">
        <v>45021</v>
      </c>
      <c r="C1836" s="2" t="str">
        <f>TEXT(Table3[[#This Row],[Order Date]],"mmmm")</f>
        <v>April</v>
      </c>
      <c r="D1836" t="s">
        <v>3220</v>
      </c>
      <c r="E1836" t="s">
        <v>3222</v>
      </c>
      <c r="F1836" t="s">
        <v>3226</v>
      </c>
      <c r="G1836" s="4">
        <v>66565.22</v>
      </c>
      <c r="H1836" s="4">
        <v>48794.48</v>
      </c>
      <c r="I1836" s="3" t="s">
        <v>3734</v>
      </c>
      <c r="J1836">
        <v>5</v>
      </c>
      <c r="K1836" s="4">
        <f>Table3[[#This Row],[Sales]]-Table3[[#This Row],[Cost]]</f>
        <v>17770.739999999998</v>
      </c>
      <c r="L1836" s="6">
        <f>Table3[[#This Row],[Profit]]/Table3[[#This Row],[Sales]]</f>
        <v>0.26696734420768081</v>
      </c>
    </row>
    <row r="1837" spans="1:12" x14ac:dyDescent="0.25">
      <c r="A1837" t="s">
        <v>1731</v>
      </c>
      <c r="B1837" s="2">
        <v>45005</v>
      </c>
      <c r="C1837" s="2" t="str">
        <f>TEXT(Table3[[#This Row],[Order Date]],"mmmm")</f>
        <v>March</v>
      </c>
      <c r="D1837" t="s">
        <v>3220</v>
      </c>
      <c r="E1837" t="s">
        <v>3222</v>
      </c>
      <c r="F1837" t="s">
        <v>3226</v>
      </c>
      <c r="G1837" s="4">
        <v>71638.05</v>
      </c>
      <c r="H1837" s="4">
        <v>48792.55</v>
      </c>
      <c r="I1837" s="3" t="s">
        <v>3734</v>
      </c>
      <c r="J1837">
        <v>5</v>
      </c>
      <c r="K1837" s="4">
        <f>Table3[[#This Row],[Sales]]-Table3[[#This Row],[Cost]]</f>
        <v>22845.5</v>
      </c>
      <c r="L1837" s="6">
        <f>Table3[[#This Row],[Profit]]/Table3[[#This Row],[Sales]]</f>
        <v>0.31890175681778049</v>
      </c>
    </row>
    <row r="1838" spans="1:12" x14ac:dyDescent="0.25">
      <c r="A1838" t="s">
        <v>1732</v>
      </c>
      <c r="B1838" s="2" t="s">
        <v>3729</v>
      </c>
      <c r="C1838" s="2" t="str">
        <f>TEXT(Table3[[#This Row],[Order Date]],"mmmm")</f>
        <v>Not Mentioned</v>
      </c>
      <c r="D1838" t="s">
        <v>3216</v>
      </c>
      <c r="E1838" t="s">
        <v>3224</v>
      </c>
      <c r="F1838" t="s">
        <v>3226</v>
      </c>
      <c r="G1838" s="4">
        <v>104093.13</v>
      </c>
      <c r="H1838" s="4">
        <v>83274.504000000015</v>
      </c>
      <c r="I1838" s="3" t="s">
        <v>3735</v>
      </c>
      <c r="J1838">
        <v>2</v>
      </c>
      <c r="K1838" s="4">
        <f>Table3[[#This Row],[Sales]]-Table3[[#This Row],[Cost]]</f>
        <v>20818.625999999989</v>
      </c>
      <c r="L1838" s="6">
        <f>Table3[[#This Row],[Profit]]/Table3[[#This Row],[Sales]]</f>
        <v>0.1999999999999999</v>
      </c>
    </row>
    <row r="1839" spans="1:12" x14ac:dyDescent="0.25">
      <c r="A1839" t="s">
        <v>1733</v>
      </c>
      <c r="B1839" s="2">
        <v>45102</v>
      </c>
      <c r="C1839" s="2" t="str">
        <f>TEXT(Table3[[#This Row],[Order Date]],"mmmm")</f>
        <v>June</v>
      </c>
      <c r="D1839" t="s">
        <v>3730</v>
      </c>
      <c r="E1839" t="s">
        <v>3225</v>
      </c>
      <c r="F1839" t="s">
        <v>3226</v>
      </c>
      <c r="G1839" s="4">
        <v>103470.67</v>
      </c>
      <c r="H1839" s="4">
        <v>82776.536000000007</v>
      </c>
      <c r="I1839" s="3" t="s">
        <v>3735</v>
      </c>
      <c r="J1839">
        <v>5</v>
      </c>
      <c r="K1839" s="4">
        <f>Table3[[#This Row],[Sales]]-Table3[[#This Row],[Cost]]</f>
        <v>20694.133999999991</v>
      </c>
      <c r="L1839" s="6">
        <f>Table3[[#This Row],[Profit]]/Table3[[#This Row],[Sales]]</f>
        <v>0.19999999999999993</v>
      </c>
    </row>
    <row r="1840" spans="1:12" x14ac:dyDescent="0.25">
      <c r="A1840" t="s">
        <v>1734</v>
      </c>
      <c r="B1840" s="2">
        <v>45102</v>
      </c>
      <c r="C1840" s="2" t="str">
        <f>TEXT(Table3[[#This Row],[Order Date]],"mmmm")</f>
        <v>June</v>
      </c>
      <c r="D1840" t="s">
        <v>3730</v>
      </c>
      <c r="E1840" t="s">
        <v>3224</v>
      </c>
      <c r="F1840" t="s">
        <v>3226</v>
      </c>
      <c r="G1840" s="4">
        <v>245130.42</v>
      </c>
      <c r="H1840" s="4">
        <v>202369.73</v>
      </c>
      <c r="I1840" s="3" t="s">
        <v>3734</v>
      </c>
      <c r="J1840">
        <v>5</v>
      </c>
      <c r="K1840" s="4">
        <f>Table3[[#This Row],[Sales]]-Table3[[#This Row],[Cost]]</f>
        <v>42760.69</v>
      </c>
      <c r="L1840" s="6">
        <f>Table3[[#This Row],[Profit]]/Table3[[#This Row],[Sales]]</f>
        <v>0.17444056922841319</v>
      </c>
    </row>
    <row r="1841" spans="1:12" x14ac:dyDescent="0.25">
      <c r="A1841" t="s">
        <v>1735</v>
      </c>
      <c r="B1841" s="2">
        <v>44972</v>
      </c>
      <c r="C1841" s="2" t="str">
        <f>TEXT(Table3[[#This Row],[Order Date]],"mmmm")</f>
        <v>February</v>
      </c>
      <c r="D1841" t="s">
        <v>3220</v>
      </c>
      <c r="E1841" t="s">
        <v>3222</v>
      </c>
      <c r="F1841" t="s">
        <v>3226</v>
      </c>
      <c r="G1841" s="4">
        <v>50030.79</v>
      </c>
      <c r="H1841" s="4">
        <v>31534.1</v>
      </c>
      <c r="I1841" s="3" t="s">
        <v>3734</v>
      </c>
      <c r="J1841">
        <v>3</v>
      </c>
      <c r="K1841" s="4">
        <f>Table3[[#This Row],[Sales]]-Table3[[#This Row],[Cost]]</f>
        <v>18496.690000000002</v>
      </c>
      <c r="L1841" s="6">
        <f>Table3[[#This Row],[Profit]]/Table3[[#This Row],[Sales]]</f>
        <v>0.36970613496209037</v>
      </c>
    </row>
    <row r="1842" spans="1:12" x14ac:dyDescent="0.25">
      <c r="A1842" t="s">
        <v>1422</v>
      </c>
      <c r="B1842" s="2">
        <v>45102</v>
      </c>
      <c r="C1842" s="2" t="str">
        <f>TEXT(Table3[[#This Row],[Order Date]],"mmmm")</f>
        <v>June</v>
      </c>
      <c r="D1842" t="s">
        <v>3220</v>
      </c>
      <c r="E1842" t="s">
        <v>3223</v>
      </c>
      <c r="F1842" t="s">
        <v>3226</v>
      </c>
      <c r="G1842" s="4">
        <v>25729.919999999998</v>
      </c>
      <c r="H1842" s="4">
        <v>22758.21</v>
      </c>
      <c r="I1842" s="3" t="s">
        <v>3734</v>
      </c>
      <c r="J1842">
        <v>3</v>
      </c>
      <c r="K1842" s="4">
        <f>Table3[[#This Row],[Sales]]-Table3[[#This Row],[Cost]]</f>
        <v>2971.7099999999991</v>
      </c>
      <c r="L1842" s="6">
        <f>Table3[[#This Row],[Profit]]/Table3[[#This Row],[Sales]]</f>
        <v>0.11549627826281618</v>
      </c>
    </row>
    <row r="1843" spans="1:12" x14ac:dyDescent="0.25">
      <c r="A1843" t="s">
        <v>1736</v>
      </c>
      <c r="B1843" s="2">
        <v>45005</v>
      </c>
      <c r="C1843" s="2" t="str">
        <f>TEXT(Table3[[#This Row],[Order Date]],"mmmm")</f>
        <v>March</v>
      </c>
      <c r="D1843" t="s">
        <v>3220</v>
      </c>
      <c r="E1843" t="s">
        <v>3225</v>
      </c>
      <c r="F1843" t="s">
        <v>3226</v>
      </c>
      <c r="G1843" s="4">
        <v>82583.199999999997</v>
      </c>
      <c r="H1843" s="4">
        <v>57287.040000000001</v>
      </c>
      <c r="I1843" s="3" t="s">
        <v>3734</v>
      </c>
      <c r="J1843">
        <v>4</v>
      </c>
      <c r="K1843" s="4">
        <f>Table3[[#This Row],[Sales]]-Table3[[#This Row],[Cost]]</f>
        <v>25296.159999999996</v>
      </c>
      <c r="L1843" s="6">
        <f>Table3[[#This Row],[Profit]]/Table3[[#This Row],[Sales]]</f>
        <v>0.30631121099690972</v>
      </c>
    </row>
    <row r="1844" spans="1:12" x14ac:dyDescent="0.25">
      <c r="A1844" t="s">
        <v>1737</v>
      </c>
      <c r="B1844" s="2">
        <v>45021</v>
      </c>
      <c r="C1844" s="2" t="str">
        <f>TEXT(Table3[[#This Row],[Order Date]],"mmmm")</f>
        <v>April</v>
      </c>
      <c r="D1844" t="s">
        <v>3220</v>
      </c>
      <c r="E1844" t="s">
        <v>3225</v>
      </c>
      <c r="F1844" t="s">
        <v>3226</v>
      </c>
      <c r="G1844" s="4">
        <v>42057.68</v>
      </c>
      <c r="H1844" s="4">
        <v>28912.59</v>
      </c>
      <c r="I1844" s="3" t="s">
        <v>3734</v>
      </c>
      <c r="J1844" t="s">
        <v>3732</v>
      </c>
      <c r="K1844" s="4">
        <f>Table3[[#This Row],[Sales]]-Table3[[#This Row],[Cost]]</f>
        <v>13145.09</v>
      </c>
      <c r="L1844" s="6">
        <f>Table3[[#This Row],[Profit]]/Table3[[#This Row],[Sales]]</f>
        <v>0.31254909923704777</v>
      </c>
    </row>
    <row r="1845" spans="1:12" x14ac:dyDescent="0.25">
      <c r="A1845" t="s">
        <v>1738</v>
      </c>
      <c r="B1845" s="2">
        <v>45021</v>
      </c>
      <c r="C1845" s="2" t="str">
        <f>TEXT(Table3[[#This Row],[Order Date]],"mmmm")</f>
        <v>April</v>
      </c>
      <c r="D1845" t="s">
        <v>3731</v>
      </c>
      <c r="E1845" t="s">
        <v>3222</v>
      </c>
      <c r="F1845" t="s">
        <v>3226</v>
      </c>
      <c r="G1845" s="4">
        <v>14541.47</v>
      </c>
      <c r="H1845" s="4">
        <v>8902.81</v>
      </c>
      <c r="I1845" s="3" t="s">
        <v>3734</v>
      </c>
      <c r="J1845">
        <v>1</v>
      </c>
      <c r="K1845" s="4">
        <f>Table3[[#This Row],[Sales]]-Table3[[#This Row],[Cost]]</f>
        <v>5638.66</v>
      </c>
      <c r="L1845" s="6">
        <f>Table3[[#This Row],[Profit]]/Table3[[#This Row],[Sales]]</f>
        <v>0.38776409812763085</v>
      </c>
    </row>
    <row r="1846" spans="1:12" x14ac:dyDescent="0.25">
      <c r="A1846" t="s">
        <v>1739</v>
      </c>
      <c r="B1846" s="2">
        <v>45005</v>
      </c>
      <c r="C1846" s="2" t="str">
        <f>TEXT(Table3[[#This Row],[Order Date]],"mmmm")</f>
        <v>March</v>
      </c>
      <c r="D1846" t="s">
        <v>3730</v>
      </c>
      <c r="E1846" t="s">
        <v>3223</v>
      </c>
      <c r="F1846" t="s">
        <v>3226</v>
      </c>
      <c r="G1846" s="4">
        <v>49196.91</v>
      </c>
      <c r="H1846" s="4">
        <v>32993.300000000003</v>
      </c>
      <c r="I1846" s="3" t="s">
        <v>3734</v>
      </c>
      <c r="J1846">
        <v>5</v>
      </c>
      <c r="K1846" s="4">
        <f>Table3[[#This Row],[Sales]]-Table3[[#This Row],[Cost]]</f>
        <v>16203.61</v>
      </c>
      <c r="L1846" s="6">
        <f>Table3[[#This Row],[Profit]]/Table3[[#This Row],[Sales]]</f>
        <v>0.32936235222903226</v>
      </c>
    </row>
    <row r="1847" spans="1:12" x14ac:dyDescent="0.25">
      <c r="A1847" t="s">
        <v>1740</v>
      </c>
      <c r="B1847" s="2">
        <v>45005</v>
      </c>
      <c r="C1847" s="2" t="str">
        <f>TEXT(Table3[[#This Row],[Order Date]],"mmmm")</f>
        <v>March</v>
      </c>
      <c r="D1847" t="s">
        <v>3220</v>
      </c>
      <c r="E1847" t="s">
        <v>3224</v>
      </c>
      <c r="F1847" t="s">
        <v>3226</v>
      </c>
      <c r="G1847" s="4">
        <v>304976.74</v>
      </c>
      <c r="H1847" s="4">
        <v>243981.39199999999</v>
      </c>
      <c r="I1847" s="3" t="s">
        <v>3735</v>
      </c>
      <c r="J1847">
        <v>5</v>
      </c>
      <c r="K1847" s="4">
        <f>Table3[[#This Row],[Sales]]-Table3[[#This Row],[Cost]]</f>
        <v>60995.347999999998</v>
      </c>
      <c r="L1847" s="6">
        <f>Table3[[#This Row],[Profit]]/Table3[[#This Row],[Sales]]</f>
        <v>0.2</v>
      </c>
    </row>
    <row r="1848" spans="1:12" x14ac:dyDescent="0.25">
      <c r="A1848" t="s">
        <v>1741</v>
      </c>
      <c r="B1848" s="2">
        <v>45005</v>
      </c>
      <c r="C1848" s="2" t="str">
        <f>TEXT(Table3[[#This Row],[Order Date]],"mmmm")</f>
        <v>March</v>
      </c>
      <c r="D1848" t="s">
        <v>3220</v>
      </c>
      <c r="E1848" t="s">
        <v>3224</v>
      </c>
      <c r="F1848" t="s">
        <v>3226</v>
      </c>
      <c r="G1848" s="4">
        <v>283034.89</v>
      </c>
      <c r="H1848" s="4">
        <v>191766.09</v>
      </c>
      <c r="I1848" s="3" t="s">
        <v>3734</v>
      </c>
      <c r="J1848">
        <v>5</v>
      </c>
      <c r="K1848" s="4">
        <f>Table3[[#This Row],[Sales]]-Table3[[#This Row],[Cost]]</f>
        <v>91268.800000000017</v>
      </c>
      <c r="L1848" s="6">
        <f>Table3[[#This Row],[Profit]]/Table3[[#This Row],[Sales]]</f>
        <v>0.32246483816889154</v>
      </c>
    </row>
    <row r="1849" spans="1:12" x14ac:dyDescent="0.25">
      <c r="A1849" t="s">
        <v>1742</v>
      </c>
      <c r="B1849" s="2">
        <v>45021</v>
      </c>
      <c r="C1849" s="2" t="str">
        <f>TEXT(Table3[[#This Row],[Order Date]],"mmmm")</f>
        <v>April</v>
      </c>
      <c r="D1849" t="s">
        <v>3220</v>
      </c>
      <c r="E1849" t="s">
        <v>3225</v>
      </c>
      <c r="F1849" t="s">
        <v>3226</v>
      </c>
      <c r="G1849" s="4">
        <v>76316.14</v>
      </c>
      <c r="H1849" s="4">
        <v>58558.29</v>
      </c>
      <c r="I1849" s="3" t="s">
        <v>3734</v>
      </c>
      <c r="J1849">
        <v>4</v>
      </c>
      <c r="K1849" s="4">
        <f>Table3[[#This Row],[Sales]]-Table3[[#This Row],[Cost]]</f>
        <v>17757.849999999999</v>
      </c>
      <c r="L1849" s="6">
        <f>Table3[[#This Row],[Profit]]/Table3[[#This Row],[Sales]]</f>
        <v>0.2326880002054611</v>
      </c>
    </row>
    <row r="1850" spans="1:12" x14ac:dyDescent="0.25">
      <c r="A1850" t="s">
        <v>3526</v>
      </c>
      <c r="B1850" s="2" t="s">
        <v>3729</v>
      </c>
      <c r="C1850" s="2" t="str">
        <f>TEXT(Table3[[#This Row],[Order Date]],"mmmm")</f>
        <v>Not Mentioned</v>
      </c>
      <c r="D1850" t="s">
        <v>3730</v>
      </c>
      <c r="E1850" t="s">
        <v>3223</v>
      </c>
      <c r="F1850" t="s">
        <v>3226</v>
      </c>
      <c r="G1850" s="4">
        <v>17197.419999999998</v>
      </c>
      <c r="H1850" s="4">
        <v>14510.29</v>
      </c>
      <c r="I1850" s="3" t="s">
        <v>3734</v>
      </c>
      <c r="J1850">
        <v>2</v>
      </c>
      <c r="K1850" s="4">
        <f>Table3[[#This Row],[Sales]]-Table3[[#This Row],[Cost]]</f>
        <v>2687.1299999999974</v>
      </c>
      <c r="L1850" s="6">
        <f>Table3[[#This Row],[Profit]]/Table3[[#This Row],[Sales]]</f>
        <v>0.15625192616101705</v>
      </c>
    </row>
    <row r="1851" spans="1:12" x14ac:dyDescent="0.25">
      <c r="A1851" t="s">
        <v>1744</v>
      </c>
      <c r="B1851" s="2">
        <v>44972</v>
      </c>
      <c r="C1851" s="2" t="str">
        <f>TEXT(Table3[[#This Row],[Order Date]],"mmmm")</f>
        <v>February</v>
      </c>
      <c r="D1851" t="s">
        <v>3731</v>
      </c>
      <c r="E1851" t="s">
        <v>3222</v>
      </c>
      <c r="F1851" t="s">
        <v>3226</v>
      </c>
      <c r="G1851" s="4">
        <v>16636.009999999998</v>
      </c>
      <c r="H1851" s="4">
        <v>9722.49</v>
      </c>
      <c r="I1851" s="3" t="s">
        <v>3734</v>
      </c>
      <c r="J1851">
        <v>1</v>
      </c>
      <c r="K1851" s="4">
        <f>Table3[[#This Row],[Sales]]-Table3[[#This Row],[Cost]]</f>
        <v>6913.5199999999986</v>
      </c>
      <c r="L1851" s="6">
        <f>Table3[[#This Row],[Profit]]/Table3[[#This Row],[Sales]]</f>
        <v>0.41557560977662306</v>
      </c>
    </row>
    <row r="1852" spans="1:12" x14ac:dyDescent="0.25">
      <c r="A1852" t="s">
        <v>1745</v>
      </c>
      <c r="B1852" s="2" t="s">
        <v>3729</v>
      </c>
      <c r="C1852" s="2" t="str">
        <f>TEXT(Table3[[#This Row],[Order Date]],"mmmm")</f>
        <v>Not Mentioned</v>
      </c>
      <c r="D1852" t="s">
        <v>3730</v>
      </c>
      <c r="E1852" t="s">
        <v>3223</v>
      </c>
      <c r="F1852" t="s">
        <v>3226</v>
      </c>
      <c r="G1852" s="4">
        <v>46643.58</v>
      </c>
      <c r="H1852" s="4">
        <v>37071.279999999999</v>
      </c>
      <c r="I1852" s="3" t="s">
        <v>3734</v>
      </c>
      <c r="J1852">
        <v>5</v>
      </c>
      <c r="K1852" s="4">
        <f>Table3[[#This Row],[Sales]]-Table3[[#This Row],[Cost]]</f>
        <v>9572.3000000000029</v>
      </c>
      <c r="L1852" s="6">
        <f>Table3[[#This Row],[Profit]]/Table3[[#This Row],[Sales]]</f>
        <v>0.2052222406599151</v>
      </c>
    </row>
    <row r="1853" spans="1:12" x14ac:dyDescent="0.25">
      <c r="A1853" t="s">
        <v>1746</v>
      </c>
      <c r="B1853" s="2">
        <v>45005</v>
      </c>
      <c r="C1853" s="2" t="str">
        <f>TEXT(Table3[[#This Row],[Order Date]],"mmmm")</f>
        <v>March</v>
      </c>
      <c r="D1853" t="s">
        <v>3730</v>
      </c>
      <c r="E1853" t="s">
        <v>3225</v>
      </c>
      <c r="F1853" t="s">
        <v>3226</v>
      </c>
      <c r="G1853" s="4">
        <v>20109.400000000001</v>
      </c>
      <c r="H1853" s="4">
        <v>13958.36</v>
      </c>
      <c r="I1853" s="3" t="s">
        <v>3734</v>
      </c>
      <c r="J1853">
        <v>1</v>
      </c>
      <c r="K1853" s="4">
        <f>Table3[[#This Row],[Sales]]-Table3[[#This Row],[Cost]]</f>
        <v>6151.0400000000009</v>
      </c>
      <c r="L1853" s="6">
        <f>Table3[[#This Row],[Profit]]/Table3[[#This Row],[Sales]]</f>
        <v>0.30587884273026544</v>
      </c>
    </row>
    <row r="1854" spans="1:12" x14ac:dyDescent="0.25">
      <c r="A1854" t="s">
        <v>1747</v>
      </c>
      <c r="B1854" s="2">
        <v>44972</v>
      </c>
      <c r="C1854" s="2" t="str">
        <f>TEXT(Table3[[#This Row],[Order Date]],"mmmm")</f>
        <v>February</v>
      </c>
      <c r="D1854" t="s">
        <v>3220</v>
      </c>
      <c r="E1854" t="s">
        <v>3225</v>
      </c>
      <c r="F1854" t="s">
        <v>3226</v>
      </c>
      <c r="G1854" s="4">
        <v>99221.25</v>
      </c>
      <c r="H1854" s="4">
        <v>59744.66</v>
      </c>
      <c r="I1854" s="3" t="s">
        <v>3734</v>
      </c>
      <c r="J1854">
        <v>5</v>
      </c>
      <c r="K1854" s="4">
        <f>Table3[[#This Row],[Sales]]-Table3[[#This Row],[Cost]]</f>
        <v>39476.589999999997</v>
      </c>
      <c r="L1854" s="6">
        <f>Table3[[#This Row],[Profit]]/Table3[[#This Row],[Sales]]</f>
        <v>0.39786426798694835</v>
      </c>
    </row>
    <row r="1855" spans="1:12" x14ac:dyDescent="0.25">
      <c r="A1855" t="s">
        <v>1748</v>
      </c>
      <c r="B1855" s="2">
        <v>45005</v>
      </c>
      <c r="C1855" s="2" t="str">
        <f>TEXT(Table3[[#This Row],[Order Date]],"mmmm")</f>
        <v>March</v>
      </c>
      <c r="D1855" t="s">
        <v>3731</v>
      </c>
      <c r="E1855" t="s">
        <v>3225</v>
      </c>
      <c r="F1855" t="s">
        <v>3226</v>
      </c>
      <c r="G1855" s="4">
        <v>23998.97</v>
      </c>
      <c r="H1855" s="4">
        <v>14154.62</v>
      </c>
      <c r="I1855" s="3" t="s">
        <v>3734</v>
      </c>
      <c r="J1855">
        <v>1</v>
      </c>
      <c r="K1855" s="4">
        <f>Table3[[#This Row],[Sales]]-Table3[[#This Row],[Cost]]</f>
        <v>9844.35</v>
      </c>
      <c r="L1855" s="6">
        <f>Table3[[#This Row],[Profit]]/Table3[[#This Row],[Sales]]</f>
        <v>0.41019885436749992</v>
      </c>
    </row>
    <row r="1856" spans="1:12" x14ac:dyDescent="0.25">
      <c r="A1856" t="s">
        <v>1749</v>
      </c>
      <c r="B1856" s="2">
        <v>44972</v>
      </c>
      <c r="C1856" s="2" t="str">
        <f>TEXT(Table3[[#This Row],[Order Date]],"mmmm")</f>
        <v>February</v>
      </c>
      <c r="D1856" t="s">
        <v>3731</v>
      </c>
      <c r="E1856" t="s">
        <v>3222</v>
      </c>
      <c r="F1856" t="s">
        <v>3226</v>
      </c>
      <c r="G1856" s="4">
        <v>24816</v>
      </c>
      <c r="H1856" s="4">
        <v>19852.800000000003</v>
      </c>
      <c r="I1856" s="3" t="s">
        <v>3735</v>
      </c>
      <c r="J1856">
        <v>2</v>
      </c>
      <c r="K1856" s="4">
        <f>Table3[[#This Row],[Sales]]-Table3[[#This Row],[Cost]]</f>
        <v>4963.1999999999971</v>
      </c>
      <c r="L1856" s="6">
        <f>Table3[[#This Row],[Profit]]/Table3[[#This Row],[Sales]]</f>
        <v>0.19999999999999987</v>
      </c>
    </row>
    <row r="1857" spans="1:12" x14ac:dyDescent="0.25">
      <c r="A1857" t="s">
        <v>1750</v>
      </c>
      <c r="B1857" s="2">
        <v>44972</v>
      </c>
      <c r="C1857" s="2" t="str">
        <f>TEXT(Table3[[#This Row],[Order Date]],"mmmm")</f>
        <v>February</v>
      </c>
      <c r="D1857" t="s">
        <v>3731</v>
      </c>
      <c r="E1857" t="s">
        <v>3224</v>
      </c>
      <c r="F1857" t="s">
        <v>3226</v>
      </c>
      <c r="G1857" s="4">
        <v>289372.34999999998</v>
      </c>
      <c r="H1857" s="4">
        <v>243103.19</v>
      </c>
      <c r="I1857" s="3" t="s">
        <v>3734</v>
      </c>
      <c r="J1857">
        <v>5</v>
      </c>
      <c r="K1857" s="4">
        <f>Table3[[#This Row],[Sales]]-Table3[[#This Row],[Cost]]</f>
        <v>46269.159999999974</v>
      </c>
      <c r="L1857" s="6">
        <f>Table3[[#This Row],[Profit]]/Table3[[#This Row],[Sales]]</f>
        <v>0.15989488975017821</v>
      </c>
    </row>
    <row r="1858" spans="1:12" x14ac:dyDescent="0.25">
      <c r="A1858" t="s">
        <v>1751</v>
      </c>
      <c r="B1858" s="2">
        <v>45021</v>
      </c>
      <c r="C1858" s="2" t="str">
        <f>TEXT(Table3[[#This Row],[Order Date]],"mmmm")</f>
        <v>April</v>
      </c>
      <c r="D1858" t="s">
        <v>3216</v>
      </c>
      <c r="E1858" t="s">
        <v>3223</v>
      </c>
      <c r="F1858" t="s">
        <v>3226</v>
      </c>
      <c r="G1858" s="4">
        <v>29370.01</v>
      </c>
      <c r="H1858" s="4">
        <v>23496.008000000002</v>
      </c>
      <c r="I1858" s="3" t="s">
        <v>3735</v>
      </c>
      <c r="J1858">
        <v>3</v>
      </c>
      <c r="K1858" s="4">
        <f>Table3[[#This Row],[Sales]]-Table3[[#This Row],[Cost]]</f>
        <v>5874.0019999999968</v>
      </c>
      <c r="L1858" s="6">
        <f>Table3[[#This Row],[Profit]]/Table3[[#This Row],[Sales]]</f>
        <v>0.1999999999999999</v>
      </c>
    </row>
    <row r="1859" spans="1:12" x14ac:dyDescent="0.25">
      <c r="A1859" t="s">
        <v>3527</v>
      </c>
      <c r="B1859" s="2">
        <v>44972</v>
      </c>
      <c r="C1859" s="2" t="str">
        <f>TEXT(Table3[[#This Row],[Order Date]],"mmmm")</f>
        <v>February</v>
      </c>
      <c r="D1859" t="s">
        <v>3730</v>
      </c>
      <c r="E1859" t="s">
        <v>3222</v>
      </c>
      <c r="F1859" t="s">
        <v>3226</v>
      </c>
      <c r="G1859" s="4">
        <v>35650.17</v>
      </c>
      <c r="H1859" s="4">
        <v>17648.25</v>
      </c>
      <c r="I1859" s="3" t="s">
        <v>3734</v>
      </c>
      <c r="J1859">
        <v>2</v>
      </c>
      <c r="K1859" s="4">
        <f>Table3[[#This Row],[Sales]]-Table3[[#This Row],[Cost]]</f>
        <v>18001.919999999998</v>
      </c>
      <c r="L1859" s="6">
        <f>Table3[[#This Row],[Profit]]/Table3[[#This Row],[Sales]]</f>
        <v>0.50496028490186717</v>
      </c>
    </row>
    <row r="1860" spans="1:12" x14ac:dyDescent="0.25">
      <c r="A1860" t="s">
        <v>3383</v>
      </c>
      <c r="B1860" s="2">
        <v>45102</v>
      </c>
      <c r="C1860" s="2" t="str">
        <f>TEXT(Table3[[#This Row],[Order Date]],"mmmm")</f>
        <v>June</v>
      </c>
      <c r="D1860" t="s">
        <v>3216</v>
      </c>
      <c r="E1860" t="s">
        <v>3225</v>
      </c>
      <c r="F1860" t="s">
        <v>3226</v>
      </c>
      <c r="G1860" s="4">
        <v>105465.16</v>
      </c>
      <c r="H1860" s="4">
        <v>61968.32</v>
      </c>
      <c r="I1860" s="3" t="s">
        <v>3734</v>
      </c>
      <c r="J1860">
        <v>5</v>
      </c>
      <c r="K1860" s="4">
        <f>Table3[[#This Row],[Sales]]-Table3[[#This Row],[Cost]]</f>
        <v>43496.840000000004</v>
      </c>
      <c r="L1860" s="6">
        <f>Table3[[#This Row],[Profit]]/Table3[[#This Row],[Sales]]</f>
        <v>0.41242852141882685</v>
      </c>
    </row>
    <row r="1861" spans="1:12" x14ac:dyDescent="0.25">
      <c r="A1861" t="s">
        <v>1753</v>
      </c>
      <c r="B1861" s="2">
        <v>45005</v>
      </c>
      <c r="C1861" s="2" t="str">
        <f>TEXT(Table3[[#This Row],[Order Date]],"mmmm")</f>
        <v>March</v>
      </c>
      <c r="D1861" t="s">
        <v>3216</v>
      </c>
      <c r="E1861" t="s">
        <v>3223</v>
      </c>
      <c r="F1861" t="s">
        <v>3226</v>
      </c>
      <c r="G1861" s="4">
        <v>10005.99</v>
      </c>
      <c r="H1861" s="4">
        <v>6383.45</v>
      </c>
      <c r="I1861" s="3" t="s">
        <v>3734</v>
      </c>
      <c r="J1861">
        <v>1</v>
      </c>
      <c r="K1861" s="4">
        <f>Table3[[#This Row],[Sales]]-Table3[[#This Row],[Cost]]</f>
        <v>3622.54</v>
      </c>
      <c r="L1861" s="6">
        <f>Table3[[#This Row],[Profit]]/Table3[[#This Row],[Sales]]</f>
        <v>0.36203713975328777</v>
      </c>
    </row>
    <row r="1862" spans="1:12" x14ac:dyDescent="0.25">
      <c r="A1862" t="s">
        <v>3310</v>
      </c>
      <c r="B1862" s="2">
        <v>44941</v>
      </c>
      <c r="C1862" s="2" t="str">
        <f>TEXT(Table3[[#This Row],[Order Date]],"mmmm")</f>
        <v>January</v>
      </c>
      <c r="D1862" t="s">
        <v>3730</v>
      </c>
      <c r="E1862" t="s">
        <v>3225</v>
      </c>
      <c r="F1862" t="s">
        <v>3226</v>
      </c>
      <c r="G1862" s="4">
        <v>36495.17</v>
      </c>
      <c r="H1862" s="4">
        <v>27460.68</v>
      </c>
      <c r="I1862" s="3" t="s">
        <v>3734</v>
      </c>
      <c r="J1862">
        <v>2</v>
      </c>
      <c r="K1862" s="4">
        <f>Table3[[#This Row],[Sales]]-Table3[[#This Row],[Cost]]</f>
        <v>9034.489999999998</v>
      </c>
      <c r="L1862" s="6">
        <f>Table3[[#This Row],[Profit]]/Table3[[#This Row],[Sales]]</f>
        <v>0.24755303236017254</v>
      </c>
    </row>
    <row r="1863" spans="1:12" x14ac:dyDescent="0.25">
      <c r="A1863" t="s">
        <v>1754</v>
      </c>
      <c r="B1863" s="2">
        <v>44972</v>
      </c>
      <c r="C1863" s="2" t="str">
        <f>TEXT(Table3[[#This Row],[Order Date]],"mmmm")</f>
        <v>February</v>
      </c>
      <c r="D1863" t="s">
        <v>3730</v>
      </c>
      <c r="E1863" t="s">
        <v>3222</v>
      </c>
      <c r="F1863" t="s">
        <v>3226</v>
      </c>
      <c r="G1863" s="4">
        <v>75811.320000000007</v>
      </c>
      <c r="H1863" s="4">
        <v>60649.056000000011</v>
      </c>
      <c r="I1863" s="3" t="s">
        <v>3735</v>
      </c>
      <c r="J1863">
        <v>5</v>
      </c>
      <c r="K1863" s="4">
        <f>Table3[[#This Row],[Sales]]-Table3[[#This Row],[Cost]]</f>
        <v>15162.263999999996</v>
      </c>
      <c r="L1863" s="6">
        <f>Table3[[#This Row],[Profit]]/Table3[[#This Row],[Sales]]</f>
        <v>0.19999999999999993</v>
      </c>
    </row>
    <row r="1864" spans="1:12" x14ac:dyDescent="0.25">
      <c r="A1864" t="s">
        <v>3308</v>
      </c>
      <c r="B1864" s="2">
        <v>45102</v>
      </c>
      <c r="C1864" s="2" t="str">
        <f>TEXT(Table3[[#This Row],[Order Date]],"mmmm")</f>
        <v>June</v>
      </c>
      <c r="D1864" t="s">
        <v>3216</v>
      </c>
      <c r="E1864" t="s">
        <v>3222</v>
      </c>
      <c r="F1864" t="s">
        <v>3226</v>
      </c>
      <c r="G1864" s="4">
        <v>62384.75</v>
      </c>
      <c r="H1864" s="4">
        <v>52000.59</v>
      </c>
      <c r="I1864" s="3" t="s">
        <v>3734</v>
      </c>
      <c r="J1864">
        <v>5</v>
      </c>
      <c r="K1864" s="4">
        <f>Table3[[#This Row],[Sales]]-Table3[[#This Row],[Cost]]</f>
        <v>10384.160000000003</v>
      </c>
      <c r="L1864" s="6">
        <f>Table3[[#This Row],[Profit]]/Table3[[#This Row],[Sales]]</f>
        <v>0.16645350025446931</v>
      </c>
    </row>
    <row r="1865" spans="1:12" x14ac:dyDescent="0.25">
      <c r="A1865" t="s">
        <v>1755</v>
      </c>
      <c r="B1865" s="2">
        <v>44972</v>
      </c>
      <c r="C1865" s="2" t="str">
        <f>TEXT(Table3[[#This Row],[Order Date]],"mmmm")</f>
        <v>February</v>
      </c>
      <c r="D1865" t="s">
        <v>3731</v>
      </c>
      <c r="E1865" t="s">
        <v>3223</v>
      </c>
      <c r="F1865" t="s">
        <v>3226</v>
      </c>
      <c r="G1865" s="4">
        <v>9512.1200000000008</v>
      </c>
      <c r="H1865" s="4">
        <v>7609.6960000000008</v>
      </c>
      <c r="I1865" s="3" t="s">
        <v>3735</v>
      </c>
      <c r="J1865" t="s">
        <v>3732</v>
      </c>
      <c r="K1865" s="4">
        <f>Table3[[#This Row],[Sales]]-Table3[[#This Row],[Cost]]</f>
        <v>1902.424</v>
      </c>
      <c r="L1865" s="6">
        <f>Table3[[#This Row],[Profit]]/Table3[[#This Row],[Sales]]</f>
        <v>0.19999999999999998</v>
      </c>
    </row>
    <row r="1866" spans="1:12" x14ac:dyDescent="0.25">
      <c r="A1866" t="s">
        <v>852</v>
      </c>
      <c r="B1866" s="2">
        <v>45005</v>
      </c>
      <c r="C1866" s="2" t="str">
        <f>TEXT(Table3[[#This Row],[Order Date]],"mmmm")</f>
        <v>March</v>
      </c>
      <c r="D1866" t="s">
        <v>3220</v>
      </c>
      <c r="E1866" t="s">
        <v>3223</v>
      </c>
      <c r="F1866" t="s">
        <v>3226</v>
      </c>
      <c r="G1866" s="4">
        <v>58326.3</v>
      </c>
      <c r="H1866" s="4">
        <v>30691.03</v>
      </c>
      <c r="I1866" s="3" t="s">
        <v>3734</v>
      </c>
      <c r="J1866" t="s">
        <v>3732</v>
      </c>
      <c r="K1866" s="4">
        <f>Table3[[#This Row],[Sales]]-Table3[[#This Row],[Cost]]</f>
        <v>27635.270000000004</v>
      </c>
      <c r="L1866" s="6">
        <f>Table3[[#This Row],[Profit]]/Table3[[#This Row],[Sales]]</f>
        <v>0.47380461301334054</v>
      </c>
    </row>
    <row r="1867" spans="1:12" x14ac:dyDescent="0.25">
      <c r="A1867" t="s">
        <v>1178</v>
      </c>
      <c r="B1867" s="2">
        <v>45102</v>
      </c>
      <c r="C1867" s="2" t="str">
        <f>TEXT(Table3[[#This Row],[Order Date]],"mmmm")</f>
        <v>June</v>
      </c>
      <c r="D1867" t="s">
        <v>3216</v>
      </c>
      <c r="E1867" t="s">
        <v>3223</v>
      </c>
      <c r="F1867" t="s">
        <v>3226</v>
      </c>
      <c r="G1867" s="4">
        <v>23559.53</v>
      </c>
      <c r="H1867" s="4">
        <v>13475.75</v>
      </c>
      <c r="I1867" s="3" t="s">
        <v>3734</v>
      </c>
      <c r="J1867">
        <v>2</v>
      </c>
      <c r="K1867" s="4">
        <f>Table3[[#This Row],[Sales]]-Table3[[#This Row],[Cost]]</f>
        <v>10083.779999999999</v>
      </c>
      <c r="L1867" s="6">
        <f>Table3[[#This Row],[Profit]]/Table3[[#This Row],[Sales]]</f>
        <v>0.42801278293752038</v>
      </c>
    </row>
    <row r="1868" spans="1:12" x14ac:dyDescent="0.25">
      <c r="A1868" t="s">
        <v>3528</v>
      </c>
      <c r="B1868" s="2">
        <v>45021</v>
      </c>
      <c r="C1868" s="2" t="str">
        <f>TEXT(Table3[[#This Row],[Order Date]],"mmmm")</f>
        <v>April</v>
      </c>
      <c r="D1868" t="s">
        <v>3730</v>
      </c>
      <c r="E1868" t="s">
        <v>3224</v>
      </c>
      <c r="F1868" t="s">
        <v>3226</v>
      </c>
      <c r="G1868" s="4">
        <v>353792.24</v>
      </c>
      <c r="H1868" s="4">
        <v>234759.53</v>
      </c>
      <c r="I1868" s="3" t="s">
        <v>3734</v>
      </c>
      <c r="J1868">
        <v>5</v>
      </c>
      <c r="K1868" s="4">
        <f>Table3[[#This Row],[Sales]]-Table3[[#This Row],[Cost]]</f>
        <v>119032.70999999999</v>
      </c>
      <c r="L1868" s="6">
        <f>Table3[[#This Row],[Profit]]/Table3[[#This Row],[Sales]]</f>
        <v>0.33644805211103557</v>
      </c>
    </row>
    <row r="1869" spans="1:12" x14ac:dyDescent="0.25">
      <c r="A1869" t="s">
        <v>3529</v>
      </c>
      <c r="B1869" s="2">
        <v>45102</v>
      </c>
      <c r="C1869" s="2" t="str">
        <f>TEXT(Table3[[#This Row],[Order Date]],"mmmm")</f>
        <v>June</v>
      </c>
      <c r="D1869" t="s">
        <v>3220</v>
      </c>
      <c r="E1869" t="s">
        <v>3224</v>
      </c>
      <c r="F1869" t="s">
        <v>3226</v>
      </c>
      <c r="G1869" s="4">
        <v>278106.98</v>
      </c>
      <c r="H1869" s="4">
        <v>222485.584</v>
      </c>
      <c r="I1869" s="3" t="s">
        <v>3735</v>
      </c>
      <c r="J1869">
        <v>5</v>
      </c>
      <c r="K1869" s="4">
        <f>Table3[[#This Row],[Sales]]-Table3[[#This Row],[Cost]]</f>
        <v>55621.395999999979</v>
      </c>
      <c r="L1869" s="6">
        <f>Table3[[#This Row],[Profit]]/Table3[[#This Row],[Sales]]</f>
        <v>0.19999999999999993</v>
      </c>
    </row>
    <row r="1870" spans="1:12" x14ac:dyDescent="0.25">
      <c r="A1870" t="s">
        <v>3530</v>
      </c>
      <c r="B1870" s="2" t="s">
        <v>3729</v>
      </c>
      <c r="C1870" s="2" t="str">
        <f>TEXT(Table3[[#This Row],[Order Date]],"mmmm")</f>
        <v>Not Mentioned</v>
      </c>
      <c r="D1870" t="s">
        <v>3731</v>
      </c>
      <c r="E1870" t="s">
        <v>3222</v>
      </c>
      <c r="F1870" t="s">
        <v>3226</v>
      </c>
      <c r="G1870" s="4">
        <v>26701.46</v>
      </c>
      <c r="H1870" s="4">
        <v>21361.168000000001</v>
      </c>
      <c r="I1870" s="3" t="s">
        <v>3735</v>
      </c>
      <c r="J1870">
        <v>2</v>
      </c>
      <c r="K1870" s="4">
        <f>Table3[[#This Row],[Sales]]-Table3[[#This Row],[Cost]]</f>
        <v>5340.2919999999976</v>
      </c>
      <c r="L1870" s="6">
        <f>Table3[[#This Row],[Profit]]/Table3[[#This Row],[Sales]]</f>
        <v>0.19999999999999993</v>
      </c>
    </row>
    <row r="1871" spans="1:12" x14ac:dyDescent="0.25">
      <c r="A1871" t="s">
        <v>1759</v>
      </c>
      <c r="B1871" s="2">
        <v>44941</v>
      </c>
      <c r="C1871" s="2" t="str">
        <f>TEXT(Table3[[#This Row],[Order Date]],"mmmm")</f>
        <v>January</v>
      </c>
      <c r="D1871" t="s">
        <v>3731</v>
      </c>
      <c r="E1871" t="s">
        <v>3224</v>
      </c>
      <c r="F1871" t="s">
        <v>3226</v>
      </c>
      <c r="G1871" s="4">
        <v>109090.76</v>
      </c>
      <c r="H1871" s="4">
        <v>91307.22</v>
      </c>
      <c r="I1871" s="3" t="s">
        <v>3734</v>
      </c>
      <c r="J1871">
        <v>2</v>
      </c>
      <c r="K1871" s="4">
        <f>Table3[[#This Row],[Sales]]-Table3[[#This Row],[Cost]]</f>
        <v>17783.539999999994</v>
      </c>
      <c r="L1871" s="6">
        <f>Table3[[#This Row],[Profit]]/Table3[[#This Row],[Sales]]</f>
        <v>0.16301600612187497</v>
      </c>
    </row>
    <row r="1872" spans="1:12" x14ac:dyDescent="0.25">
      <c r="A1872" t="s">
        <v>1760</v>
      </c>
      <c r="B1872" s="2">
        <v>44972</v>
      </c>
      <c r="C1872" s="2" t="str">
        <f>TEXT(Table3[[#This Row],[Order Date]],"mmmm")</f>
        <v>February</v>
      </c>
      <c r="D1872" t="s">
        <v>3730</v>
      </c>
      <c r="E1872" t="s">
        <v>3225</v>
      </c>
      <c r="F1872" t="s">
        <v>3226</v>
      </c>
      <c r="G1872" s="4">
        <v>33725.83</v>
      </c>
      <c r="H1872" s="4">
        <v>24494.82</v>
      </c>
      <c r="I1872" s="3" t="s">
        <v>3734</v>
      </c>
      <c r="J1872">
        <v>2</v>
      </c>
      <c r="K1872" s="4">
        <f>Table3[[#This Row],[Sales]]-Table3[[#This Row],[Cost]]</f>
        <v>9231.010000000002</v>
      </c>
      <c r="L1872" s="6">
        <f>Table3[[#This Row],[Profit]]/Table3[[#This Row],[Sales]]</f>
        <v>0.27370742247114455</v>
      </c>
    </row>
    <row r="1873" spans="1:12" x14ac:dyDescent="0.25">
      <c r="A1873" t="s">
        <v>1761</v>
      </c>
      <c r="B1873" s="2">
        <v>44941</v>
      </c>
      <c r="C1873" s="2" t="str">
        <f>TEXT(Table3[[#This Row],[Order Date]],"mmmm")</f>
        <v>January</v>
      </c>
      <c r="D1873" t="s">
        <v>3730</v>
      </c>
      <c r="E1873" t="s">
        <v>3224</v>
      </c>
      <c r="F1873" t="s">
        <v>3226</v>
      </c>
      <c r="G1873" s="4">
        <v>202164.39</v>
      </c>
      <c r="H1873" s="4">
        <v>193288.27</v>
      </c>
      <c r="I1873" s="3" t="s">
        <v>3734</v>
      </c>
      <c r="J1873" t="s">
        <v>3732</v>
      </c>
      <c r="K1873" s="4">
        <f>Table3[[#This Row],[Sales]]-Table3[[#This Row],[Cost]]</f>
        <v>8876.1200000000244</v>
      </c>
      <c r="L1873" s="6">
        <f>Table3[[#This Row],[Profit]]/Table3[[#This Row],[Sales]]</f>
        <v>4.3905457335982979E-2</v>
      </c>
    </row>
    <row r="1874" spans="1:12" x14ac:dyDescent="0.25">
      <c r="A1874" t="s">
        <v>1762</v>
      </c>
      <c r="B1874" s="2" t="s">
        <v>3729</v>
      </c>
      <c r="C1874" s="2" t="str">
        <f>TEXT(Table3[[#This Row],[Order Date]],"mmmm")</f>
        <v>Not Mentioned</v>
      </c>
      <c r="D1874" t="s">
        <v>3216</v>
      </c>
      <c r="E1874" t="s">
        <v>3223</v>
      </c>
      <c r="F1874" t="s">
        <v>3226</v>
      </c>
      <c r="G1874" s="4">
        <v>45716.14</v>
      </c>
      <c r="H1874" s="4">
        <v>32415.14</v>
      </c>
      <c r="I1874" s="3" t="s">
        <v>3734</v>
      </c>
      <c r="J1874">
        <v>5</v>
      </c>
      <c r="K1874" s="4">
        <f>Table3[[#This Row],[Sales]]-Table3[[#This Row],[Cost]]</f>
        <v>13301</v>
      </c>
      <c r="L1874" s="6">
        <f>Table3[[#This Row],[Profit]]/Table3[[#This Row],[Sales]]</f>
        <v>0.29094757343905236</v>
      </c>
    </row>
    <row r="1875" spans="1:12" x14ac:dyDescent="0.25">
      <c r="A1875" t="s">
        <v>1763</v>
      </c>
      <c r="B1875" s="2">
        <v>45005</v>
      </c>
      <c r="C1875" s="2" t="str">
        <f>TEXT(Table3[[#This Row],[Order Date]],"mmmm")</f>
        <v>March</v>
      </c>
      <c r="D1875" t="s">
        <v>3730</v>
      </c>
      <c r="E1875" t="s">
        <v>3223</v>
      </c>
      <c r="F1875" t="s">
        <v>3226</v>
      </c>
      <c r="G1875" s="4">
        <v>9367.4599999999991</v>
      </c>
      <c r="H1875" s="4">
        <v>6754.32</v>
      </c>
      <c r="I1875" s="3" t="s">
        <v>3734</v>
      </c>
      <c r="J1875" t="s">
        <v>3732</v>
      </c>
      <c r="K1875" s="4">
        <f>Table3[[#This Row],[Sales]]-Table3[[#This Row],[Cost]]</f>
        <v>2613.1399999999994</v>
      </c>
      <c r="L1875" s="6">
        <f>Table3[[#This Row],[Profit]]/Table3[[#This Row],[Sales]]</f>
        <v>0.27895929099243549</v>
      </c>
    </row>
    <row r="1876" spans="1:12" x14ac:dyDescent="0.25">
      <c r="A1876" t="s">
        <v>1764</v>
      </c>
      <c r="B1876" s="2">
        <v>45102</v>
      </c>
      <c r="C1876" s="2" t="str">
        <f>TEXT(Table3[[#This Row],[Order Date]],"mmmm")</f>
        <v>June</v>
      </c>
      <c r="D1876" t="s">
        <v>3220</v>
      </c>
      <c r="E1876" t="s">
        <v>3222</v>
      </c>
      <c r="F1876" t="s">
        <v>3226</v>
      </c>
      <c r="G1876" s="4">
        <v>42841.91</v>
      </c>
      <c r="H1876" s="4">
        <v>28199.31</v>
      </c>
      <c r="I1876" s="3" t="s">
        <v>3734</v>
      </c>
      <c r="J1876">
        <v>3</v>
      </c>
      <c r="K1876" s="4">
        <f>Table3[[#This Row],[Sales]]-Table3[[#This Row],[Cost]]</f>
        <v>14642.600000000002</v>
      </c>
      <c r="L1876" s="6">
        <f>Table3[[#This Row],[Profit]]/Table3[[#This Row],[Sales]]</f>
        <v>0.34178214743460322</v>
      </c>
    </row>
    <row r="1877" spans="1:12" x14ac:dyDescent="0.25">
      <c r="A1877" t="s">
        <v>1765</v>
      </c>
      <c r="B1877" s="2">
        <v>45102</v>
      </c>
      <c r="C1877" s="2" t="str">
        <f>TEXT(Table3[[#This Row],[Order Date]],"mmmm")</f>
        <v>June</v>
      </c>
      <c r="D1877" t="s">
        <v>3730</v>
      </c>
      <c r="E1877" t="s">
        <v>3225</v>
      </c>
      <c r="F1877" t="s">
        <v>3226</v>
      </c>
      <c r="G1877" s="4">
        <v>43511.8</v>
      </c>
      <c r="H1877" s="4">
        <v>30078.54</v>
      </c>
      <c r="I1877" s="3" t="s">
        <v>3734</v>
      </c>
      <c r="J1877">
        <v>2</v>
      </c>
      <c r="K1877" s="4">
        <f>Table3[[#This Row],[Sales]]-Table3[[#This Row],[Cost]]</f>
        <v>13433.260000000002</v>
      </c>
      <c r="L1877" s="6">
        <f>Table3[[#This Row],[Profit]]/Table3[[#This Row],[Sales]]</f>
        <v>0.30872682812478458</v>
      </c>
    </row>
    <row r="1878" spans="1:12" x14ac:dyDescent="0.25">
      <c r="A1878" t="s">
        <v>1766</v>
      </c>
      <c r="B1878" s="2">
        <v>44941</v>
      </c>
      <c r="C1878" s="2" t="str">
        <f>TEXT(Table3[[#This Row],[Order Date]],"mmmm")</f>
        <v>January</v>
      </c>
      <c r="D1878" t="s">
        <v>3220</v>
      </c>
      <c r="E1878" t="s">
        <v>3224</v>
      </c>
      <c r="F1878" t="s">
        <v>3226</v>
      </c>
      <c r="G1878" s="4">
        <v>221279.57</v>
      </c>
      <c r="H1878" s="4">
        <v>180806.32</v>
      </c>
      <c r="I1878" s="3" t="s">
        <v>3734</v>
      </c>
      <c r="J1878">
        <v>4</v>
      </c>
      <c r="K1878" s="4">
        <f>Table3[[#This Row],[Sales]]-Table3[[#This Row],[Cost]]</f>
        <v>40473.25</v>
      </c>
      <c r="L1878" s="6">
        <f>Table3[[#This Row],[Profit]]/Table3[[#This Row],[Sales]]</f>
        <v>0.18290549823465402</v>
      </c>
    </row>
    <row r="1879" spans="1:12" x14ac:dyDescent="0.25">
      <c r="A1879" t="s">
        <v>1767</v>
      </c>
      <c r="B1879" s="2" t="s">
        <v>3729</v>
      </c>
      <c r="C1879" s="2" t="str">
        <f>TEXT(Table3[[#This Row],[Order Date]],"mmmm")</f>
        <v>Not Mentioned</v>
      </c>
      <c r="D1879" t="s">
        <v>3730</v>
      </c>
      <c r="E1879" t="s">
        <v>3223</v>
      </c>
      <c r="F1879" t="s">
        <v>3226</v>
      </c>
      <c r="G1879" s="4">
        <v>23853.33</v>
      </c>
      <c r="H1879" s="4">
        <v>13625.45</v>
      </c>
      <c r="I1879" s="3" t="s">
        <v>3734</v>
      </c>
      <c r="J1879">
        <v>2</v>
      </c>
      <c r="K1879" s="4">
        <f>Table3[[#This Row],[Sales]]-Table3[[#This Row],[Cost]]</f>
        <v>10227.880000000001</v>
      </c>
      <c r="L1879" s="6">
        <f>Table3[[#This Row],[Profit]]/Table3[[#This Row],[Sales]]</f>
        <v>0.42878206103718014</v>
      </c>
    </row>
    <row r="1880" spans="1:12" x14ac:dyDescent="0.25">
      <c r="A1880" t="s">
        <v>1768</v>
      </c>
      <c r="B1880" s="2">
        <v>44941</v>
      </c>
      <c r="C1880" s="2" t="str">
        <f>TEXT(Table3[[#This Row],[Order Date]],"mmmm")</f>
        <v>January</v>
      </c>
      <c r="D1880" t="s">
        <v>3220</v>
      </c>
      <c r="E1880" t="s">
        <v>3222</v>
      </c>
      <c r="F1880" t="s">
        <v>3226</v>
      </c>
      <c r="G1880" s="4">
        <v>16034.88</v>
      </c>
      <c r="H1880" s="4">
        <v>10589.58</v>
      </c>
      <c r="I1880" s="3" t="s">
        <v>3734</v>
      </c>
      <c r="J1880">
        <v>1</v>
      </c>
      <c r="K1880" s="4">
        <f>Table3[[#This Row],[Sales]]-Table3[[#This Row],[Cost]]</f>
        <v>5445.2999999999993</v>
      </c>
      <c r="L1880" s="6">
        <f>Table3[[#This Row],[Profit]]/Table3[[#This Row],[Sales]]</f>
        <v>0.3395909417469915</v>
      </c>
    </row>
    <row r="1881" spans="1:12" x14ac:dyDescent="0.25">
      <c r="A1881" t="s">
        <v>3455</v>
      </c>
      <c r="B1881" s="2">
        <v>44941</v>
      </c>
      <c r="C1881" s="2" t="str">
        <f>TEXT(Table3[[#This Row],[Order Date]],"mmmm")</f>
        <v>January</v>
      </c>
      <c r="D1881" t="s">
        <v>3220</v>
      </c>
      <c r="E1881" t="s">
        <v>3222</v>
      </c>
      <c r="F1881" t="s">
        <v>3226</v>
      </c>
      <c r="G1881" s="4">
        <v>13320.08</v>
      </c>
      <c r="H1881" s="4">
        <v>9260.2099999999991</v>
      </c>
      <c r="I1881" s="3" t="s">
        <v>3734</v>
      </c>
      <c r="J1881">
        <v>1</v>
      </c>
      <c r="K1881" s="4">
        <f>Table3[[#This Row],[Sales]]-Table3[[#This Row],[Cost]]</f>
        <v>4059.8700000000008</v>
      </c>
      <c r="L1881" s="6">
        <f>Table3[[#This Row],[Profit]]/Table3[[#This Row],[Sales]]</f>
        <v>0.30479321445516849</v>
      </c>
    </row>
    <row r="1882" spans="1:12" x14ac:dyDescent="0.25">
      <c r="A1882" t="s">
        <v>38</v>
      </c>
      <c r="B1882" s="2" t="s">
        <v>3729</v>
      </c>
      <c r="C1882" s="2" t="str">
        <f>TEXT(Table3[[#This Row],[Order Date]],"mmmm")</f>
        <v>Not Mentioned</v>
      </c>
      <c r="D1882" t="s">
        <v>3731</v>
      </c>
      <c r="E1882" t="s">
        <v>3223</v>
      </c>
      <c r="F1882" t="s">
        <v>3226</v>
      </c>
      <c r="G1882" s="4">
        <v>21592.62</v>
      </c>
      <c r="H1882" s="4">
        <v>12813.12</v>
      </c>
      <c r="I1882" s="3" t="s">
        <v>3734</v>
      </c>
      <c r="J1882">
        <v>2</v>
      </c>
      <c r="K1882" s="4">
        <f>Table3[[#This Row],[Sales]]-Table3[[#This Row],[Cost]]</f>
        <v>8779.4999999999982</v>
      </c>
      <c r="L1882" s="6">
        <f>Table3[[#This Row],[Profit]]/Table3[[#This Row],[Sales]]</f>
        <v>0.40659725406180436</v>
      </c>
    </row>
    <row r="1883" spans="1:12" x14ac:dyDescent="0.25">
      <c r="A1883" t="s">
        <v>1769</v>
      </c>
      <c r="B1883" s="2" t="s">
        <v>3729</v>
      </c>
      <c r="C1883" s="2" t="str">
        <f>TEXT(Table3[[#This Row],[Order Date]],"mmmm")</f>
        <v>Not Mentioned</v>
      </c>
      <c r="D1883" t="s">
        <v>3220</v>
      </c>
      <c r="E1883" t="s">
        <v>3222</v>
      </c>
      <c r="F1883" t="s">
        <v>3226</v>
      </c>
      <c r="G1883" s="4">
        <v>28615.01</v>
      </c>
      <c r="H1883" s="4">
        <v>19018.439999999999</v>
      </c>
      <c r="I1883" s="3" t="s">
        <v>3734</v>
      </c>
      <c r="J1883">
        <v>2</v>
      </c>
      <c r="K1883" s="4">
        <f>Table3[[#This Row],[Sales]]-Table3[[#This Row],[Cost]]</f>
        <v>9596.57</v>
      </c>
      <c r="L1883" s="6">
        <f>Table3[[#This Row],[Profit]]/Table3[[#This Row],[Sales]]</f>
        <v>0.33536839581743988</v>
      </c>
    </row>
    <row r="1884" spans="1:12" x14ac:dyDescent="0.25">
      <c r="A1884" t="s">
        <v>1119</v>
      </c>
      <c r="B1884" s="2">
        <v>45005</v>
      </c>
      <c r="C1884" s="2" t="str">
        <f>TEXT(Table3[[#This Row],[Order Date]],"mmmm")</f>
        <v>March</v>
      </c>
      <c r="D1884" t="s">
        <v>3731</v>
      </c>
      <c r="E1884" t="s">
        <v>3223</v>
      </c>
      <c r="F1884" t="s">
        <v>3226</v>
      </c>
      <c r="G1884" s="4">
        <v>32553.040000000001</v>
      </c>
      <c r="H1884" s="4">
        <v>23023.27</v>
      </c>
      <c r="I1884" s="3" t="s">
        <v>3734</v>
      </c>
      <c r="J1884">
        <v>3</v>
      </c>
      <c r="K1884" s="4">
        <f>Table3[[#This Row],[Sales]]-Table3[[#This Row],[Cost]]</f>
        <v>9529.77</v>
      </c>
      <c r="L1884" s="6">
        <f>Table3[[#This Row],[Profit]]/Table3[[#This Row],[Sales]]</f>
        <v>0.29274593094838453</v>
      </c>
    </row>
    <row r="1885" spans="1:12" x14ac:dyDescent="0.25">
      <c r="A1885" t="s">
        <v>1770</v>
      </c>
      <c r="B1885" s="2">
        <v>45005</v>
      </c>
      <c r="C1885" s="2" t="str">
        <f>TEXT(Table3[[#This Row],[Order Date]],"mmmm")</f>
        <v>March</v>
      </c>
      <c r="D1885" t="s">
        <v>3730</v>
      </c>
      <c r="E1885" t="s">
        <v>3224</v>
      </c>
      <c r="F1885" t="s">
        <v>3226</v>
      </c>
      <c r="G1885" s="4">
        <v>104170.3</v>
      </c>
      <c r="H1885" s="4">
        <v>76999.960000000006</v>
      </c>
      <c r="I1885" s="3" t="s">
        <v>3734</v>
      </c>
      <c r="J1885" t="s">
        <v>3732</v>
      </c>
      <c r="K1885" s="4">
        <f>Table3[[#This Row],[Sales]]-Table3[[#This Row],[Cost]]</f>
        <v>27170.339999999997</v>
      </c>
      <c r="L1885" s="6">
        <f>Table3[[#This Row],[Profit]]/Table3[[#This Row],[Sales]]</f>
        <v>0.26082616638331652</v>
      </c>
    </row>
    <row r="1886" spans="1:12" x14ac:dyDescent="0.25">
      <c r="A1886" t="s">
        <v>1771</v>
      </c>
      <c r="B1886" s="2">
        <v>45102</v>
      </c>
      <c r="C1886" s="2" t="str">
        <f>TEXT(Table3[[#This Row],[Order Date]],"mmmm")</f>
        <v>June</v>
      </c>
      <c r="D1886" t="s">
        <v>3220</v>
      </c>
      <c r="E1886" t="s">
        <v>3223</v>
      </c>
      <c r="F1886" t="s">
        <v>3226</v>
      </c>
      <c r="G1886" s="4">
        <v>29063.63</v>
      </c>
      <c r="H1886" s="4">
        <v>23250.904000000002</v>
      </c>
      <c r="I1886" s="3" t="s">
        <v>3735</v>
      </c>
      <c r="J1886">
        <v>3</v>
      </c>
      <c r="K1886" s="4">
        <f>Table3[[#This Row],[Sales]]-Table3[[#This Row],[Cost]]</f>
        <v>5812.7259999999987</v>
      </c>
      <c r="L1886" s="6">
        <f>Table3[[#This Row],[Profit]]/Table3[[#This Row],[Sales]]</f>
        <v>0.19999999999999996</v>
      </c>
    </row>
    <row r="1887" spans="1:12" x14ac:dyDescent="0.25">
      <c r="A1887" t="s">
        <v>3271</v>
      </c>
      <c r="B1887" s="2">
        <v>44941</v>
      </c>
      <c r="C1887" s="2" t="str">
        <f>TEXT(Table3[[#This Row],[Order Date]],"mmmm")</f>
        <v>January</v>
      </c>
      <c r="D1887" t="s">
        <v>3216</v>
      </c>
      <c r="E1887" t="s">
        <v>3223</v>
      </c>
      <c r="F1887" t="s">
        <v>3226</v>
      </c>
      <c r="G1887" s="4">
        <v>8635.11</v>
      </c>
      <c r="H1887" s="4">
        <v>6310.79</v>
      </c>
      <c r="I1887" s="3" t="s">
        <v>3734</v>
      </c>
      <c r="J1887">
        <v>1</v>
      </c>
      <c r="K1887" s="4">
        <f>Table3[[#This Row],[Sales]]-Table3[[#This Row],[Cost]]</f>
        <v>2324.3200000000006</v>
      </c>
      <c r="L1887" s="6">
        <f>Table3[[#This Row],[Profit]]/Table3[[#This Row],[Sales]]</f>
        <v>0.26917086174930027</v>
      </c>
    </row>
    <row r="1888" spans="1:12" x14ac:dyDescent="0.25">
      <c r="A1888" t="s">
        <v>1772</v>
      </c>
      <c r="B1888" s="2">
        <v>45021</v>
      </c>
      <c r="C1888" s="2" t="str">
        <f>TEXT(Table3[[#This Row],[Order Date]],"mmmm")</f>
        <v>April</v>
      </c>
      <c r="D1888" t="s">
        <v>3216</v>
      </c>
      <c r="E1888" t="s">
        <v>3223</v>
      </c>
      <c r="F1888" t="s">
        <v>3226</v>
      </c>
      <c r="G1888" s="4">
        <v>20784.939999999999</v>
      </c>
      <c r="H1888" s="4">
        <v>14540.24</v>
      </c>
      <c r="I1888" s="3" t="s">
        <v>3734</v>
      </c>
      <c r="J1888">
        <v>2</v>
      </c>
      <c r="K1888" s="4">
        <f>Table3[[#This Row],[Sales]]-Table3[[#This Row],[Cost]]</f>
        <v>6244.6999999999989</v>
      </c>
      <c r="L1888" s="6">
        <f>Table3[[#This Row],[Profit]]/Table3[[#This Row],[Sales]]</f>
        <v>0.30044349418376959</v>
      </c>
    </row>
    <row r="1889" spans="1:12" x14ac:dyDescent="0.25">
      <c r="A1889" t="s">
        <v>3447</v>
      </c>
      <c r="B1889" s="2">
        <v>44941</v>
      </c>
      <c r="C1889" s="2" t="str">
        <f>TEXT(Table3[[#This Row],[Order Date]],"mmmm")</f>
        <v>January</v>
      </c>
      <c r="D1889" t="s">
        <v>3730</v>
      </c>
      <c r="E1889" t="s">
        <v>3224</v>
      </c>
      <c r="F1889" t="s">
        <v>3226</v>
      </c>
      <c r="G1889" s="4">
        <v>279163.34999999998</v>
      </c>
      <c r="H1889" s="4">
        <v>226484.31</v>
      </c>
      <c r="I1889" s="3" t="s">
        <v>3734</v>
      </c>
      <c r="J1889">
        <v>5</v>
      </c>
      <c r="K1889" s="4">
        <f>Table3[[#This Row],[Sales]]-Table3[[#This Row],[Cost]]</f>
        <v>52679.039999999979</v>
      </c>
      <c r="L1889" s="6">
        <f>Table3[[#This Row],[Profit]]/Table3[[#This Row],[Sales]]</f>
        <v>0.18870328071360365</v>
      </c>
    </row>
    <row r="1890" spans="1:12" x14ac:dyDescent="0.25">
      <c r="A1890" t="s">
        <v>356</v>
      </c>
      <c r="B1890" s="2">
        <v>44941</v>
      </c>
      <c r="C1890" s="2" t="str">
        <f>TEXT(Table3[[#This Row],[Order Date]],"mmmm")</f>
        <v>January</v>
      </c>
      <c r="D1890" t="s">
        <v>3216</v>
      </c>
      <c r="E1890" t="s">
        <v>3222</v>
      </c>
      <c r="F1890" t="s">
        <v>3226</v>
      </c>
      <c r="G1890" s="4">
        <v>12905.27</v>
      </c>
      <c r="H1890" s="4">
        <v>8812.7900000000009</v>
      </c>
      <c r="I1890" s="3" t="s">
        <v>3734</v>
      </c>
      <c r="J1890">
        <v>1</v>
      </c>
      <c r="K1890" s="4">
        <f>Table3[[#This Row],[Sales]]-Table3[[#This Row],[Cost]]</f>
        <v>4092.4799999999996</v>
      </c>
      <c r="L1890" s="6">
        <f>Table3[[#This Row],[Profit]]/Table3[[#This Row],[Sales]]</f>
        <v>0.31711696074549384</v>
      </c>
    </row>
    <row r="1891" spans="1:12" x14ac:dyDescent="0.25">
      <c r="A1891" t="s">
        <v>1774</v>
      </c>
      <c r="B1891" s="2" t="s">
        <v>3729</v>
      </c>
      <c r="C1891" s="2" t="str">
        <f>TEXT(Table3[[#This Row],[Order Date]],"mmmm")</f>
        <v>Not Mentioned</v>
      </c>
      <c r="D1891" t="s">
        <v>3220</v>
      </c>
      <c r="E1891" t="s">
        <v>3224</v>
      </c>
      <c r="F1891" t="s">
        <v>3226</v>
      </c>
      <c r="G1891" s="4">
        <v>264163.77</v>
      </c>
      <c r="H1891" s="4">
        <v>182495.96</v>
      </c>
      <c r="I1891" s="3" t="s">
        <v>3734</v>
      </c>
      <c r="J1891">
        <v>4</v>
      </c>
      <c r="K1891" s="4">
        <f>Table3[[#This Row],[Sales]]-Table3[[#This Row],[Cost]]</f>
        <v>81667.810000000027</v>
      </c>
      <c r="L1891" s="6">
        <f>Table3[[#This Row],[Profit]]/Table3[[#This Row],[Sales]]</f>
        <v>0.3091559830479404</v>
      </c>
    </row>
    <row r="1892" spans="1:12" x14ac:dyDescent="0.25">
      <c r="A1892" t="s">
        <v>1775</v>
      </c>
      <c r="B1892" s="2">
        <v>45021</v>
      </c>
      <c r="C1892" s="2" t="str">
        <f>TEXT(Table3[[#This Row],[Order Date]],"mmmm")</f>
        <v>April</v>
      </c>
      <c r="D1892" t="s">
        <v>3220</v>
      </c>
      <c r="E1892" t="s">
        <v>3224</v>
      </c>
      <c r="F1892" t="s">
        <v>3226</v>
      </c>
      <c r="G1892" s="4">
        <v>289984.14</v>
      </c>
      <c r="H1892" s="4">
        <v>209619.31</v>
      </c>
      <c r="I1892" s="3" t="s">
        <v>3734</v>
      </c>
      <c r="J1892">
        <v>5</v>
      </c>
      <c r="K1892" s="4">
        <f>Table3[[#This Row],[Sales]]-Table3[[#This Row],[Cost]]</f>
        <v>80364.830000000016</v>
      </c>
      <c r="L1892" s="6">
        <f>Table3[[#This Row],[Profit]]/Table3[[#This Row],[Sales]]</f>
        <v>0.27713525988007487</v>
      </c>
    </row>
    <row r="1893" spans="1:12" x14ac:dyDescent="0.25">
      <c r="A1893" t="s">
        <v>1776</v>
      </c>
      <c r="B1893" s="2">
        <v>45005</v>
      </c>
      <c r="C1893" s="2" t="str">
        <f>TEXT(Table3[[#This Row],[Order Date]],"mmmm")</f>
        <v>March</v>
      </c>
      <c r="D1893" t="s">
        <v>3731</v>
      </c>
      <c r="E1893" t="s">
        <v>3224</v>
      </c>
      <c r="F1893" t="s">
        <v>3226</v>
      </c>
      <c r="G1893" s="4">
        <v>269428.46999999997</v>
      </c>
      <c r="H1893" s="4">
        <v>193663.4</v>
      </c>
      <c r="I1893" s="3" t="s">
        <v>3734</v>
      </c>
      <c r="J1893">
        <v>4</v>
      </c>
      <c r="K1893" s="4">
        <f>Table3[[#This Row],[Sales]]-Table3[[#This Row],[Cost]]</f>
        <v>75765.069999999978</v>
      </c>
      <c r="L1893" s="6">
        <f>Table3[[#This Row],[Profit]]/Table3[[#This Row],[Sales]]</f>
        <v>0.28120662229941767</v>
      </c>
    </row>
    <row r="1894" spans="1:12" x14ac:dyDescent="0.25">
      <c r="A1894" t="s">
        <v>572</v>
      </c>
      <c r="B1894" s="2">
        <v>44972</v>
      </c>
      <c r="C1894" s="2" t="str">
        <f>TEXT(Table3[[#This Row],[Order Date]],"mmmm")</f>
        <v>February</v>
      </c>
      <c r="D1894" t="s">
        <v>3220</v>
      </c>
      <c r="E1894" t="s">
        <v>3224</v>
      </c>
      <c r="F1894" t="s">
        <v>3226</v>
      </c>
      <c r="G1894" s="4">
        <v>299727.28999999998</v>
      </c>
      <c r="H1894" s="4">
        <v>223906.9</v>
      </c>
      <c r="I1894" s="3" t="s">
        <v>3734</v>
      </c>
      <c r="J1894">
        <v>5</v>
      </c>
      <c r="K1894" s="4">
        <f>Table3[[#This Row],[Sales]]-Table3[[#This Row],[Cost]]</f>
        <v>75820.389999999985</v>
      </c>
      <c r="L1894" s="6">
        <f>Table3[[#This Row],[Profit]]/Table3[[#This Row],[Sales]]</f>
        <v>0.25296458657468257</v>
      </c>
    </row>
    <row r="1895" spans="1:12" x14ac:dyDescent="0.25">
      <c r="A1895" t="s">
        <v>1777</v>
      </c>
      <c r="B1895" s="2">
        <v>45005</v>
      </c>
      <c r="C1895" s="2" t="str">
        <f>TEXT(Table3[[#This Row],[Order Date]],"mmmm")</f>
        <v>March</v>
      </c>
      <c r="D1895" t="s">
        <v>3220</v>
      </c>
      <c r="E1895" t="s">
        <v>3225</v>
      </c>
      <c r="F1895" t="s">
        <v>3226</v>
      </c>
      <c r="G1895" s="4">
        <v>90588.9</v>
      </c>
      <c r="H1895" s="4">
        <v>61080.68</v>
      </c>
      <c r="I1895" s="3" t="s">
        <v>3734</v>
      </c>
      <c r="J1895" t="s">
        <v>3732</v>
      </c>
      <c r="K1895" s="4">
        <f>Table3[[#This Row],[Sales]]-Table3[[#This Row],[Cost]]</f>
        <v>29508.219999999994</v>
      </c>
      <c r="L1895" s="6">
        <f>Table3[[#This Row],[Profit]]/Table3[[#This Row],[Sales]]</f>
        <v>0.32573770075583208</v>
      </c>
    </row>
    <row r="1896" spans="1:12" x14ac:dyDescent="0.25">
      <c r="A1896" t="s">
        <v>1778</v>
      </c>
      <c r="B1896" s="2">
        <v>45021</v>
      </c>
      <c r="C1896" s="2" t="str">
        <f>TEXT(Table3[[#This Row],[Order Date]],"mmmm")</f>
        <v>April</v>
      </c>
      <c r="D1896" t="s">
        <v>3731</v>
      </c>
      <c r="E1896" t="s">
        <v>3225</v>
      </c>
      <c r="F1896" t="s">
        <v>3226</v>
      </c>
      <c r="G1896" s="4">
        <v>71350.44</v>
      </c>
      <c r="H1896" s="4">
        <v>35759.15</v>
      </c>
      <c r="I1896" s="3" t="s">
        <v>3734</v>
      </c>
      <c r="J1896">
        <v>3</v>
      </c>
      <c r="K1896" s="4">
        <f>Table3[[#This Row],[Sales]]-Table3[[#This Row],[Cost]]</f>
        <v>35591.29</v>
      </c>
      <c r="L1896" s="6">
        <f>Table3[[#This Row],[Profit]]/Table3[[#This Row],[Sales]]</f>
        <v>0.49882369330868875</v>
      </c>
    </row>
    <row r="1897" spans="1:12" x14ac:dyDescent="0.25">
      <c r="A1897" t="s">
        <v>3264</v>
      </c>
      <c r="B1897" s="2">
        <v>44941</v>
      </c>
      <c r="C1897" s="2" t="str">
        <f>TEXT(Table3[[#This Row],[Order Date]],"mmmm")</f>
        <v>January</v>
      </c>
      <c r="D1897" t="s">
        <v>3216</v>
      </c>
      <c r="E1897" t="s">
        <v>3222</v>
      </c>
      <c r="F1897" t="s">
        <v>3226</v>
      </c>
      <c r="G1897" s="4">
        <v>66730.42</v>
      </c>
      <c r="H1897" s="4">
        <v>53384.336000000003</v>
      </c>
      <c r="I1897" s="3" t="s">
        <v>3735</v>
      </c>
      <c r="J1897">
        <v>5</v>
      </c>
      <c r="K1897" s="4">
        <f>Table3[[#This Row],[Sales]]-Table3[[#This Row],[Cost]]</f>
        <v>13346.083999999995</v>
      </c>
      <c r="L1897" s="6">
        <f>Table3[[#This Row],[Profit]]/Table3[[#This Row],[Sales]]</f>
        <v>0.19999999999999993</v>
      </c>
    </row>
    <row r="1898" spans="1:12" x14ac:dyDescent="0.25">
      <c r="A1898" t="s">
        <v>3531</v>
      </c>
      <c r="B1898" s="2" t="s">
        <v>3729</v>
      </c>
      <c r="C1898" s="2" t="str">
        <f>TEXT(Table3[[#This Row],[Order Date]],"mmmm")</f>
        <v>Not Mentioned</v>
      </c>
      <c r="D1898" t="s">
        <v>3730</v>
      </c>
      <c r="E1898" t="s">
        <v>3225</v>
      </c>
      <c r="F1898" t="s">
        <v>3226</v>
      </c>
      <c r="G1898" s="4">
        <v>23768.23</v>
      </c>
      <c r="H1898" s="4">
        <v>13684.57</v>
      </c>
      <c r="I1898" s="3" t="s">
        <v>3734</v>
      </c>
      <c r="J1898">
        <v>1</v>
      </c>
      <c r="K1898" s="4">
        <f>Table3[[#This Row],[Sales]]-Table3[[#This Row],[Cost]]</f>
        <v>10083.66</v>
      </c>
      <c r="L1898" s="6">
        <f>Table3[[#This Row],[Profit]]/Table3[[#This Row],[Sales]]</f>
        <v>0.42424951290020335</v>
      </c>
    </row>
    <row r="1899" spans="1:12" x14ac:dyDescent="0.25">
      <c r="A1899" t="s">
        <v>3532</v>
      </c>
      <c r="B1899" s="2">
        <v>44941</v>
      </c>
      <c r="C1899" s="2" t="str">
        <f>TEXT(Table3[[#This Row],[Order Date]],"mmmm")</f>
        <v>January</v>
      </c>
      <c r="D1899" t="s">
        <v>3730</v>
      </c>
      <c r="E1899" t="s">
        <v>3222</v>
      </c>
      <c r="F1899" t="s">
        <v>3226</v>
      </c>
      <c r="G1899" s="4">
        <v>30410.63</v>
      </c>
      <c r="H1899" s="4">
        <v>18428.759999999998</v>
      </c>
      <c r="I1899" s="3" t="s">
        <v>3734</v>
      </c>
      <c r="J1899">
        <v>2</v>
      </c>
      <c r="K1899" s="4">
        <f>Table3[[#This Row],[Sales]]-Table3[[#This Row],[Cost]]</f>
        <v>11981.870000000003</v>
      </c>
      <c r="L1899" s="6">
        <f>Table3[[#This Row],[Profit]]/Table3[[#This Row],[Sales]]</f>
        <v>0.3940026891912467</v>
      </c>
    </row>
    <row r="1900" spans="1:12" x14ac:dyDescent="0.25">
      <c r="A1900" t="s">
        <v>1781</v>
      </c>
      <c r="B1900" s="2">
        <v>45021</v>
      </c>
      <c r="C1900" s="2" t="str">
        <f>TEXT(Table3[[#This Row],[Order Date]],"mmmm")</f>
        <v>April</v>
      </c>
      <c r="D1900" t="s">
        <v>3730</v>
      </c>
      <c r="E1900" t="s">
        <v>3223</v>
      </c>
      <c r="F1900" t="s">
        <v>3226</v>
      </c>
      <c r="G1900" s="4">
        <v>11587.51</v>
      </c>
      <c r="H1900" s="4">
        <v>9270.0079999999998</v>
      </c>
      <c r="I1900" s="3" t="s">
        <v>3735</v>
      </c>
      <c r="J1900">
        <v>1</v>
      </c>
      <c r="K1900" s="4">
        <f>Table3[[#This Row],[Sales]]-Table3[[#This Row],[Cost]]</f>
        <v>2317.5020000000004</v>
      </c>
      <c r="L1900" s="6">
        <f>Table3[[#This Row],[Profit]]/Table3[[#This Row],[Sales]]</f>
        <v>0.20000000000000004</v>
      </c>
    </row>
    <row r="1901" spans="1:12" x14ac:dyDescent="0.25">
      <c r="A1901" t="s">
        <v>3533</v>
      </c>
      <c r="B1901" s="2">
        <v>45005</v>
      </c>
      <c r="C1901" s="2" t="str">
        <f>TEXT(Table3[[#This Row],[Order Date]],"mmmm")</f>
        <v>March</v>
      </c>
      <c r="D1901" t="s">
        <v>3731</v>
      </c>
      <c r="E1901" t="s">
        <v>3223</v>
      </c>
      <c r="F1901" t="s">
        <v>3226</v>
      </c>
      <c r="G1901" s="4">
        <v>36348</v>
      </c>
      <c r="H1901" s="4">
        <v>23904.5</v>
      </c>
      <c r="I1901" s="3" t="s">
        <v>3734</v>
      </c>
      <c r="J1901">
        <v>4</v>
      </c>
      <c r="K1901" s="4">
        <f>Table3[[#This Row],[Sales]]-Table3[[#This Row],[Cost]]</f>
        <v>12443.5</v>
      </c>
      <c r="L1901" s="6">
        <f>Table3[[#This Row],[Profit]]/Table3[[#This Row],[Sales]]</f>
        <v>0.34234345768680535</v>
      </c>
    </row>
    <row r="1902" spans="1:12" x14ac:dyDescent="0.25">
      <c r="A1902" t="s">
        <v>1783</v>
      </c>
      <c r="B1902" s="2" t="s">
        <v>3729</v>
      </c>
      <c r="C1902" s="2" t="str">
        <f>TEXT(Table3[[#This Row],[Order Date]],"mmmm")</f>
        <v>Not Mentioned</v>
      </c>
      <c r="D1902" t="s">
        <v>3216</v>
      </c>
      <c r="E1902" t="s">
        <v>3223</v>
      </c>
      <c r="F1902" t="s">
        <v>3226</v>
      </c>
      <c r="G1902" s="4">
        <v>38157.629999999997</v>
      </c>
      <c r="H1902" s="4">
        <v>25276.23</v>
      </c>
      <c r="I1902" s="3" t="s">
        <v>3734</v>
      </c>
      <c r="J1902">
        <v>4</v>
      </c>
      <c r="K1902" s="4">
        <f>Table3[[#This Row],[Sales]]-Table3[[#This Row],[Cost]]</f>
        <v>12881.399999999998</v>
      </c>
      <c r="L1902" s="6">
        <f>Table3[[#This Row],[Profit]]/Table3[[#This Row],[Sales]]</f>
        <v>0.33758385937491397</v>
      </c>
    </row>
    <row r="1903" spans="1:12" x14ac:dyDescent="0.25">
      <c r="A1903" t="s">
        <v>1784</v>
      </c>
      <c r="B1903" s="2">
        <v>44941</v>
      </c>
      <c r="C1903" s="2" t="str">
        <f>TEXT(Table3[[#This Row],[Order Date]],"mmmm")</f>
        <v>January</v>
      </c>
      <c r="D1903" t="s">
        <v>3220</v>
      </c>
      <c r="E1903" t="s">
        <v>3225</v>
      </c>
      <c r="F1903" t="s">
        <v>3226</v>
      </c>
      <c r="G1903" s="4">
        <v>16412.12</v>
      </c>
      <c r="H1903" s="4">
        <v>15225.35</v>
      </c>
      <c r="I1903" s="3" t="s">
        <v>3734</v>
      </c>
      <c r="J1903">
        <v>1</v>
      </c>
      <c r="K1903" s="4">
        <f>Table3[[#This Row],[Sales]]-Table3[[#This Row],[Cost]]</f>
        <v>1186.7699999999986</v>
      </c>
      <c r="L1903" s="6">
        <f>Table3[[#This Row],[Profit]]/Table3[[#This Row],[Sales]]</f>
        <v>7.2310585104179023E-2</v>
      </c>
    </row>
    <row r="1904" spans="1:12" x14ac:dyDescent="0.25">
      <c r="A1904" t="s">
        <v>1785</v>
      </c>
      <c r="B1904" s="2">
        <v>45102</v>
      </c>
      <c r="C1904" s="2" t="str">
        <f>TEXT(Table3[[#This Row],[Order Date]],"mmmm")</f>
        <v>June</v>
      </c>
      <c r="D1904" t="s">
        <v>3730</v>
      </c>
      <c r="E1904" t="s">
        <v>3222</v>
      </c>
      <c r="F1904" t="s">
        <v>3226</v>
      </c>
      <c r="G1904" s="4">
        <v>33828.379999999997</v>
      </c>
      <c r="H1904" s="4">
        <v>27062.703999999998</v>
      </c>
      <c r="I1904" s="3" t="s">
        <v>3735</v>
      </c>
      <c r="J1904">
        <v>2</v>
      </c>
      <c r="K1904" s="4">
        <f>Table3[[#This Row],[Sales]]-Table3[[#This Row],[Cost]]</f>
        <v>6765.6759999999995</v>
      </c>
      <c r="L1904" s="6">
        <f>Table3[[#This Row],[Profit]]/Table3[[#This Row],[Sales]]</f>
        <v>0.2</v>
      </c>
    </row>
    <row r="1905" spans="1:12" x14ac:dyDescent="0.25">
      <c r="A1905" t="s">
        <v>1786</v>
      </c>
      <c r="B1905" s="2">
        <v>45021</v>
      </c>
      <c r="C1905" s="2" t="str">
        <f>TEXT(Table3[[#This Row],[Order Date]],"mmmm")</f>
        <v>April</v>
      </c>
      <c r="D1905" t="s">
        <v>3730</v>
      </c>
      <c r="E1905" t="s">
        <v>3225</v>
      </c>
      <c r="F1905" t="s">
        <v>3226</v>
      </c>
      <c r="G1905" s="4">
        <v>89713.18</v>
      </c>
      <c r="H1905" s="4">
        <v>67564.22</v>
      </c>
      <c r="I1905" s="3" t="s">
        <v>3734</v>
      </c>
      <c r="J1905">
        <v>5</v>
      </c>
      <c r="K1905" s="4">
        <f>Table3[[#This Row],[Sales]]-Table3[[#This Row],[Cost]]</f>
        <v>22148.959999999992</v>
      </c>
      <c r="L1905" s="6">
        <f>Table3[[#This Row],[Profit]]/Table3[[#This Row],[Sales]]</f>
        <v>0.24688635493692224</v>
      </c>
    </row>
    <row r="1906" spans="1:12" x14ac:dyDescent="0.25">
      <c r="A1906" t="s">
        <v>3534</v>
      </c>
      <c r="B1906" s="2">
        <v>44941</v>
      </c>
      <c r="C1906" s="2" t="str">
        <f>TEXT(Table3[[#This Row],[Order Date]],"mmmm")</f>
        <v>January</v>
      </c>
      <c r="D1906" t="s">
        <v>3216</v>
      </c>
      <c r="E1906" t="s">
        <v>3224</v>
      </c>
      <c r="F1906" t="s">
        <v>3226</v>
      </c>
      <c r="G1906" s="4">
        <v>150758.26</v>
      </c>
      <c r="H1906" s="4">
        <v>120606.60800000001</v>
      </c>
      <c r="I1906" s="3" t="s">
        <v>3735</v>
      </c>
      <c r="J1906">
        <v>3</v>
      </c>
      <c r="K1906" s="4">
        <f>Table3[[#This Row],[Sales]]-Table3[[#This Row],[Cost]]</f>
        <v>30151.652000000002</v>
      </c>
      <c r="L1906" s="6">
        <f>Table3[[#This Row],[Profit]]/Table3[[#This Row],[Sales]]</f>
        <v>0.2</v>
      </c>
    </row>
    <row r="1907" spans="1:12" x14ac:dyDescent="0.25">
      <c r="A1907" t="s">
        <v>1788</v>
      </c>
      <c r="B1907" s="2">
        <v>44972</v>
      </c>
      <c r="C1907" s="2" t="str">
        <f>TEXT(Table3[[#This Row],[Order Date]],"mmmm")</f>
        <v>February</v>
      </c>
      <c r="D1907" t="s">
        <v>3216</v>
      </c>
      <c r="E1907" t="s">
        <v>3223</v>
      </c>
      <c r="F1907" t="s">
        <v>3226</v>
      </c>
      <c r="G1907" s="4">
        <v>17046.64</v>
      </c>
      <c r="H1907" s="4">
        <v>12379.68</v>
      </c>
      <c r="I1907" s="3" t="s">
        <v>3734</v>
      </c>
      <c r="J1907">
        <v>2</v>
      </c>
      <c r="K1907" s="4">
        <f>Table3[[#This Row],[Sales]]-Table3[[#This Row],[Cost]]</f>
        <v>4666.9599999999991</v>
      </c>
      <c r="L1907" s="6">
        <f>Table3[[#This Row],[Profit]]/Table3[[#This Row],[Sales]]</f>
        <v>0.27377594646217668</v>
      </c>
    </row>
    <row r="1908" spans="1:12" x14ac:dyDescent="0.25">
      <c r="A1908" t="s">
        <v>1789</v>
      </c>
      <c r="B1908" s="2">
        <v>45102</v>
      </c>
      <c r="C1908" s="2" t="str">
        <f>TEXT(Table3[[#This Row],[Order Date]],"mmmm")</f>
        <v>June</v>
      </c>
      <c r="D1908" t="s">
        <v>3730</v>
      </c>
      <c r="E1908" t="s">
        <v>3225</v>
      </c>
      <c r="F1908" t="s">
        <v>3226</v>
      </c>
      <c r="G1908" s="4">
        <v>70519.91</v>
      </c>
      <c r="H1908" s="4">
        <v>36600.81</v>
      </c>
      <c r="I1908" s="3" t="s">
        <v>3734</v>
      </c>
      <c r="J1908">
        <v>3</v>
      </c>
      <c r="K1908" s="4">
        <f>Table3[[#This Row],[Sales]]-Table3[[#This Row],[Cost]]</f>
        <v>33919.100000000006</v>
      </c>
      <c r="L1908" s="6">
        <f>Table3[[#This Row],[Profit]]/Table3[[#This Row],[Sales]]</f>
        <v>0.48098614986888105</v>
      </c>
    </row>
    <row r="1909" spans="1:12" x14ac:dyDescent="0.25">
      <c r="A1909" t="s">
        <v>1790</v>
      </c>
      <c r="B1909" s="2">
        <v>45021</v>
      </c>
      <c r="C1909" s="2" t="str">
        <f>TEXT(Table3[[#This Row],[Order Date]],"mmmm")</f>
        <v>April</v>
      </c>
      <c r="D1909" t="s">
        <v>3731</v>
      </c>
      <c r="E1909" t="s">
        <v>3224</v>
      </c>
      <c r="F1909" t="s">
        <v>3226</v>
      </c>
      <c r="G1909" s="4">
        <v>281926.15999999997</v>
      </c>
      <c r="H1909" s="4">
        <v>243388.7</v>
      </c>
      <c r="I1909" s="3" t="s">
        <v>3734</v>
      </c>
      <c r="J1909">
        <v>5</v>
      </c>
      <c r="K1909" s="4">
        <f>Table3[[#This Row],[Sales]]-Table3[[#This Row],[Cost]]</f>
        <v>38537.459999999963</v>
      </c>
      <c r="L1909" s="6">
        <f>Table3[[#This Row],[Profit]]/Table3[[#This Row],[Sales]]</f>
        <v>0.1366934519308175</v>
      </c>
    </row>
    <row r="1910" spans="1:12" x14ac:dyDescent="0.25">
      <c r="A1910" t="s">
        <v>1791</v>
      </c>
      <c r="B1910" s="2">
        <v>44941</v>
      </c>
      <c r="C1910" s="2" t="str">
        <f>TEXT(Table3[[#This Row],[Order Date]],"mmmm")</f>
        <v>January</v>
      </c>
      <c r="D1910" t="s">
        <v>3220</v>
      </c>
      <c r="E1910" t="s">
        <v>3222</v>
      </c>
      <c r="F1910" t="s">
        <v>3226</v>
      </c>
      <c r="G1910" s="4">
        <v>54386.11</v>
      </c>
      <c r="H1910" s="4">
        <v>37840.15</v>
      </c>
      <c r="I1910" s="3" t="s">
        <v>3734</v>
      </c>
      <c r="J1910">
        <v>4</v>
      </c>
      <c r="K1910" s="4">
        <f>Table3[[#This Row],[Sales]]-Table3[[#This Row],[Cost]]</f>
        <v>16545.96</v>
      </c>
      <c r="L1910" s="6">
        <f>Table3[[#This Row],[Profit]]/Table3[[#This Row],[Sales]]</f>
        <v>0.30423135613118862</v>
      </c>
    </row>
    <row r="1911" spans="1:12" x14ac:dyDescent="0.25">
      <c r="A1911" t="s">
        <v>274</v>
      </c>
      <c r="B1911" s="2">
        <v>44972</v>
      </c>
      <c r="C1911" s="2" t="str">
        <f>TEXT(Table3[[#This Row],[Order Date]],"mmmm")</f>
        <v>February</v>
      </c>
      <c r="D1911" t="s">
        <v>3220</v>
      </c>
      <c r="E1911" t="s">
        <v>3224</v>
      </c>
      <c r="F1911" t="s">
        <v>3226</v>
      </c>
      <c r="G1911" s="4">
        <v>270151.09999999998</v>
      </c>
      <c r="H1911" s="4">
        <v>196402.05</v>
      </c>
      <c r="I1911" s="3" t="s">
        <v>3734</v>
      </c>
      <c r="J1911">
        <v>5</v>
      </c>
      <c r="K1911" s="4">
        <f>Table3[[#This Row],[Sales]]-Table3[[#This Row],[Cost]]</f>
        <v>73749.049999999988</v>
      </c>
      <c r="L1911" s="6">
        <f>Table3[[#This Row],[Profit]]/Table3[[#This Row],[Sales]]</f>
        <v>0.27299185529875686</v>
      </c>
    </row>
    <row r="1912" spans="1:12" x14ac:dyDescent="0.25">
      <c r="A1912" t="s">
        <v>3492</v>
      </c>
      <c r="B1912" s="2">
        <v>44941</v>
      </c>
      <c r="C1912" s="2" t="str">
        <f>TEXT(Table3[[#This Row],[Order Date]],"mmmm")</f>
        <v>January</v>
      </c>
      <c r="D1912" t="s">
        <v>3730</v>
      </c>
      <c r="E1912" t="s">
        <v>3224</v>
      </c>
      <c r="F1912" t="s">
        <v>3226</v>
      </c>
      <c r="G1912" s="4">
        <v>69349.320000000007</v>
      </c>
      <c r="H1912" s="4">
        <v>41418.04</v>
      </c>
      <c r="I1912" s="3" t="s">
        <v>3734</v>
      </c>
      <c r="J1912">
        <v>1</v>
      </c>
      <c r="K1912" s="4">
        <f>Table3[[#This Row],[Sales]]-Table3[[#This Row],[Cost]]</f>
        <v>27931.280000000006</v>
      </c>
      <c r="L1912" s="6">
        <f>Table3[[#This Row],[Profit]]/Table3[[#This Row],[Sales]]</f>
        <v>0.40276213234679165</v>
      </c>
    </row>
    <row r="1913" spans="1:12" x14ac:dyDescent="0.25">
      <c r="A1913" t="s">
        <v>1792</v>
      </c>
      <c r="B1913" s="2">
        <v>45021</v>
      </c>
      <c r="C1913" s="2" t="str">
        <f>TEXT(Table3[[#This Row],[Order Date]],"mmmm")</f>
        <v>April</v>
      </c>
      <c r="D1913" t="s">
        <v>3216</v>
      </c>
      <c r="E1913" t="s">
        <v>3224</v>
      </c>
      <c r="F1913" t="s">
        <v>3226</v>
      </c>
      <c r="G1913" s="4">
        <v>51654.239999999998</v>
      </c>
      <c r="H1913" s="4">
        <v>38754.660000000003</v>
      </c>
      <c r="I1913" s="3" t="s">
        <v>3734</v>
      </c>
      <c r="J1913">
        <v>1</v>
      </c>
      <c r="K1913" s="4">
        <f>Table3[[#This Row],[Sales]]-Table3[[#This Row],[Cost]]</f>
        <v>12899.579999999994</v>
      </c>
      <c r="L1913" s="6">
        <f>Table3[[#This Row],[Profit]]/Table3[[#This Row],[Sales]]</f>
        <v>0.24972935426017293</v>
      </c>
    </row>
    <row r="1914" spans="1:12" x14ac:dyDescent="0.25">
      <c r="A1914" t="s">
        <v>1793</v>
      </c>
      <c r="B1914" s="2">
        <v>44941</v>
      </c>
      <c r="C1914" s="2" t="str">
        <f>TEXT(Table3[[#This Row],[Order Date]],"mmmm")</f>
        <v>January</v>
      </c>
      <c r="D1914" t="s">
        <v>3216</v>
      </c>
      <c r="E1914" t="s">
        <v>3222</v>
      </c>
      <c r="F1914" t="s">
        <v>3226</v>
      </c>
      <c r="G1914" s="4">
        <v>25866.16</v>
      </c>
      <c r="H1914" s="4">
        <v>19945.3</v>
      </c>
      <c r="I1914" s="3" t="s">
        <v>3734</v>
      </c>
      <c r="J1914">
        <v>2</v>
      </c>
      <c r="K1914" s="4">
        <f>Table3[[#This Row],[Sales]]-Table3[[#This Row],[Cost]]</f>
        <v>5920.8600000000006</v>
      </c>
      <c r="L1914" s="6">
        <f>Table3[[#This Row],[Profit]]/Table3[[#This Row],[Sales]]</f>
        <v>0.22890371048505076</v>
      </c>
    </row>
    <row r="1915" spans="1:12" x14ac:dyDescent="0.25">
      <c r="A1915" t="s">
        <v>1794</v>
      </c>
      <c r="B1915" s="2">
        <v>44972</v>
      </c>
      <c r="C1915" s="2" t="str">
        <f>TEXT(Table3[[#This Row],[Order Date]],"mmmm")</f>
        <v>February</v>
      </c>
      <c r="D1915" t="s">
        <v>3216</v>
      </c>
      <c r="E1915" t="s">
        <v>3224</v>
      </c>
      <c r="F1915" t="s">
        <v>3226</v>
      </c>
      <c r="G1915" s="4">
        <v>107630.67</v>
      </c>
      <c r="H1915" s="4">
        <v>96542.05</v>
      </c>
      <c r="I1915" s="3" t="s">
        <v>3734</v>
      </c>
      <c r="J1915">
        <v>2</v>
      </c>
      <c r="K1915" s="4">
        <f>Table3[[#This Row],[Sales]]-Table3[[#This Row],[Cost]]</f>
        <v>11088.619999999995</v>
      </c>
      <c r="L1915" s="6">
        <f>Table3[[#This Row],[Profit]]/Table3[[#This Row],[Sales]]</f>
        <v>0.10302472334326261</v>
      </c>
    </row>
    <row r="1916" spans="1:12" x14ac:dyDescent="0.25">
      <c r="A1916" t="s">
        <v>1795</v>
      </c>
      <c r="B1916" s="2">
        <v>45021</v>
      </c>
      <c r="C1916" s="2" t="str">
        <f>TEXT(Table3[[#This Row],[Order Date]],"mmmm")</f>
        <v>April</v>
      </c>
      <c r="D1916" t="s">
        <v>3220</v>
      </c>
      <c r="E1916" t="s">
        <v>3222</v>
      </c>
      <c r="F1916" t="s">
        <v>3226</v>
      </c>
      <c r="G1916" s="4">
        <v>34458.17</v>
      </c>
      <c r="H1916" s="4">
        <v>19361.79</v>
      </c>
      <c r="I1916" s="3" t="s">
        <v>3734</v>
      </c>
      <c r="J1916">
        <v>2</v>
      </c>
      <c r="K1916" s="4">
        <f>Table3[[#This Row],[Sales]]-Table3[[#This Row],[Cost]]</f>
        <v>15096.379999999997</v>
      </c>
      <c r="L1916" s="6">
        <f>Table3[[#This Row],[Profit]]/Table3[[#This Row],[Sales]]</f>
        <v>0.43810742125887703</v>
      </c>
    </row>
    <row r="1917" spans="1:12" x14ac:dyDescent="0.25">
      <c r="A1917" t="s">
        <v>1796</v>
      </c>
      <c r="B1917" s="2">
        <v>45021</v>
      </c>
      <c r="C1917" s="2" t="str">
        <f>TEXT(Table3[[#This Row],[Order Date]],"mmmm")</f>
        <v>April</v>
      </c>
      <c r="D1917" t="s">
        <v>3220</v>
      </c>
      <c r="E1917" t="s">
        <v>3223</v>
      </c>
      <c r="F1917" t="s">
        <v>3226</v>
      </c>
      <c r="G1917" s="4">
        <v>41078.25</v>
      </c>
      <c r="H1917" s="4">
        <v>35154.93</v>
      </c>
      <c r="I1917" s="3" t="s">
        <v>3734</v>
      </c>
      <c r="J1917">
        <v>5</v>
      </c>
      <c r="K1917" s="4">
        <f>Table3[[#This Row],[Sales]]-Table3[[#This Row],[Cost]]</f>
        <v>5923.32</v>
      </c>
      <c r="L1917" s="6">
        <f>Table3[[#This Row],[Profit]]/Table3[[#This Row],[Sales]]</f>
        <v>0.14419601613992805</v>
      </c>
    </row>
    <row r="1918" spans="1:12" x14ac:dyDescent="0.25">
      <c r="A1918" t="s">
        <v>3535</v>
      </c>
      <c r="B1918" s="2" t="s">
        <v>3729</v>
      </c>
      <c r="C1918" s="2" t="str">
        <f>TEXT(Table3[[#This Row],[Order Date]],"mmmm")</f>
        <v>Not Mentioned</v>
      </c>
      <c r="D1918" t="s">
        <v>3731</v>
      </c>
      <c r="E1918" t="s">
        <v>3225</v>
      </c>
      <c r="F1918" t="s">
        <v>3226</v>
      </c>
      <c r="G1918" s="4">
        <v>105793.92</v>
      </c>
      <c r="H1918" s="4">
        <v>84635.135999999999</v>
      </c>
      <c r="I1918" s="3" t="s">
        <v>3735</v>
      </c>
      <c r="J1918">
        <v>5</v>
      </c>
      <c r="K1918" s="4">
        <f>Table3[[#This Row],[Sales]]-Table3[[#This Row],[Cost]]</f>
        <v>21158.784</v>
      </c>
      <c r="L1918" s="6">
        <f>Table3[[#This Row],[Profit]]/Table3[[#This Row],[Sales]]</f>
        <v>0.2</v>
      </c>
    </row>
    <row r="1919" spans="1:12" x14ac:dyDescent="0.25">
      <c r="A1919" t="s">
        <v>921</v>
      </c>
      <c r="B1919" s="2">
        <v>44972</v>
      </c>
      <c r="C1919" s="2" t="str">
        <f>TEXT(Table3[[#This Row],[Order Date]],"mmmm")</f>
        <v>February</v>
      </c>
      <c r="D1919" t="s">
        <v>3731</v>
      </c>
      <c r="E1919" t="s">
        <v>3222</v>
      </c>
      <c r="F1919" t="s">
        <v>3226</v>
      </c>
      <c r="G1919" s="4">
        <v>38056.42</v>
      </c>
      <c r="H1919" s="4">
        <v>30445.135999999999</v>
      </c>
      <c r="I1919" s="3" t="s">
        <v>3735</v>
      </c>
      <c r="J1919">
        <v>3</v>
      </c>
      <c r="K1919" s="4">
        <f>Table3[[#This Row],[Sales]]-Table3[[#This Row],[Cost]]</f>
        <v>7611.2839999999997</v>
      </c>
      <c r="L1919" s="6">
        <f>Table3[[#This Row],[Profit]]/Table3[[#This Row],[Sales]]</f>
        <v>0.2</v>
      </c>
    </row>
    <row r="1920" spans="1:12" x14ac:dyDescent="0.25">
      <c r="A1920" t="s">
        <v>1798</v>
      </c>
      <c r="B1920" s="2">
        <v>44972</v>
      </c>
      <c r="C1920" s="2" t="str">
        <f>TEXT(Table3[[#This Row],[Order Date]],"mmmm")</f>
        <v>February</v>
      </c>
      <c r="D1920" t="s">
        <v>3220</v>
      </c>
      <c r="E1920" t="s">
        <v>3225</v>
      </c>
      <c r="F1920" t="s">
        <v>3226</v>
      </c>
      <c r="G1920" s="4">
        <v>114202.43</v>
      </c>
      <c r="H1920" s="4">
        <v>91361.944000000003</v>
      </c>
      <c r="I1920" s="3" t="s">
        <v>3735</v>
      </c>
      <c r="J1920">
        <v>5</v>
      </c>
      <c r="K1920" s="4">
        <f>Table3[[#This Row],[Sales]]-Table3[[#This Row],[Cost]]</f>
        <v>22840.48599999999</v>
      </c>
      <c r="L1920" s="6">
        <f>Table3[[#This Row],[Profit]]/Table3[[#This Row],[Sales]]</f>
        <v>0.19999999999999993</v>
      </c>
    </row>
    <row r="1921" spans="1:12" x14ac:dyDescent="0.25">
      <c r="A1921" t="s">
        <v>140</v>
      </c>
      <c r="B1921" s="2">
        <v>45102</v>
      </c>
      <c r="C1921" s="2" t="str">
        <f>TEXT(Table3[[#This Row],[Order Date]],"mmmm")</f>
        <v>June</v>
      </c>
      <c r="D1921" t="s">
        <v>3730</v>
      </c>
      <c r="E1921" t="s">
        <v>3225</v>
      </c>
      <c r="F1921" t="s">
        <v>3226</v>
      </c>
      <c r="G1921" s="4">
        <v>45296.74</v>
      </c>
      <c r="H1921" s="4">
        <v>27155.95</v>
      </c>
      <c r="I1921" s="3" t="s">
        <v>3734</v>
      </c>
      <c r="J1921">
        <v>2</v>
      </c>
      <c r="K1921" s="4">
        <f>Table3[[#This Row],[Sales]]-Table3[[#This Row],[Cost]]</f>
        <v>18140.789999999997</v>
      </c>
      <c r="L1921" s="6">
        <f>Table3[[#This Row],[Profit]]/Table3[[#This Row],[Sales]]</f>
        <v>0.40048776137090658</v>
      </c>
    </row>
    <row r="1922" spans="1:12" x14ac:dyDescent="0.25">
      <c r="A1922" t="s">
        <v>3536</v>
      </c>
      <c r="B1922" s="2">
        <v>45102</v>
      </c>
      <c r="C1922" s="2" t="str">
        <f>TEXT(Table3[[#This Row],[Order Date]],"mmmm")</f>
        <v>June</v>
      </c>
      <c r="D1922" t="s">
        <v>3731</v>
      </c>
      <c r="E1922" t="s">
        <v>3224</v>
      </c>
      <c r="F1922" t="s">
        <v>3226</v>
      </c>
      <c r="G1922" s="4">
        <v>273235.95</v>
      </c>
      <c r="H1922" s="4">
        <v>173467.34</v>
      </c>
      <c r="I1922" s="3" t="s">
        <v>3734</v>
      </c>
      <c r="J1922">
        <v>4</v>
      </c>
      <c r="K1922" s="4">
        <f>Table3[[#This Row],[Sales]]-Table3[[#This Row],[Cost]]</f>
        <v>99768.610000000015</v>
      </c>
      <c r="L1922" s="6">
        <f>Table3[[#This Row],[Profit]]/Table3[[#This Row],[Sales]]</f>
        <v>0.36513720101619135</v>
      </c>
    </row>
    <row r="1923" spans="1:12" x14ac:dyDescent="0.25">
      <c r="A1923" t="s">
        <v>1800</v>
      </c>
      <c r="B1923" s="2">
        <v>45021</v>
      </c>
      <c r="C1923" s="2" t="str">
        <f>TEXT(Table3[[#This Row],[Order Date]],"mmmm")</f>
        <v>April</v>
      </c>
      <c r="D1923" t="s">
        <v>3730</v>
      </c>
      <c r="E1923" t="s">
        <v>3225</v>
      </c>
      <c r="F1923" t="s">
        <v>3226</v>
      </c>
      <c r="G1923" s="4">
        <v>23101.27</v>
      </c>
      <c r="H1923" s="4">
        <v>13065.29</v>
      </c>
      <c r="I1923" s="3" t="s">
        <v>3734</v>
      </c>
      <c r="J1923">
        <v>1</v>
      </c>
      <c r="K1923" s="4">
        <f>Table3[[#This Row],[Sales]]-Table3[[#This Row],[Cost]]</f>
        <v>10035.98</v>
      </c>
      <c r="L1923" s="6">
        <f>Table3[[#This Row],[Profit]]/Table3[[#This Row],[Sales]]</f>
        <v>0.43443412418451449</v>
      </c>
    </row>
    <row r="1924" spans="1:12" x14ac:dyDescent="0.25">
      <c r="A1924" t="s">
        <v>3525</v>
      </c>
      <c r="B1924" s="2">
        <v>45005</v>
      </c>
      <c r="C1924" s="2" t="str">
        <f>TEXT(Table3[[#This Row],[Order Date]],"mmmm")</f>
        <v>March</v>
      </c>
      <c r="D1924" t="s">
        <v>3731</v>
      </c>
      <c r="E1924" t="s">
        <v>3223</v>
      </c>
      <c r="F1924" t="s">
        <v>3226</v>
      </c>
      <c r="G1924" s="4">
        <v>25970.65</v>
      </c>
      <c r="H1924" s="4">
        <v>18222.150000000001</v>
      </c>
      <c r="I1924" s="3" t="s">
        <v>3734</v>
      </c>
      <c r="J1924">
        <v>3</v>
      </c>
      <c r="K1924" s="4">
        <f>Table3[[#This Row],[Sales]]-Table3[[#This Row],[Cost]]</f>
        <v>7748.5</v>
      </c>
      <c r="L1924" s="6">
        <f>Table3[[#This Row],[Profit]]/Table3[[#This Row],[Sales]]</f>
        <v>0.29835602882484652</v>
      </c>
    </row>
    <row r="1925" spans="1:12" x14ac:dyDescent="0.25">
      <c r="A1925" t="s">
        <v>301</v>
      </c>
      <c r="B1925" s="2">
        <v>45005</v>
      </c>
      <c r="C1925" s="2" t="str">
        <f>TEXT(Table3[[#This Row],[Order Date]],"mmmm")</f>
        <v>March</v>
      </c>
      <c r="D1925" t="s">
        <v>3731</v>
      </c>
      <c r="E1925" t="s">
        <v>3222</v>
      </c>
      <c r="F1925" t="s">
        <v>3226</v>
      </c>
      <c r="G1925" s="4">
        <v>61104.160000000003</v>
      </c>
      <c r="H1925" s="4">
        <v>41003.06</v>
      </c>
      <c r="I1925" s="3" t="s">
        <v>3734</v>
      </c>
      <c r="J1925">
        <v>4</v>
      </c>
      <c r="K1925" s="4">
        <f>Table3[[#This Row],[Sales]]-Table3[[#This Row],[Cost]]</f>
        <v>20101.100000000006</v>
      </c>
      <c r="L1925" s="6">
        <f>Table3[[#This Row],[Profit]]/Table3[[#This Row],[Sales]]</f>
        <v>0.32896450912671094</v>
      </c>
    </row>
    <row r="1926" spans="1:12" x14ac:dyDescent="0.25">
      <c r="A1926" t="s">
        <v>1801</v>
      </c>
      <c r="B1926" s="2">
        <v>44972</v>
      </c>
      <c r="C1926" s="2" t="str">
        <f>TEXT(Table3[[#This Row],[Order Date]],"mmmm")</f>
        <v>February</v>
      </c>
      <c r="D1926" t="s">
        <v>3216</v>
      </c>
      <c r="E1926" t="s">
        <v>3223</v>
      </c>
      <c r="F1926" t="s">
        <v>3226</v>
      </c>
      <c r="G1926" s="4">
        <v>24940.66</v>
      </c>
      <c r="H1926" s="4">
        <v>17959.009999999998</v>
      </c>
      <c r="I1926" s="3" t="s">
        <v>3734</v>
      </c>
      <c r="J1926">
        <v>3</v>
      </c>
      <c r="K1926" s="4">
        <f>Table3[[#This Row],[Sales]]-Table3[[#This Row],[Cost]]</f>
        <v>6981.6500000000015</v>
      </c>
      <c r="L1926" s="6">
        <f>Table3[[#This Row],[Profit]]/Table3[[#This Row],[Sales]]</f>
        <v>0.27993044289926577</v>
      </c>
    </row>
    <row r="1927" spans="1:12" x14ac:dyDescent="0.25">
      <c r="A1927" t="s">
        <v>3537</v>
      </c>
      <c r="B1927" s="2">
        <v>44972</v>
      </c>
      <c r="C1927" s="2" t="str">
        <f>TEXT(Table3[[#This Row],[Order Date]],"mmmm")</f>
        <v>February</v>
      </c>
      <c r="D1927" t="s">
        <v>3730</v>
      </c>
      <c r="E1927" t="s">
        <v>3224</v>
      </c>
      <c r="F1927" t="s">
        <v>3226</v>
      </c>
      <c r="G1927" s="4">
        <v>266439.78999999998</v>
      </c>
      <c r="H1927" s="4">
        <v>176617.51</v>
      </c>
      <c r="I1927" s="3" t="s">
        <v>3734</v>
      </c>
      <c r="J1927">
        <v>4</v>
      </c>
      <c r="K1927" s="4">
        <f>Table3[[#This Row],[Sales]]-Table3[[#This Row],[Cost]]</f>
        <v>89822.27999999997</v>
      </c>
      <c r="L1927" s="6">
        <f>Table3[[#This Row],[Profit]]/Table3[[#This Row],[Sales]]</f>
        <v>0.33712036779491522</v>
      </c>
    </row>
    <row r="1928" spans="1:12" x14ac:dyDescent="0.25">
      <c r="A1928" t="s">
        <v>3538</v>
      </c>
      <c r="B1928" s="2">
        <v>45005</v>
      </c>
      <c r="C1928" s="2" t="str">
        <f>TEXT(Table3[[#This Row],[Order Date]],"mmmm")</f>
        <v>March</v>
      </c>
      <c r="D1928" t="s">
        <v>3730</v>
      </c>
      <c r="E1928" t="s">
        <v>3222</v>
      </c>
      <c r="F1928" t="s">
        <v>3226</v>
      </c>
      <c r="G1928" s="4">
        <v>57974.44</v>
      </c>
      <c r="H1928" s="4">
        <v>35001.71</v>
      </c>
      <c r="I1928" s="3" t="s">
        <v>3734</v>
      </c>
      <c r="J1928">
        <v>4</v>
      </c>
      <c r="K1928" s="4">
        <f>Table3[[#This Row],[Sales]]-Table3[[#This Row],[Cost]]</f>
        <v>22972.730000000003</v>
      </c>
      <c r="L1928" s="6">
        <f>Table3[[#This Row],[Profit]]/Table3[[#This Row],[Sales]]</f>
        <v>0.39625617772245841</v>
      </c>
    </row>
    <row r="1929" spans="1:12" x14ac:dyDescent="0.25">
      <c r="A1929" t="s">
        <v>1804</v>
      </c>
      <c r="B1929" s="2">
        <v>44972</v>
      </c>
      <c r="C1929" s="2" t="str">
        <f>TEXT(Table3[[#This Row],[Order Date]],"mmmm")</f>
        <v>February</v>
      </c>
      <c r="D1929" t="s">
        <v>3220</v>
      </c>
      <c r="E1929" t="s">
        <v>3225</v>
      </c>
      <c r="F1929" t="s">
        <v>3226</v>
      </c>
      <c r="G1929" s="4">
        <v>84141.36</v>
      </c>
      <c r="H1929" s="4">
        <v>74848.039999999994</v>
      </c>
      <c r="I1929" s="3" t="s">
        <v>3734</v>
      </c>
      <c r="J1929">
        <v>5</v>
      </c>
      <c r="K1929" s="4">
        <f>Table3[[#This Row],[Sales]]-Table3[[#This Row],[Cost]]</f>
        <v>9293.320000000007</v>
      </c>
      <c r="L1929" s="6">
        <f>Table3[[#This Row],[Profit]]/Table3[[#This Row],[Sales]]</f>
        <v>0.11044889219760659</v>
      </c>
    </row>
    <row r="1930" spans="1:12" x14ac:dyDescent="0.25">
      <c r="A1930" t="s">
        <v>1786</v>
      </c>
      <c r="B1930" s="2">
        <v>45021</v>
      </c>
      <c r="C1930" s="2" t="str">
        <f>TEXT(Table3[[#This Row],[Order Date]],"mmmm")</f>
        <v>April</v>
      </c>
      <c r="D1930" t="s">
        <v>3730</v>
      </c>
      <c r="E1930" t="s">
        <v>3222</v>
      </c>
      <c r="F1930" t="s">
        <v>3226</v>
      </c>
      <c r="G1930" s="4">
        <v>53832.77</v>
      </c>
      <c r="H1930" s="4">
        <v>30092.62</v>
      </c>
      <c r="I1930" s="3" t="s">
        <v>3734</v>
      </c>
      <c r="J1930" t="s">
        <v>3732</v>
      </c>
      <c r="K1930" s="4">
        <f>Table3[[#This Row],[Sales]]-Table3[[#This Row],[Cost]]</f>
        <v>23740.149999999998</v>
      </c>
      <c r="L1930" s="6">
        <f>Table3[[#This Row],[Profit]]/Table3[[#This Row],[Sales]]</f>
        <v>0.44099811323103011</v>
      </c>
    </row>
    <row r="1931" spans="1:12" x14ac:dyDescent="0.25">
      <c r="A1931" t="s">
        <v>1805</v>
      </c>
      <c r="B1931" s="2" t="s">
        <v>3729</v>
      </c>
      <c r="C1931" s="2" t="str">
        <f>TEXT(Table3[[#This Row],[Order Date]],"mmmm")</f>
        <v>Not Mentioned</v>
      </c>
      <c r="D1931" t="s">
        <v>3220</v>
      </c>
      <c r="E1931" t="s">
        <v>3225</v>
      </c>
      <c r="F1931" t="s">
        <v>3226</v>
      </c>
      <c r="G1931" s="4">
        <v>80134.5</v>
      </c>
      <c r="H1931" s="4">
        <v>66161.69</v>
      </c>
      <c r="I1931" s="3" t="s">
        <v>3734</v>
      </c>
      <c r="J1931">
        <v>5</v>
      </c>
      <c r="K1931" s="4">
        <f>Table3[[#This Row],[Sales]]-Table3[[#This Row],[Cost]]</f>
        <v>13972.809999999998</v>
      </c>
      <c r="L1931" s="6">
        <f>Table3[[#This Row],[Profit]]/Table3[[#This Row],[Sales]]</f>
        <v>0.17436697053079508</v>
      </c>
    </row>
    <row r="1932" spans="1:12" x14ac:dyDescent="0.25">
      <c r="A1932" t="s">
        <v>1806</v>
      </c>
      <c r="B1932" s="2" t="s">
        <v>3729</v>
      </c>
      <c r="C1932" s="2" t="str">
        <f>TEXT(Table3[[#This Row],[Order Date]],"mmmm")</f>
        <v>Not Mentioned</v>
      </c>
      <c r="D1932" t="s">
        <v>3730</v>
      </c>
      <c r="E1932" t="s">
        <v>3225</v>
      </c>
      <c r="F1932" t="s">
        <v>3226</v>
      </c>
      <c r="G1932" s="4">
        <v>52990.86</v>
      </c>
      <c r="H1932" s="4">
        <v>42568.97</v>
      </c>
      <c r="I1932" s="3" t="s">
        <v>3734</v>
      </c>
      <c r="J1932">
        <v>3</v>
      </c>
      <c r="K1932" s="4">
        <f>Table3[[#This Row],[Sales]]-Table3[[#This Row],[Cost]]</f>
        <v>10421.89</v>
      </c>
      <c r="L1932" s="6">
        <f>Table3[[#This Row],[Profit]]/Table3[[#This Row],[Sales]]</f>
        <v>0.19667335083823889</v>
      </c>
    </row>
    <row r="1933" spans="1:12" x14ac:dyDescent="0.25">
      <c r="A1933" t="s">
        <v>1807</v>
      </c>
      <c r="B1933" s="2" t="s">
        <v>3729</v>
      </c>
      <c r="C1933" s="2" t="str">
        <f>TEXT(Table3[[#This Row],[Order Date]],"mmmm")</f>
        <v>Not Mentioned</v>
      </c>
      <c r="D1933" t="s">
        <v>3216</v>
      </c>
      <c r="E1933" t="s">
        <v>3223</v>
      </c>
      <c r="F1933" t="s">
        <v>3226</v>
      </c>
      <c r="G1933" s="4">
        <v>47256.91</v>
      </c>
      <c r="H1933" s="4">
        <v>29713.71</v>
      </c>
      <c r="I1933" s="3" t="s">
        <v>3734</v>
      </c>
      <c r="J1933">
        <v>4</v>
      </c>
      <c r="K1933" s="4">
        <f>Table3[[#This Row],[Sales]]-Table3[[#This Row],[Cost]]</f>
        <v>17543.200000000004</v>
      </c>
      <c r="L1933" s="6">
        <f>Table3[[#This Row],[Profit]]/Table3[[#This Row],[Sales]]</f>
        <v>0.37123036609884147</v>
      </c>
    </row>
    <row r="1934" spans="1:12" x14ac:dyDescent="0.25">
      <c r="A1934" t="s">
        <v>1808</v>
      </c>
      <c r="B1934" s="2" t="s">
        <v>3729</v>
      </c>
      <c r="C1934" s="2" t="str">
        <f>TEXT(Table3[[#This Row],[Order Date]],"mmmm")</f>
        <v>Not Mentioned</v>
      </c>
      <c r="D1934" t="s">
        <v>3220</v>
      </c>
      <c r="E1934" t="s">
        <v>3222</v>
      </c>
      <c r="F1934" t="s">
        <v>3226</v>
      </c>
      <c r="G1934" s="4">
        <v>51040.59</v>
      </c>
      <c r="H1934" s="4">
        <v>40832.472000000002</v>
      </c>
      <c r="I1934" s="3" t="s">
        <v>3735</v>
      </c>
      <c r="J1934" t="s">
        <v>3732</v>
      </c>
      <c r="K1934" s="4">
        <f>Table3[[#This Row],[Sales]]-Table3[[#This Row],[Cost]]</f>
        <v>10208.117999999995</v>
      </c>
      <c r="L1934" s="6">
        <f>Table3[[#This Row],[Profit]]/Table3[[#This Row],[Sales]]</f>
        <v>0.19999999999999993</v>
      </c>
    </row>
    <row r="1935" spans="1:12" x14ac:dyDescent="0.25">
      <c r="A1935" t="s">
        <v>1809</v>
      </c>
      <c r="B1935" s="2" t="s">
        <v>3729</v>
      </c>
      <c r="C1935" s="2" t="str">
        <f>TEXT(Table3[[#This Row],[Order Date]],"mmmm")</f>
        <v>Not Mentioned</v>
      </c>
      <c r="D1935" t="s">
        <v>3730</v>
      </c>
      <c r="E1935" t="s">
        <v>3223</v>
      </c>
      <c r="F1935" t="s">
        <v>3226</v>
      </c>
      <c r="G1935" s="4">
        <v>32245.06</v>
      </c>
      <c r="H1935" s="4">
        <v>19189.810000000001</v>
      </c>
      <c r="I1935" s="3" t="s">
        <v>3734</v>
      </c>
      <c r="J1935">
        <v>3</v>
      </c>
      <c r="K1935" s="4">
        <f>Table3[[#This Row],[Sales]]-Table3[[#This Row],[Cost]]</f>
        <v>13055.25</v>
      </c>
      <c r="L1935" s="6">
        <f>Table3[[#This Row],[Profit]]/Table3[[#This Row],[Sales]]</f>
        <v>0.40487597169923079</v>
      </c>
    </row>
    <row r="1936" spans="1:12" x14ac:dyDescent="0.25">
      <c r="A1936" t="s">
        <v>3539</v>
      </c>
      <c r="B1936" s="2">
        <v>45021</v>
      </c>
      <c r="C1936" s="2" t="str">
        <f>TEXT(Table3[[#This Row],[Order Date]],"mmmm")</f>
        <v>April</v>
      </c>
      <c r="D1936" t="s">
        <v>3730</v>
      </c>
      <c r="E1936" t="s">
        <v>3223</v>
      </c>
      <c r="F1936" t="s">
        <v>3226</v>
      </c>
      <c r="G1936" s="4">
        <v>17454.580000000002</v>
      </c>
      <c r="H1936" s="4">
        <v>14004.38</v>
      </c>
      <c r="I1936" s="3" t="s">
        <v>3734</v>
      </c>
      <c r="J1936">
        <v>2</v>
      </c>
      <c r="K1936" s="4">
        <f>Table3[[#This Row],[Sales]]-Table3[[#This Row],[Cost]]</f>
        <v>3450.2000000000025</v>
      </c>
      <c r="L1936" s="6">
        <f>Table3[[#This Row],[Profit]]/Table3[[#This Row],[Sales]]</f>
        <v>0.19766731711676833</v>
      </c>
    </row>
    <row r="1937" spans="1:12" x14ac:dyDescent="0.25">
      <c r="A1937" t="s">
        <v>1811</v>
      </c>
      <c r="B1937" s="2">
        <v>45005</v>
      </c>
      <c r="C1937" s="2" t="str">
        <f>TEXT(Table3[[#This Row],[Order Date]],"mmmm")</f>
        <v>March</v>
      </c>
      <c r="D1937" t="s">
        <v>3220</v>
      </c>
      <c r="E1937" t="s">
        <v>3223</v>
      </c>
      <c r="F1937" t="s">
        <v>3226</v>
      </c>
      <c r="G1937" s="4">
        <v>33691.760000000002</v>
      </c>
      <c r="H1937" s="4">
        <v>23970.05</v>
      </c>
      <c r="I1937" s="3" t="s">
        <v>3734</v>
      </c>
      <c r="J1937">
        <v>4</v>
      </c>
      <c r="K1937" s="4">
        <f>Table3[[#This Row],[Sales]]-Table3[[#This Row],[Cost]]</f>
        <v>9721.7100000000028</v>
      </c>
      <c r="L1937" s="6">
        <f>Table3[[#This Row],[Profit]]/Table3[[#This Row],[Sales]]</f>
        <v>0.2885485946712194</v>
      </c>
    </row>
    <row r="1938" spans="1:12" x14ac:dyDescent="0.25">
      <c r="A1938" t="s">
        <v>215</v>
      </c>
      <c r="B1938" s="2">
        <v>44941</v>
      </c>
      <c r="C1938" s="2" t="str">
        <f>TEXT(Table3[[#This Row],[Order Date]],"mmmm")</f>
        <v>January</v>
      </c>
      <c r="D1938" t="s">
        <v>3220</v>
      </c>
      <c r="E1938" t="s">
        <v>3222</v>
      </c>
      <c r="F1938" t="s">
        <v>3226</v>
      </c>
      <c r="G1938" s="4">
        <v>81011.81</v>
      </c>
      <c r="H1938" s="4">
        <v>64809.448000000004</v>
      </c>
      <c r="I1938" s="3" t="s">
        <v>3735</v>
      </c>
      <c r="J1938">
        <v>5</v>
      </c>
      <c r="K1938" s="4">
        <f>Table3[[#This Row],[Sales]]-Table3[[#This Row],[Cost]]</f>
        <v>16202.361999999994</v>
      </c>
      <c r="L1938" s="6">
        <f>Table3[[#This Row],[Profit]]/Table3[[#This Row],[Sales]]</f>
        <v>0.19999999999999993</v>
      </c>
    </row>
    <row r="1939" spans="1:12" x14ac:dyDescent="0.25">
      <c r="A1939" t="s">
        <v>1812</v>
      </c>
      <c r="B1939" s="2">
        <v>45021</v>
      </c>
      <c r="C1939" s="2" t="str">
        <f>TEXT(Table3[[#This Row],[Order Date]],"mmmm")</f>
        <v>April</v>
      </c>
      <c r="D1939" t="s">
        <v>3730</v>
      </c>
      <c r="E1939" t="s">
        <v>3222</v>
      </c>
      <c r="F1939" t="s">
        <v>3226</v>
      </c>
      <c r="G1939" s="4">
        <v>68854.94</v>
      </c>
      <c r="H1939" s="4">
        <v>47779.07</v>
      </c>
      <c r="I1939" s="3" t="s">
        <v>3734</v>
      </c>
      <c r="J1939">
        <v>5</v>
      </c>
      <c r="K1939" s="4">
        <f>Table3[[#This Row],[Sales]]-Table3[[#This Row],[Cost]]</f>
        <v>21075.870000000003</v>
      </c>
      <c r="L1939" s="6">
        <f>Table3[[#This Row],[Profit]]/Table3[[#This Row],[Sales]]</f>
        <v>0.30609089195343142</v>
      </c>
    </row>
    <row r="1940" spans="1:12" x14ac:dyDescent="0.25">
      <c r="A1940" t="s">
        <v>3540</v>
      </c>
      <c r="B1940" s="2" t="s">
        <v>3729</v>
      </c>
      <c r="C1940" s="2" t="str">
        <f>TEXT(Table3[[#This Row],[Order Date]],"mmmm")</f>
        <v>Not Mentioned</v>
      </c>
      <c r="D1940" t="s">
        <v>3730</v>
      </c>
      <c r="E1940" t="s">
        <v>3222</v>
      </c>
      <c r="F1940" t="s">
        <v>3226</v>
      </c>
      <c r="G1940" s="4">
        <v>50705.53</v>
      </c>
      <c r="H1940" s="4">
        <v>34802.18</v>
      </c>
      <c r="I1940" s="3" t="s">
        <v>3734</v>
      </c>
      <c r="J1940">
        <v>4</v>
      </c>
      <c r="K1940" s="4">
        <f>Table3[[#This Row],[Sales]]-Table3[[#This Row],[Cost]]</f>
        <v>15903.349999999999</v>
      </c>
      <c r="L1940" s="6">
        <f>Table3[[#This Row],[Profit]]/Table3[[#This Row],[Sales]]</f>
        <v>0.31364133261204447</v>
      </c>
    </row>
    <row r="1941" spans="1:12" x14ac:dyDescent="0.25">
      <c r="A1941" t="s">
        <v>1814</v>
      </c>
      <c r="B1941" s="2">
        <v>44941</v>
      </c>
      <c r="C1941" s="2" t="str">
        <f>TEXT(Table3[[#This Row],[Order Date]],"mmmm")</f>
        <v>January</v>
      </c>
      <c r="D1941" t="s">
        <v>3730</v>
      </c>
      <c r="E1941" t="s">
        <v>3223</v>
      </c>
      <c r="F1941" t="s">
        <v>3226</v>
      </c>
      <c r="G1941" s="4">
        <v>9670.42</v>
      </c>
      <c r="H1941" s="4">
        <v>6321.08</v>
      </c>
      <c r="I1941" s="3" t="s">
        <v>3734</v>
      </c>
      <c r="J1941">
        <v>1</v>
      </c>
      <c r="K1941" s="4">
        <f>Table3[[#This Row],[Sales]]-Table3[[#This Row],[Cost]]</f>
        <v>3349.34</v>
      </c>
      <c r="L1941" s="6">
        <f>Table3[[#This Row],[Profit]]/Table3[[#This Row],[Sales]]</f>
        <v>0.34634896933121828</v>
      </c>
    </row>
    <row r="1942" spans="1:12" x14ac:dyDescent="0.25">
      <c r="A1942" t="s">
        <v>558</v>
      </c>
      <c r="B1942" s="2">
        <v>44972</v>
      </c>
      <c r="C1942" s="2" t="str">
        <f>TEXT(Table3[[#This Row],[Order Date]],"mmmm")</f>
        <v>February</v>
      </c>
      <c r="D1942" t="s">
        <v>3220</v>
      </c>
      <c r="E1942" t="s">
        <v>3222</v>
      </c>
      <c r="F1942" t="s">
        <v>3226</v>
      </c>
      <c r="G1942" s="4">
        <v>42315.09</v>
      </c>
      <c r="H1942" s="4">
        <v>33852.072</v>
      </c>
      <c r="I1942" s="3" t="s">
        <v>3735</v>
      </c>
      <c r="J1942">
        <v>3</v>
      </c>
      <c r="K1942" s="4">
        <f>Table3[[#This Row],[Sales]]-Table3[[#This Row],[Cost]]</f>
        <v>8463.0179999999964</v>
      </c>
      <c r="L1942" s="6">
        <f>Table3[[#This Row],[Profit]]/Table3[[#This Row],[Sales]]</f>
        <v>0.19999999999999993</v>
      </c>
    </row>
    <row r="1943" spans="1:12" x14ac:dyDescent="0.25">
      <c r="A1943" t="s">
        <v>1815</v>
      </c>
      <c r="B1943" s="2" t="s">
        <v>3729</v>
      </c>
      <c r="C1943" s="2" t="str">
        <f>TEXT(Table3[[#This Row],[Order Date]],"mmmm")</f>
        <v>Not Mentioned</v>
      </c>
      <c r="D1943" t="s">
        <v>3220</v>
      </c>
      <c r="E1943" t="s">
        <v>3224</v>
      </c>
      <c r="F1943" t="s">
        <v>3226</v>
      </c>
      <c r="G1943" s="4">
        <v>65040.55</v>
      </c>
      <c r="H1943" s="4">
        <v>44104.41</v>
      </c>
      <c r="I1943" s="3" t="s">
        <v>3734</v>
      </c>
      <c r="J1943">
        <v>1</v>
      </c>
      <c r="K1943" s="4">
        <f>Table3[[#This Row],[Sales]]-Table3[[#This Row],[Cost]]</f>
        <v>20936.14</v>
      </c>
      <c r="L1943" s="6">
        <f>Table3[[#This Row],[Profit]]/Table3[[#This Row],[Sales]]</f>
        <v>0.32189364942332127</v>
      </c>
    </row>
    <row r="1944" spans="1:12" x14ac:dyDescent="0.25">
      <c r="A1944" t="s">
        <v>3541</v>
      </c>
      <c r="B1944" s="2">
        <v>44941</v>
      </c>
      <c r="C1944" s="2" t="str">
        <f>TEXT(Table3[[#This Row],[Order Date]],"mmmm")</f>
        <v>January</v>
      </c>
      <c r="D1944" t="s">
        <v>3220</v>
      </c>
      <c r="E1944" t="s">
        <v>3225</v>
      </c>
      <c r="F1944" t="s">
        <v>3226</v>
      </c>
      <c r="G1944" s="4">
        <v>61264.94</v>
      </c>
      <c r="H1944" s="4">
        <v>41773.699999999997</v>
      </c>
      <c r="I1944" s="3" t="s">
        <v>3734</v>
      </c>
      <c r="J1944">
        <v>3</v>
      </c>
      <c r="K1944" s="4">
        <f>Table3[[#This Row],[Sales]]-Table3[[#This Row],[Cost]]</f>
        <v>19491.240000000005</v>
      </c>
      <c r="L1944" s="6">
        <f>Table3[[#This Row],[Profit]]/Table3[[#This Row],[Sales]]</f>
        <v>0.31814672470094651</v>
      </c>
    </row>
    <row r="1945" spans="1:12" x14ac:dyDescent="0.25">
      <c r="A1945" t="s">
        <v>904</v>
      </c>
      <c r="B1945" s="2">
        <v>45021</v>
      </c>
      <c r="C1945" s="2" t="str">
        <f>TEXT(Table3[[#This Row],[Order Date]],"mmmm")</f>
        <v>April</v>
      </c>
      <c r="D1945" t="s">
        <v>3220</v>
      </c>
      <c r="E1945" t="s">
        <v>3223</v>
      </c>
      <c r="F1945" t="s">
        <v>3226</v>
      </c>
      <c r="G1945" s="4">
        <v>20854.88</v>
      </c>
      <c r="H1945" s="4">
        <v>14729.14</v>
      </c>
      <c r="I1945" s="3" t="s">
        <v>3734</v>
      </c>
      <c r="J1945">
        <v>2</v>
      </c>
      <c r="K1945" s="4">
        <f>Table3[[#This Row],[Sales]]-Table3[[#This Row],[Cost]]</f>
        <v>6125.7400000000016</v>
      </c>
      <c r="L1945" s="6">
        <f>Table3[[#This Row],[Profit]]/Table3[[#This Row],[Sales]]</f>
        <v>0.29373173089463961</v>
      </c>
    </row>
    <row r="1946" spans="1:12" x14ac:dyDescent="0.25">
      <c r="A1946" t="s">
        <v>3542</v>
      </c>
      <c r="B1946" s="2">
        <v>45102</v>
      </c>
      <c r="C1946" s="2" t="str">
        <f>TEXT(Table3[[#This Row],[Order Date]],"mmmm")</f>
        <v>June</v>
      </c>
      <c r="D1946" t="s">
        <v>3730</v>
      </c>
      <c r="E1946" t="s">
        <v>3224</v>
      </c>
      <c r="F1946" t="s">
        <v>3226</v>
      </c>
      <c r="G1946" s="4">
        <v>62330.99</v>
      </c>
      <c r="H1946" s="4">
        <v>41036.06</v>
      </c>
      <c r="I1946" s="3" t="s">
        <v>3734</v>
      </c>
      <c r="J1946" t="s">
        <v>3732</v>
      </c>
      <c r="K1946" s="4">
        <f>Table3[[#This Row],[Sales]]-Table3[[#This Row],[Cost]]</f>
        <v>21294.93</v>
      </c>
      <c r="L1946" s="6">
        <f>Table3[[#This Row],[Profit]]/Table3[[#This Row],[Sales]]</f>
        <v>0.34164273662266559</v>
      </c>
    </row>
    <row r="1947" spans="1:12" x14ac:dyDescent="0.25">
      <c r="A1947" t="s">
        <v>1818</v>
      </c>
      <c r="B1947" s="2">
        <v>44941</v>
      </c>
      <c r="C1947" s="2" t="str">
        <f>TEXT(Table3[[#This Row],[Order Date]],"mmmm")</f>
        <v>January</v>
      </c>
      <c r="D1947" t="s">
        <v>3216</v>
      </c>
      <c r="E1947" t="s">
        <v>3225</v>
      </c>
      <c r="F1947" t="s">
        <v>3226</v>
      </c>
      <c r="G1947" s="4">
        <v>91700.31</v>
      </c>
      <c r="H1947" s="4">
        <v>68968.740000000005</v>
      </c>
      <c r="I1947" s="3" t="s">
        <v>3734</v>
      </c>
      <c r="J1947">
        <v>5</v>
      </c>
      <c r="K1947" s="4">
        <f>Table3[[#This Row],[Sales]]-Table3[[#This Row],[Cost]]</f>
        <v>22731.569999999992</v>
      </c>
      <c r="L1947" s="6">
        <f>Table3[[#This Row],[Profit]]/Table3[[#This Row],[Sales]]</f>
        <v>0.2478897835787032</v>
      </c>
    </row>
    <row r="1948" spans="1:12" x14ac:dyDescent="0.25">
      <c r="A1948" t="s">
        <v>1819</v>
      </c>
      <c r="B1948" s="2" t="s">
        <v>3729</v>
      </c>
      <c r="C1948" s="2" t="str">
        <f>TEXT(Table3[[#This Row],[Order Date]],"mmmm")</f>
        <v>Not Mentioned</v>
      </c>
      <c r="D1948" t="s">
        <v>3731</v>
      </c>
      <c r="E1948" t="s">
        <v>3224</v>
      </c>
      <c r="F1948" t="s">
        <v>3226</v>
      </c>
      <c r="G1948" s="4">
        <v>64329.98</v>
      </c>
      <c r="H1948" s="4">
        <v>42613.88</v>
      </c>
      <c r="I1948" s="3" t="s">
        <v>3734</v>
      </c>
      <c r="J1948">
        <v>1</v>
      </c>
      <c r="K1948" s="4">
        <f>Table3[[#This Row],[Sales]]-Table3[[#This Row],[Cost]]</f>
        <v>21716.100000000006</v>
      </c>
      <c r="L1948" s="6">
        <f>Table3[[#This Row],[Profit]]/Table3[[#This Row],[Sales]]</f>
        <v>0.33757355435210773</v>
      </c>
    </row>
    <row r="1949" spans="1:12" x14ac:dyDescent="0.25">
      <c r="A1949" t="s">
        <v>1821</v>
      </c>
      <c r="B1949" s="2">
        <v>45021</v>
      </c>
      <c r="C1949" s="2" t="str">
        <f>TEXT(Table3[[#This Row],[Order Date]],"mmmm")</f>
        <v>April</v>
      </c>
      <c r="D1949" t="s">
        <v>3730</v>
      </c>
      <c r="E1949" t="s">
        <v>3224</v>
      </c>
      <c r="F1949" t="s">
        <v>3226</v>
      </c>
      <c r="G1949" s="4">
        <v>123988.45</v>
      </c>
      <c r="H1949" s="4">
        <v>99190.760000000009</v>
      </c>
      <c r="I1949" s="3" t="s">
        <v>3735</v>
      </c>
      <c r="J1949">
        <v>2</v>
      </c>
      <c r="K1949" s="4">
        <f>Table3[[#This Row],[Sales]]-Table3[[#This Row],[Cost]]</f>
        <v>24797.689999999988</v>
      </c>
      <c r="L1949" s="6">
        <f>Table3[[#This Row],[Profit]]/Table3[[#This Row],[Sales]]</f>
        <v>0.1999999999999999</v>
      </c>
    </row>
    <row r="1950" spans="1:12" x14ac:dyDescent="0.25">
      <c r="A1950" t="s">
        <v>1822</v>
      </c>
      <c r="B1950" s="2">
        <v>45102</v>
      </c>
      <c r="C1950" s="2" t="str">
        <f>TEXT(Table3[[#This Row],[Order Date]],"mmmm")</f>
        <v>June</v>
      </c>
      <c r="D1950" t="s">
        <v>3731</v>
      </c>
      <c r="E1950" t="s">
        <v>3225</v>
      </c>
      <c r="F1950" t="s">
        <v>3226</v>
      </c>
      <c r="G1950" s="4">
        <v>83207.210000000006</v>
      </c>
      <c r="H1950" s="4">
        <v>53336.46</v>
      </c>
      <c r="I1950" s="3" t="s">
        <v>3734</v>
      </c>
      <c r="J1950">
        <v>4</v>
      </c>
      <c r="K1950" s="4">
        <f>Table3[[#This Row],[Sales]]-Table3[[#This Row],[Cost]]</f>
        <v>29870.750000000007</v>
      </c>
      <c r="L1950" s="6">
        <f>Table3[[#This Row],[Profit]]/Table3[[#This Row],[Sales]]</f>
        <v>0.35899232770813977</v>
      </c>
    </row>
    <row r="1951" spans="1:12" x14ac:dyDescent="0.25">
      <c r="A1951" t="s">
        <v>1823</v>
      </c>
      <c r="B1951" s="2">
        <v>44972</v>
      </c>
      <c r="C1951" s="2" t="str">
        <f>TEXT(Table3[[#This Row],[Order Date]],"mmmm")</f>
        <v>February</v>
      </c>
      <c r="D1951" t="s">
        <v>3216</v>
      </c>
      <c r="E1951" t="s">
        <v>3223</v>
      </c>
      <c r="F1951" t="s">
        <v>3226</v>
      </c>
      <c r="G1951" s="4">
        <v>31444.11</v>
      </c>
      <c r="H1951" s="4">
        <v>25155.288</v>
      </c>
      <c r="I1951" s="3" t="s">
        <v>3735</v>
      </c>
      <c r="J1951">
        <v>3</v>
      </c>
      <c r="K1951" s="4">
        <f>Table3[[#This Row],[Sales]]-Table3[[#This Row],[Cost]]</f>
        <v>6288.8220000000001</v>
      </c>
      <c r="L1951" s="6">
        <f>Table3[[#This Row],[Profit]]/Table3[[#This Row],[Sales]]</f>
        <v>0.2</v>
      </c>
    </row>
    <row r="1952" spans="1:12" x14ac:dyDescent="0.25">
      <c r="A1952" t="s">
        <v>1824</v>
      </c>
      <c r="B1952" s="2" t="s">
        <v>3729</v>
      </c>
      <c r="C1952" s="2" t="str">
        <f>TEXT(Table3[[#This Row],[Order Date]],"mmmm")</f>
        <v>Not Mentioned</v>
      </c>
      <c r="D1952" t="s">
        <v>3220</v>
      </c>
      <c r="E1952" t="s">
        <v>3222</v>
      </c>
      <c r="F1952" t="s">
        <v>3226</v>
      </c>
      <c r="G1952" s="4">
        <v>35399.57</v>
      </c>
      <c r="H1952" s="4">
        <v>20570.060000000001</v>
      </c>
      <c r="I1952" s="3" t="s">
        <v>3734</v>
      </c>
      <c r="J1952">
        <v>2</v>
      </c>
      <c r="K1952" s="4">
        <f>Table3[[#This Row],[Sales]]-Table3[[#This Row],[Cost]]</f>
        <v>14829.509999999998</v>
      </c>
      <c r="L1952" s="6">
        <f>Table3[[#This Row],[Profit]]/Table3[[#This Row],[Sales]]</f>
        <v>0.41891780041395976</v>
      </c>
    </row>
    <row r="1953" spans="1:12" x14ac:dyDescent="0.25">
      <c r="A1953" t="s">
        <v>3544</v>
      </c>
      <c r="B1953" s="2">
        <v>44972</v>
      </c>
      <c r="C1953" s="2" t="str">
        <f>TEXT(Table3[[#This Row],[Order Date]],"mmmm")</f>
        <v>February</v>
      </c>
      <c r="D1953" t="s">
        <v>3730</v>
      </c>
      <c r="E1953" t="s">
        <v>3225</v>
      </c>
      <c r="F1953" t="s">
        <v>3226</v>
      </c>
      <c r="G1953" s="4">
        <v>90865.3</v>
      </c>
      <c r="H1953" s="4">
        <v>70110.210000000006</v>
      </c>
      <c r="I1953" s="3" t="s">
        <v>3734</v>
      </c>
      <c r="J1953">
        <v>5</v>
      </c>
      <c r="K1953" s="4">
        <f>Table3[[#This Row],[Sales]]-Table3[[#This Row],[Cost]]</f>
        <v>20755.089999999997</v>
      </c>
      <c r="L1953" s="6">
        <f>Table3[[#This Row],[Profit]]/Table3[[#This Row],[Sales]]</f>
        <v>0.22841601799586855</v>
      </c>
    </row>
    <row r="1954" spans="1:12" x14ac:dyDescent="0.25">
      <c r="A1954" t="s">
        <v>3545</v>
      </c>
      <c r="B1954" s="2">
        <v>45005</v>
      </c>
      <c r="C1954" s="2" t="str">
        <f>TEXT(Table3[[#This Row],[Order Date]],"mmmm")</f>
        <v>March</v>
      </c>
      <c r="D1954" t="s">
        <v>3730</v>
      </c>
      <c r="E1954" t="s">
        <v>3223</v>
      </c>
      <c r="F1954" t="s">
        <v>3226</v>
      </c>
      <c r="G1954" s="4">
        <v>26170.38</v>
      </c>
      <c r="H1954" s="4">
        <v>19535.53</v>
      </c>
      <c r="I1954" s="3" t="s">
        <v>3734</v>
      </c>
      <c r="J1954">
        <v>3</v>
      </c>
      <c r="K1954" s="4">
        <f>Table3[[#This Row],[Sales]]-Table3[[#This Row],[Cost]]</f>
        <v>6634.8500000000022</v>
      </c>
      <c r="L1954" s="6">
        <f>Table3[[#This Row],[Profit]]/Table3[[#This Row],[Sales]]</f>
        <v>0.25352516853022394</v>
      </c>
    </row>
    <row r="1955" spans="1:12" x14ac:dyDescent="0.25">
      <c r="A1955" t="s">
        <v>1828</v>
      </c>
      <c r="B1955" s="2">
        <v>45021</v>
      </c>
      <c r="C1955" s="2" t="str">
        <f>TEXT(Table3[[#This Row],[Order Date]],"mmmm")</f>
        <v>April</v>
      </c>
      <c r="D1955" t="s">
        <v>3220</v>
      </c>
      <c r="E1955" t="s">
        <v>3223</v>
      </c>
      <c r="F1955" t="s">
        <v>3226</v>
      </c>
      <c r="G1955" s="4">
        <v>37423.53</v>
      </c>
      <c r="H1955" s="4">
        <v>26283.61</v>
      </c>
      <c r="I1955" s="3" t="s">
        <v>3734</v>
      </c>
      <c r="J1955">
        <v>4</v>
      </c>
      <c r="K1955" s="4">
        <f>Table3[[#This Row],[Sales]]-Table3[[#This Row],[Cost]]</f>
        <v>11139.919999999998</v>
      </c>
      <c r="L1955" s="6">
        <f>Table3[[#This Row],[Profit]]/Table3[[#This Row],[Sales]]</f>
        <v>0.29767154514819949</v>
      </c>
    </row>
    <row r="1956" spans="1:12" x14ac:dyDescent="0.25">
      <c r="A1956" t="s">
        <v>1829</v>
      </c>
      <c r="B1956" s="2">
        <v>44972</v>
      </c>
      <c r="C1956" s="2" t="str">
        <f>TEXT(Table3[[#This Row],[Order Date]],"mmmm")</f>
        <v>February</v>
      </c>
      <c r="D1956" t="s">
        <v>3220</v>
      </c>
      <c r="E1956" t="s">
        <v>3223</v>
      </c>
      <c r="F1956" t="s">
        <v>3226</v>
      </c>
      <c r="G1956" s="4">
        <v>59003.37</v>
      </c>
      <c r="H1956" s="4">
        <v>32105.09</v>
      </c>
      <c r="I1956" s="3" t="s">
        <v>3734</v>
      </c>
      <c r="J1956">
        <v>5</v>
      </c>
      <c r="K1956" s="4">
        <f>Table3[[#This Row],[Sales]]-Table3[[#This Row],[Cost]]</f>
        <v>26898.280000000002</v>
      </c>
      <c r="L1956" s="6">
        <f>Table3[[#This Row],[Profit]]/Table3[[#This Row],[Sales]]</f>
        <v>0.45587701177068363</v>
      </c>
    </row>
    <row r="1957" spans="1:12" x14ac:dyDescent="0.25">
      <c r="A1957" t="s">
        <v>1830</v>
      </c>
      <c r="B1957" s="2">
        <v>45021</v>
      </c>
      <c r="C1957" s="2" t="str">
        <f>TEXT(Table3[[#This Row],[Order Date]],"mmmm")</f>
        <v>April</v>
      </c>
      <c r="D1957" t="s">
        <v>3730</v>
      </c>
      <c r="E1957" t="s">
        <v>3225</v>
      </c>
      <c r="F1957" t="s">
        <v>3226</v>
      </c>
      <c r="G1957" s="4">
        <v>41162.15</v>
      </c>
      <c r="H1957" s="4">
        <v>25773.02</v>
      </c>
      <c r="I1957" s="3" t="s">
        <v>3734</v>
      </c>
      <c r="J1957">
        <v>2</v>
      </c>
      <c r="K1957" s="4">
        <f>Table3[[#This Row],[Sales]]-Table3[[#This Row],[Cost]]</f>
        <v>15389.130000000001</v>
      </c>
      <c r="L1957" s="6">
        <f>Table3[[#This Row],[Profit]]/Table3[[#This Row],[Sales]]</f>
        <v>0.37386603955332753</v>
      </c>
    </row>
    <row r="1958" spans="1:12" x14ac:dyDescent="0.25">
      <c r="A1958" t="s">
        <v>1831</v>
      </c>
      <c r="B1958" s="2">
        <v>45005</v>
      </c>
      <c r="C1958" s="2" t="str">
        <f>TEXT(Table3[[#This Row],[Order Date]],"mmmm")</f>
        <v>March</v>
      </c>
      <c r="D1958" t="s">
        <v>3220</v>
      </c>
      <c r="E1958" t="s">
        <v>3223</v>
      </c>
      <c r="F1958" t="s">
        <v>3226</v>
      </c>
      <c r="G1958" s="4">
        <v>39713.300000000003</v>
      </c>
      <c r="H1958" s="4">
        <v>27044.51</v>
      </c>
      <c r="I1958" s="3" t="s">
        <v>3734</v>
      </c>
      <c r="J1958">
        <v>4</v>
      </c>
      <c r="K1958" s="4">
        <f>Table3[[#This Row],[Sales]]-Table3[[#This Row],[Cost]]</f>
        <v>12668.790000000005</v>
      </c>
      <c r="L1958" s="6">
        <f>Table3[[#This Row],[Profit]]/Table3[[#This Row],[Sales]]</f>
        <v>0.31900622713297572</v>
      </c>
    </row>
    <row r="1959" spans="1:12" x14ac:dyDescent="0.25">
      <c r="A1959" t="s">
        <v>3546</v>
      </c>
      <c r="B1959" s="2">
        <v>45102</v>
      </c>
      <c r="C1959" s="2" t="str">
        <f>TEXT(Table3[[#This Row],[Order Date]],"mmmm")</f>
        <v>June</v>
      </c>
      <c r="D1959" t="s">
        <v>3730</v>
      </c>
      <c r="E1959" t="s">
        <v>3224</v>
      </c>
      <c r="F1959" t="s">
        <v>3226</v>
      </c>
      <c r="G1959" s="4">
        <v>241100.54</v>
      </c>
      <c r="H1959" s="4">
        <v>190723.48</v>
      </c>
      <c r="I1959" s="3" t="s">
        <v>3734</v>
      </c>
      <c r="J1959">
        <v>4</v>
      </c>
      <c r="K1959" s="4">
        <f>Table3[[#This Row],[Sales]]-Table3[[#This Row],[Cost]]</f>
        <v>50377.06</v>
      </c>
      <c r="L1959" s="6">
        <f>Table3[[#This Row],[Profit]]/Table3[[#This Row],[Sales]]</f>
        <v>0.20894627610539568</v>
      </c>
    </row>
    <row r="1960" spans="1:12" x14ac:dyDescent="0.25">
      <c r="A1960" t="s">
        <v>1833</v>
      </c>
      <c r="B1960" s="2">
        <v>45102</v>
      </c>
      <c r="C1960" s="2" t="str">
        <f>TEXT(Table3[[#This Row],[Order Date]],"mmmm")</f>
        <v>June</v>
      </c>
      <c r="D1960" t="s">
        <v>3731</v>
      </c>
      <c r="E1960" t="s">
        <v>3222</v>
      </c>
      <c r="F1960" t="s">
        <v>3226</v>
      </c>
      <c r="G1960" s="4">
        <v>49287.94</v>
      </c>
      <c r="H1960" s="4">
        <v>27549.01</v>
      </c>
      <c r="I1960" s="3" t="s">
        <v>3734</v>
      </c>
      <c r="J1960">
        <v>3</v>
      </c>
      <c r="K1960" s="4">
        <f>Table3[[#This Row],[Sales]]-Table3[[#This Row],[Cost]]</f>
        <v>21738.930000000004</v>
      </c>
      <c r="L1960" s="6">
        <f>Table3[[#This Row],[Profit]]/Table3[[#This Row],[Sales]]</f>
        <v>0.44105982112459968</v>
      </c>
    </row>
    <row r="1961" spans="1:12" x14ac:dyDescent="0.25">
      <c r="A1961" t="s">
        <v>711</v>
      </c>
      <c r="B1961" s="2">
        <v>45021</v>
      </c>
      <c r="C1961" s="2" t="str">
        <f>TEXT(Table3[[#This Row],[Order Date]],"mmmm")</f>
        <v>April</v>
      </c>
      <c r="D1961" t="s">
        <v>3730</v>
      </c>
      <c r="E1961" t="s">
        <v>3224</v>
      </c>
      <c r="F1961" t="s">
        <v>3226</v>
      </c>
      <c r="G1961" s="4">
        <v>210832.64000000001</v>
      </c>
      <c r="H1961" s="4">
        <v>168666.11200000002</v>
      </c>
      <c r="I1961" s="3" t="s">
        <v>3735</v>
      </c>
      <c r="J1961">
        <v>3</v>
      </c>
      <c r="K1961" s="4">
        <f>Table3[[#This Row],[Sales]]-Table3[[#This Row],[Cost]]</f>
        <v>42166.527999999991</v>
      </c>
      <c r="L1961" s="6">
        <f>Table3[[#This Row],[Profit]]/Table3[[#This Row],[Sales]]</f>
        <v>0.19999999999999996</v>
      </c>
    </row>
    <row r="1962" spans="1:12" x14ac:dyDescent="0.25">
      <c r="A1962" t="s">
        <v>1834</v>
      </c>
      <c r="B1962" s="2">
        <v>44941</v>
      </c>
      <c r="C1962" s="2" t="str">
        <f>TEXT(Table3[[#This Row],[Order Date]],"mmmm")</f>
        <v>January</v>
      </c>
      <c r="D1962" t="s">
        <v>3731</v>
      </c>
      <c r="E1962" t="s">
        <v>3223</v>
      </c>
      <c r="F1962" t="s">
        <v>3226</v>
      </c>
      <c r="G1962" s="4">
        <v>57911.23</v>
      </c>
      <c r="H1962" s="4">
        <v>33475.9</v>
      </c>
      <c r="I1962" s="3" t="s">
        <v>3734</v>
      </c>
      <c r="J1962">
        <v>5</v>
      </c>
      <c r="K1962" s="4">
        <f>Table3[[#This Row],[Sales]]-Table3[[#This Row],[Cost]]</f>
        <v>24435.33</v>
      </c>
      <c r="L1962" s="6">
        <f>Table3[[#This Row],[Profit]]/Table3[[#This Row],[Sales]]</f>
        <v>0.42194458656809741</v>
      </c>
    </row>
    <row r="1963" spans="1:12" x14ac:dyDescent="0.25">
      <c r="A1963" t="s">
        <v>1835</v>
      </c>
      <c r="B1963" s="2">
        <v>44972</v>
      </c>
      <c r="C1963" s="2" t="str">
        <f>TEXT(Table3[[#This Row],[Order Date]],"mmmm")</f>
        <v>February</v>
      </c>
      <c r="D1963" t="s">
        <v>3216</v>
      </c>
      <c r="E1963" t="s">
        <v>3222</v>
      </c>
      <c r="F1963" t="s">
        <v>3226</v>
      </c>
      <c r="G1963" s="4">
        <v>17406.23</v>
      </c>
      <c r="H1963" s="4">
        <v>13924.984</v>
      </c>
      <c r="I1963" s="3" t="s">
        <v>3735</v>
      </c>
      <c r="J1963">
        <v>1</v>
      </c>
      <c r="K1963" s="4">
        <f>Table3[[#This Row],[Sales]]-Table3[[#This Row],[Cost]]</f>
        <v>3481.2459999999992</v>
      </c>
      <c r="L1963" s="6">
        <f>Table3[[#This Row],[Profit]]/Table3[[#This Row],[Sales]]</f>
        <v>0.19999999999999996</v>
      </c>
    </row>
    <row r="1964" spans="1:12" x14ac:dyDescent="0.25">
      <c r="A1964" t="s">
        <v>1836</v>
      </c>
      <c r="B1964" s="2">
        <v>45102</v>
      </c>
      <c r="C1964" s="2" t="str">
        <f>TEXT(Table3[[#This Row],[Order Date]],"mmmm")</f>
        <v>June</v>
      </c>
      <c r="D1964" t="s">
        <v>3220</v>
      </c>
      <c r="E1964" t="s">
        <v>3224</v>
      </c>
      <c r="F1964" t="s">
        <v>3226</v>
      </c>
      <c r="G1964" s="4">
        <v>265552.86</v>
      </c>
      <c r="H1964" s="4">
        <v>197181.53</v>
      </c>
      <c r="I1964" s="3" t="s">
        <v>3734</v>
      </c>
      <c r="J1964">
        <v>5</v>
      </c>
      <c r="K1964" s="4">
        <f>Table3[[#This Row],[Sales]]-Table3[[#This Row],[Cost]]</f>
        <v>68371.329999999987</v>
      </c>
      <c r="L1964" s="6">
        <f>Table3[[#This Row],[Profit]]/Table3[[#This Row],[Sales]]</f>
        <v>0.25746787287472628</v>
      </c>
    </row>
    <row r="1965" spans="1:12" x14ac:dyDescent="0.25">
      <c r="A1965" t="s">
        <v>1837</v>
      </c>
      <c r="B1965" s="2">
        <v>44972</v>
      </c>
      <c r="C1965" s="2" t="str">
        <f>TEXT(Table3[[#This Row],[Order Date]],"mmmm")</f>
        <v>February</v>
      </c>
      <c r="D1965" t="s">
        <v>3220</v>
      </c>
      <c r="E1965" t="s">
        <v>3225</v>
      </c>
      <c r="F1965" t="s">
        <v>3226</v>
      </c>
      <c r="G1965" s="4">
        <v>32525.8</v>
      </c>
      <c r="H1965" s="4">
        <v>24751.35</v>
      </c>
      <c r="I1965" s="3" t="s">
        <v>3734</v>
      </c>
      <c r="J1965">
        <v>2</v>
      </c>
      <c r="K1965" s="4">
        <f>Table3[[#This Row],[Sales]]-Table3[[#This Row],[Cost]]</f>
        <v>7774.4500000000007</v>
      </c>
      <c r="L1965" s="6">
        <f>Table3[[#This Row],[Profit]]/Table3[[#This Row],[Sales]]</f>
        <v>0.23902409779313655</v>
      </c>
    </row>
    <row r="1966" spans="1:12" x14ac:dyDescent="0.25">
      <c r="A1966" t="s">
        <v>3547</v>
      </c>
      <c r="B1966" s="2">
        <v>45005</v>
      </c>
      <c r="C1966" s="2" t="str">
        <f>TEXT(Table3[[#This Row],[Order Date]],"mmmm")</f>
        <v>March</v>
      </c>
      <c r="D1966" t="s">
        <v>3731</v>
      </c>
      <c r="E1966" t="s">
        <v>3222</v>
      </c>
      <c r="F1966" t="s">
        <v>3226</v>
      </c>
      <c r="G1966" s="4">
        <v>13965.93</v>
      </c>
      <c r="H1966" s="4">
        <v>9299.59</v>
      </c>
      <c r="I1966" s="3" t="s">
        <v>3734</v>
      </c>
      <c r="J1966">
        <v>1</v>
      </c>
      <c r="K1966" s="4">
        <f>Table3[[#This Row],[Sales]]-Table3[[#This Row],[Cost]]</f>
        <v>4666.34</v>
      </c>
      <c r="L1966" s="6">
        <f>Table3[[#This Row],[Profit]]/Table3[[#This Row],[Sales]]</f>
        <v>0.33412311246010828</v>
      </c>
    </row>
    <row r="1967" spans="1:12" x14ac:dyDescent="0.25">
      <c r="A1967" t="s">
        <v>1839</v>
      </c>
      <c r="B1967" s="2">
        <v>45021</v>
      </c>
      <c r="C1967" s="2" t="str">
        <f>TEXT(Table3[[#This Row],[Order Date]],"mmmm")</f>
        <v>April</v>
      </c>
      <c r="D1967" t="s">
        <v>3220</v>
      </c>
      <c r="E1967" t="s">
        <v>3223</v>
      </c>
      <c r="F1967" t="s">
        <v>3226</v>
      </c>
      <c r="G1967" s="4">
        <v>20518.150000000001</v>
      </c>
      <c r="H1967" s="4">
        <v>12338.21</v>
      </c>
      <c r="I1967" s="3" t="s">
        <v>3734</v>
      </c>
      <c r="J1967">
        <v>2</v>
      </c>
      <c r="K1967" s="4">
        <f>Table3[[#This Row],[Sales]]-Table3[[#This Row],[Cost]]</f>
        <v>8179.9400000000023</v>
      </c>
      <c r="L1967" s="6">
        <f>Table3[[#This Row],[Profit]]/Table3[[#This Row],[Sales]]</f>
        <v>0.3986684959413983</v>
      </c>
    </row>
    <row r="1968" spans="1:12" x14ac:dyDescent="0.25">
      <c r="A1968" t="s">
        <v>1840</v>
      </c>
      <c r="B1968" s="2">
        <v>45021</v>
      </c>
      <c r="C1968" s="2" t="str">
        <f>TEXT(Table3[[#This Row],[Order Date]],"mmmm")</f>
        <v>April</v>
      </c>
      <c r="D1968" t="s">
        <v>3730</v>
      </c>
      <c r="E1968" t="s">
        <v>3224</v>
      </c>
      <c r="F1968" t="s">
        <v>3226</v>
      </c>
      <c r="G1968" s="4">
        <v>100777.71</v>
      </c>
      <c r="H1968" s="4">
        <v>87894.25</v>
      </c>
      <c r="I1968" s="3" t="s">
        <v>3734</v>
      </c>
      <c r="J1968">
        <v>2</v>
      </c>
      <c r="K1968" s="4">
        <f>Table3[[#This Row],[Sales]]-Table3[[#This Row],[Cost]]</f>
        <v>12883.460000000006</v>
      </c>
      <c r="L1968" s="6">
        <f>Table3[[#This Row],[Profit]]/Table3[[#This Row],[Sales]]</f>
        <v>0.12784037263795739</v>
      </c>
    </row>
    <row r="1969" spans="1:12" x14ac:dyDescent="0.25">
      <c r="A1969" t="s">
        <v>3548</v>
      </c>
      <c r="B1969" s="2">
        <v>45102</v>
      </c>
      <c r="C1969" s="2" t="str">
        <f>TEXT(Table3[[#This Row],[Order Date]],"mmmm")</f>
        <v>June</v>
      </c>
      <c r="D1969" t="s">
        <v>3731</v>
      </c>
      <c r="E1969" t="s">
        <v>3222</v>
      </c>
      <c r="F1969" t="s">
        <v>3226</v>
      </c>
      <c r="G1969" s="4">
        <v>66926.83</v>
      </c>
      <c r="H1969" s="4">
        <v>43947.6</v>
      </c>
      <c r="I1969" s="3" t="s">
        <v>3734</v>
      </c>
      <c r="J1969">
        <v>4</v>
      </c>
      <c r="K1969" s="4">
        <f>Table3[[#This Row],[Sales]]-Table3[[#This Row],[Cost]]</f>
        <v>22979.230000000003</v>
      </c>
      <c r="L1969" s="6">
        <f>Table3[[#This Row],[Profit]]/Table3[[#This Row],[Sales]]</f>
        <v>0.34334854945318644</v>
      </c>
    </row>
    <row r="1970" spans="1:12" x14ac:dyDescent="0.25">
      <c r="A1970" t="s">
        <v>1842</v>
      </c>
      <c r="B1970" s="2" t="s">
        <v>3729</v>
      </c>
      <c r="C1970" s="2" t="str">
        <f>TEXT(Table3[[#This Row],[Order Date]],"mmmm")</f>
        <v>Not Mentioned</v>
      </c>
      <c r="D1970" t="s">
        <v>3731</v>
      </c>
      <c r="E1970" t="s">
        <v>3223</v>
      </c>
      <c r="F1970" t="s">
        <v>3226</v>
      </c>
      <c r="G1970" s="4">
        <v>18543.7</v>
      </c>
      <c r="H1970" s="4">
        <v>12305.33</v>
      </c>
      <c r="I1970" s="3" t="s">
        <v>3734</v>
      </c>
      <c r="J1970">
        <v>2</v>
      </c>
      <c r="K1970" s="4">
        <f>Table3[[#This Row],[Sales]]-Table3[[#This Row],[Cost]]</f>
        <v>6238.3700000000008</v>
      </c>
      <c r="L1970" s="6">
        <f>Table3[[#This Row],[Profit]]/Table3[[#This Row],[Sales]]</f>
        <v>0.33641452353090273</v>
      </c>
    </row>
    <row r="1971" spans="1:12" x14ac:dyDescent="0.25">
      <c r="A1971" t="s">
        <v>1843</v>
      </c>
      <c r="B1971" s="2">
        <v>45102</v>
      </c>
      <c r="C1971" s="2" t="str">
        <f>TEXT(Table3[[#This Row],[Order Date]],"mmmm")</f>
        <v>June</v>
      </c>
      <c r="D1971" t="s">
        <v>3730</v>
      </c>
      <c r="E1971" t="s">
        <v>3225</v>
      </c>
      <c r="F1971" t="s">
        <v>3226</v>
      </c>
      <c r="G1971" s="4">
        <v>55095.22</v>
      </c>
      <c r="H1971" s="4">
        <v>44076.176000000007</v>
      </c>
      <c r="I1971" s="3" t="s">
        <v>3735</v>
      </c>
      <c r="J1971">
        <v>3</v>
      </c>
      <c r="K1971" s="4">
        <f>Table3[[#This Row],[Sales]]-Table3[[#This Row],[Cost]]</f>
        <v>11019.043999999994</v>
      </c>
      <c r="L1971" s="6">
        <f>Table3[[#This Row],[Profit]]/Table3[[#This Row],[Sales]]</f>
        <v>0.1999999999999999</v>
      </c>
    </row>
    <row r="1972" spans="1:12" x14ac:dyDescent="0.25">
      <c r="A1972" t="s">
        <v>3549</v>
      </c>
      <c r="B1972" s="2" t="s">
        <v>3729</v>
      </c>
      <c r="C1972" s="2" t="str">
        <f>TEXT(Table3[[#This Row],[Order Date]],"mmmm")</f>
        <v>Not Mentioned</v>
      </c>
      <c r="D1972" t="s">
        <v>3220</v>
      </c>
      <c r="E1972" t="s">
        <v>3222</v>
      </c>
      <c r="F1972" t="s">
        <v>3226</v>
      </c>
      <c r="G1972" s="4">
        <v>26506.69</v>
      </c>
      <c r="H1972" s="4">
        <v>17335.330000000002</v>
      </c>
      <c r="I1972" s="3" t="s">
        <v>3734</v>
      </c>
      <c r="J1972">
        <v>2</v>
      </c>
      <c r="K1972" s="4">
        <f>Table3[[#This Row],[Sales]]-Table3[[#This Row],[Cost]]</f>
        <v>9171.3599999999969</v>
      </c>
      <c r="L1972" s="6">
        <f>Table3[[#This Row],[Profit]]/Table3[[#This Row],[Sales]]</f>
        <v>0.34600170749346665</v>
      </c>
    </row>
    <row r="1973" spans="1:12" x14ac:dyDescent="0.25">
      <c r="A1973" t="s">
        <v>1845</v>
      </c>
      <c r="B1973" s="2">
        <v>45021</v>
      </c>
      <c r="C1973" s="2" t="str">
        <f>TEXT(Table3[[#This Row],[Order Date]],"mmmm")</f>
        <v>April</v>
      </c>
      <c r="D1973" t="s">
        <v>3730</v>
      </c>
      <c r="E1973" t="s">
        <v>3222</v>
      </c>
      <c r="F1973" t="s">
        <v>3226</v>
      </c>
      <c r="G1973" s="4">
        <v>43588.11</v>
      </c>
      <c r="H1973" s="4">
        <v>29979.1</v>
      </c>
      <c r="I1973" s="3" t="s">
        <v>3734</v>
      </c>
      <c r="J1973">
        <v>3</v>
      </c>
      <c r="K1973" s="4">
        <f>Table3[[#This Row],[Sales]]-Table3[[#This Row],[Cost]]</f>
        <v>13609.010000000002</v>
      </c>
      <c r="L1973" s="6">
        <f>Table3[[#This Row],[Profit]]/Table3[[#This Row],[Sales]]</f>
        <v>0.31221840084371638</v>
      </c>
    </row>
    <row r="1974" spans="1:12" x14ac:dyDescent="0.25">
      <c r="A1974" t="s">
        <v>3550</v>
      </c>
      <c r="B1974" s="2" t="s">
        <v>3729</v>
      </c>
      <c r="C1974" s="2" t="str">
        <f>TEXT(Table3[[#This Row],[Order Date]],"mmmm")</f>
        <v>Not Mentioned</v>
      </c>
      <c r="D1974" t="s">
        <v>3220</v>
      </c>
      <c r="E1974" t="s">
        <v>3224</v>
      </c>
      <c r="F1974" t="s">
        <v>3226</v>
      </c>
      <c r="G1974" s="4">
        <v>204597.6</v>
      </c>
      <c r="H1974" s="4">
        <v>192705.64</v>
      </c>
      <c r="I1974" s="3" t="s">
        <v>3734</v>
      </c>
      <c r="J1974">
        <v>4</v>
      </c>
      <c r="K1974" s="4">
        <f>Table3[[#This Row],[Sales]]-Table3[[#This Row],[Cost]]</f>
        <v>11891.959999999992</v>
      </c>
      <c r="L1974" s="6">
        <f>Table3[[#This Row],[Profit]]/Table3[[#This Row],[Sales]]</f>
        <v>5.8123653454390432E-2</v>
      </c>
    </row>
    <row r="1975" spans="1:12" x14ac:dyDescent="0.25">
      <c r="A1975" t="s">
        <v>1847</v>
      </c>
      <c r="B1975" s="2">
        <v>45021</v>
      </c>
      <c r="C1975" s="2" t="str">
        <f>TEXT(Table3[[#This Row],[Order Date]],"mmmm")</f>
        <v>April</v>
      </c>
      <c r="D1975" t="s">
        <v>3220</v>
      </c>
      <c r="E1975" t="s">
        <v>3223</v>
      </c>
      <c r="F1975" t="s">
        <v>3226</v>
      </c>
      <c r="G1975" s="4">
        <v>48634.15</v>
      </c>
      <c r="H1975" s="4">
        <v>30294.84</v>
      </c>
      <c r="I1975" s="3" t="s">
        <v>3734</v>
      </c>
      <c r="J1975">
        <v>5</v>
      </c>
      <c r="K1975" s="4">
        <f>Table3[[#This Row],[Sales]]-Table3[[#This Row],[Cost]]</f>
        <v>18339.310000000001</v>
      </c>
      <c r="L1975" s="6">
        <f>Table3[[#This Row],[Profit]]/Table3[[#This Row],[Sales]]</f>
        <v>0.37708708798241564</v>
      </c>
    </row>
    <row r="1976" spans="1:12" x14ac:dyDescent="0.25">
      <c r="A1976" t="s">
        <v>3551</v>
      </c>
      <c r="B1976" s="2">
        <v>45102</v>
      </c>
      <c r="C1976" s="2" t="str">
        <f>TEXT(Table3[[#This Row],[Order Date]],"mmmm")</f>
        <v>June</v>
      </c>
      <c r="D1976" t="s">
        <v>3730</v>
      </c>
      <c r="E1976" t="s">
        <v>3224</v>
      </c>
      <c r="F1976" t="s">
        <v>3226</v>
      </c>
      <c r="G1976" s="4">
        <v>209829.23</v>
      </c>
      <c r="H1976" s="4">
        <v>167863.38400000002</v>
      </c>
      <c r="I1976" s="3" t="s">
        <v>3735</v>
      </c>
      <c r="J1976">
        <v>4</v>
      </c>
      <c r="K1976" s="4">
        <f>Table3[[#This Row],[Sales]]-Table3[[#This Row],[Cost]]</f>
        <v>41965.84599999999</v>
      </c>
      <c r="L1976" s="6">
        <f>Table3[[#This Row],[Profit]]/Table3[[#This Row],[Sales]]</f>
        <v>0.19999999999999996</v>
      </c>
    </row>
    <row r="1977" spans="1:12" x14ac:dyDescent="0.25">
      <c r="A1977" t="s">
        <v>1849</v>
      </c>
      <c r="B1977" s="2">
        <v>44941</v>
      </c>
      <c r="C1977" s="2" t="str">
        <f>TEXT(Table3[[#This Row],[Order Date]],"mmmm")</f>
        <v>January</v>
      </c>
      <c r="D1977" t="s">
        <v>3220</v>
      </c>
      <c r="E1977" t="s">
        <v>3225</v>
      </c>
      <c r="F1977" t="s">
        <v>3226</v>
      </c>
      <c r="G1977" s="4">
        <v>23243.69</v>
      </c>
      <c r="H1977" s="4">
        <v>13723.03</v>
      </c>
      <c r="I1977" s="3" t="s">
        <v>3734</v>
      </c>
      <c r="J1977">
        <v>1</v>
      </c>
      <c r="K1977" s="4">
        <f>Table3[[#This Row],[Sales]]-Table3[[#This Row],[Cost]]</f>
        <v>9520.659999999998</v>
      </c>
      <c r="L1977" s="6">
        <f>Table3[[#This Row],[Profit]]/Table3[[#This Row],[Sales]]</f>
        <v>0.40960191776778981</v>
      </c>
    </row>
    <row r="1978" spans="1:12" x14ac:dyDescent="0.25">
      <c r="A1978" t="s">
        <v>1850</v>
      </c>
      <c r="B1978" s="2">
        <v>45102</v>
      </c>
      <c r="C1978" s="2" t="str">
        <f>TEXT(Table3[[#This Row],[Order Date]],"mmmm")</f>
        <v>June</v>
      </c>
      <c r="D1978" t="s">
        <v>3220</v>
      </c>
      <c r="E1978" t="s">
        <v>3225</v>
      </c>
      <c r="F1978" t="s">
        <v>3226</v>
      </c>
      <c r="G1978" s="4">
        <v>43008.59</v>
      </c>
      <c r="H1978" s="4">
        <v>28363.94</v>
      </c>
      <c r="I1978" s="3" t="s">
        <v>3734</v>
      </c>
      <c r="J1978">
        <v>2</v>
      </c>
      <c r="K1978" s="4">
        <f>Table3[[#This Row],[Sales]]-Table3[[#This Row],[Cost]]</f>
        <v>14644.649999999998</v>
      </c>
      <c r="L1978" s="6">
        <f>Table3[[#This Row],[Profit]]/Table3[[#This Row],[Sales]]</f>
        <v>0.34050523395442628</v>
      </c>
    </row>
    <row r="1979" spans="1:12" x14ac:dyDescent="0.25">
      <c r="A1979" t="s">
        <v>1851</v>
      </c>
      <c r="B1979" s="2" t="s">
        <v>3729</v>
      </c>
      <c r="C1979" s="2" t="str">
        <f>TEXT(Table3[[#This Row],[Order Date]],"mmmm")</f>
        <v>Not Mentioned</v>
      </c>
      <c r="D1979" t="s">
        <v>3730</v>
      </c>
      <c r="E1979" t="s">
        <v>3223</v>
      </c>
      <c r="F1979" t="s">
        <v>3226</v>
      </c>
      <c r="G1979" s="4">
        <v>26799.63</v>
      </c>
      <c r="H1979" s="4">
        <v>21173.360000000001</v>
      </c>
      <c r="I1979" s="3" t="s">
        <v>3734</v>
      </c>
      <c r="J1979">
        <v>3</v>
      </c>
      <c r="K1979" s="4">
        <f>Table3[[#This Row],[Sales]]-Table3[[#This Row],[Cost]]</f>
        <v>5626.27</v>
      </c>
      <c r="L1979" s="6">
        <f>Table3[[#This Row],[Profit]]/Table3[[#This Row],[Sales]]</f>
        <v>0.20993834616373436</v>
      </c>
    </row>
    <row r="1980" spans="1:12" x14ac:dyDescent="0.25">
      <c r="A1980" t="s">
        <v>1852</v>
      </c>
      <c r="B1980" s="2">
        <v>44972</v>
      </c>
      <c r="C1980" s="2" t="str">
        <f>TEXT(Table3[[#This Row],[Order Date]],"mmmm")</f>
        <v>February</v>
      </c>
      <c r="D1980" t="s">
        <v>3220</v>
      </c>
      <c r="E1980" t="s">
        <v>3223</v>
      </c>
      <c r="F1980" t="s">
        <v>3226</v>
      </c>
      <c r="G1980" s="4">
        <v>31722.43</v>
      </c>
      <c r="H1980" s="4">
        <v>19916.95</v>
      </c>
      <c r="I1980" s="3" t="s">
        <v>3734</v>
      </c>
      <c r="J1980">
        <v>3</v>
      </c>
      <c r="K1980" s="4">
        <f>Table3[[#This Row],[Sales]]-Table3[[#This Row],[Cost]]</f>
        <v>11805.48</v>
      </c>
      <c r="L1980" s="6">
        <f>Table3[[#This Row],[Profit]]/Table3[[#This Row],[Sales]]</f>
        <v>0.37214929625504728</v>
      </c>
    </row>
    <row r="1981" spans="1:12" x14ac:dyDescent="0.25">
      <c r="A1981" t="s">
        <v>1853</v>
      </c>
      <c r="B1981" s="2">
        <v>44972</v>
      </c>
      <c r="C1981" s="2" t="str">
        <f>TEXT(Table3[[#This Row],[Order Date]],"mmmm")</f>
        <v>February</v>
      </c>
      <c r="D1981" t="s">
        <v>3220</v>
      </c>
      <c r="E1981" t="s">
        <v>3222</v>
      </c>
      <c r="F1981" t="s">
        <v>3226</v>
      </c>
      <c r="G1981" s="4">
        <v>61362.3</v>
      </c>
      <c r="H1981" s="4">
        <v>44369.87</v>
      </c>
      <c r="I1981" s="3" t="s">
        <v>3734</v>
      </c>
      <c r="J1981">
        <v>5</v>
      </c>
      <c r="K1981" s="4">
        <f>Table3[[#This Row],[Sales]]-Table3[[#This Row],[Cost]]</f>
        <v>16992.43</v>
      </c>
      <c r="L1981" s="6">
        <f>Table3[[#This Row],[Profit]]/Table3[[#This Row],[Sales]]</f>
        <v>0.27691970476986683</v>
      </c>
    </row>
    <row r="1982" spans="1:12" x14ac:dyDescent="0.25">
      <c r="A1982" t="s">
        <v>593</v>
      </c>
      <c r="B1982" s="2">
        <v>45102</v>
      </c>
      <c r="C1982" s="2" t="str">
        <f>TEXT(Table3[[#This Row],[Order Date]],"mmmm")</f>
        <v>June</v>
      </c>
      <c r="D1982" t="s">
        <v>3730</v>
      </c>
      <c r="E1982" t="s">
        <v>3223</v>
      </c>
      <c r="F1982" t="s">
        <v>3226</v>
      </c>
      <c r="G1982" s="4">
        <v>58240.61</v>
      </c>
      <c r="H1982" s="4">
        <v>38257.879999999997</v>
      </c>
      <c r="I1982" s="3" t="s">
        <v>3734</v>
      </c>
      <c r="J1982">
        <v>5</v>
      </c>
      <c r="K1982" s="4">
        <f>Table3[[#This Row],[Sales]]-Table3[[#This Row],[Cost]]</f>
        <v>19982.730000000003</v>
      </c>
      <c r="L1982" s="6">
        <f>Table3[[#This Row],[Profit]]/Table3[[#This Row],[Sales]]</f>
        <v>0.34310646814997309</v>
      </c>
    </row>
    <row r="1983" spans="1:12" x14ac:dyDescent="0.25">
      <c r="A1983" t="s">
        <v>1854</v>
      </c>
      <c r="B1983" s="2">
        <v>45005</v>
      </c>
      <c r="C1983" s="2" t="str">
        <f>TEXT(Table3[[#This Row],[Order Date]],"mmmm")</f>
        <v>March</v>
      </c>
      <c r="D1983" t="s">
        <v>3731</v>
      </c>
      <c r="E1983" t="s">
        <v>3222</v>
      </c>
      <c r="F1983" t="s">
        <v>3226</v>
      </c>
      <c r="G1983" s="4">
        <v>12155.41</v>
      </c>
      <c r="H1983" s="4">
        <v>9703.14</v>
      </c>
      <c r="I1983" s="3" t="s">
        <v>3734</v>
      </c>
      <c r="J1983">
        <v>1</v>
      </c>
      <c r="K1983" s="4">
        <f>Table3[[#This Row],[Sales]]-Table3[[#This Row],[Cost]]</f>
        <v>2452.2700000000004</v>
      </c>
      <c r="L1983" s="6">
        <f>Table3[[#This Row],[Profit]]/Table3[[#This Row],[Sales]]</f>
        <v>0.20174309217048214</v>
      </c>
    </row>
    <row r="1984" spans="1:12" x14ac:dyDescent="0.25">
      <c r="A1984" t="s">
        <v>1855</v>
      </c>
      <c r="B1984" s="2">
        <v>45005</v>
      </c>
      <c r="C1984" s="2" t="str">
        <f>TEXT(Table3[[#This Row],[Order Date]],"mmmm")</f>
        <v>March</v>
      </c>
      <c r="D1984" t="s">
        <v>3731</v>
      </c>
      <c r="E1984" t="s">
        <v>3225</v>
      </c>
      <c r="F1984" t="s">
        <v>3226</v>
      </c>
      <c r="G1984" s="4">
        <v>60688.160000000003</v>
      </c>
      <c r="H1984" s="4">
        <v>41266.58</v>
      </c>
      <c r="I1984" s="3" t="s">
        <v>3734</v>
      </c>
      <c r="J1984">
        <v>3</v>
      </c>
      <c r="K1984" s="4">
        <f>Table3[[#This Row],[Sales]]-Table3[[#This Row],[Cost]]</f>
        <v>19421.580000000002</v>
      </c>
      <c r="L1984" s="6">
        <f>Table3[[#This Row],[Profit]]/Table3[[#This Row],[Sales]]</f>
        <v>0.32002255464657359</v>
      </c>
    </row>
    <row r="1985" spans="1:12" x14ac:dyDescent="0.25">
      <c r="A1985" t="s">
        <v>1856</v>
      </c>
      <c r="B1985" s="2">
        <v>45021</v>
      </c>
      <c r="C1985" s="2" t="str">
        <f>TEXT(Table3[[#This Row],[Order Date]],"mmmm")</f>
        <v>April</v>
      </c>
      <c r="D1985" t="s">
        <v>3731</v>
      </c>
      <c r="E1985" t="s">
        <v>3222</v>
      </c>
      <c r="F1985" t="s">
        <v>3226</v>
      </c>
      <c r="G1985" s="4">
        <v>61420.45</v>
      </c>
      <c r="H1985" s="4">
        <v>45508.91</v>
      </c>
      <c r="I1985" s="3" t="s">
        <v>3734</v>
      </c>
      <c r="J1985">
        <v>5</v>
      </c>
      <c r="K1985" s="4">
        <f>Table3[[#This Row],[Sales]]-Table3[[#This Row],[Cost]]</f>
        <v>15911.539999999994</v>
      </c>
      <c r="L1985" s="6">
        <f>Table3[[#This Row],[Profit]]/Table3[[#This Row],[Sales]]</f>
        <v>0.25905931981937602</v>
      </c>
    </row>
    <row r="1986" spans="1:12" x14ac:dyDescent="0.25">
      <c r="A1986" t="s">
        <v>3552</v>
      </c>
      <c r="B1986" s="2">
        <v>45005</v>
      </c>
      <c r="C1986" s="2" t="str">
        <f>TEXT(Table3[[#This Row],[Order Date]],"mmmm")</f>
        <v>March</v>
      </c>
      <c r="D1986" t="s">
        <v>3220</v>
      </c>
      <c r="E1986" t="s">
        <v>3224</v>
      </c>
      <c r="F1986" t="s">
        <v>3226</v>
      </c>
      <c r="G1986" s="4">
        <v>192236.98</v>
      </c>
      <c r="H1986" s="4">
        <v>153789.584</v>
      </c>
      <c r="I1986" s="3" t="s">
        <v>3735</v>
      </c>
      <c r="J1986">
        <v>4</v>
      </c>
      <c r="K1986" s="4">
        <f>Table3[[#This Row],[Sales]]-Table3[[#This Row],[Cost]]</f>
        <v>38447.396000000008</v>
      </c>
      <c r="L1986" s="6">
        <f>Table3[[#This Row],[Profit]]/Table3[[#This Row],[Sales]]</f>
        <v>0.20000000000000004</v>
      </c>
    </row>
    <row r="1987" spans="1:12" x14ac:dyDescent="0.25">
      <c r="A1987" t="s">
        <v>3520</v>
      </c>
      <c r="B1987" s="2">
        <v>45102</v>
      </c>
      <c r="C1987" s="2" t="str">
        <f>TEXT(Table3[[#This Row],[Order Date]],"mmmm")</f>
        <v>June</v>
      </c>
      <c r="D1987" t="s">
        <v>3216</v>
      </c>
      <c r="E1987" t="s">
        <v>3223</v>
      </c>
      <c r="F1987" t="s">
        <v>3226</v>
      </c>
      <c r="G1987" s="4">
        <v>43808.67</v>
      </c>
      <c r="H1987" s="4">
        <v>26091.42</v>
      </c>
      <c r="I1987" s="3" t="s">
        <v>3734</v>
      </c>
      <c r="J1987">
        <v>4</v>
      </c>
      <c r="K1987" s="4">
        <f>Table3[[#This Row],[Sales]]-Table3[[#This Row],[Cost]]</f>
        <v>17717.25</v>
      </c>
      <c r="L1987" s="6">
        <f>Table3[[#This Row],[Profit]]/Table3[[#This Row],[Sales]]</f>
        <v>0.40442337099026288</v>
      </c>
    </row>
    <row r="1988" spans="1:12" x14ac:dyDescent="0.25">
      <c r="A1988" t="s">
        <v>1858</v>
      </c>
      <c r="B1988" s="2">
        <v>45005</v>
      </c>
      <c r="C1988" s="2" t="str">
        <f>TEXT(Table3[[#This Row],[Order Date]],"mmmm")</f>
        <v>March</v>
      </c>
      <c r="D1988" t="s">
        <v>3220</v>
      </c>
      <c r="E1988" t="s">
        <v>3222</v>
      </c>
      <c r="F1988" t="s">
        <v>3226</v>
      </c>
      <c r="G1988" s="4">
        <v>54844.69</v>
      </c>
      <c r="H1988" s="4">
        <v>41928.65</v>
      </c>
      <c r="I1988" s="3" t="s">
        <v>3734</v>
      </c>
      <c r="J1988">
        <v>4</v>
      </c>
      <c r="K1988" s="4">
        <f>Table3[[#This Row],[Sales]]-Table3[[#This Row],[Cost]]</f>
        <v>12916.04</v>
      </c>
      <c r="L1988" s="6">
        <f>Table3[[#This Row],[Profit]]/Table3[[#This Row],[Sales]]</f>
        <v>0.23550210603797742</v>
      </c>
    </row>
    <row r="1989" spans="1:12" x14ac:dyDescent="0.25">
      <c r="A1989" t="s">
        <v>3553</v>
      </c>
      <c r="B1989" s="2">
        <v>45021</v>
      </c>
      <c r="C1989" s="2" t="str">
        <f>TEXT(Table3[[#This Row],[Order Date]],"mmmm")</f>
        <v>April</v>
      </c>
      <c r="D1989" t="s">
        <v>3730</v>
      </c>
      <c r="E1989" t="s">
        <v>3224</v>
      </c>
      <c r="F1989" t="s">
        <v>3226</v>
      </c>
      <c r="G1989" s="4">
        <v>68008.73</v>
      </c>
      <c r="H1989" s="4">
        <v>42543.1</v>
      </c>
      <c r="I1989" s="3" t="s">
        <v>3734</v>
      </c>
      <c r="J1989">
        <v>1</v>
      </c>
      <c r="K1989" s="4">
        <f>Table3[[#This Row],[Sales]]-Table3[[#This Row],[Cost]]</f>
        <v>25465.629999999997</v>
      </c>
      <c r="L1989" s="6">
        <f>Table3[[#This Row],[Profit]]/Table3[[#This Row],[Sales]]</f>
        <v>0.37444648650254164</v>
      </c>
    </row>
    <row r="1990" spans="1:12" x14ac:dyDescent="0.25">
      <c r="A1990" t="s">
        <v>1860</v>
      </c>
      <c r="B1990" s="2">
        <v>45005</v>
      </c>
      <c r="C1990" s="2" t="str">
        <f>TEXT(Table3[[#This Row],[Order Date]],"mmmm")</f>
        <v>March</v>
      </c>
      <c r="D1990" t="s">
        <v>3730</v>
      </c>
      <c r="E1990" t="s">
        <v>3224</v>
      </c>
      <c r="F1990" t="s">
        <v>3226</v>
      </c>
      <c r="G1990" s="4">
        <v>137556.60999999999</v>
      </c>
      <c r="H1990" s="4">
        <v>88250.86</v>
      </c>
      <c r="I1990" s="3" t="s">
        <v>3734</v>
      </c>
      <c r="J1990">
        <v>2</v>
      </c>
      <c r="K1990" s="4">
        <f>Table3[[#This Row],[Sales]]-Table3[[#This Row],[Cost]]</f>
        <v>49305.749999999985</v>
      </c>
      <c r="L1990" s="6">
        <f>Table3[[#This Row],[Profit]]/Table3[[#This Row],[Sales]]</f>
        <v>0.35843969984430402</v>
      </c>
    </row>
    <row r="1991" spans="1:12" x14ac:dyDescent="0.25">
      <c r="A1991" t="s">
        <v>1861</v>
      </c>
      <c r="B1991" s="2">
        <v>45005</v>
      </c>
      <c r="C1991" s="2" t="str">
        <f>TEXT(Table3[[#This Row],[Order Date]],"mmmm")</f>
        <v>March</v>
      </c>
      <c r="D1991" t="s">
        <v>3730</v>
      </c>
      <c r="E1991" t="s">
        <v>3224</v>
      </c>
      <c r="F1991" t="s">
        <v>3226</v>
      </c>
      <c r="G1991" s="4">
        <v>265558.24</v>
      </c>
      <c r="H1991" s="4">
        <v>182766.4</v>
      </c>
      <c r="I1991" s="3" t="s">
        <v>3734</v>
      </c>
      <c r="J1991">
        <v>4</v>
      </c>
      <c r="K1991" s="4">
        <f>Table3[[#This Row],[Sales]]-Table3[[#This Row],[Cost]]</f>
        <v>82791.839999999997</v>
      </c>
      <c r="L1991" s="6">
        <f>Table3[[#This Row],[Profit]]/Table3[[#This Row],[Sales]]</f>
        <v>0.31176528357771915</v>
      </c>
    </row>
    <row r="1992" spans="1:12" x14ac:dyDescent="0.25">
      <c r="A1992" t="s">
        <v>1862</v>
      </c>
      <c r="B1992" s="2">
        <v>45021</v>
      </c>
      <c r="C1992" s="2" t="str">
        <f>TEXT(Table3[[#This Row],[Order Date]],"mmmm")</f>
        <v>April</v>
      </c>
      <c r="D1992" t="s">
        <v>3731</v>
      </c>
      <c r="E1992" t="s">
        <v>3223</v>
      </c>
      <c r="F1992" t="s">
        <v>3226</v>
      </c>
      <c r="G1992" s="4">
        <v>24327.45</v>
      </c>
      <c r="H1992" s="4">
        <v>19058.45</v>
      </c>
      <c r="I1992" s="3" t="s">
        <v>3734</v>
      </c>
      <c r="J1992">
        <v>3</v>
      </c>
      <c r="K1992" s="4">
        <f>Table3[[#This Row],[Sales]]-Table3[[#This Row],[Cost]]</f>
        <v>5269</v>
      </c>
      <c r="L1992" s="6">
        <f>Table3[[#This Row],[Profit]]/Table3[[#This Row],[Sales]]</f>
        <v>0.21658661306466562</v>
      </c>
    </row>
    <row r="1993" spans="1:12" x14ac:dyDescent="0.25">
      <c r="A1993" t="s">
        <v>1863</v>
      </c>
      <c r="B1993" s="2">
        <v>44941</v>
      </c>
      <c r="C1993" s="2" t="str">
        <f>TEXT(Table3[[#This Row],[Order Date]],"mmmm")</f>
        <v>January</v>
      </c>
      <c r="D1993" t="s">
        <v>3730</v>
      </c>
      <c r="E1993" t="s">
        <v>3224</v>
      </c>
      <c r="F1993" t="s">
        <v>3226</v>
      </c>
      <c r="G1993" s="4">
        <v>50378.31</v>
      </c>
      <c r="H1993" s="4">
        <v>47941.86</v>
      </c>
      <c r="I1993" s="3" t="s">
        <v>3734</v>
      </c>
      <c r="J1993">
        <v>1</v>
      </c>
      <c r="K1993" s="4">
        <f>Table3[[#This Row],[Sales]]-Table3[[#This Row],[Cost]]</f>
        <v>2436.4499999999971</v>
      </c>
      <c r="L1993" s="6">
        <f>Table3[[#This Row],[Profit]]/Table3[[#This Row],[Sales]]</f>
        <v>4.8363075299667602E-2</v>
      </c>
    </row>
    <row r="1994" spans="1:12" x14ac:dyDescent="0.25">
      <c r="A1994" t="s">
        <v>1864</v>
      </c>
      <c r="B1994" s="2">
        <v>45021</v>
      </c>
      <c r="C1994" s="2" t="str">
        <f>TEXT(Table3[[#This Row],[Order Date]],"mmmm")</f>
        <v>April</v>
      </c>
      <c r="D1994" t="s">
        <v>3220</v>
      </c>
      <c r="E1994" t="s">
        <v>3225</v>
      </c>
      <c r="F1994" t="s">
        <v>3226</v>
      </c>
      <c r="G1994" s="4">
        <v>60944.51</v>
      </c>
      <c r="H1994" s="4">
        <v>48755.608000000007</v>
      </c>
      <c r="I1994" s="3" t="s">
        <v>3735</v>
      </c>
      <c r="J1994">
        <v>3</v>
      </c>
      <c r="K1994" s="4">
        <f>Table3[[#This Row],[Sales]]-Table3[[#This Row],[Cost]]</f>
        <v>12188.901999999995</v>
      </c>
      <c r="L1994" s="6">
        <f>Table3[[#This Row],[Profit]]/Table3[[#This Row],[Sales]]</f>
        <v>0.1999999999999999</v>
      </c>
    </row>
    <row r="1995" spans="1:12" x14ac:dyDescent="0.25">
      <c r="A1995" t="s">
        <v>1865</v>
      </c>
      <c r="B1995" s="2">
        <v>45021</v>
      </c>
      <c r="C1995" s="2" t="str">
        <f>TEXT(Table3[[#This Row],[Order Date]],"mmmm")</f>
        <v>April</v>
      </c>
      <c r="D1995" t="s">
        <v>3216</v>
      </c>
      <c r="E1995" t="s">
        <v>3222</v>
      </c>
      <c r="F1995" t="s">
        <v>3226</v>
      </c>
      <c r="G1995" s="4">
        <v>74443.39</v>
      </c>
      <c r="H1995" s="4">
        <v>54880.71</v>
      </c>
      <c r="I1995" s="3" t="s">
        <v>3734</v>
      </c>
      <c r="J1995">
        <v>5</v>
      </c>
      <c r="K1995" s="4">
        <f>Table3[[#This Row],[Sales]]-Table3[[#This Row],[Cost]]</f>
        <v>19562.68</v>
      </c>
      <c r="L1995" s="6">
        <f>Table3[[#This Row],[Profit]]/Table3[[#This Row],[Sales]]</f>
        <v>0.26278599080455634</v>
      </c>
    </row>
    <row r="1996" spans="1:12" x14ac:dyDescent="0.25">
      <c r="A1996" t="s">
        <v>1866</v>
      </c>
      <c r="B1996" s="2">
        <v>45021</v>
      </c>
      <c r="C1996" s="2" t="str">
        <f>TEXT(Table3[[#This Row],[Order Date]],"mmmm")</f>
        <v>April</v>
      </c>
      <c r="D1996" t="s">
        <v>3220</v>
      </c>
      <c r="E1996" t="s">
        <v>3222</v>
      </c>
      <c r="F1996" t="s">
        <v>3226</v>
      </c>
      <c r="G1996" s="4">
        <v>42421.8</v>
      </c>
      <c r="H1996" s="4">
        <v>32167.3</v>
      </c>
      <c r="I1996" s="3" t="s">
        <v>3734</v>
      </c>
      <c r="J1996">
        <v>3</v>
      </c>
      <c r="K1996" s="4">
        <f>Table3[[#This Row],[Sales]]-Table3[[#This Row],[Cost]]</f>
        <v>10254.500000000004</v>
      </c>
      <c r="L1996" s="6">
        <f>Table3[[#This Row],[Profit]]/Table3[[#This Row],[Sales]]</f>
        <v>0.24172713086196254</v>
      </c>
    </row>
    <row r="1997" spans="1:12" x14ac:dyDescent="0.25">
      <c r="A1997" t="s">
        <v>1867</v>
      </c>
      <c r="B1997" s="2">
        <v>45005</v>
      </c>
      <c r="C1997" s="2" t="str">
        <f>TEXT(Table3[[#This Row],[Order Date]],"mmmm")</f>
        <v>March</v>
      </c>
      <c r="D1997" t="s">
        <v>3731</v>
      </c>
      <c r="E1997" t="s">
        <v>3225</v>
      </c>
      <c r="F1997" t="s">
        <v>3226</v>
      </c>
      <c r="G1997" s="4">
        <v>71806.83</v>
      </c>
      <c r="H1997" s="4">
        <v>51600.76</v>
      </c>
      <c r="I1997" s="3" t="s">
        <v>3734</v>
      </c>
      <c r="J1997">
        <v>4</v>
      </c>
      <c r="K1997" s="4">
        <f>Table3[[#This Row],[Sales]]-Table3[[#This Row],[Cost]]</f>
        <v>20206.07</v>
      </c>
      <c r="L1997" s="6">
        <f>Table3[[#This Row],[Profit]]/Table3[[#This Row],[Sales]]</f>
        <v>0.28139481996350485</v>
      </c>
    </row>
    <row r="1998" spans="1:12" x14ac:dyDescent="0.25">
      <c r="A1998" t="s">
        <v>1868</v>
      </c>
      <c r="B1998" s="2" t="s">
        <v>3729</v>
      </c>
      <c r="C1998" s="2" t="str">
        <f>TEXT(Table3[[#This Row],[Order Date]],"mmmm")</f>
        <v>Not Mentioned</v>
      </c>
      <c r="D1998" t="s">
        <v>3730</v>
      </c>
      <c r="E1998" t="s">
        <v>3222</v>
      </c>
      <c r="F1998" t="s">
        <v>3226</v>
      </c>
      <c r="G1998" s="4">
        <v>28294.66</v>
      </c>
      <c r="H1998" s="4">
        <v>21006.74</v>
      </c>
      <c r="I1998" s="3" t="s">
        <v>3734</v>
      </c>
      <c r="J1998" t="s">
        <v>3732</v>
      </c>
      <c r="K1998" s="4">
        <f>Table3[[#This Row],[Sales]]-Table3[[#This Row],[Cost]]</f>
        <v>7287.9199999999983</v>
      </c>
      <c r="L1998" s="6">
        <f>Table3[[#This Row],[Profit]]/Table3[[#This Row],[Sales]]</f>
        <v>0.25757227688899598</v>
      </c>
    </row>
    <row r="1999" spans="1:12" x14ac:dyDescent="0.25">
      <c r="A1999" t="s">
        <v>3554</v>
      </c>
      <c r="B1999" s="2">
        <v>45005</v>
      </c>
      <c r="C1999" s="2" t="str">
        <f>TEXT(Table3[[#This Row],[Order Date]],"mmmm")</f>
        <v>March</v>
      </c>
      <c r="D1999" t="s">
        <v>3220</v>
      </c>
      <c r="E1999" t="s">
        <v>3223</v>
      </c>
      <c r="F1999" t="s">
        <v>3226</v>
      </c>
      <c r="G1999" s="4">
        <v>23385.360000000001</v>
      </c>
      <c r="H1999" s="4">
        <v>12411.25</v>
      </c>
      <c r="I1999" s="3" t="s">
        <v>3734</v>
      </c>
      <c r="J1999">
        <v>2</v>
      </c>
      <c r="K1999" s="4">
        <f>Table3[[#This Row],[Sales]]-Table3[[#This Row],[Cost]]</f>
        <v>10974.11</v>
      </c>
      <c r="L1999" s="6">
        <f>Table3[[#This Row],[Profit]]/Table3[[#This Row],[Sales]]</f>
        <v>0.46927265605489932</v>
      </c>
    </row>
    <row r="2000" spans="1:12" x14ac:dyDescent="0.25">
      <c r="A2000" t="s">
        <v>1870</v>
      </c>
      <c r="B2000" s="2">
        <v>45102</v>
      </c>
      <c r="C2000" s="2" t="str">
        <f>TEXT(Table3[[#This Row],[Order Date]],"mmmm")</f>
        <v>June</v>
      </c>
      <c r="D2000" t="s">
        <v>3216</v>
      </c>
      <c r="E2000" t="s">
        <v>3225</v>
      </c>
      <c r="F2000" t="s">
        <v>3226</v>
      </c>
      <c r="G2000" s="4">
        <v>66479.22</v>
      </c>
      <c r="H2000" s="4">
        <v>55991.26</v>
      </c>
      <c r="I2000" s="3" t="s">
        <v>3734</v>
      </c>
      <c r="J2000">
        <v>4</v>
      </c>
      <c r="K2000" s="4">
        <f>Table3[[#This Row],[Sales]]-Table3[[#This Row],[Cost]]</f>
        <v>10487.96</v>
      </c>
      <c r="L2000" s="6">
        <f>Table3[[#This Row],[Profit]]/Table3[[#This Row],[Sales]]</f>
        <v>0.15776298217698703</v>
      </c>
    </row>
    <row r="2001" spans="1:12" x14ac:dyDescent="0.25">
      <c r="A2001" t="s">
        <v>1871</v>
      </c>
      <c r="B2001" s="2">
        <v>45021</v>
      </c>
      <c r="C2001" s="2" t="str">
        <f>TEXT(Table3[[#This Row],[Order Date]],"mmmm")</f>
        <v>April</v>
      </c>
      <c r="D2001" t="s">
        <v>3220</v>
      </c>
      <c r="E2001" t="s">
        <v>3225</v>
      </c>
      <c r="F2001" t="s">
        <v>3226</v>
      </c>
      <c r="G2001" s="4">
        <v>70571.740000000005</v>
      </c>
      <c r="H2001" s="4">
        <v>43906.91</v>
      </c>
      <c r="I2001" s="3" t="s">
        <v>3734</v>
      </c>
      <c r="J2001">
        <v>3</v>
      </c>
      <c r="K2001" s="4">
        <f>Table3[[#This Row],[Sales]]-Table3[[#This Row],[Cost]]</f>
        <v>26664.83</v>
      </c>
      <c r="L2001" s="6">
        <f>Table3[[#This Row],[Profit]]/Table3[[#This Row],[Sales]]</f>
        <v>0.37784005325644515</v>
      </c>
    </row>
    <row r="2002" spans="1:12" x14ac:dyDescent="0.25">
      <c r="A2002" t="s">
        <v>1872</v>
      </c>
      <c r="B2002" s="2" t="s">
        <v>3729</v>
      </c>
      <c r="C2002" s="2" t="str">
        <f>TEXT(Table3[[#This Row],[Order Date]],"mmmm")</f>
        <v>Not Mentioned</v>
      </c>
      <c r="D2002" t="s">
        <v>3730</v>
      </c>
      <c r="E2002" t="s">
        <v>3222</v>
      </c>
      <c r="F2002" t="s">
        <v>3226</v>
      </c>
      <c r="G2002" s="4">
        <v>43491.38</v>
      </c>
      <c r="H2002" s="4">
        <v>31425.200000000001</v>
      </c>
      <c r="I2002" s="3" t="s">
        <v>3734</v>
      </c>
      <c r="J2002">
        <v>3</v>
      </c>
      <c r="K2002" s="4">
        <f>Table3[[#This Row],[Sales]]-Table3[[#This Row],[Cost]]</f>
        <v>12066.179999999997</v>
      </c>
      <c r="L2002" s="6">
        <f>Table3[[#This Row],[Profit]]/Table3[[#This Row],[Sales]]</f>
        <v>0.27743842572942035</v>
      </c>
    </row>
    <row r="2003" spans="1:12" x14ac:dyDescent="0.25">
      <c r="A2003" t="s">
        <v>1873</v>
      </c>
      <c r="B2003" s="2">
        <v>44941</v>
      </c>
      <c r="C2003" s="2" t="str">
        <f>TEXT(Table3[[#This Row],[Order Date]],"mmmm")</f>
        <v>January</v>
      </c>
      <c r="D2003" t="s">
        <v>3731</v>
      </c>
      <c r="E2003" t="s">
        <v>3223</v>
      </c>
      <c r="F2003" t="s">
        <v>3226</v>
      </c>
      <c r="G2003" s="4">
        <v>37758.379999999997</v>
      </c>
      <c r="H2003" s="4">
        <v>30206.703999999998</v>
      </c>
      <c r="I2003" s="3" t="s">
        <v>3735</v>
      </c>
      <c r="J2003">
        <v>4</v>
      </c>
      <c r="K2003" s="4">
        <f>Table3[[#This Row],[Sales]]-Table3[[#This Row],[Cost]]</f>
        <v>7551.6759999999995</v>
      </c>
      <c r="L2003" s="6">
        <f>Table3[[#This Row],[Profit]]/Table3[[#This Row],[Sales]]</f>
        <v>0.2</v>
      </c>
    </row>
    <row r="2004" spans="1:12" x14ac:dyDescent="0.25">
      <c r="A2004" t="s">
        <v>1874</v>
      </c>
      <c r="B2004" s="2">
        <v>45021</v>
      </c>
      <c r="C2004" s="2" t="str">
        <f>TEXT(Table3[[#This Row],[Order Date]],"mmmm")</f>
        <v>April</v>
      </c>
      <c r="D2004" t="s">
        <v>3216</v>
      </c>
      <c r="E2004" t="s">
        <v>3224</v>
      </c>
      <c r="F2004" t="s">
        <v>3226</v>
      </c>
      <c r="G2004" s="4">
        <v>168668.02</v>
      </c>
      <c r="H2004" s="4">
        <v>115519.76</v>
      </c>
      <c r="I2004" s="3" t="s">
        <v>3734</v>
      </c>
      <c r="J2004" t="s">
        <v>3732</v>
      </c>
      <c r="K2004" s="4">
        <f>Table3[[#This Row],[Sales]]-Table3[[#This Row],[Cost]]</f>
        <v>53148.259999999995</v>
      </c>
      <c r="L2004" s="6">
        <f>Table3[[#This Row],[Profit]]/Table3[[#This Row],[Sales]]</f>
        <v>0.31510573255084157</v>
      </c>
    </row>
    <row r="2005" spans="1:12" x14ac:dyDescent="0.25">
      <c r="A2005" t="s">
        <v>727</v>
      </c>
      <c r="B2005" s="2" t="s">
        <v>3729</v>
      </c>
      <c r="C2005" s="2" t="str">
        <f>TEXT(Table3[[#This Row],[Order Date]],"mmmm")</f>
        <v>Not Mentioned</v>
      </c>
      <c r="D2005" t="s">
        <v>3220</v>
      </c>
      <c r="E2005" t="s">
        <v>3222</v>
      </c>
      <c r="F2005" t="s">
        <v>3226</v>
      </c>
      <c r="G2005" s="4">
        <v>74576.95</v>
      </c>
      <c r="H2005" s="4">
        <v>51999.59</v>
      </c>
      <c r="I2005" s="3" t="s">
        <v>3734</v>
      </c>
      <c r="J2005">
        <v>5</v>
      </c>
      <c r="K2005" s="4">
        <f>Table3[[#This Row],[Sales]]-Table3[[#This Row],[Cost]]</f>
        <v>22577.360000000001</v>
      </c>
      <c r="L2005" s="6">
        <f>Table3[[#This Row],[Profit]]/Table3[[#This Row],[Sales]]</f>
        <v>0.30273911711326357</v>
      </c>
    </row>
    <row r="2006" spans="1:12" x14ac:dyDescent="0.25">
      <c r="A2006" t="s">
        <v>1875</v>
      </c>
      <c r="B2006" s="2" t="s">
        <v>3729</v>
      </c>
      <c r="C2006" s="2" t="str">
        <f>TEXT(Table3[[#This Row],[Order Date]],"mmmm")</f>
        <v>Not Mentioned</v>
      </c>
      <c r="D2006" t="s">
        <v>3220</v>
      </c>
      <c r="E2006" t="s">
        <v>3223</v>
      </c>
      <c r="F2006" t="s">
        <v>3226</v>
      </c>
      <c r="G2006" s="4">
        <v>19336.28</v>
      </c>
      <c r="H2006" s="4">
        <v>12682.92</v>
      </c>
      <c r="I2006" s="3" t="s">
        <v>3734</v>
      </c>
      <c r="J2006">
        <v>2</v>
      </c>
      <c r="K2006" s="4">
        <f>Table3[[#This Row],[Sales]]-Table3[[#This Row],[Cost]]</f>
        <v>6653.3599999999988</v>
      </c>
      <c r="L2006" s="6">
        <f>Table3[[#This Row],[Profit]]/Table3[[#This Row],[Sales]]</f>
        <v>0.34408686676030753</v>
      </c>
    </row>
    <row r="2007" spans="1:12" x14ac:dyDescent="0.25">
      <c r="A2007" t="s">
        <v>1876</v>
      </c>
      <c r="B2007" s="2">
        <v>45005</v>
      </c>
      <c r="C2007" s="2" t="str">
        <f>TEXT(Table3[[#This Row],[Order Date]],"mmmm")</f>
        <v>March</v>
      </c>
      <c r="D2007" t="s">
        <v>3220</v>
      </c>
      <c r="E2007" t="s">
        <v>3225</v>
      </c>
      <c r="F2007" t="s">
        <v>3226</v>
      </c>
      <c r="G2007" s="4">
        <v>97323.78</v>
      </c>
      <c r="H2007" s="4">
        <v>67284.06</v>
      </c>
      <c r="I2007" s="3" t="s">
        <v>3734</v>
      </c>
      <c r="J2007">
        <v>5</v>
      </c>
      <c r="K2007" s="4">
        <f>Table3[[#This Row],[Sales]]-Table3[[#This Row],[Cost]]</f>
        <v>30039.72</v>
      </c>
      <c r="L2007" s="6">
        <f>Table3[[#This Row],[Profit]]/Table3[[#This Row],[Sales]]</f>
        <v>0.30865755522442717</v>
      </c>
    </row>
    <row r="2008" spans="1:12" x14ac:dyDescent="0.25">
      <c r="A2008" t="s">
        <v>1877</v>
      </c>
      <c r="B2008" s="2">
        <v>45021</v>
      </c>
      <c r="C2008" s="2" t="str">
        <f>TEXT(Table3[[#This Row],[Order Date]],"mmmm")</f>
        <v>April</v>
      </c>
      <c r="D2008" t="s">
        <v>3730</v>
      </c>
      <c r="E2008" t="s">
        <v>3224</v>
      </c>
      <c r="F2008" t="s">
        <v>3226</v>
      </c>
      <c r="G2008" s="4">
        <v>96356.17</v>
      </c>
      <c r="H2008" s="4">
        <v>97048</v>
      </c>
      <c r="I2008" s="3" t="s">
        <v>3734</v>
      </c>
      <c r="J2008">
        <v>2</v>
      </c>
      <c r="K2008" s="4">
        <f>Table3[[#This Row],[Sales]]-Table3[[#This Row],[Cost]]</f>
        <v>-691.83000000000175</v>
      </c>
      <c r="L2008" s="6">
        <f>Table3[[#This Row],[Profit]]/Table3[[#This Row],[Sales]]</f>
        <v>-7.1799242331861239E-3</v>
      </c>
    </row>
    <row r="2009" spans="1:12" x14ac:dyDescent="0.25">
      <c r="A2009" t="s">
        <v>1878</v>
      </c>
      <c r="B2009" s="2">
        <v>45021</v>
      </c>
      <c r="C2009" s="2" t="str">
        <f>TEXT(Table3[[#This Row],[Order Date]],"mmmm")</f>
        <v>April</v>
      </c>
      <c r="D2009" t="s">
        <v>3220</v>
      </c>
      <c r="E2009" t="s">
        <v>3223</v>
      </c>
      <c r="F2009" t="s">
        <v>3226</v>
      </c>
      <c r="G2009" s="4">
        <v>36933.17</v>
      </c>
      <c r="H2009" s="4">
        <v>28128.21</v>
      </c>
      <c r="I2009" s="3" t="s">
        <v>3734</v>
      </c>
      <c r="J2009">
        <v>4</v>
      </c>
      <c r="K2009" s="4">
        <f>Table3[[#This Row],[Sales]]-Table3[[#This Row],[Cost]]</f>
        <v>8804.9599999999991</v>
      </c>
      <c r="L2009" s="6">
        <f>Table3[[#This Row],[Profit]]/Table3[[#This Row],[Sales]]</f>
        <v>0.23840249835039884</v>
      </c>
    </row>
    <row r="2010" spans="1:12" x14ac:dyDescent="0.25">
      <c r="A2010" t="s">
        <v>1879</v>
      </c>
      <c r="B2010" s="2">
        <v>44972</v>
      </c>
      <c r="C2010" s="2" t="str">
        <f>TEXT(Table3[[#This Row],[Order Date]],"mmmm")</f>
        <v>February</v>
      </c>
      <c r="D2010" t="s">
        <v>3730</v>
      </c>
      <c r="E2010" t="s">
        <v>3224</v>
      </c>
      <c r="F2010" t="s">
        <v>3226</v>
      </c>
      <c r="G2010" s="4">
        <v>240846.86</v>
      </c>
      <c r="H2010" s="4">
        <v>194485.31</v>
      </c>
      <c r="I2010" s="3" t="s">
        <v>3734</v>
      </c>
      <c r="J2010">
        <v>4</v>
      </c>
      <c r="K2010" s="4">
        <f>Table3[[#This Row],[Sales]]-Table3[[#This Row],[Cost]]</f>
        <v>46361.549999999988</v>
      </c>
      <c r="L2010" s="6">
        <f>Table3[[#This Row],[Profit]]/Table3[[#This Row],[Sales]]</f>
        <v>0.1924938942529705</v>
      </c>
    </row>
    <row r="2011" spans="1:12" x14ac:dyDescent="0.25">
      <c r="A2011" t="s">
        <v>1880</v>
      </c>
      <c r="B2011" s="2">
        <v>45005</v>
      </c>
      <c r="C2011" s="2" t="str">
        <f>TEXT(Table3[[#This Row],[Order Date]],"mmmm")</f>
        <v>March</v>
      </c>
      <c r="D2011" t="s">
        <v>3730</v>
      </c>
      <c r="E2011" t="s">
        <v>3224</v>
      </c>
      <c r="F2011" t="s">
        <v>3226</v>
      </c>
      <c r="G2011" s="4">
        <v>183149.2</v>
      </c>
      <c r="H2011" s="4">
        <v>127779.79</v>
      </c>
      <c r="I2011" s="3" t="s">
        <v>3734</v>
      </c>
      <c r="J2011">
        <v>3</v>
      </c>
      <c r="K2011" s="4">
        <f>Table3[[#This Row],[Sales]]-Table3[[#This Row],[Cost]]</f>
        <v>55369.410000000018</v>
      </c>
      <c r="L2011" s="6">
        <f>Table3[[#This Row],[Profit]]/Table3[[#This Row],[Sales]]</f>
        <v>0.30231860144625267</v>
      </c>
    </row>
    <row r="2012" spans="1:12" x14ac:dyDescent="0.25">
      <c r="A2012" t="s">
        <v>1881</v>
      </c>
      <c r="B2012" s="2">
        <v>45102</v>
      </c>
      <c r="C2012" s="2" t="str">
        <f>TEXT(Table3[[#This Row],[Order Date]],"mmmm")</f>
        <v>June</v>
      </c>
      <c r="D2012" t="s">
        <v>3220</v>
      </c>
      <c r="E2012" t="s">
        <v>3224</v>
      </c>
      <c r="F2012" t="s">
        <v>3226</v>
      </c>
      <c r="G2012" s="4">
        <v>119170.08</v>
      </c>
      <c r="H2012" s="4">
        <v>79551.839999999997</v>
      </c>
      <c r="I2012" s="3" t="s">
        <v>3734</v>
      </c>
      <c r="J2012">
        <v>2</v>
      </c>
      <c r="K2012" s="4">
        <f>Table3[[#This Row],[Sales]]-Table3[[#This Row],[Cost]]</f>
        <v>39618.240000000005</v>
      </c>
      <c r="L2012" s="6">
        <f>Table3[[#This Row],[Profit]]/Table3[[#This Row],[Sales]]</f>
        <v>0.33245123272552979</v>
      </c>
    </row>
    <row r="2013" spans="1:12" x14ac:dyDescent="0.25">
      <c r="A2013" t="s">
        <v>3555</v>
      </c>
      <c r="B2013" s="2">
        <v>45021</v>
      </c>
      <c r="C2013" s="2" t="str">
        <f>TEXT(Table3[[#This Row],[Order Date]],"mmmm")</f>
        <v>April</v>
      </c>
      <c r="D2013" t="s">
        <v>3220</v>
      </c>
      <c r="E2013" t="s">
        <v>3224</v>
      </c>
      <c r="F2013" t="s">
        <v>3226</v>
      </c>
      <c r="G2013" s="4">
        <v>187656.86</v>
      </c>
      <c r="H2013" s="4">
        <v>121519.71</v>
      </c>
      <c r="I2013" s="3" t="s">
        <v>3734</v>
      </c>
      <c r="J2013">
        <v>3</v>
      </c>
      <c r="K2013" s="4">
        <f>Table3[[#This Row],[Sales]]-Table3[[#This Row],[Cost]]</f>
        <v>66137.14999999998</v>
      </c>
      <c r="L2013" s="6">
        <f>Table3[[#This Row],[Profit]]/Table3[[#This Row],[Sales]]</f>
        <v>0.35243662288711419</v>
      </c>
    </row>
    <row r="2014" spans="1:12" x14ac:dyDescent="0.25">
      <c r="A2014" t="s">
        <v>3556</v>
      </c>
      <c r="B2014" s="2" t="s">
        <v>3729</v>
      </c>
      <c r="C2014" s="2" t="str">
        <f>TEXT(Table3[[#This Row],[Order Date]],"mmmm")</f>
        <v>Not Mentioned</v>
      </c>
      <c r="D2014" t="s">
        <v>3731</v>
      </c>
      <c r="E2014" t="s">
        <v>3223</v>
      </c>
      <c r="F2014" t="s">
        <v>3226</v>
      </c>
      <c r="G2014" s="4">
        <v>37421.49</v>
      </c>
      <c r="H2014" s="4">
        <v>29061.23</v>
      </c>
      <c r="I2014" s="3" t="s">
        <v>3734</v>
      </c>
      <c r="J2014">
        <v>4</v>
      </c>
      <c r="K2014" s="4">
        <f>Table3[[#This Row],[Sales]]-Table3[[#This Row],[Cost]]</f>
        <v>8360.2599999999984</v>
      </c>
      <c r="L2014" s="6">
        <f>Table3[[#This Row],[Profit]]/Table3[[#This Row],[Sales]]</f>
        <v>0.22340799364215586</v>
      </c>
    </row>
    <row r="2015" spans="1:12" x14ac:dyDescent="0.25">
      <c r="A2015" t="s">
        <v>1884</v>
      </c>
      <c r="B2015" s="2">
        <v>44972</v>
      </c>
      <c r="C2015" s="2" t="str">
        <f>TEXT(Table3[[#This Row],[Order Date]],"mmmm")</f>
        <v>February</v>
      </c>
      <c r="D2015" t="s">
        <v>3730</v>
      </c>
      <c r="E2015" t="s">
        <v>3224</v>
      </c>
      <c r="F2015" t="s">
        <v>3226</v>
      </c>
      <c r="G2015" s="4">
        <v>319441.11</v>
      </c>
      <c r="H2015" s="4">
        <v>216703.54</v>
      </c>
      <c r="I2015" s="3" t="s">
        <v>3734</v>
      </c>
      <c r="J2015">
        <v>5</v>
      </c>
      <c r="K2015" s="4">
        <f>Table3[[#This Row],[Sales]]-Table3[[#This Row],[Cost]]</f>
        <v>102737.56999999998</v>
      </c>
      <c r="L2015" s="6">
        <f>Table3[[#This Row],[Profit]]/Table3[[#This Row],[Sales]]</f>
        <v>0.32161661972687228</v>
      </c>
    </row>
    <row r="2016" spans="1:12" x14ac:dyDescent="0.25">
      <c r="A2016" t="s">
        <v>1885</v>
      </c>
      <c r="B2016" s="2" t="s">
        <v>3729</v>
      </c>
      <c r="C2016" s="2" t="str">
        <f>TEXT(Table3[[#This Row],[Order Date]],"mmmm")</f>
        <v>Not Mentioned</v>
      </c>
      <c r="D2016" t="s">
        <v>3220</v>
      </c>
      <c r="E2016" t="s">
        <v>3222</v>
      </c>
      <c r="F2016" t="s">
        <v>3226</v>
      </c>
      <c r="G2016" s="4">
        <v>34560.68</v>
      </c>
      <c r="H2016" s="4">
        <v>27648.544000000002</v>
      </c>
      <c r="I2016" s="3" t="s">
        <v>3735</v>
      </c>
      <c r="J2016">
        <v>2</v>
      </c>
      <c r="K2016" s="4">
        <f>Table3[[#This Row],[Sales]]-Table3[[#This Row],[Cost]]</f>
        <v>6912.1359999999986</v>
      </c>
      <c r="L2016" s="6">
        <f>Table3[[#This Row],[Profit]]/Table3[[#This Row],[Sales]]</f>
        <v>0.19999999999999996</v>
      </c>
    </row>
    <row r="2017" spans="1:12" x14ac:dyDescent="0.25">
      <c r="A2017" t="s">
        <v>1886</v>
      </c>
      <c r="B2017" s="2" t="s">
        <v>3729</v>
      </c>
      <c r="C2017" s="2" t="str">
        <f>TEXT(Table3[[#This Row],[Order Date]],"mmmm")</f>
        <v>Not Mentioned</v>
      </c>
      <c r="D2017" t="s">
        <v>3731</v>
      </c>
      <c r="E2017" t="s">
        <v>3225</v>
      </c>
      <c r="F2017" t="s">
        <v>3226</v>
      </c>
      <c r="G2017" s="4">
        <v>86157.18</v>
      </c>
      <c r="H2017" s="4">
        <v>61251.42</v>
      </c>
      <c r="I2017" s="3" t="s">
        <v>3734</v>
      </c>
      <c r="J2017">
        <v>4</v>
      </c>
      <c r="K2017" s="4">
        <f>Table3[[#This Row],[Sales]]-Table3[[#This Row],[Cost]]</f>
        <v>24905.759999999995</v>
      </c>
      <c r="L2017" s="6">
        <f>Table3[[#This Row],[Profit]]/Table3[[#This Row],[Sales]]</f>
        <v>0.28907352817257942</v>
      </c>
    </row>
    <row r="2018" spans="1:12" x14ac:dyDescent="0.25">
      <c r="A2018" t="s">
        <v>1887</v>
      </c>
      <c r="B2018" s="2">
        <v>44972</v>
      </c>
      <c r="C2018" s="2" t="str">
        <f>TEXT(Table3[[#This Row],[Order Date]],"mmmm")</f>
        <v>February</v>
      </c>
      <c r="D2018" t="s">
        <v>3730</v>
      </c>
      <c r="E2018" t="s">
        <v>3222</v>
      </c>
      <c r="F2018" t="s">
        <v>3226</v>
      </c>
      <c r="G2018" s="4">
        <v>15192.11</v>
      </c>
      <c r="H2018" s="4">
        <v>9221.65</v>
      </c>
      <c r="I2018" s="3" t="s">
        <v>3734</v>
      </c>
      <c r="J2018">
        <v>1</v>
      </c>
      <c r="K2018" s="4">
        <f>Table3[[#This Row],[Sales]]-Table3[[#This Row],[Cost]]</f>
        <v>5970.4600000000009</v>
      </c>
      <c r="L2018" s="6">
        <f>Table3[[#This Row],[Profit]]/Table3[[#This Row],[Sales]]</f>
        <v>0.39299741773854985</v>
      </c>
    </row>
    <row r="2019" spans="1:12" x14ac:dyDescent="0.25">
      <c r="A2019" t="s">
        <v>1888</v>
      </c>
      <c r="B2019" s="2">
        <v>44941</v>
      </c>
      <c r="C2019" s="2" t="str">
        <f>TEXT(Table3[[#This Row],[Order Date]],"mmmm")</f>
        <v>January</v>
      </c>
      <c r="D2019" t="s">
        <v>3220</v>
      </c>
      <c r="E2019" t="s">
        <v>3225</v>
      </c>
      <c r="F2019" t="s">
        <v>3226</v>
      </c>
      <c r="G2019" s="4">
        <v>49701.919999999998</v>
      </c>
      <c r="H2019" s="4">
        <v>39761.536</v>
      </c>
      <c r="I2019" s="3" t="s">
        <v>3735</v>
      </c>
      <c r="J2019">
        <v>3</v>
      </c>
      <c r="K2019" s="4">
        <f>Table3[[#This Row],[Sales]]-Table3[[#This Row],[Cost]]</f>
        <v>9940.3839999999982</v>
      </c>
      <c r="L2019" s="6">
        <f>Table3[[#This Row],[Profit]]/Table3[[#This Row],[Sales]]</f>
        <v>0.19999999999999998</v>
      </c>
    </row>
    <row r="2020" spans="1:12" x14ac:dyDescent="0.25">
      <c r="A2020" t="s">
        <v>1889</v>
      </c>
      <c r="B2020" s="2">
        <v>45021</v>
      </c>
      <c r="C2020" s="2" t="str">
        <f>TEXT(Table3[[#This Row],[Order Date]],"mmmm")</f>
        <v>April</v>
      </c>
      <c r="D2020" t="s">
        <v>3730</v>
      </c>
      <c r="E2020" t="s">
        <v>3223</v>
      </c>
      <c r="F2020" t="s">
        <v>3226</v>
      </c>
      <c r="G2020" s="4">
        <v>22526.37</v>
      </c>
      <c r="H2020" s="4">
        <v>18021.096000000001</v>
      </c>
      <c r="I2020" s="3" t="s">
        <v>3735</v>
      </c>
      <c r="J2020">
        <v>2</v>
      </c>
      <c r="K2020" s="4">
        <f>Table3[[#This Row],[Sales]]-Table3[[#This Row],[Cost]]</f>
        <v>4505.2739999999976</v>
      </c>
      <c r="L2020" s="6">
        <f>Table3[[#This Row],[Profit]]/Table3[[#This Row],[Sales]]</f>
        <v>0.1999999999999999</v>
      </c>
    </row>
    <row r="2021" spans="1:12" x14ac:dyDescent="0.25">
      <c r="A2021" t="s">
        <v>1890</v>
      </c>
      <c r="B2021" s="2">
        <v>45021</v>
      </c>
      <c r="C2021" s="2" t="str">
        <f>TEXT(Table3[[#This Row],[Order Date]],"mmmm")</f>
        <v>April</v>
      </c>
      <c r="D2021" t="s">
        <v>3730</v>
      </c>
      <c r="E2021" t="s">
        <v>3225</v>
      </c>
      <c r="F2021" t="s">
        <v>3226</v>
      </c>
      <c r="G2021" s="4">
        <v>89837.06</v>
      </c>
      <c r="H2021" s="4">
        <v>62759.06</v>
      </c>
      <c r="I2021" s="3" t="s">
        <v>3734</v>
      </c>
      <c r="J2021">
        <v>5</v>
      </c>
      <c r="K2021" s="4">
        <f>Table3[[#This Row],[Sales]]-Table3[[#This Row],[Cost]]</f>
        <v>27078</v>
      </c>
      <c r="L2021" s="6">
        <f>Table3[[#This Row],[Profit]]/Table3[[#This Row],[Sales]]</f>
        <v>0.30141235699387314</v>
      </c>
    </row>
    <row r="2022" spans="1:12" x14ac:dyDescent="0.25">
      <c r="A2022" t="s">
        <v>3557</v>
      </c>
      <c r="B2022" s="2" t="s">
        <v>3729</v>
      </c>
      <c r="C2022" s="2" t="str">
        <f>TEXT(Table3[[#This Row],[Order Date]],"mmmm")</f>
        <v>Not Mentioned</v>
      </c>
      <c r="D2022" t="s">
        <v>3731</v>
      </c>
      <c r="E2022" t="s">
        <v>3222</v>
      </c>
      <c r="F2022" t="s">
        <v>3226</v>
      </c>
      <c r="G2022" s="4">
        <v>52299.16</v>
      </c>
      <c r="H2022" s="4">
        <v>28810.53</v>
      </c>
      <c r="I2022" s="3" t="s">
        <v>3734</v>
      </c>
      <c r="J2022">
        <v>3</v>
      </c>
      <c r="K2022" s="4">
        <f>Table3[[#This Row],[Sales]]-Table3[[#This Row],[Cost]]</f>
        <v>23488.630000000005</v>
      </c>
      <c r="L2022" s="6">
        <f>Table3[[#This Row],[Profit]]/Table3[[#This Row],[Sales]]</f>
        <v>0.44912059773044161</v>
      </c>
    </row>
    <row r="2023" spans="1:12" x14ac:dyDescent="0.25">
      <c r="A2023" t="s">
        <v>1892</v>
      </c>
      <c r="B2023" s="2" t="s">
        <v>3729</v>
      </c>
      <c r="C2023" s="2" t="str">
        <f>TEXT(Table3[[#This Row],[Order Date]],"mmmm")</f>
        <v>Not Mentioned</v>
      </c>
      <c r="D2023" t="s">
        <v>3730</v>
      </c>
      <c r="E2023" t="s">
        <v>3223</v>
      </c>
      <c r="F2023" t="s">
        <v>3226</v>
      </c>
      <c r="G2023" s="4">
        <v>58847.63</v>
      </c>
      <c r="H2023" s="4">
        <v>35082.32</v>
      </c>
      <c r="I2023" s="3" t="s">
        <v>3734</v>
      </c>
      <c r="J2023">
        <v>5</v>
      </c>
      <c r="K2023" s="4">
        <f>Table3[[#This Row],[Sales]]-Table3[[#This Row],[Cost]]</f>
        <v>23765.309999999998</v>
      </c>
      <c r="L2023" s="6">
        <f>Table3[[#This Row],[Profit]]/Table3[[#This Row],[Sales]]</f>
        <v>0.40384481074259065</v>
      </c>
    </row>
    <row r="2024" spans="1:12" x14ac:dyDescent="0.25">
      <c r="A2024" t="s">
        <v>1893</v>
      </c>
      <c r="B2024" s="2">
        <v>44941</v>
      </c>
      <c r="C2024" s="2" t="str">
        <f>TEXT(Table3[[#This Row],[Order Date]],"mmmm")</f>
        <v>January</v>
      </c>
      <c r="D2024" t="s">
        <v>3730</v>
      </c>
      <c r="E2024" t="s">
        <v>3222</v>
      </c>
      <c r="F2024" t="s">
        <v>3226</v>
      </c>
      <c r="G2024" s="4">
        <v>28823.95</v>
      </c>
      <c r="H2024" s="4">
        <v>19558.63</v>
      </c>
      <c r="I2024" s="3" t="s">
        <v>3734</v>
      </c>
      <c r="J2024">
        <v>2</v>
      </c>
      <c r="K2024" s="4">
        <f>Table3[[#This Row],[Sales]]-Table3[[#This Row],[Cost]]</f>
        <v>9265.32</v>
      </c>
      <c r="L2024" s="6">
        <f>Table3[[#This Row],[Profit]]/Table3[[#This Row],[Sales]]</f>
        <v>0.32144518707533143</v>
      </c>
    </row>
    <row r="2025" spans="1:12" x14ac:dyDescent="0.25">
      <c r="A2025" t="s">
        <v>1894</v>
      </c>
      <c r="B2025" s="2">
        <v>45021</v>
      </c>
      <c r="C2025" s="2" t="str">
        <f>TEXT(Table3[[#This Row],[Order Date]],"mmmm")</f>
        <v>April</v>
      </c>
      <c r="D2025" t="s">
        <v>3220</v>
      </c>
      <c r="E2025" t="s">
        <v>3222</v>
      </c>
      <c r="F2025" t="s">
        <v>3226</v>
      </c>
      <c r="G2025" s="4">
        <v>52003.5</v>
      </c>
      <c r="H2025" s="4">
        <v>41992.39</v>
      </c>
      <c r="I2025" s="3" t="s">
        <v>3734</v>
      </c>
      <c r="J2025">
        <v>4</v>
      </c>
      <c r="K2025" s="4">
        <f>Table3[[#This Row],[Sales]]-Table3[[#This Row],[Cost]]</f>
        <v>10011.11</v>
      </c>
      <c r="L2025" s="6">
        <f>Table3[[#This Row],[Profit]]/Table3[[#This Row],[Sales]]</f>
        <v>0.19250838885844224</v>
      </c>
    </row>
    <row r="2026" spans="1:12" x14ac:dyDescent="0.25">
      <c r="A2026" t="s">
        <v>1895</v>
      </c>
      <c r="B2026" s="2" t="s">
        <v>3729</v>
      </c>
      <c r="C2026" s="2" t="str">
        <f>TEXT(Table3[[#This Row],[Order Date]],"mmmm")</f>
        <v>Not Mentioned</v>
      </c>
      <c r="D2026" t="s">
        <v>3220</v>
      </c>
      <c r="E2026" t="s">
        <v>3223</v>
      </c>
      <c r="F2026" t="s">
        <v>3226</v>
      </c>
      <c r="G2026" s="4">
        <v>9262.4</v>
      </c>
      <c r="H2026" s="4">
        <v>7637.05</v>
      </c>
      <c r="I2026" s="3" t="s">
        <v>3734</v>
      </c>
      <c r="J2026">
        <v>1</v>
      </c>
      <c r="K2026" s="4">
        <f>Table3[[#This Row],[Sales]]-Table3[[#This Row],[Cost]]</f>
        <v>1625.3499999999995</v>
      </c>
      <c r="L2026" s="6">
        <f>Table3[[#This Row],[Profit]]/Table3[[#This Row],[Sales]]</f>
        <v>0.17547827776818098</v>
      </c>
    </row>
    <row r="2027" spans="1:12" x14ac:dyDescent="0.25">
      <c r="A2027" t="s">
        <v>1896</v>
      </c>
      <c r="B2027" s="2">
        <v>45102</v>
      </c>
      <c r="C2027" s="2" t="str">
        <f>TEXT(Table3[[#This Row],[Order Date]],"mmmm")</f>
        <v>June</v>
      </c>
      <c r="D2027" t="s">
        <v>3730</v>
      </c>
      <c r="E2027" t="s">
        <v>3225</v>
      </c>
      <c r="F2027" t="s">
        <v>3226</v>
      </c>
      <c r="G2027" s="4">
        <v>94567.79</v>
      </c>
      <c r="H2027" s="4">
        <v>68261.67</v>
      </c>
      <c r="I2027" s="3" t="s">
        <v>3734</v>
      </c>
      <c r="J2027">
        <v>5</v>
      </c>
      <c r="K2027" s="4">
        <f>Table3[[#This Row],[Sales]]-Table3[[#This Row],[Cost]]</f>
        <v>26306.119999999995</v>
      </c>
      <c r="L2027" s="6">
        <f>Table3[[#This Row],[Profit]]/Table3[[#This Row],[Sales]]</f>
        <v>0.27817209221025463</v>
      </c>
    </row>
    <row r="2028" spans="1:12" x14ac:dyDescent="0.25">
      <c r="A2028" t="s">
        <v>1714</v>
      </c>
      <c r="B2028" s="2">
        <v>45005</v>
      </c>
      <c r="C2028" s="2" t="str">
        <f>TEXT(Table3[[#This Row],[Order Date]],"mmmm")</f>
        <v>March</v>
      </c>
      <c r="D2028" t="s">
        <v>3731</v>
      </c>
      <c r="E2028" t="s">
        <v>3225</v>
      </c>
      <c r="F2028" t="s">
        <v>3226</v>
      </c>
      <c r="G2028" s="4">
        <v>33497.56</v>
      </c>
      <c r="H2028" s="4">
        <v>25730.38</v>
      </c>
      <c r="I2028" s="3" t="s">
        <v>3734</v>
      </c>
      <c r="J2028">
        <v>2</v>
      </c>
      <c r="K2028" s="4">
        <f>Table3[[#This Row],[Sales]]-Table3[[#This Row],[Cost]]</f>
        <v>7767.1799999999967</v>
      </c>
      <c r="L2028" s="6">
        <f>Table3[[#This Row],[Profit]]/Table3[[#This Row],[Sales]]</f>
        <v>0.23187300806387084</v>
      </c>
    </row>
    <row r="2029" spans="1:12" x14ac:dyDescent="0.25">
      <c r="A2029" t="s">
        <v>1897</v>
      </c>
      <c r="B2029" s="2">
        <v>44941</v>
      </c>
      <c r="C2029" s="2" t="str">
        <f>TEXT(Table3[[#This Row],[Order Date]],"mmmm")</f>
        <v>January</v>
      </c>
      <c r="D2029" t="s">
        <v>3730</v>
      </c>
      <c r="E2029" t="s">
        <v>3223</v>
      </c>
      <c r="F2029" t="s">
        <v>3226</v>
      </c>
      <c r="G2029" s="4">
        <v>10850.65</v>
      </c>
      <c r="H2029" s="4">
        <v>6126.17</v>
      </c>
      <c r="I2029" s="3" t="s">
        <v>3734</v>
      </c>
      <c r="J2029">
        <v>1</v>
      </c>
      <c r="K2029" s="4">
        <f>Table3[[#This Row],[Sales]]-Table3[[#This Row],[Cost]]</f>
        <v>4724.4799999999996</v>
      </c>
      <c r="L2029" s="6">
        <f>Table3[[#This Row],[Profit]]/Table3[[#This Row],[Sales]]</f>
        <v>0.43540986023878753</v>
      </c>
    </row>
    <row r="2030" spans="1:12" x14ac:dyDescent="0.25">
      <c r="A2030" t="s">
        <v>3558</v>
      </c>
      <c r="B2030" s="2">
        <v>45102</v>
      </c>
      <c r="C2030" s="2" t="str">
        <f>TEXT(Table3[[#This Row],[Order Date]],"mmmm")</f>
        <v>June</v>
      </c>
      <c r="D2030" t="s">
        <v>3220</v>
      </c>
      <c r="E2030" t="s">
        <v>3223</v>
      </c>
      <c r="F2030" t="s">
        <v>3226</v>
      </c>
      <c r="G2030" s="4">
        <v>57520.09</v>
      </c>
      <c r="H2030" s="4">
        <v>46016.072</v>
      </c>
      <c r="I2030" s="3" t="s">
        <v>3735</v>
      </c>
      <c r="J2030">
        <v>5</v>
      </c>
      <c r="K2030" s="4">
        <f>Table3[[#This Row],[Sales]]-Table3[[#This Row],[Cost]]</f>
        <v>11504.017999999996</v>
      </c>
      <c r="L2030" s="6">
        <f>Table3[[#This Row],[Profit]]/Table3[[#This Row],[Sales]]</f>
        <v>0.19999999999999996</v>
      </c>
    </row>
    <row r="2031" spans="1:12" x14ac:dyDescent="0.25">
      <c r="A2031" t="s">
        <v>3559</v>
      </c>
      <c r="B2031" s="2">
        <v>44972</v>
      </c>
      <c r="C2031" s="2" t="str">
        <f>TEXT(Table3[[#This Row],[Order Date]],"mmmm")</f>
        <v>February</v>
      </c>
      <c r="D2031" t="s">
        <v>3220</v>
      </c>
      <c r="E2031" t="s">
        <v>3223</v>
      </c>
      <c r="F2031" t="s">
        <v>3226</v>
      </c>
      <c r="G2031" s="4">
        <v>30261.08</v>
      </c>
      <c r="H2031" s="4">
        <v>20039.259999999998</v>
      </c>
      <c r="I2031" s="3" t="s">
        <v>3734</v>
      </c>
      <c r="J2031">
        <v>3</v>
      </c>
      <c r="K2031" s="4">
        <f>Table3[[#This Row],[Sales]]-Table3[[#This Row],[Cost]]</f>
        <v>10221.820000000003</v>
      </c>
      <c r="L2031" s="6">
        <f>Table3[[#This Row],[Profit]]/Table3[[#This Row],[Sales]]</f>
        <v>0.33778767975234203</v>
      </c>
    </row>
    <row r="2032" spans="1:12" x14ac:dyDescent="0.25">
      <c r="A2032" t="s">
        <v>1900</v>
      </c>
      <c r="B2032" s="2">
        <v>44941</v>
      </c>
      <c r="C2032" s="2" t="str">
        <f>TEXT(Table3[[#This Row],[Order Date]],"mmmm")</f>
        <v>January</v>
      </c>
      <c r="D2032" t="s">
        <v>3220</v>
      </c>
      <c r="E2032" t="s">
        <v>3224</v>
      </c>
      <c r="F2032" t="s">
        <v>3226</v>
      </c>
      <c r="G2032" s="4">
        <v>214005.5</v>
      </c>
      <c r="H2032" s="4">
        <v>121168.8</v>
      </c>
      <c r="I2032" s="3" t="s">
        <v>3734</v>
      </c>
      <c r="J2032">
        <v>3</v>
      </c>
      <c r="K2032" s="4">
        <f>Table3[[#This Row],[Sales]]-Table3[[#This Row],[Cost]]</f>
        <v>92836.7</v>
      </c>
      <c r="L2032" s="6">
        <f>Table3[[#This Row],[Profit]]/Table3[[#This Row],[Sales]]</f>
        <v>0.43380520594096877</v>
      </c>
    </row>
    <row r="2033" spans="1:12" x14ac:dyDescent="0.25">
      <c r="A2033" t="s">
        <v>1901</v>
      </c>
      <c r="B2033" s="2">
        <v>44941</v>
      </c>
      <c r="C2033" s="2" t="str">
        <f>TEXT(Table3[[#This Row],[Order Date]],"mmmm")</f>
        <v>January</v>
      </c>
      <c r="D2033" t="s">
        <v>3730</v>
      </c>
      <c r="E2033" t="s">
        <v>3225</v>
      </c>
      <c r="F2033" t="s">
        <v>3226</v>
      </c>
      <c r="G2033" s="4">
        <v>95070.71</v>
      </c>
      <c r="H2033" s="4">
        <v>60859.96</v>
      </c>
      <c r="I2033" s="3" t="s">
        <v>3734</v>
      </c>
      <c r="J2033">
        <v>5</v>
      </c>
      <c r="K2033" s="4">
        <f>Table3[[#This Row],[Sales]]-Table3[[#This Row],[Cost]]</f>
        <v>34210.750000000007</v>
      </c>
      <c r="L2033" s="6">
        <f>Table3[[#This Row],[Profit]]/Table3[[#This Row],[Sales]]</f>
        <v>0.3598453193417826</v>
      </c>
    </row>
    <row r="2034" spans="1:12" x14ac:dyDescent="0.25">
      <c r="A2034" t="s">
        <v>1718</v>
      </c>
      <c r="B2034" s="2">
        <v>45021</v>
      </c>
      <c r="C2034" s="2" t="str">
        <f>TEXT(Table3[[#This Row],[Order Date]],"mmmm")</f>
        <v>April</v>
      </c>
      <c r="D2034" t="s">
        <v>3731</v>
      </c>
      <c r="E2034" t="s">
        <v>3224</v>
      </c>
      <c r="F2034" t="s">
        <v>3226</v>
      </c>
      <c r="G2034" s="4">
        <v>57382.6</v>
      </c>
      <c r="H2034" s="4">
        <v>41005</v>
      </c>
      <c r="I2034" s="3" t="s">
        <v>3734</v>
      </c>
      <c r="J2034">
        <v>1</v>
      </c>
      <c r="K2034" s="4">
        <f>Table3[[#This Row],[Sales]]-Table3[[#This Row],[Cost]]</f>
        <v>16377.599999999999</v>
      </c>
      <c r="L2034" s="6">
        <f>Table3[[#This Row],[Profit]]/Table3[[#This Row],[Sales]]</f>
        <v>0.28541055999553872</v>
      </c>
    </row>
    <row r="2035" spans="1:12" x14ac:dyDescent="0.25">
      <c r="A2035" t="s">
        <v>1902</v>
      </c>
      <c r="B2035" s="2">
        <v>45021</v>
      </c>
      <c r="C2035" s="2" t="str">
        <f>TEXT(Table3[[#This Row],[Order Date]],"mmmm")</f>
        <v>April</v>
      </c>
      <c r="D2035" t="s">
        <v>3731</v>
      </c>
      <c r="E2035" t="s">
        <v>3224</v>
      </c>
      <c r="F2035" t="s">
        <v>3226</v>
      </c>
      <c r="G2035" s="4">
        <v>222353.09</v>
      </c>
      <c r="H2035" s="4">
        <v>190359.01</v>
      </c>
      <c r="I2035" s="3" t="s">
        <v>3734</v>
      </c>
      <c r="J2035">
        <v>4</v>
      </c>
      <c r="K2035" s="4">
        <f>Table3[[#This Row],[Sales]]-Table3[[#This Row],[Cost]]</f>
        <v>31994.079999999987</v>
      </c>
      <c r="L2035" s="6">
        <f>Table3[[#This Row],[Profit]]/Table3[[#This Row],[Sales]]</f>
        <v>0.14388862327031293</v>
      </c>
    </row>
    <row r="2036" spans="1:12" x14ac:dyDescent="0.25">
      <c r="A2036" t="s">
        <v>1903</v>
      </c>
      <c r="B2036" s="2">
        <v>44972</v>
      </c>
      <c r="C2036" s="2" t="str">
        <f>TEXT(Table3[[#This Row],[Order Date]],"mmmm")</f>
        <v>February</v>
      </c>
      <c r="D2036" t="s">
        <v>3730</v>
      </c>
      <c r="E2036" t="s">
        <v>3223</v>
      </c>
      <c r="F2036" t="s">
        <v>3226</v>
      </c>
      <c r="G2036" s="4">
        <v>8218.32</v>
      </c>
      <c r="H2036" s="4">
        <v>6940.89</v>
      </c>
      <c r="I2036" s="3" t="s">
        <v>3734</v>
      </c>
      <c r="J2036">
        <v>1</v>
      </c>
      <c r="K2036" s="4">
        <f>Table3[[#This Row],[Sales]]-Table3[[#This Row],[Cost]]</f>
        <v>1277.4299999999994</v>
      </c>
      <c r="L2036" s="6">
        <f>Table3[[#This Row],[Profit]]/Table3[[#This Row],[Sales]]</f>
        <v>0.15543687761002242</v>
      </c>
    </row>
    <row r="2037" spans="1:12" x14ac:dyDescent="0.25">
      <c r="A2037" t="s">
        <v>1905</v>
      </c>
      <c r="B2037" s="2" t="s">
        <v>3729</v>
      </c>
      <c r="C2037" s="2" t="str">
        <f>TEXT(Table3[[#This Row],[Order Date]],"mmmm")</f>
        <v>Not Mentioned</v>
      </c>
      <c r="D2037" t="s">
        <v>3731</v>
      </c>
      <c r="E2037" t="s">
        <v>3225</v>
      </c>
      <c r="F2037" t="s">
        <v>3226</v>
      </c>
      <c r="G2037" s="4">
        <v>92470.83</v>
      </c>
      <c r="H2037" s="4">
        <v>64914.97</v>
      </c>
      <c r="I2037" s="3" t="s">
        <v>3734</v>
      </c>
      <c r="J2037" t="s">
        <v>3732</v>
      </c>
      <c r="K2037" s="4">
        <f>Table3[[#This Row],[Sales]]-Table3[[#This Row],[Cost]]</f>
        <v>27555.86</v>
      </c>
      <c r="L2037" s="6">
        <f>Table3[[#This Row],[Profit]]/Table3[[#This Row],[Sales]]</f>
        <v>0.29799516236633761</v>
      </c>
    </row>
    <row r="2038" spans="1:12" x14ac:dyDescent="0.25">
      <c r="A2038" t="s">
        <v>1906</v>
      </c>
      <c r="B2038" s="2">
        <v>44972</v>
      </c>
      <c r="C2038" s="2" t="str">
        <f>TEXT(Table3[[#This Row],[Order Date]],"mmmm")</f>
        <v>February</v>
      </c>
      <c r="D2038" t="s">
        <v>3216</v>
      </c>
      <c r="E2038" t="s">
        <v>3225</v>
      </c>
      <c r="F2038" t="s">
        <v>3226</v>
      </c>
      <c r="G2038" s="4">
        <v>81530.570000000007</v>
      </c>
      <c r="H2038" s="4">
        <v>74767.460000000006</v>
      </c>
      <c r="I2038" s="3" t="s">
        <v>3734</v>
      </c>
      <c r="J2038">
        <v>5</v>
      </c>
      <c r="K2038" s="4">
        <f>Table3[[#This Row],[Sales]]-Table3[[#This Row],[Cost]]</f>
        <v>6763.1100000000006</v>
      </c>
      <c r="L2038" s="6">
        <f>Table3[[#This Row],[Profit]]/Table3[[#This Row],[Sales]]</f>
        <v>8.2951830215341318E-2</v>
      </c>
    </row>
    <row r="2039" spans="1:12" x14ac:dyDescent="0.25">
      <c r="A2039" t="s">
        <v>1907</v>
      </c>
      <c r="B2039" s="2" t="s">
        <v>3729</v>
      </c>
      <c r="C2039" s="2" t="str">
        <f>TEXT(Table3[[#This Row],[Order Date]],"mmmm")</f>
        <v>Not Mentioned</v>
      </c>
      <c r="D2039" t="s">
        <v>3220</v>
      </c>
      <c r="E2039" t="s">
        <v>3223</v>
      </c>
      <c r="F2039" t="s">
        <v>3226</v>
      </c>
      <c r="G2039" s="4">
        <v>29389.66</v>
      </c>
      <c r="H2039" s="4">
        <v>19608.099999999999</v>
      </c>
      <c r="I2039" s="3" t="s">
        <v>3734</v>
      </c>
      <c r="J2039" t="s">
        <v>3732</v>
      </c>
      <c r="K2039" s="4">
        <f>Table3[[#This Row],[Sales]]-Table3[[#This Row],[Cost]]</f>
        <v>9781.5600000000013</v>
      </c>
      <c r="L2039" s="6">
        <f>Table3[[#This Row],[Profit]]/Table3[[#This Row],[Sales]]</f>
        <v>0.33282317658659549</v>
      </c>
    </row>
    <row r="2040" spans="1:12" x14ac:dyDescent="0.25">
      <c r="A2040" t="s">
        <v>405</v>
      </c>
      <c r="B2040" s="2">
        <v>44941</v>
      </c>
      <c r="C2040" s="2" t="str">
        <f>TEXT(Table3[[#This Row],[Order Date]],"mmmm")</f>
        <v>January</v>
      </c>
      <c r="D2040" t="s">
        <v>3730</v>
      </c>
      <c r="E2040" t="s">
        <v>3224</v>
      </c>
      <c r="F2040" t="s">
        <v>3226</v>
      </c>
      <c r="G2040" s="4">
        <v>331641.96999999997</v>
      </c>
      <c r="H2040" s="4">
        <v>245071.46</v>
      </c>
      <c r="I2040" s="3" t="s">
        <v>3734</v>
      </c>
      <c r="J2040">
        <v>5</v>
      </c>
      <c r="K2040" s="4">
        <f>Table3[[#This Row],[Sales]]-Table3[[#This Row],[Cost]]</f>
        <v>86570.50999999998</v>
      </c>
      <c r="L2040" s="6">
        <f>Table3[[#This Row],[Profit]]/Table3[[#This Row],[Sales]]</f>
        <v>0.26103605041304029</v>
      </c>
    </row>
    <row r="2041" spans="1:12" x14ac:dyDescent="0.25">
      <c r="A2041" t="s">
        <v>1908</v>
      </c>
      <c r="B2041" s="2">
        <v>44941</v>
      </c>
      <c r="C2041" s="2" t="str">
        <f>TEXT(Table3[[#This Row],[Order Date]],"mmmm")</f>
        <v>January</v>
      </c>
      <c r="D2041" t="s">
        <v>3220</v>
      </c>
      <c r="E2041" t="s">
        <v>3223</v>
      </c>
      <c r="F2041" t="s">
        <v>3226</v>
      </c>
      <c r="G2041" s="4">
        <v>10239.76</v>
      </c>
      <c r="H2041" s="4">
        <v>6461.32</v>
      </c>
      <c r="I2041" s="3" t="s">
        <v>3734</v>
      </c>
      <c r="J2041">
        <v>1</v>
      </c>
      <c r="K2041" s="4">
        <f>Table3[[#This Row],[Sales]]-Table3[[#This Row],[Cost]]</f>
        <v>3778.4400000000005</v>
      </c>
      <c r="L2041" s="6">
        <f>Table3[[#This Row],[Profit]]/Table3[[#This Row],[Sales]]</f>
        <v>0.36899692961553793</v>
      </c>
    </row>
    <row r="2042" spans="1:12" x14ac:dyDescent="0.25">
      <c r="A2042" t="s">
        <v>1909</v>
      </c>
      <c r="B2042" s="2">
        <v>45005</v>
      </c>
      <c r="C2042" s="2" t="str">
        <f>TEXT(Table3[[#This Row],[Order Date]],"mmmm")</f>
        <v>March</v>
      </c>
      <c r="D2042" t="s">
        <v>3216</v>
      </c>
      <c r="E2042" t="s">
        <v>3225</v>
      </c>
      <c r="F2042" t="s">
        <v>3226</v>
      </c>
      <c r="G2042" s="4">
        <v>75267.710000000006</v>
      </c>
      <c r="H2042" s="4">
        <v>53861.03</v>
      </c>
      <c r="I2042" s="3" t="s">
        <v>3734</v>
      </c>
      <c r="J2042">
        <v>4</v>
      </c>
      <c r="K2042" s="4">
        <f>Table3[[#This Row],[Sales]]-Table3[[#This Row],[Cost]]</f>
        <v>21406.680000000008</v>
      </c>
      <c r="L2042" s="6">
        <f>Table3[[#This Row],[Profit]]/Table3[[#This Row],[Sales]]</f>
        <v>0.28440721791588991</v>
      </c>
    </row>
    <row r="2043" spans="1:12" x14ac:dyDescent="0.25">
      <c r="A2043" t="s">
        <v>930</v>
      </c>
      <c r="B2043" s="2">
        <v>45021</v>
      </c>
      <c r="C2043" s="2" t="str">
        <f>TEXT(Table3[[#This Row],[Order Date]],"mmmm")</f>
        <v>April</v>
      </c>
      <c r="D2043" t="s">
        <v>3730</v>
      </c>
      <c r="E2043" t="s">
        <v>3225</v>
      </c>
      <c r="F2043" t="s">
        <v>3226</v>
      </c>
      <c r="G2043" s="4">
        <v>51477.81</v>
      </c>
      <c r="H2043" s="4">
        <v>36783.81</v>
      </c>
      <c r="I2043" s="3" t="s">
        <v>3734</v>
      </c>
      <c r="J2043">
        <v>3</v>
      </c>
      <c r="K2043" s="4">
        <f>Table3[[#This Row],[Sales]]-Table3[[#This Row],[Cost]]</f>
        <v>14694</v>
      </c>
      <c r="L2043" s="6">
        <f>Table3[[#This Row],[Profit]]/Table3[[#This Row],[Sales]]</f>
        <v>0.28544337841877893</v>
      </c>
    </row>
    <row r="2044" spans="1:12" x14ac:dyDescent="0.25">
      <c r="A2044" t="s">
        <v>3560</v>
      </c>
      <c r="B2044" s="2">
        <v>45102</v>
      </c>
      <c r="C2044" s="2" t="str">
        <f>TEXT(Table3[[#This Row],[Order Date]],"mmmm")</f>
        <v>June</v>
      </c>
      <c r="D2044" t="s">
        <v>3216</v>
      </c>
      <c r="E2044" t="s">
        <v>3222</v>
      </c>
      <c r="F2044" t="s">
        <v>3226</v>
      </c>
      <c r="G2044" s="4">
        <v>33055.17</v>
      </c>
      <c r="H2044" s="4">
        <v>20444.47</v>
      </c>
      <c r="I2044" s="3" t="s">
        <v>3734</v>
      </c>
      <c r="J2044">
        <v>2</v>
      </c>
      <c r="K2044" s="4">
        <f>Table3[[#This Row],[Sales]]-Table3[[#This Row],[Cost]]</f>
        <v>12610.699999999997</v>
      </c>
      <c r="L2044" s="6">
        <f>Table3[[#This Row],[Profit]]/Table3[[#This Row],[Sales]]</f>
        <v>0.38150461788579509</v>
      </c>
    </row>
    <row r="2045" spans="1:12" x14ac:dyDescent="0.25">
      <c r="A2045" t="s">
        <v>1911</v>
      </c>
      <c r="B2045" s="2">
        <v>45102</v>
      </c>
      <c r="C2045" s="2" t="str">
        <f>TEXT(Table3[[#This Row],[Order Date]],"mmmm")</f>
        <v>June</v>
      </c>
      <c r="D2045" t="s">
        <v>3730</v>
      </c>
      <c r="E2045" t="s">
        <v>3224</v>
      </c>
      <c r="F2045" t="s">
        <v>3226</v>
      </c>
      <c r="G2045" s="4">
        <v>62142.15</v>
      </c>
      <c r="H2045" s="4">
        <v>40219.1</v>
      </c>
      <c r="I2045" s="3" t="s">
        <v>3734</v>
      </c>
      <c r="J2045">
        <v>1</v>
      </c>
      <c r="K2045" s="4">
        <f>Table3[[#This Row],[Sales]]-Table3[[#This Row],[Cost]]</f>
        <v>21923.050000000003</v>
      </c>
      <c r="L2045" s="6">
        <f>Table3[[#This Row],[Profit]]/Table3[[#This Row],[Sales]]</f>
        <v>0.35278872713609044</v>
      </c>
    </row>
    <row r="2046" spans="1:12" x14ac:dyDescent="0.25">
      <c r="A2046" t="s">
        <v>1912</v>
      </c>
      <c r="B2046" s="2" t="s">
        <v>3729</v>
      </c>
      <c r="C2046" s="2" t="str">
        <f>TEXT(Table3[[#This Row],[Order Date]],"mmmm")</f>
        <v>Not Mentioned</v>
      </c>
      <c r="D2046" t="s">
        <v>3731</v>
      </c>
      <c r="E2046" t="s">
        <v>3222</v>
      </c>
      <c r="F2046" t="s">
        <v>3226</v>
      </c>
      <c r="G2046" s="4">
        <v>48735.33</v>
      </c>
      <c r="H2046" s="4">
        <v>31602.42</v>
      </c>
      <c r="I2046" s="3" t="s">
        <v>3734</v>
      </c>
      <c r="J2046">
        <v>3</v>
      </c>
      <c r="K2046" s="4">
        <f>Table3[[#This Row],[Sales]]-Table3[[#This Row],[Cost]]</f>
        <v>17132.910000000003</v>
      </c>
      <c r="L2046" s="6">
        <f>Table3[[#This Row],[Profit]]/Table3[[#This Row],[Sales]]</f>
        <v>0.35155009722925856</v>
      </c>
    </row>
    <row r="2047" spans="1:12" x14ac:dyDescent="0.25">
      <c r="A2047" t="s">
        <v>3561</v>
      </c>
      <c r="B2047" s="2">
        <v>45102</v>
      </c>
      <c r="C2047" s="2" t="str">
        <f>TEXT(Table3[[#This Row],[Order Date]],"mmmm")</f>
        <v>June</v>
      </c>
      <c r="D2047" t="s">
        <v>3731</v>
      </c>
      <c r="E2047" t="s">
        <v>3225</v>
      </c>
      <c r="F2047" t="s">
        <v>3226</v>
      </c>
      <c r="G2047" s="4">
        <v>20469.22</v>
      </c>
      <c r="H2047" s="4">
        <v>11909.63</v>
      </c>
      <c r="I2047" s="3" t="s">
        <v>3734</v>
      </c>
      <c r="J2047">
        <v>1</v>
      </c>
      <c r="K2047" s="4">
        <f>Table3[[#This Row],[Sales]]-Table3[[#This Row],[Cost]]</f>
        <v>8559.590000000002</v>
      </c>
      <c r="L2047" s="6">
        <f>Table3[[#This Row],[Profit]]/Table3[[#This Row],[Sales]]</f>
        <v>0.41816884082539546</v>
      </c>
    </row>
    <row r="2048" spans="1:12" x14ac:dyDescent="0.25">
      <c r="A2048" t="s">
        <v>1914</v>
      </c>
      <c r="B2048" s="2">
        <v>44941</v>
      </c>
      <c r="C2048" s="2" t="str">
        <f>TEXT(Table3[[#This Row],[Order Date]],"mmmm")</f>
        <v>January</v>
      </c>
      <c r="D2048" t="s">
        <v>3731</v>
      </c>
      <c r="E2048" t="s">
        <v>3223</v>
      </c>
      <c r="F2048" t="s">
        <v>3226</v>
      </c>
      <c r="G2048" s="4">
        <v>16123.69</v>
      </c>
      <c r="H2048" s="4">
        <v>12303.07</v>
      </c>
      <c r="I2048" s="3" t="s">
        <v>3734</v>
      </c>
      <c r="J2048">
        <v>2</v>
      </c>
      <c r="K2048" s="4">
        <f>Table3[[#This Row],[Sales]]-Table3[[#This Row],[Cost]]</f>
        <v>3820.6200000000008</v>
      </c>
      <c r="L2048" s="6">
        <f>Table3[[#This Row],[Profit]]/Table3[[#This Row],[Sales]]</f>
        <v>0.23695692487265638</v>
      </c>
    </row>
    <row r="2049" spans="1:12" x14ac:dyDescent="0.25">
      <c r="A2049" t="s">
        <v>1915</v>
      </c>
      <c r="B2049" s="2">
        <v>45102</v>
      </c>
      <c r="C2049" s="2" t="str">
        <f>TEXT(Table3[[#This Row],[Order Date]],"mmmm")</f>
        <v>June</v>
      </c>
      <c r="D2049" t="s">
        <v>3220</v>
      </c>
      <c r="E2049" t="s">
        <v>3223</v>
      </c>
      <c r="F2049" t="s">
        <v>3226</v>
      </c>
      <c r="G2049" s="4">
        <v>8144.47</v>
      </c>
      <c r="H2049" s="4">
        <v>7014.94</v>
      </c>
      <c r="I2049" s="3" t="s">
        <v>3734</v>
      </c>
      <c r="J2049">
        <v>1</v>
      </c>
      <c r="K2049" s="4">
        <f>Table3[[#This Row],[Sales]]-Table3[[#This Row],[Cost]]</f>
        <v>1129.5300000000007</v>
      </c>
      <c r="L2049" s="6">
        <f>Table3[[#This Row],[Profit]]/Table3[[#This Row],[Sales]]</f>
        <v>0.1386867408192308</v>
      </c>
    </row>
    <row r="2050" spans="1:12" x14ac:dyDescent="0.25">
      <c r="A2050" t="s">
        <v>1103</v>
      </c>
      <c r="B2050" s="2">
        <v>45021</v>
      </c>
      <c r="C2050" s="2" t="str">
        <f>TEXT(Table3[[#This Row],[Order Date]],"mmmm")</f>
        <v>April</v>
      </c>
      <c r="D2050" t="s">
        <v>3220</v>
      </c>
      <c r="E2050" t="s">
        <v>3225</v>
      </c>
      <c r="F2050" t="s">
        <v>3226</v>
      </c>
      <c r="G2050" s="4">
        <v>21225.47</v>
      </c>
      <c r="H2050" s="4">
        <v>12610.17</v>
      </c>
      <c r="I2050" s="3" t="s">
        <v>3734</v>
      </c>
      <c r="J2050">
        <v>1</v>
      </c>
      <c r="K2050" s="4">
        <f>Table3[[#This Row],[Sales]]-Table3[[#This Row],[Cost]]</f>
        <v>8615.3000000000011</v>
      </c>
      <c r="L2050" s="6">
        <f>Table3[[#This Row],[Profit]]/Table3[[#This Row],[Sales]]</f>
        <v>0.40589442777945556</v>
      </c>
    </row>
    <row r="2051" spans="1:12" x14ac:dyDescent="0.25">
      <c r="A2051" t="s">
        <v>1916</v>
      </c>
      <c r="B2051" s="2">
        <v>44941</v>
      </c>
      <c r="C2051" s="2" t="str">
        <f>TEXT(Table3[[#This Row],[Order Date]],"mmmm")</f>
        <v>January</v>
      </c>
      <c r="D2051" t="s">
        <v>3220</v>
      </c>
      <c r="E2051" t="s">
        <v>3222</v>
      </c>
      <c r="F2051" t="s">
        <v>3226</v>
      </c>
      <c r="G2051" s="4">
        <v>30391.59</v>
      </c>
      <c r="H2051" s="4">
        <v>18121.509999999998</v>
      </c>
      <c r="I2051" s="3" t="s">
        <v>3734</v>
      </c>
      <c r="J2051" t="s">
        <v>3732</v>
      </c>
      <c r="K2051" s="4">
        <f>Table3[[#This Row],[Sales]]-Table3[[#This Row],[Cost]]</f>
        <v>12270.080000000002</v>
      </c>
      <c r="L2051" s="6">
        <f>Table3[[#This Row],[Profit]]/Table3[[#This Row],[Sales]]</f>
        <v>0.40373274317006785</v>
      </c>
    </row>
    <row r="2052" spans="1:12" x14ac:dyDescent="0.25">
      <c r="A2052" t="s">
        <v>3562</v>
      </c>
      <c r="B2052" s="2">
        <v>44941</v>
      </c>
      <c r="C2052" s="2" t="str">
        <f>TEXT(Table3[[#This Row],[Order Date]],"mmmm")</f>
        <v>January</v>
      </c>
      <c r="D2052" t="s">
        <v>3731</v>
      </c>
      <c r="E2052" t="s">
        <v>3223</v>
      </c>
      <c r="F2052" t="s">
        <v>3226</v>
      </c>
      <c r="G2052" s="4">
        <v>18685.48</v>
      </c>
      <c r="H2052" s="4">
        <v>14561.9</v>
      </c>
      <c r="I2052" s="3" t="s">
        <v>3734</v>
      </c>
      <c r="J2052">
        <v>2</v>
      </c>
      <c r="K2052" s="4">
        <f>Table3[[#This Row],[Sales]]-Table3[[#This Row],[Cost]]</f>
        <v>4123.58</v>
      </c>
      <c r="L2052" s="6">
        <f>Table3[[#This Row],[Profit]]/Table3[[#This Row],[Sales]]</f>
        <v>0.22068365383174529</v>
      </c>
    </row>
    <row r="2053" spans="1:12" x14ac:dyDescent="0.25">
      <c r="A2053" t="s">
        <v>1918</v>
      </c>
      <c r="B2053" s="2">
        <v>45021</v>
      </c>
      <c r="C2053" s="2" t="str">
        <f>TEXT(Table3[[#This Row],[Order Date]],"mmmm")</f>
        <v>April</v>
      </c>
      <c r="D2053" t="s">
        <v>3730</v>
      </c>
      <c r="E2053" t="s">
        <v>3225</v>
      </c>
      <c r="F2053" t="s">
        <v>3226</v>
      </c>
      <c r="G2053" s="4">
        <v>20087.82</v>
      </c>
      <c r="H2053" s="4">
        <v>14209.11</v>
      </c>
      <c r="I2053" s="3" t="s">
        <v>3734</v>
      </c>
      <c r="J2053">
        <v>1</v>
      </c>
      <c r="K2053" s="4">
        <f>Table3[[#This Row],[Sales]]-Table3[[#This Row],[Cost]]</f>
        <v>5878.7099999999991</v>
      </c>
      <c r="L2053" s="6">
        <f>Table3[[#This Row],[Profit]]/Table3[[#This Row],[Sales]]</f>
        <v>0.29265047177842091</v>
      </c>
    </row>
    <row r="2054" spans="1:12" x14ac:dyDescent="0.25">
      <c r="A2054" t="s">
        <v>1024</v>
      </c>
      <c r="B2054" s="2">
        <v>45102</v>
      </c>
      <c r="C2054" s="2" t="str">
        <f>TEXT(Table3[[#This Row],[Order Date]],"mmmm")</f>
        <v>June</v>
      </c>
      <c r="D2054" t="s">
        <v>3216</v>
      </c>
      <c r="E2054" t="s">
        <v>3222</v>
      </c>
      <c r="F2054" t="s">
        <v>3226</v>
      </c>
      <c r="G2054" s="4">
        <v>67504.02</v>
      </c>
      <c r="H2054" s="4">
        <v>46432.03</v>
      </c>
      <c r="I2054" s="3" t="s">
        <v>3734</v>
      </c>
      <c r="J2054">
        <v>5</v>
      </c>
      <c r="K2054" s="4">
        <f>Table3[[#This Row],[Sales]]-Table3[[#This Row],[Cost]]</f>
        <v>21071.990000000005</v>
      </c>
      <c r="L2054" s="6">
        <f>Table3[[#This Row],[Profit]]/Table3[[#This Row],[Sales]]</f>
        <v>0.31215903882465079</v>
      </c>
    </row>
    <row r="2055" spans="1:12" x14ac:dyDescent="0.25">
      <c r="A2055" t="s">
        <v>1380</v>
      </c>
      <c r="B2055" s="2">
        <v>45021</v>
      </c>
      <c r="C2055" s="2" t="str">
        <f>TEXT(Table3[[#This Row],[Order Date]],"mmmm")</f>
        <v>April</v>
      </c>
      <c r="D2055" t="s">
        <v>3216</v>
      </c>
      <c r="E2055" t="s">
        <v>3224</v>
      </c>
      <c r="F2055" t="s">
        <v>3226</v>
      </c>
      <c r="G2055" s="4">
        <v>172862.15</v>
      </c>
      <c r="H2055" s="4">
        <v>142855.54999999999</v>
      </c>
      <c r="I2055" s="3" t="s">
        <v>3734</v>
      </c>
      <c r="J2055">
        <v>3</v>
      </c>
      <c r="K2055" s="4">
        <f>Table3[[#This Row],[Sales]]-Table3[[#This Row],[Cost]]</f>
        <v>30006.600000000006</v>
      </c>
      <c r="L2055" s="6">
        <f>Table3[[#This Row],[Profit]]/Table3[[#This Row],[Sales]]</f>
        <v>0.1735868725455515</v>
      </c>
    </row>
    <row r="2056" spans="1:12" x14ac:dyDescent="0.25">
      <c r="A2056" t="s">
        <v>1919</v>
      </c>
      <c r="B2056" s="2">
        <v>44941</v>
      </c>
      <c r="C2056" s="2" t="str">
        <f>TEXT(Table3[[#This Row],[Order Date]],"mmmm")</f>
        <v>January</v>
      </c>
      <c r="D2056" t="s">
        <v>3730</v>
      </c>
      <c r="E2056" t="s">
        <v>3225</v>
      </c>
      <c r="F2056" t="s">
        <v>3226</v>
      </c>
      <c r="G2056" s="4">
        <v>35552.57</v>
      </c>
      <c r="H2056" s="4">
        <v>27325.74</v>
      </c>
      <c r="I2056" s="3" t="s">
        <v>3734</v>
      </c>
      <c r="J2056">
        <v>2</v>
      </c>
      <c r="K2056" s="4">
        <f>Table3[[#This Row],[Sales]]-Table3[[#This Row],[Cost]]</f>
        <v>8226.8299999999981</v>
      </c>
      <c r="L2056" s="6">
        <f>Table3[[#This Row],[Profit]]/Table3[[#This Row],[Sales]]</f>
        <v>0.23139902403679954</v>
      </c>
    </row>
    <row r="2057" spans="1:12" x14ac:dyDescent="0.25">
      <c r="A2057" t="s">
        <v>3429</v>
      </c>
      <c r="B2057" s="2">
        <v>44941</v>
      </c>
      <c r="C2057" s="2" t="str">
        <f>TEXT(Table3[[#This Row],[Order Date]],"mmmm")</f>
        <v>January</v>
      </c>
      <c r="D2057" t="s">
        <v>3220</v>
      </c>
      <c r="E2057" t="s">
        <v>3225</v>
      </c>
      <c r="F2057" t="s">
        <v>3226</v>
      </c>
      <c r="G2057" s="4">
        <v>20945.080000000002</v>
      </c>
      <c r="H2057" s="4">
        <v>13241.33</v>
      </c>
      <c r="I2057" s="3" t="s">
        <v>3734</v>
      </c>
      <c r="J2057">
        <v>1</v>
      </c>
      <c r="K2057" s="4">
        <f>Table3[[#This Row],[Sales]]-Table3[[#This Row],[Cost]]</f>
        <v>7703.7500000000018</v>
      </c>
      <c r="L2057" s="6">
        <f>Table3[[#This Row],[Profit]]/Table3[[#This Row],[Sales]]</f>
        <v>0.36780714134297893</v>
      </c>
    </row>
    <row r="2058" spans="1:12" x14ac:dyDescent="0.25">
      <c r="A2058" t="s">
        <v>1920</v>
      </c>
      <c r="B2058" s="2">
        <v>44972</v>
      </c>
      <c r="C2058" s="2" t="str">
        <f>TEXT(Table3[[#This Row],[Order Date]],"mmmm")</f>
        <v>February</v>
      </c>
      <c r="D2058" t="s">
        <v>3216</v>
      </c>
      <c r="E2058" t="s">
        <v>3224</v>
      </c>
      <c r="F2058" t="s">
        <v>3226</v>
      </c>
      <c r="G2058" s="4">
        <v>212954.65</v>
      </c>
      <c r="H2058" s="4">
        <v>127740.84</v>
      </c>
      <c r="I2058" s="3" t="s">
        <v>3734</v>
      </c>
      <c r="J2058">
        <v>3</v>
      </c>
      <c r="K2058" s="4">
        <f>Table3[[#This Row],[Sales]]-Table3[[#This Row],[Cost]]</f>
        <v>85213.81</v>
      </c>
      <c r="L2058" s="6">
        <f>Table3[[#This Row],[Profit]]/Table3[[#This Row],[Sales]]</f>
        <v>0.4001500319434208</v>
      </c>
    </row>
    <row r="2059" spans="1:12" x14ac:dyDescent="0.25">
      <c r="A2059" t="s">
        <v>1921</v>
      </c>
      <c r="B2059" s="2">
        <v>44941</v>
      </c>
      <c r="C2059" s="2" t="str">
        <f>TEXT(Table3[[#This Row],[Order Date]],"mmmm")</f>
        <v>January</v>
      </c>
      <c r="D2059" t="s">
        <v>3220</v>
      </c>
      <c r="E2059" t="s">
        <v>3222</v>
      </c>
      <c r="F2059" t="s">
        <v>3226</v>
      </c>
      <c r="G2059" s="4">
        <v>12229.84</v>
      </c>
      <c r="H2059" s="4">
        <v>8621.24</v>
      </c>
      <c r="I2059" s="3" t="s">
        <v>3734</v>
      </c>
      <c r="J2059">
        <v>1</v>
      </c>
      <c r="K2059" s="4">
        <f>Table3[[#This Row],[Sales]]-Table3[[#This Row],[Cost]]</f>
        <v>3608.6000000000004</v>
      </c>
      <c r="L2059" s="6">
        <f>Table3[[#This Row],[Profit]]/Table3[[#This Row],[Sales]]</f>
        <v>0.29506518482662081</v>
      </c>
    </row>
    <row r="2060" spans="1:12" x14ac:dyDescent="0.25">
      <c r="A2060" t="s">
        <v>1922</v>
      </c>
      <c r="B2060" s="2" t="s">
        <v>3729</v>
      </c>
      <c r="C2060" s="2" t="str">
        <f>TEXT(Table3[[#This Row],[Order Date]],"mmmm")</f>
        <v>Not Mentioned</v>
      </c>
      <c r="D2060" t="s">
        <v>3220</v>
      </c>
      <c r="E2060" t="s">
        <v>3223</v>
      </c>
      <c r="F2060" t="s">
        <v>3226</v>
      </c>
      <c r="G2060" s="4">
        <v>25894.15</v>
      </c>
      <c r="H2060" s="4">
        <v>17983.52</v>
      </c>
      <c r="I2060" s="3" t="s">
        <v>3734</v>
      </c>
      <c r="J2060">
        <v>3</v>
      </c>
      <c r="K2060" s="4">
        <f>Table3[[#This Row],[Sales]]-Table3[[#This Row],[Cost]]</f>
        <v>7910.630000000001</v>
      </c>
      <c r="L2060" s="6">
        <f>Table3[[#This Row],[Profit]]/Table3[[#This Row],[Sales]]</f>
        <v>0.3054987323391577</v>
      </c>
    </row>
    <row r="2061" spans="1:12" x14ac:dyDescent="0.25">
      <c r="A2061" t="s">
        <v>712</v>
      </c>
      <c r="B2061" s="2">
        <v>44972</v>
      </c>
      <c r="C2061" s="2" t="str">
        <f>TEXT(Table3[[#This Row],[Order Date]],"mmmm")</f>
        <v>February</v>
      </c>
      <c r="D2061" t="s">
        <v>3216</v>
      </c>
      <c r="E2061" t="s">
        <v>3223</v>
      </c>
      <c r="F2061" t="s">
        <v>3226</v>
      </c>
      <c r="G2061" s="4">
        <v>23944.06</v>
      </c>
      <c r="H2061" s="4">
        <v>12541.08</v>
      </c>
      <c r="I2061" s="3" t="s">
        <v>3734</v>
      </c>
      <c r="J2061">
        <v>2</v>
      </c>
      <c r="K2061" s="4">
        <f>Table3[[#This Row],[Sales]]-Table3[[#This Row],[Cost]]</f>
        <v>11402.980000000001</v>
      </c>
      <c r="L2061" s="6">
        <f>Table3[[#This Row],[Profit]]/Table3[[#This Row],[Sales]]</f>
        <v>0.4762341891893021</v>
      </c>
    </row>
    <row r="2062" spans="1:12" x14ac:dyDescent="0.25">
      <c r="A2062" t="s">
        <v>1923</v>
      </c>
      <c r="B2062" s="2">
        <v>44941</v>
      </c>
      <c r="C2062" s="2" t="str">
        <f>TEXT(Table3[[#This Row],[Order Date]],"mmmm")</f>
        <v>January</v>
      </c>
      <c r="D2062" t="s">
        <v>3220</v>
      </c>
      <c r="E2062" t="s">
        <v>3225</v>
      </c>
      <c r="F2062" t="s">
        <v>3226</v>
      </c>
      <c r="G2062" s="4">
        <v>17157.009999999998</v>
      </c>
      <c r="H2062" s="4">
        <v>13289.74</v>
      </c>
      <c r="I2062" s="3" t="s">
        <v>3734</v>
      </c>
      <c r="J2062">
        <v>1</v>
      </c>
      <c r="K2062" s="4">
        <f>Table3[[#This Row],[Sales]]-Table3[[#This Row],[Cost]]</f>
        <v>3867.2699999999986</v>
      </c>
      <c r="L2062" s="6">
        <f>Table3[[#This Row],[Profit]]/Table3[[#This Row],[Sales]]</f>
        <v>0.22540465966972095</v>
      </c>
    </row>
    <row r="2063" spans="1:12" x14ac:dyDescent="0.25">
      <c r="A2063" t="s">
        <v>1924</v>
      </c>
      <c r="B2063" s="2">
        <v>45021</v>
      </c>
      <c r="C2063" s="2" t="str">
        <f>TEXT(Table3[[#This Row],[Order Date]],"mmmm")</f>
        <v>April</v>
      </c>
      <c r="D2063" t="s">
        <v>3730</v>
      </c>
      <c r="E2063" t="s">
        <v>3225</v>
      </c>
      <c r="F2063" t="s">
        <v>3226</v>
      </c>
      <c r="G2063" s="4">
        <v>46553</v>
      </c>
      <c r="H2063" s="4">
        <v>26984.720000000001</v>
      </c>
      <c r="I2063" s="3" t="s">
        <v>3734</v>
      </c>
      <c r="J2063">
        <v>2</v>
      </c>
      <c r="K2063" s="4">
        <f>Table3[[#This Row],[Sales]]-Table3[[#This Row],[Cost]]</f>
        <v>19568.28</v>
      </c>
      <c r="L2063" s="6">
        <f>Table3[[#This Row],[Profit]]/Table3[[#This Row],[Sales]]</f>
        <v>0.42034412390178932</v>
      </c>
    </row>
    <row r="2064" spans="1:12" x14ac:dyDescent="0.25">
      <c r="A2064" t="s">
        <v>533</v>
      </c>
      <c r="B2064" s="2">
        <v>44941</v>
      </c>
      <c r="C2064" s="2" t="str">
        <f>TEXT(Table3[[#This Row],[Order Date]],"mmmm")</f>
        <v>January</v>
      </c>
      <c r="D2064" t="s">
        <v>3220</v>
      </c>
      <c r="E2064" t="s">
        <v>3225</v>
      </c>
      <c r="F2064" t="s">
        <v>3226</v>
      </c>
      <c r="G2064" s="4">
        <v>68524.009999999995</v>
      </c>
      <c r="H2064" s="4">
        <v>57725.24</v>
      </c>
      <c r="I2064" s="3" t="s">
        <v>3734</v>
      </c>
      <c r="J2064">
        <v>4</v>
      </c>
      <c r="K2064" s="4">
        <f>Table3[[#This Row],[Sales]]-Table3[[#This Row],[Cost]]</f>
        <v>10798.769999999997</v>
      </c>
      <c r="L2064" s="6">
        <f>Table3[[#This Row],[Profit]]/Table3[[#This Row],[Sales]]</f>
        <v>0.15759103998729784</v>
      </c>
    </row>
    <row r="2065" spans="1:12" x14ac:dyDescent="0.25">
      <c r="A2065" t="s">
        <v>722</v>
      </c>
      <c r="B2065" s="2">
        <v>44972</v>
      </c>
      <c r="C2065" s="2" t="str">
        <f>TEXT(Table3[[#This Row],[Order Date]],"mmmm")</f>
        <v>February</v>
      </c>
      <c r="D2065" t="s">
        <v>3220</v>
      </c>
      <c r="E2065" t="s">
        <v>3224</v>
      </c>
      <c r="F2065" t="s">
        <v>3226</v>
      </c>
      <c r="G2065" s="4">
        <v>244552.32000000001</v>
      </c>
      <c r="H2065" s="4">
        <v>183113.89</v>
      </c>
      <c r="I2065" s="3" t="s">
        <v>3734</v>
      </c>
      <c r="J2065" t="s">
        <v>3732</v>
      </c>
      <c r="K2065" s="4">
        <f>Table3[[#This Row],[Sales]]-Table3[[#This Row],[Cost]]</f>
        <v>61438.429999999993</v>
      </c>
      <c r="L2065" s="6">
        <f>Table3[[#This Row],[Profit]]/Table3[[#This Row],[Sales]]</f>
        <v>0.25122816254615776</v>
      </c>
    </row>
    <row r="2066" spans="1:12" x14ac:dyDescent="0.25">
      <c r="A2066" t="s">
        <v>3563</v>
      </c>
      <c r="B2066" s="2">
        <v>45005</v>
      </c>
      <c r="C2066" s="2" t="str">
        <f>TEXT(Table3[[#This Row],[Order Date]],"mmmm")</f>
        <v>March</v>
      </c>
      <c r="D2066" t="s">
        <v>3731</v>
      </c>
      <c r="E2066" t="s">
        <v>3223</v>
      </c>
      <c r="F2066" t="s">
        <v>3226</v>
      </c>
      <c r="G2066" s="4">
        <v>31103.67</v>
      </c>
      <c r="H2066" s="4">
        <v>22345.37</v>
      </c>
      <c r="I2066" s="3" t="s">
        <v>3734</v>
      </c>
      <c r="J2066">
        <v>3</v>
      </c>
      <c r="K2066" s="4">
        <f>Table3[[#This Row],[Sales]]-Table3[[#This Row],[Cost]]</f>
        <v>8758.2999999999993</v>
      </c>
      <c r="L2066" s="6">
        <f>Table3[[#This Row],[Profit]]/Table3[[#This Row],[Sales]]</f>
        <v>0.28158413460533754</v>
      </c>
    </row>
    <row r="2067" spans="1:12" x14ac:dyDescent="0.25">
      <c r="A2067" t="s">
        <v>3564</v>
      </c>
      <c r="B2067" s="2">
        <v>45021</v>
      </c>
      <c r="C2067" s="2" t="str">
        <f>TEXT(Table3[[#This Row],[Order Date]],"mmmm")</f>
        <v>April</v>
      </c>
      <c r="D2067" t="s">
        <v>3220</v>
      </c>
      <c r="E2067" t="s">
        <v>3224</v>
      </c>
      <c r="F2067" t="s">
        <v>3226</v>
      </c>
      <c r="G2067" s="4">
        <v>248970.94</v>
      </c>
      <c r="H2067" s="4">
        <v>193673.49</v>
      </c>
      <c r="I2067" s="3" t="s">
        <v>3734</v>
      </c>
      <c r="J2067">
        <v>5</v>
      </c>
      <c r="K2067" s="4">
        <f>Table3[[#This Row],[Sales]]-Table3[[#This Row],[Cost]]</f>
        <v>55297.450000000012</v>
      </c>
      <c r="L2067" s="6">
        <f>Table3[[#This Row],[Profit]]/Table3[[#This Row],[Sales]]</f>
        <v>0.2221040335068824</v>
      </c>
    </row>
    <row r="2068" spans="1:12" x14ac:dyDescent="0.25">
      <c r="A2068" t="s">
        <v>1927</v>
      </c>
      <c r="B2068" s="2">
        <v>45005</v>
      </c>
      <c r="C2068" s="2" t="str">
        <f>TEXT(Table3[[#This Row],[Order Date]],"mmmm")</f>
        <v>March</v>
      </c>
      <c r="D2068" t="s">
        <v>3216</v>
      </c>
      <c r="E2068" t="s">
        <v>3222</v>
      </c>
      <c r="F2068" t="s">
        <v>3226</v>
      </c>
      <c r="G2068" s="4">
        <v>13827.67</v>
      </c>
      <c r="H2068" s="4">
        <v>10449.799999999999</v>
      </c>
      <c r="I2068" s="3" t="s">
        <v>3734</v>
      </c>
      <c r="J2068">
        <v>1</v>
      </c>
      <c r="K2068" s="4">
        <f>Table3[[#This Row],[Sales]]-Table3[[#This Row],[Cost]]</f>
        <v>3377.8700000000008</v>
      </c>
      <c r="L2068" s="6">
        <f>Table3[[#This Row],[Profit]]/Table3[[#This Row],[Sales]]</f>
        <v>0.24428338252214588</v>
      </c>
    </row>
    <row r="2069" spans="1:12" x14ac:dyDescent="0.25">
      <c r="A2069" t="s">
        <v>1928</v>
      </c>
      <c r="B2069" s="2">
        <v>45005</v>
      </c>
      <c r="C2069" s="2" t="str">
        <f>TEXT(Table3[[#This Row],[Order Date]],"mmmm")</f>
        <v>March</v>
      </c>
      <c r="D2069" t="s">
        <v>3216</v>
      </c>
      <c r="E2069" t="s">
        <v>3224</v>
      </c>
      <c r="F2069" t="s">
        <v>3226</v>
      </c>
      <c r="G2069" s="4">
        <v>287528.62</v>
      </c>
      <c r="H2069" s="4">
        <v>224359.18</v>
      </c>
      <c r="I2069" s="3" t="s">
        <v>3734</v>
      </c>
      <c r="J2069">
        <v>5</v>
      </c>
      <c r="K2069" s="4">
        <f>Table3[[#This Row],[Sales]]-Table3[[#This Row],[Cost]]</f>
        <v>63169.440000000002</v>
      </c>
      <c r="L2069" s="6">
        <f>Table3[[#This Row],[Profit]]/Table3[[#This Row],[Sales]]</f>
        <v>0.219697920853931</v>
      </c>
    </row>
    <row r="2070" spans="1:12" x14ac:dyDescent="0.25">
      <c r="A2070" t="s">
        <v>92</v>
      </c>
      <c r="B2070" s="2">
        <v>44941</v>
      </c>
      <c r="C2070" s="2" t="str">
        <f>TEXT(Table3[[#This Row],[Order Date]],"mmmm")</f>
        <v>January</v>
      </c>
      <c r="D2070" t="s">
        <v>3731</v>
      </c>
      <c r="E2070" t="s">
        <v>3224</v>
      </c>
      <c r="F2070" t="s">
        <v>3226</v>
      </c>
      <c r="G2070" s="4">
        <v>255488.93</v>
      </c>
      <c r="H2070" s="4">
        <v>158088.97</v>
      </c>
      <c r="I2070" s="3" t="s">
        <v>3734</v>
      </c>
      <c r="J2070">
        <v>4</v>
      </c>
      <c r="K2070" s="4">
        <f>Table3[[#This Row],[Sales]]-Table3[[#This Row],[Cost]]</f>
        <v>97399.959999999992</v>
      </c>
      <c r="L2070" s="6">
        <f>Table3[[#This Row],[Profit]]/Table3[[#This Row],[Sales]]</f>
        <v>0.38122966815039694</v>
      </c>
    </row>
    <row r="2071" spans="1:12" x14ac:dyDescent="0.25">
      <c r="A2071" t="s">
        <v>1930</v>
      </c>
      <c r="B2071" s="2">
        <v>45021</v>
      </c>
      <c r="C2071" s="2" t="str">
        <f>TEXT(Table3[[#This Row],[Order Date]],"mmmm")</f>
        <v>April</v>
      </c>
      <c r="D2071" t="s">
        <v>3730</v>
      </c>
      <c r="E2071" t="s">
        <v>3223</v>
      </c>
      <c r="F2071" t="s">
        <v>3226</v>
      </c>
      <c r="G2071" s="4">
        <v>38944.18</v>
      </c>
      <c r="H2071" s="4">
        <v>30620.67</v>
      </c>
      <c r="I2071" s="3" t="s">
        <v>3734</v>
      </c>
      <c r="J2071">
        <v>4</v>
      </c>
      <c r="K2071" s="4">
        <f>Table3[[#This Row],[Sales]]-Table3[[#This Row],[Cost]]</f>
        <v>8323.510000000002</v>
      </c>
      <c r="L2071" s="6">
        <f>Table3[[#This Row],[Profit]]/Table3[[#This Row],[Sales]]</f>
        <v>0.21372924015860656</v>
      </c>
    </row>
    <row r="2072" spans="1:12" x14ac:dyDescent="0.25">
      <c r="A2072" t="s">
        <v>3294</v>
      </c>
      <c r="B2072" s="2">
        <v>45021</v>
      </c>
      <c r="C2072" s="2" t="str">
        <f>TEXT(Table3[[#This Row],[Order Date]],"mmmm")</f>
        <v>April</v>
      </c>
      <c r="D2072" t="s">
        <v>3220</v>
      </c>
      <c r="E2072" t="s">
        <v>3223</v>
      </c>
      <c r="F2072" t="s">
        <v>3226</v>
      </c>
      <c r="G2072" s="4">
        <v>10320.75</v>
      </c>
      <c r="H2072" s="4">
        <v>7063.76</v>
      </c>
      <c r="I2072" s="3" t="s">
        <v>3734</v>
      </c>
      <c r="J2072">
        <v>1</v>
      </c>
      <c r="K2072" s="4">
        <f>Table3[[#This Row],[Sales]]-Table3[[#This Row],[Cost]]</f>
        <v>3256.99</v>
      </c>
      <c r="L2072" s="6">
        <f>Table3[[#This Row],[Profit]]/Table3[[#This Row],[Sales]]</f>
        <v>0.31557687183586464</v>
      </c>
    </row>
    <row r="2073" spans="1:12" x14ac:dyDescent="0.25">
      <c r="A2073" t="s">
        <v>1931</v>
      </c>
      <c r="B2073" s="2">
        <v>44941</v>
      </c>
      <c r="C2073" s="2" t="str">
        <f>TEXT(Table3[[#This Row],[Order Date]],"mmmm")</f>
        <v>January</v>
      </c>
      <c r="D2073" t="s">
        <v>3220</v>
      </c>
      <c r="E2073" t="s">
        <v>3225</v>
      </c>
      <c r="F2073" t="s">
        <v>3226</v>
      </c>
      <c r="G2073" s="4">
        <v>89816.42</v>
      </c>
      <c r="H2073" s="4">
        <v>71853.135999999999</v>
      </c>
      <c r="I2073" s="3" t="s">
        <v>3735</v>
      </c>
      <c r="J2073">
        <v>5</v>
      </c>
      <c r="K2073" s="4">
        <f>Table3[[#This Row],[Sales]]-Table3[[#This Row],[Cost]]</f>
        <v>17963.284</v>
      </c>
      <c r="L2073" s="6">
        <f>Table3[[#This Row],[Profit]]/Table3[[#This Row],[Sales]]</f>
        <v>0.2</v>
      </c>
    </row>
    <row r="2074" spans="1:12" x14ac:dyDescent="0.25">
      <c r="A2074" t="s">
        <v>1932</v>
      </c>
      <c r="B2074" s="2">
        <v>45102</v>
      </c>
      <c r="C2074" s="2" t="str">
        <f>TEXT(Table3[[#This Row],[Order Date]],"mmmm")</f>
        <v>June</v>
      </c>
      <c r="D2074" t="s">
        <v>3220</v>
      </c>
      <c r="E2074" t="s">
        <v>3225</v>
      </c>
      <c r="F2074" t="s">
        <v>3226</v>
      </c>
      <c r="G2074" s="4">
        <v>49740.37</v>
      </c>
      <c r="H2074" s="4">
        <v>46137.59</v>
      </c>
      <c r="I2074" s="3" t="s">
        <v>3734</v>
      </c>
      <c r="J2074">
        <v>3</v>
      </c>
      <c r="K2074" s="4">
        <f>Table3[[#This Row],[Sales]]-Table3[[#This Row],[Cost]]</f>
        <v>3602.7800000000061</v>
      </c>
      <c r="L2074" s="6">
        <f>Table3[[#This Row],[Profit]]/Table3[[#This Row],[Sales]]</f>
        <v>7.243170889159059E-2</v>
      </c>
    </row>
    <row r="2075" spans="1:12" x14ac:dyDescent="0.25">
      <c r="A2075" t="s">
        <v>1933</v>
      </c>
      <c r="B2075" s="2">
        <v>45102</v>
      </c>
      <c r="C2075" s="2" t="str">
        <f>TEXT(Table3[[#This Row],[Order Date]],"mmmm")</f>
        <v>June</v>
      </c>
      <c r="D2075" t="s">
        <v>3220</v>
      </c>
      <c r="E2075" t="s">
        <v>3223</v>
      </c>
      <c r="F2075" t="s">
        <v>3226</v>
      </c>
      <c r="G2075" s="4">
        <v>34938.879999999997</v>
      </c>
      <c r="H2075" s="4">
        <v>17902.47</v>
      </c>
      <c r="I2075" s="3" t="s">
        <v>3734</v>
      </c>
      <c r="J2075">
        <v>3</v>
      </c>
      <c r="K2075" s="4">
        <f>Table3[[#This Row],[Sales]]-Table3[[#This Row],[Cost]]</f>
        <v>17036.409999999996</v>
      </c>
      <c r="L2075" s="6">
        <f>Table3[[#This Row],[Profit]]/Table3[[#This Row],[Sales]]</f>
        <v>0.48760607094446068</v>
      </c>
    </row>
    <row r="2076" spans="1:12" x14ac:dyDescent="0.25">
      <c r="A2076" t="s">
        <v>1934</v>
      </c>
      <c r="B2076" s="2">
        <v>45102</v>
      </c>
      <c r="C2076" s="2" t="str">
        <f>TEXT(Table3[[#This Row],[Order Date]],"mmmm")</f>
        <v>June</v>
      </c>
      <c r="D2076" t="s">
        <v>3220</v>
      </c>
      <c r="E2076" t="s">
        <v>3223</v>
      </c>
      <c r="F2076" t="s">
        <v>3226</v>
      </c>
      <c r="G2076" s="4">
        <v>20670.7</v>
      </c>
      <c r="H2076" s="4">
        <v>12131.16</v>
      </c>
      <c r="I2076" s="3" t="s">
        <v>3734</v>
      </c>
      <c r="J2076">
        <v>2</v>
      </c>
      <c r="K2076" s="4">
        <f>Table3[[#This Row],[Sales]]-Table3[[#This Row],[Cost]]</f>
        <v>8539.5400000000009</v>
      </c>
      <c r="L2076" s="6">
        <f>Table3[[#This Row],[Profit]]/Table3[[#This Row],[Sales]]</f>
        <v>0.41312292278442436</v>
      </c>
    </row>
    <row r="2077" spans="1:12" x14ac:dyDescent="0.25">
      <c r="A2077" t="s">
        <v>1935</v>
      </c>
      <c r="B2077" s="2" t="s">
        <v>3729</v>
      </c>
      <c r="C2077" s="2" t="str">
        <f>TEXT(Table3[[#This Row],[Order Date]],"mmmm")</f>
        <v>Not Mentioned</v>
      </c>
      <c r="D2077" t="s">
        <v>3220</v>
      </c>
      <c r="E2077" t="s">
        <v>3224</v>
      </c>
      <c r="F2077" t="s">
        <v>3226</v>
      </c>
      <c r="G2077" s="4">
        <v>193280.45</v>
      </c>
      <c r="H2077" s="4">
        <v>197952.37</v>
      </c>
      <c r="I2077" s="3" t="s">
        <v>3734</v>
      </c>
      <c r="J2077">
        <v>4</v>
      </c>
      <c r="K2077" s="4">
        <f>Table3[[#This Row],[Sales]]-Table3[[#This Row],[Cost]]</f>
        <v>-4671.9199999999837</v>
      </c>
      <c r="L2077" s="6">
        <f>Table3[[#This Row],[Profit]]/Table3[[#This Row],[Sales]]</f>
        <v>-2.4171715245902954E-2</v>
      </c>
    </row>
    <row r="2078" spans="1:12" x14ac:dyDescent="0.25">
      <c r="A2078" t="s">
        <v>3280</v>
      </c>
      <c r="B2078" s="2">
        <v>45102</v>
      </c>
      <c r="C2078" s="2" t="str">
        <f>TEXT(Table3[[#This Row],[Order Date]],"mmmm")</f>
        <v>June</v>
      </c>
      <c r="D2078" t="s">
        <v>3220</v>
      </c>
      <c r="E2078" t="s">
        <v>3222</v>
      </c>
      <c r="F2078" t="s">
        <v>3226</v>
      </c>
      <c r="G2078" s="4">
        <v>33569.57</v>
      </c>
      <c r="H2078" s="4">
        <v>21162.46</v>
      </c>
      <c r="I2078" s="3" t="s">
        <v>3734</v>
      </c>
      <c r="J2078">
        <v>2</v>
      </c>
      <c r="K2078" s="4">
        <f>Table3[[#This Row],[Sales]]-Table3[[#This Row],[Cost]]</f>
        <v>12407.11</v>
      </c>
      <c r="L2078" s="6">
        <f>Table3[[#This Row],[Profit]]/Table3[[#This Row],[Sales]]</f>
        <v>0.36959395071190965</v>
      </c>
    </row>
    <row r="2079" spans="1:12" x14ac:dyDescent="0.25">
      <c r="A2079" t="s">
        <v>3565</v>
      </c>
      <c r="B2079" s="2">
        <v>45005</v>
      </c>
      <c r="C2079" s="2" t="str">
        <f>TEXT(Table3[[#This Row],[Order Date]],"mmmm")</f>
        <v>March</v>
      </c>
      <c r="D2079" t="s">
        <v>3220</v>
      </c>
      <c r="E2079" t="s">
        <v>3222</v>
      </c>
      <c r="F2079" t="s">
        <v>3226</v>
      </c>
      <c r="G2079" s="4">
        <v>14015.8</v>
      </c>
      <c r="H2079" s="4">
        <v>9323.11</v>
      </c>
      <c r="I2079" s="3" t="s">
        <v>3734</v>
      </c>
      <c r="J2079">
        <v>1</v>
      </c>
      <c r="K2079" s="4">
        <f>Table3[[#This Row],[Sales]]-Table3[[#This Row],[Cost]]</f>
        <v>4692.6899999999987</v>
      </c>
      <c r="L2079" s="6">
        <f>Table3[[#This Row],[Profit]]/Table3[[#This Row],[Sales]]</f>
        <v>0.33481428102569949</v>
      </c>
    </row>
    <row r="2080" spans="1:12" x14ac:dyDescent="0.25">
      <c r="A2080" t="s">
        <v>1937</v>
      </c>
      <c r="B2080" s="2">
        <v>45102</v>
      </c>
      <c r="C2080" s="2" t="str">
        <f>TEXT(Table3[[#This Row],[Order Date]],"mmmm")</f>
        <v>June</v>
      </c>
      <c r="D2080" t="s">
        <v>3216</v>
      </c>
      <c r="E2080" t="s">
        <v>3224</v>
      </c>
      <c r="F2080" t="s">
        <v>3226</v>
      </c>
      <c r="G2080" s="4">
        <v>120408.2</v>
      </c>
      <c r="H2080" s="4">
        <v>86623.61</v>
      </c>
      <c r="I2080" s="3" t="s">
        <v>3734</v>
      </c>
      <c r="J2080">
        <v>2</v>
      </c>
      <c r="K2080" s="4">
        <f>Table3[[#This Row],[Sales]]-Table3[[#This Row],[Cost]]</f>
        <v>33784.589999999997</v>
      </c>
      <c r="L2080" s="6">
        <f>Table3[[#This Row],[Profit]]/Table3[[#This Row],[Sales]]</f>
        <v>0.28058379744901091</v>
      </c>
    </row>
    <row r="2081" spans="1:12" x14ac:dyDescent="0.25">
      <c r="A2081" t="s">
        <v>1938</v>
      </c>
      <c r="B2081" s="2">
        <v>45021</v>
      </c>
      <c r="C2081" s="2" t="str">
        <f>TEXT(Table3[[#This Row],[Order Date]],"mmmm")</f>
        <v>April</v>
      </c>
      <c r="D2081" t="s">
        <v>3730</v>
      </c>
      <c r="E2081" t="s">
        <v>3224</v>
      </c>
      <c r="F2081" t="s">
        <v>3226</v>
      </c>
      <c r="G2081" s="4">
        <v>213482.17</v>
      </c>
      <c r="H2081" s="4">
        <v>177080.86</v>
      </c>
      <c r="I2081" s="3" t="s">
        <v>3734</v>
      </c>
      <c r="J2081">
        <v>4</v>
      </c>
      <c r="K2081" s="4">
        <f>Table3[[#This Row],[Sales]]-Table3[[#This Row],[Cost]]</f>
        <v>36401.310000000027</v>
      </c>
      <c r="L2081" s="6">
        <f>Table3[[#This Row],[Profit]]/Table3[[#This Row],[Sales]]</f>
        <v>0.1705121790733157</v>
      </c>
    </row>
    <row r="2082" spans="1:12" x14ac:dyDescent="0.25">
      <c r="A2082" t="s">
        <v>1939</v>
      </c>
      <c r="B2082" s="2">
        <v>44972</v>
      </c>
      <c r="C2082" s="2" t="str">
        <f>TEXT(Table3[[#This Row],[Order Date]],"mmmm")</f>
        <v>February</v>
      </c>
      <c r="D2082" t="s">
        <v>3730</v>
      </c>
      <c r="E2082" t="s">
        <v>3222</v>
      </c>
      <c r="F2082" t="s">
        <v>3226</v>
      </c>
      <c r="G2082" s="4">
        <v>15734.71</v>
      </c>
      <c r="H2082" s="4">
        <v>9311.67</v>
      </c>
      <c r="I2082" s="3" t="s">
        <v>3734</v>
      </c>
      <c r="J2082">
        <v>1</v>
      </c>
      <c r="K2082" s="4">
        <f>Table3[[#This Row],[Sales]]-Table3[[#This Row],[Cost]]</f>
        <v>6423.0399999999991</v>
      </c>
      <c r="L2082" s="6">
        <f>Table3[[#This Row],[Profit]]/Table3[[#This Row],[Sales]]</f>
        <v>0.40820834956602309</v>
      </c>
    </row>
    <row r="2083" spans="1:12" x14ac:dyDescent="0.25">
      <c r="A2083" t="s">
        <v>731</v>
      </c>
      <c r="B2083" s="2">
        <v>44972</v>
      </c>
      <c r="C2083" s="2" t="str">
        <f>TEXT(Table3[[#This Row],[Order Date]],"mmmm")</f>
        <v>February</v>
      </c>
      <c r="D2083" t="s">
        <v>3731</v>
      </c>
      <c r="E2083" t="s">
        <v>3224</v>
      </c>
      <c r="F2083" t="s">
        <v>3226</v>
      </c>
      <c r="G2083" s="4">
        <v>231568.75</v>
      </c>
      <c r="H2083" s="4">
        <v>194940.82</v>
      </c>
      <c r="I2083" s="3" t="s">
        <v>3734</v>
      </c>
      <c r="J2083">
        <v>4</v>
      </c>
      <c r="K2083" s="4">
        <f>Table3[[#This Row],[Sales]]-Table3[[#This Row],[Cost]]</f>
        <v>36627.929999999993</v>
      </c>
      <c r="L2083" s="6">
        <f>Table3[[#This Row],[Profit]]/Table3[[#This Row],[Sales]]</f>
        <v>0.15817302636905883</v>
      </c>
    </row>
    <row r="2084" spans="1:12" x14ac:dyDescent="0.25">
      <c r="A2084" t="s">
        <v>1940</v>
      </c>
      <c r="B2084" s="2">
        <v>45102</v>
      </c>
      <c r="C2084" s="2" t="str">
        <f>TEXT(Table3[[#This Row],[Order Date]],"mmmm")</f>
        <v>June</v>
      </c>
      <c r="D2084" t="s">
        <v>3220</v>
      </c>
      <c r="E2084" t="s">
        <v>3224</v>
      </c>
      <c r="F2084" t="s">
        <v>3226</v>
      </c>
      <c r="G2084" s="4">
        <v>162318.59</v>
      </c>
      <c r="H2084" s="4">
        <v>145373.10999999999</v>
      </c>
      <c r="I2084" s="3" t="s">
        <v>3734</v>
      </c>
      <c r="J2084">
        <v>3</v>
      </c>
      <c r="K2084" s="4">
        <f>Table3[[#This Row],[Sales]]-Table3[[#This Row],[Cost]]</f>
        <v>16945.48000000001</v>
      </c>
      <c r="L2084" s="6">
        <f>Table3[[#This Row],[Profit]]/Table3[[#This Row],[Sales]]</f>
        <v>0.10439642187626205</v>
      </c>
    </row>
    <row r="2085" spans="1:12" x14ac:dyDescent="0.25">
      <c r="A2085" t="s">
        <v>1941</v>
      </c>
      <c r="B2085" s="2">
        <v>45102</v>
      </c>
      <c r="C2085" s="2" t="str">
        <f>TEXT(Table3[[#This Row],[Order Date]],"mmmm")</f>
        <v>June</v>
      </c>
      <c r="D2085" t="s">
        <v>3731</v>
      </c>
      <c r="E2085" t="s">
        <v>3222</v>
      </c>
      <c r="F2085" t="s">
        <v>3226</v>
      </c>
      <c r="G2085" s="4">
        <v>84261.26</v>
      </c>
      <c r="H2085" s="4">
        <v>44879.02</v>
      </c>
      <c r="I2085" s="3" t="s">
        <v>3734</v>
      </c>
      <c r="J2085">
        <v>5</v>
      </c>
      <c r="K2085" s="4">
        <f>Table3[[#This Row],[Sales]]-Table3[[#This Row],[Cost]]</f>
        <v>39382.239999999998</v>
      </c>
      <c r="L2085" s="6">
        <f>Table3[[#This Row],[Profit]]/Table3[[#This Row],[Sales]]</f>
        <v>0.46738251955881033</v>
      </c>
    </row>
    <row r="2086" spans="1:12" x14ac:dyDescent="0.25">
      <c r="A2086" t="s">
        <v>1942</v>
      </c>
      <c r="B2086" s="2">
        <v>44972</v>
      </c>
      <c r="C2086" s="2" t="str">
        <f>TEXT(Table3[[#This Row],[Order Date]],"mmmm")</f>
        <v>February</v>
      </c>
      <c r="D2086" t="s">
        <v>3220</v>
      </c>
      <c r="E2086" t="s">
        <v>3224</v>
      </c>
      <c r="F2086" t="s">
        <v>3226</v>
      </c>
      <c r="G2086" s="4">
        <v>310132.98</v>
      </c>
      <c r="H2086" s="4">
        <v>248106.38399999999</v>
      </c>
      <c r="I2086" s="3" t="s">
        <v>3735</v>
      </c>
      <c r="J2086">
        <v>5</v>
      </c>
      <c r="K2086" s="4">
        <f>Table3[[#This Row],[Sales]]-Table3[[#This Row],[Cost]]</f>
        <v>62026.59599999999</v>
      </c>
      <c r="L2086" s="6">
        <f>Table3[[#This Row],[Profit]]/Table3[[#This Row],[Sales]]</f>
        <v>0.19999999999999998</v>
      </c>
    </row>
    <row r="2087" spans="1:12" x14ac:dyDescent="0.25">
      <c r="A2087" t="s">
        <v>1943</v>
      </c>
      <c r="B2087" s="2" t="s">
        <v>3729</v>
      </c>
      <c r="C2087" s="2" t="str">
        <f>TEXT(Table3[[#This Row],[Order Date]],"mmmm")</f>
        <v>Not Mentioned</v>
      </c>
      <c r="D2087" t="s">
        <v>3216</v>
      </c>
      <c r="E2087" t="s">
        <v>3223</v>
      </c>
      <c r="F2087" t="s">
        <v>3226</v>
      </c>
      <c r="G2087" s="4">
        <v>56198.9</v>
      </c>
      <c r="H2087" s="4">
        <v>35092.199999999997</v>
      </c>
      <c r="I2087" s="3" t="s">
        <v>3734</v>
      </c>
      <c r="J2087">
        <v>5</v>
      </c>
      <c r="K2087" s="4">
        <f>Table3[[#This Row],[Sales]]-Table3[[#This Row],[Cost]]</f>
        <v>21106.700000000004</v>
      </c>
      <c r="L2087" s="6">
        <f>Table3[[#This Row],[Profit]]/Table3[[#This Row],[Sales]]</f>
        <v>0.37557140798129507</v>
      </c>
    </row>
    <row r="2088" spans="1:12" x14ac:dyDescent="0.25">
      <c r="A2088" t="s">
        <v>1944</v>
      </c>
      <c r="B2088" s="2">
        <v>44972</v>
      </c>
      <c r="C2088" s="2" t="str">
        <f>TEXT(Table3[[#This Row],[Order Date]],"mmmm")</f>
        <v>February</v>
      </c>
      <c r="D2088" t="s">
        <v>3731</v>
      </c>
      <c r="E2088" t="s">
        <v>3225</v>
      </c>
      <c r="F2088" t="s">
        <v>3226</v>
      </c>
      <c r="G2088" s="4">
        <v>64911.08</v>
      </c>
      <c r="H2088" s="4">
        <v>57263.41</v>
      </c>
      <c r="I2088" s="3" t="s">
        <v>3734</v>
      </c>
      <c r="J2088">
        <v>4</v>
      </c>
      <c r="K2088" s="4">
        <f>Table3[[#This Row],[Sales]]-Table3[[#This Row],[Cost]]</f>
        <v>7647.6699999999983</v>
      </c>
      <c r="L2088" s="6">
        <f>Table3[[#This Row],[Profit]]/Table3[[#This Row],[Sales]]</f>
        <v>0.11781763606459787</v>
      </c>
    </row>
    <row r="2089" spans="1:12" x14ac:dyDescent="0.25">
      <c r="A2089" t="s">
        <v>1946</v>
      </c>
      <c r="B2089" s="2">
        <v>45005</v>
      </c>
      <c r="C2089" s="2" t="str">
        <f>TEXT(Table3[[#This Row],[Order Date]],"mmmm")</f>
        <v>March</v>
      </c>
      <c r="D2089" t="s">
        <v>3730</v>
      </c>
      <c r="E2089" t="s">
        <v>3224</v>
      </c>
      <c r="F2089" t="s">
        <v>3226</v>
      </c>
      <c r="G2089" s="4">
        <v>141552.23000000001</v>
      </c>
      <c r="H2089" s="4">
        <v>97673.27</v>
      </c>
      <c r="I2089" s="3" t="s">
        <v>3734</v>
      </c>
      <c r="J2089">
        <v>2</v>
      </c>
      <c r="K2089" s="4">
        <f>Table3[[#This Row],[Sales]]-Table3[[#This Row],[Cost]]</f>
        <v>43878.960000000006</v>
      </c>
      <c r="L2089" s="6">
        <f>Table3[[#This Row],[Profit]]/Table3[[#This Row],[Sales]]</f>
        <v>0.30998423691382326</v>
      </c>
    </row>
    <row r="2090" spans="1:12" x14ac:dyDescent="0.25">
      <c r="A2090" t="s">
        <v>3566</v>
      </c>
      <c r="B2090" s="2">
        <v>45102</v>
      </c>
      <c r="C2090" s="2" t="str">
        <f>TEXT(Table3[[#This Row],[Order Date]],"mmmm")</f>
        <v>June</v>
      </c>
      <c r="D2090" t="s">
        <v>3731</v>
      </c>
      <c r="E2090" t="s">
        <v>3224</v>
      </c>
      <c r="F2090" t="s">
        <v>3226</v>
      </c>
      <c r="G2090" s="4">
        <v>53941.49</v>
      </c>
      <c r="H2090" s="4">
        <v>39289.01</v>
      </c>
      <c r="I2090" s="3" t="s">
        <v>3734</v>
      </c>
      <c r="J2090">
        <v>1</v>
      </c>
      <c r="K2090" s="4">
        <f>Table3[[#This Row],[Sales]]-Table3[[#This Row],[Cost]]</f>
        <v>14652.479999999996</v>
      </c>
      <c r="L2090" s="6">
        <f>Table3[[#This Row],[Profit]]/Table3[[#This Row],[Sales]]</f>
        <v>0.27163654544952309</v>
      </c>
    </row>
    <row r="2091" spans="1:12" x14ac:dyDescent="0.25">
      <c r="A2091" t="s">
        <v>1167</v>
      </c>
      <c r="B2091" s="2">
        <v>45005</v>
      </c>
      <c r="C2091" s="2" t="str">
        <f>TEXT(Table3[[#This Row],[Order Date]],"mmmm")</f>
        <v>March</v>
      </c>
      <c r="D2091" t="s">
        <v>3730</v>
      </c>
      <c r="E2091" t="s">
        <v>3225</v>
      </c>
      <c r="F2091" t="s">
        <v>3226</v>
      </c>
      <c r="G2091" s="4">
        <v>115074.92</v>
      </c>
      <c r="H2091" s="4">
        <v>66399.740000000005</v>
      </c>
      <c r="I2091" s="3" t="s">
        <v>3734</v>
      </c>
      <c r="J2091">
        <v>5</v>
      </c>
      <c r="K2091" s="4">
        <f>Table3[[#This Row],[Sales]]-Table3[[#This Row],[Cost]]</f>
        <v>48675.179999999993</v>
      </c>
      <c r="L2091" s="6">
        <f>Table3[[#This Row],[Profit]]/Table3[[#This Row],[Sales]]</f>
        <v>0.42298686803345154</v>
      </c>
    </row>
    <row r="2092" spans="1:12" x14ac:dyDescent="0.25">
      <c r="A2092" t="s">
        <v>1948</v>
      </c>
      <c r="B2092" s="2">
        <v>45005</v>
      </c>
      <c r="C2092" s="2" t="str">
        <f>TEXT(Table3[[#This Row],[Order Date]],"mmmm")</f>
        <v>March</v>
      </c>
      <c r="D2092" t="s">
        <v>3730</v>
      </c>
      <c r="E2092" t="s">
        <v>3225</v>
      </c>
      <c r="F2092" t="s">
        <v>3226</v>
      </c>
      <c r="G2092" s="4">
        <v>62170.49</v>
      </c>
      <c r="H2092" s="4">
        <v>49736.392</v>
      </c>
      <c r="I2092" s="3" t="s">
        <v>3735</v>
      </c>
      <c r="J2092">
        <v>3</v>
      </c>
      <c r="K2092" s="4">
        <f>Table3[[#This Row],[Sales]]-Table3[[#This Row],[Cost]]</f>
        <v>12434.097999999998</v>
      </c>
      <c r="L2092" s="6">
        <f>Table3[[#This Row],[Profit]]/Table3[[#This Row],[Sales]]</f>
        <v>0.19999999999999998</v>
      </c>
    </row>
    <row r="2093" spans="1:12" x14ac:dyDescent="0.25">
      <c r="A2093" t="s">
        <v>1949</v>
      </c>
      <c r="B2093" s="2">
        <v>44941</v>
      </c>
      <c r="C2093" s="2" t="str">
        <f>TEXT(Table3[[#This Row],[Order Date]],"mmmm")</f>
        <v>January</v>
      </c>
      <c r="D2093" t="s">
        <v>3730</v>
      </c>
      <c r="E2093" t="s">
        <v>3224</v>
      </c>
      <c r="F2093" t="s">
        <v>3226</v>
      </c>
      <c r="G2093" s="4">
        <v>334703.96999999997</v>
      </c>
      <c r="H2093" s="4">
        <v>234928.43</v>
      </c>
      <c r="I2093" s="3" t="s">
        <v>3734</v>
      </c>
      <c r="J2093">
        <v>5</v>
      </c>
      <c r="K2093" s="4">
        <f>Table3[[#This Row],[Sales]]-Table3[[#This Row],[Cost]]</f>
        <v>99775.539999999979</v>
      </c>
      <c r="L2093" s="6">
        <f>Table3[[#This Row],[Profit]]/Table3[[#This Row],[Sales]]</f>
        <v>0.29810085610875781</v>
      </c>
    </row>
    <row r="2094" spans="1:12" x14ac:dyDescent="0.25">
      <c r="A2094" t="s">
        <v>361</v>
      </c>
      <c r="B2094" s="2">
        <v>45102</v>
      </c>
      <c r="C2094" s="2" t="str">
        <f>TEXT(Table3[[#This Row],[Order Date]],"mmmm")</f>
        <v>June</v>
      </c>
      <c r="D2094" t="s">
        <v>3730</v>
      </c>
      <c r="E2094" t="s">
        <v>3222</v>
      </c>
      <c r="F2094" t="s">
        <v>3226</v>
      </c>
      <c r="G2094" s="4">
        <v>13137.53</v>
      </c>
      <c r="H2094" s="4">
        <v>10517.13</v>
      </c>
      <c r="I2094" s="3" t="s">
        <v>3734</v>
      </c>
      <c r="J2094">
        <v>1</v>
      </c>
      <c r="K2094" s="4">
        <f>Table3[[#This Row],[Sales]]-Table3[[#This Row],[Cost]]</f>
        <v>2620.4000000000015</v>
      </c>
      <c r="L2094" s="6">
        <f>Table3[[#This Row],[Profit]]/Table3[[#This Row],[Sales]]</f>
        <v>0.19945910684885221</v>
      </c>
    </row>
    <row r="2095" spans="1:12" x14ac:dyDescent="0.25">
      <c r="A2095" t="s">
        <v>1299</v>
      </c>
      <c r="B2095" s="2">
        <v>44941</v>
      </c>
      <c r="C2095" s="2" t="str">
        <f>TEXT(Table3[[#This Row],[Order Date]],"mmmm")</f>
        <v>January</v>
      </c>
      <c r="D2095" t="s">
        <v>3220</v>
      </c>
      <c r="E2095" t="s">
        <v>3223</v>
      </c>
      <c r="F2095" t="s">
        <v>3226</v>
      </c>
      <c r="G2095" s="4">
        <v>11193.25</v>
      </c>
      <c r="H2095" s="4">
        <v>6126.97</v>
      </c>
      <c r="I2095" s="3" t="s">
        <v>3734</v>
      </c>
      <c r="J2095">
        <v>1</v>
      </c>
      <c r="K2095" s="4">
        <f>Table3[[#This Row],[Sales]]-Table3[[#This Row],[Cost]]</f>
        <v>5066.28</v>
      </c>
      <c r="L2095" s="6">
        <f>Table3[[#This Row],[Profit]]/Table3[[#This Row],[Sales]]</f>
        <v>0.4526192124718022</v>
      </c>
    </row>
    <row r="2096" spans="1:12" x14ac:dyDescent="0.25">
      <c r="A2096" t="s">
        <v>870</v>
      </c>
      <c r="B2096" s="2" t="s">
        <v>3729</v>
      </c>
      <c r="C2096" s="2" t="str">
        <f>TEXT(Table3[[#This Row],[Order Date]],"mmmm")</f>
        <v>Not Mentioned</v>
      </c>
      <c r="D2096" t="s">
        <v>3216</v>
      </c>
      <c r="E2096" t="s">
        <v>3223</v>
      </c>
      <c r="F2096" t="s">
        <v>3226</v>
      </c>
      <c r="G2096" s="4">
        <v>19894.75</v>
      </c>
      <c r="H2096" s="4">
        <v>14715.9</v>
      </c>
      <c r="I2096" s="3" t="s">
        <v>3734</v>
      </c>
      <c r="J2096">
        <v>2</v>
      </c>
      <c r="K2096" s="4">
        <f>Table3[[#This Row],[Sales]]-Table3[[#This Row],[Cost]]</f>
        <v>5178.8500000000004</v>
      </c>
      <c r="L2096" s="6">
        <f>Table3[[#This Row],[Profit]]/Table3[[#This Row],[Sales]]</f>
        <v>0.26031239397328443</v>
      </c>
    </row>
    <row r="2097" spans="1:12" x14ac:dyDescent="0.25">
      <c r="A2097" t="s">
        <v>1950</v>
      </c>
      <c r="B2097" s="2">
        <v>45021</v>
      </c>
      <c r="C2097" s="2" t="str">
        <f>TEXT(Table3[[#This Row],[Order Date]],"mmmm")</f>
        <v>April</v>
      </c>
      <c r="D2097" t="s">
        <v>3216</v>
      </c>
      <c r="E2097" t="s">
        <v>3222</v>
      </c>
      <c r="F2097" t="s">
        <v>3226</v>
      </c>
      <c r="G2097" s="4">
        <v>77494.850000000006</v>
      </c>
      <c r="H2097" s="4">
        <v>48270.14</v>
      </c>
      <c r="I2097" s="3" t="s">
        <v>3734</v>
      </c>
      <c r="J2097">
        <v>5</v>
      </c>
      <c r="K2097" s="4">
        <f>Table3[[#This Row],[Sales]]-Table3[[#This Row],[Cost]]</f>
        <v>29224.710000000006</v>
      </c>
      <c r="L2097" s="6">
        <f>Table3[[#This Row],[Profit]]/Table3[[#This Row],[Sales]]</f>
        <v>0.37711809236355709</v>
      </c>
    </row>
    <row r="2098" spans="1:12" x14ac:dyDescent="0.25">
      <c r="A2098" t="s">
        <v>1951</v>
      </c>
      <c r="B2098" s="2">
        <v>45005</v>
      </c>
      <c r="C2098" s="2" t="str">
        <f>TEXT(Table3[[#This Row],[Order Date]],"mmmm")</f>
        <v>March</v>
      </c>
      <c r="D2098" t="s">
        <v>3730</v>
      </c>
      <c r="E2098" t="s">
        <v>3223</v>
      </c>
      <c r="F2098" t="s">
        <v>3226</v>
      </c>
      <c r="G2098" s="4">
        <v>21298.52</v>
      </c>
      <c r="H2098" s="4">
        <v>13653.75</v>
      </c>
      <c r="I2098" s="3" t="s">
        <v>3734</v>
      </c>
      <c r="J2098" t="s">
        <v>3732</v>
      </c>
      <c r="K2098" s="4">
        <f>Table3[[#This Row],[Sales]]-Table3[[#This Row],[Cost]]</f>
        <v>7644.77</v>
      </c>
      <c r="L2098" s="6">
        <f>Table3[[#This Row],[Profit]]/Table3[[#This Row],[Sales]]</f>
        <v>0.35893432970929434</v>
      </c>
    </row>
    <row r="2099" spans="1:12" x14ac:dyDescent="0.25">
      <c r="A2099" t="s">
        <v>1952</v>
      </c>
      <c r="B2099" s="2">
        <v>44972</v>
      </c>
      <c r="C2099" s="2" t="str">
        <f>TEXT(Table3[[#This Row],[Order Date]],"mmmm")</f>
        <v>February</v>
      </c>
      <c r="D2099" t="s">
        <v>3730</v>
      </c>
      <c r="E2099" t="s">
        <v>3225</v>
      </c>
      <c r="F2099" t="s">
        <v>3226</v>
      </c>
      <c r="G2099" s="4">
        <v>82744.33</v>
      </c>
      <c r="H2099" s="4">
        <v>51834.38</v>
      </c>
      <c r="I2099" s="3" t="s">
        <v>3734</v>
      </c>
      <c r="J2099">
        <v>4</v>
      </c>
      <c r="K2099" s="4">
        <f>Table3[[#This Row],[Sales]]-Table3[[#This Row],[Cost]]</f>
        <v>30909.950000000004</v>
      </c>
      <c r="L2099" s="6">
        <f>Table3[[#This Row],[Profit]]/Table3[[#This Row],[Sales]]</f>
        <v>0.37355973515043273</v>
      </c>
    </row>
    <row r="2100" spans="1:12" x14ac:dyDescent="0.25">
      <c r="A2100" t="s">
        <v>1953</v>
      </c>
      <c r="B2100" s="2">
        <v>44972</v>
      </c>
      <c r="C2100" s="2" t="str">
        <f>TEXT(Table3[[#This Row],[Order Date]],"mmmm")</f>
        <v>February</v>
      </c>
      <c r="D2100" t="s">
        <v>3730</v>
      </c>
      <c r="E2100" t="s">
        <v>3223</v>
      </c>
      <c r="F2100" t="s">
        <v>3226</v>
      </c>
      <c r="G2100" s="4">
        <v>35964.35</v>
      </c>
      <c r="H2100" s="4">
        <v>29037.34</v>
      </c>
      <c r="I2100" s="3" t="s">
        <v>3734</v>
      </c>
      <c r="J2100">
        <v>4</v>
      </c>
      <c r="K2100" s="4">
        <f>Table3[[#This Row],[Sales]]-Table3[[#This Row],[Cost]]</f>
        <v>6927.0099999999984</v>
      </c>
      <c r="L2100" s="6">
        <f>Table3[[#This Row],[Profit]]/Table3[[#This Row],[Sales]]</f>
        <v>0.19260767954933145</v>
      </c>
    </row>
    <row r="2101" spans="1:12" x14ac:dyDescent="0.25">
      <c r="A2101" t="s">
        <v>1954</v>
      </c>
      <c r="B2101" s="2">
        <v>45021</v>
      </c>
      <c r="C2101" s="2" t="str">
        <f>TEXT(Table3[[#This Row],[Order Date]],"mmmm")</f>
        <v>April</v>
      </c>
      <c r="D2101" t="s">
        <v>3220</v>
      </c>
      <c r="E2101" t="s">
        <v>3222</v>
      </c>
      <c r="F2101" t="s">
        <v>3226</v>
      </c>
      <c r="G2101" s="4">
        <v>78781.69</v>
      </c>
      <c r="H2101" s="4">
        <v>48969.99</v>
      </c>
      <c r="I2101" s="3" t="s">
        <v>3734</v>
      </c>
      <c r="J2101">
        <v>5</v>
      </c>
      <c r="K2101" s="4">
        <f>Table3[[#This Row],[Sales]]-Table3[[#This Row],[Cost]]</f>
        <v>29811.700000000004</v>
      </c>
      <c r="L2101" s="6">
        <f>Table3[[#This Row],[Profit]]/Table3[[#This Row],[Sales]]</f>
        <v>0.37840899325718963</v>
      </c>
    </row>
    <row r="2102" spans="1:12" x14ac:dyDescent="0.25">
      <c r="A2102" t="s">
        <v>1955</v>
      </c>
      <c r="B2102" s="2" t="s">
        <v>3729</v>
      </c>
      <c r="C2102" s="2" t="str">
        <f>TEXT(Table3[[#This Row],[Order Date]],"mmmm")</f>
        <v>Not Mentioned</v>
      </c>
      <c r="D2102" t="s">
        <v>3220</v>
      </c>
      <c r="E2102" t="s">
        <v>3224</v>
      </c>
      <c r="F2102" t="s">
        <v>3226</v>
      </c>
      <c r="G2102" s="4">
        <v>68163.03</v>
      </c>
      <c r="H2102" s="4">
        <v>54530.423999999999</v>
      </c>
      <c r="I2102" s="3" t="s">
        <v>3735</v>
      </c>
      <c r="J2102">
        <v>1</v>
      </c>
      <c r="K2102" s="4">
        <f>Table3[[#This Row],[Sales]]-Table3[[#This Row],[Cost]]</f>
        <v>13632.606</v>
      </c>
      <c r="L2102" s="6">
        <f>Table3[[#This Row],[Profit]]/Table3[[#This Row],[Sales]]</f>
        <v>0.2</v>
      </c>
    </row>
    <row r="2103" spans="1:12" x14ac:dyDescent="0.25">
      <c r="A2103" t="s">
        <v>1956</v>
      </c>
      <c r="B2103" s="2">
        <v>45005</v>
      </c>
      <c r="C2103" s="2" t="str">
        <f>TEXT(Table3[[#This Row],[Order Date]],"mmmm")</f>
        <v>March</v>
      </c>
      <c r="D2103" t="s">
        <v>3730</v>
      </c>
      <c r="E2103" t="s">
        <v>3223</v>
      </c>
      <c r="F2103" t="s">
        <v>3226</v>
      </c>
      <c r="G2103" s="4">
        <v>17351.63</v>
      </c>
      <c r="H2103" s="4">
        <v>13881.304000000002</v>
      </c>
      <c r="I2103" s="3" t="s">
        <v>3735</v>
      </c>
      <c r="J2103">
        <v>2</v>
      </c>
      <c r="K2103" s="4">
        <f>Table3[[#This Row],[Sales]]-Table3[[#This Row],[Cost]]</f>
        <v>3470.3259999999991</v>
      </c>
      <c r="L2103" s="6">
        <f>Table3[[#This Row],[Profit]]/Table3[[#This Row],[Sales]]</f>
        <v>0.19999999999999993</v>
      </c>
    </row>
    <row r="2104" spans="1:12" x14ac:dyDescent="0.25">
      <c r="A2104" t="s">
        <v>1957</v>
      </c>
      <c r="B2104" s="2">
        <v>45102</v>
      </c>
      <c r="C2104" s="2" t="str">
        <f>TEXT(Table3[[#This Row],[Order Date]],"mmmm")</f>
        <v>June</v>
      </c>
      <c r="D2104" t="s">
        <v>3220</v>
      </c>
      <c r="E2104" t="s">
        <v>3224</v>
      </c>
      <c r="F2104" t="s">
        <v>3226</v>
      </c>
      <c r="G2104" s="4">
        <v>197531.9</v>
      </c>
      <c r="H2104" s="4">
        <v>116203.53</v>
      </c>
      <c r="I2104" s="3" t="s">
        <v>3734</v>
      </c>
      <c r="J2104">
        <v>3</v>
      </c>
      <c r="K2104" s="4">
        <f>Table3[[#This Row],[Sales]]-Table3[[#This Row],[Cost]]</f>
        <v>81328.37</v>
      </c>
      <c r="L2104" s="6">
        <f>Table3[[#This Row],[Profit]]/Table3[[#This Row],[Sales]]</f>
        <v>0.41172271415401762</v>
      </c>
    </row>
    <row r="2105" spans="1:12" x14ac:dyDescent="0.25">
      <c r="A2105" t="s">
        <v>1958</v>
      </c>
      <c r="B2105" s="2">
        <v>45005</v>
      </c>
      <c r="C2105" s="2" t="str">
        <f>TEXT(Table3[[#This Row],[Order Date]],"mmmm")</f>
        <v>March</v>
      </c>
      <c r="D2105" t="s">
        <v>3730</v>
      </c>
      <c r="E2105" t="s">
        <v>3225</v>
      </c>
      <c r="F2105" t="s">
        <v>3226</v>
      </c>
      <c r="G2105" s="4">
        <v>91938.8</v>
      </c>
      <c r="H2105" s="4">
        <v>61320.3</v>
      </c>
      <c r="I2105" s="3" t="s">
        <v>3734</v>
      </c>
      <c r="J2105">
        <v>4</v>
      </c>
      <c r="K2105" s="4">
        <f>Table3[[#This Row],[Sales]]-Table3[[#This Row],[Cost]]</f>
        <v>30618.5</v>
      </c>
      <c r="L2105" s="6">
        <f>Table3[[#This Row],[Profit]]/Table3[[#This Row],[Sales]]</f>
        <v>0.33303132083516424</v>
      </c>
    </row>
    <row r="2106" spans="1:12" x14ac:dyDescent="0.25">
      <c r="A2106" t="s">
        <v>1959</v>
      </c>
      <c r="B2106" s="2">
        <v>45102</v>
      </c>
      <c r="C2106" s="2" t="str">
        <f>TEXT(Table3[[#This Row],[Order Date]],"mmmm")</f>
        <v>June</v>
      </c>
      <c r="D2106" t="s">
        <v>3220</v>
      </c>
      <c r="E2106" t="s">
        <v>3223</v>
      </c>
      <c r="F2106" t="s">
        <v>3226</v>
      </c>
      <c r="G2106" s="4">
        <v>46936.87</v>
      </c>
      <c r="H2106" s="4">
        <v>37632.699999999997</v>
      </c>
      <c r="I2106" s="3" t="s">
        <v>3734</v>
      </c>
      <c r="J2106">
        <v>5</v>
      </c>
      <c r="K2106" s="4">
        <f>Table3[[#This Row],[Sales]]-Table3[[#This Row],[Cost]]</f>
        <v>9304.1700000000055</v>
      </c>
      <c r="L2106" s="6">
        <f>Table3[[#This Row],[Profit]]/Table3[[#This Row],[Sales]]</f>
        <v>0.19822732108042154</v>
      </c>
    </row>
    <row r="2107" spans="1:12" x14ac:dyDescent="0.25">
      <c r="A2107" t="s">
        <v>1960</v>
      </c>
      <c r="B2107" s="2" t="s">
        <v>3729</v>
      </c>
      <c r="C2107" s="2" t="str">
        <f>TEXT(Table3[[#This Row],[Order Date]],"mmmm")</f>
        <v>Not Mentioned</v>
      </c>
      <c r="D2107" t="s">
        <v>3730</v>
      </c>
      <c r="E2107" t="s">
        <v>3222</v>
      </c>
      <c r="F2107" t="s">
        <v>3226</v>
      </c>
      <c r="G2107" s="4">
        <v>53054.01</v>
      </c>
      <c r="H2107" s="4">
        <v>41416.769999999997</v>
      </c>
      <c r="I2107" s="3" t="s">
        <v>3734</v>
      </c>
      <c r="J2107">
        <v>4</v>
      </c>
      <c r="K2107" s="4">
        <f>Table3[[#This Row],[Sales]]-Table3[[#This Row],[Cost]]</f>
        <v>11637.240000000005</v>
      </c>
      <c r="L2107" s="6">
        <f>Table3[[#This Row],[Profit]]/Table3[[#This Row],[Sales]]</f>
        <v>0.21934703898913588</v>
      </c>
    </row>
    <row r="2108" spans="1:12" x14ac:dyDescent="0.25">
      <c r="A2108" t="s">
        <v>1961</v>
      </c>
      <c r="B2108" s="2">
        <v>45021</v>
      </c>
      <c r="C2108" s="2" t="str">
        <f>TEXT(Table3[[#This Row],[Order Date]],"mmmm")</f>
        <v>April</v>
      </c>
      <c r="D2108" t="s">
        <v>3730</v>
      </c>
      <c r="E2108" t="s">
        <v>3224</v>
      </c>
      <c r="F2108" t="s">
        <v>3226</v>
      </c>
      <c r="G2108" s="4">
        <v>276486.02</v>
      </c>
      <c r="H2108" s="4">
        <v>174750.78</v>
      </c>
      <c r="I2108" s="3" t="s">
        <v>3734</v>
      </c>
      <c r="J2108">
        <v>4</v>
      </c>
      <c r="K2108" s="4">
        <f>Table3[[#This Row],[Sales]]-Table3[[#This Row],[Cost]]</f>
        <v>101735.24000000002</v>
      </c>
      <c r="L2108" s="6">
        <f>Table3[[#This Row],[Profit]]/Table3[[#This Row],[Sales]]</f>
        <v>0.3679579893406546</v>
      </c>
    </row>
    <row r="2109" spans="1:12" x14ac:dyDescent="0.25">
      <c r="A2109" t="s">
        <v>3567</v>
      </c>
      <c r="B2109" s="2" t="s">
        <v>3729</v>
      </c>
      <c r="C2109" s="2" t="str">
        <f>TEXT(Table3[[#This Row],[Order Date]],"mmmm")</f>
        <v>Not Mentioned</v>
      </c>
      <c r="D2109" t="s">
        <v>3220</v>
      </c>
      <c r="E2109" t="s">
        <v>3223</v>
      </c>
      <c r="F2109" t="s">
        <v>3226</v>
      </c>
      <c r="G2109" s="4">
        <v>10305.549999999999</v>
      </c>
      <c r="H2109" s="4">
        <v>7519.45</v>
      </c>
      <c r="I2109" s="3" t="s">
        <v>3734</v>
      </c>
      <c r="J2109">
        <v>1</v>
      </c>
      <c r="K2109" s="4">
        <f>Table3[[#This Row],[Sales]]-Table3[[#This Row],[Cost]]</f>
        <v>2786.0999999999995</v>
      </c>
      <c r="L2109" s="6">
        <f>Table3[[#This Row],[Profit]]/Table3[[#This Row],[Sales]]</f>
        <v>0.27034947188650771</v>
      </c>
    </row>
    <row r="2110" spans="1:12" x14ac:dyDescent="0.25">
      <c r="A2110" t="s">
        <v>1940</v>
      </c>
      <c r="B2110" s="2">
        <v>45005</v>
      </c>
      <c r="C2110" s="2" t="str">
        <f>TEXT(Table3[[#This Row],[Order Date]],"mmmm")</f>
        <v>March</v>
      </c>
      <c r="D2110" t="s">
        <v>3730</v>
      </c>
      <c r="E2110" t="s">
        <v>3225</v>
      </c>
      <c r="F2110" t="s">
        <v>3226</v>
      </c>
      <c r="G2110" s="4">
        <v>101501.57</v>
      </c>
      <c r="H2110" s="4">
        <v>62848.44</v>
      </c>
      <c r="I2110" s="3" t="s">
        <v>3734</v>
      </c>
      <c r="J2110">
        <v>5</v>
      </c>
      <c r="K2110" s="4">
        <f>Table3[[#This Row],[Sales]]-Table3[[#This Row],[Cost]]</f>
        <v>38653.130000000005</v>
      </c>
      <c r="L2110" s="6">
        <f>Table3[[#This Row],[Profit]]/Table3[[#This Row],[Sales]]</f>
        <v>0.38081312436842113</v>
      </c>
    </row>
    <row r="2111" spans="1:12" x14ac:dyDescent="0.25">
      <c r="A2111" t="s">
        <v>1963</v>
      </c>
      <c r="B2111" s="2">
        <v>45102</v>
      </c>
      <c r="C2111" s="2" t="str">
        <f>TEXT(Table3[[#This Row],[Order Date]],"mmmm")</f>
        <v>June</v>
      </c>
      <c r="D2111" t="s">
        <v>3731</v>
      </c>
      <c r="E2111" t="s">
        <v>3224</v>
      </c>
      <c r="F2111" t="s">
        <v>3226</v>
      </c>
      <c r="G2111" s="4">
        <v>140323.51999999999</v>
      </c>
      <c r="H2111" s="4">
        <v>83125.52</v>
      </c>
      <c r="I2111" s="3" t="s">
        <v>3734</v>
      </c>
      <c r="J2111">
        <v>2</v>
      </c>
      <c r="K2111" s="4">
        <f>Table3[[#This Row],[Sales]]-Table3[[#This Row],[Cost]]</f>
        <v>57197.999999999985</v>
      </c>
      <c r="L2111" s="6">
        <f>Table3[[#This Row],[Profit]]/Table3[[#This Row],[Sales]]</f>
        <v>0.40761520235524301</v>
      </c>
    </row>
    <row r="2112" spans="1:12" x14ac:dyDescent="0.25">
      <c r="A2112" t="s">
        <v>1964</v>
      </c>
      <c r="B2112" s="2">
        <v>45021</v>
      </c>
      <c r="C2112" s="2" t="str">
        <f>TEXT(Table3[[#This Row],[Order Date]],"mmmm")</f>
        <v>April</v>
      </c>
      <c r="D2112" t="s">
        <v>3220</v>
      </c>
      <c r="E2112" t="s">
        <v>3225</v>
      </c>
      <c r="F2112" t="s">
        <v>3226</v>
      </c>
      <c r="G2112" s="4">
        <v>87878.25</v>
      </c>
      <c r="H2112" s="4">
        <v>52424.17</v>
      </c>
      <c r="I2112" s="3" t="s">
        <v>3734</v>
      </c>
      <c r="J2112">
        <v>4</v>
      </c>
      <c r="K2112" s="4">
        <f>Table3[[#This Row],[Sales]]-Table3[[#This Row],[Cost]]</f>
        <v>35454.080000000002</v>
      </c>
      <c r="L2112" s="6">
        <f>Table3[[#This Row],[Profit]]/Table3[[#This Row],[Sales]]</f>
        <v>0.40344544867472898</v>
      </c>
    </row>
    <row r="2113" spans="1:12" x14ac:dyDescent="0.25">
      <c r="A2113" t="s">
        <v>1965</v>
      </c>
      <c r="B2113" s="2">
        <v>45021</v>
      </c>
      <c r="C2113" s="2" t="str">
        <f>TEXT(Table3[[#This Row],[Order Date]],"mmmm")</f>
        <v>April</v>
      </c>
      <c r="D2113" t="s">
        <v>3730</v>
      </c>
      <c r="E2113" t="s">
        <v>3225</v>
      </c>
      <c r="F2113" t="s">
        <v>3226</v>
      </c>
      <c r="G2113" s="4">
        <v>41175.199999999997</v>
      </c>
      <c r="H2113" s="4">
        <v>25068.71</v>
      </c>
      <c r="I2113" s="3" t="s">
        <v>3734</v>
      </c>
      <c r="J2113">
        <v>2</v>
      </c>
      <c r="K2113" s="4">
        <f>Table3[[#This Row],[Sales]]-Table3[[#This Row],[Cost]]</f>
        <v>16106.489999999998</v>
      </c>
      <c r="L2113" s="6">
        <f>Table3[[#This Row],[Profit]]/Table3[[#This Row],[Sales]]</f>
        <v>0.39116968466455532</v>
      </c>
    </row>
    <row r="2114" spans="1:12" x14ac:dyDescent="0.25">
      <c r="A2114" t="s">
        <v>1966</v>
      </c>
      <c r="B2114" s="2">
        <v>45021</v>
      </c>
      <c r="C2114" s="2" t="str">
        <f>TEXT(Table3[[#This Row],[Order Date]],"mmmm")</f>
        <v>April</v>
      </c>
      <c r="D2114" t="s">
        <v>3731</v>
      </c>
      <c r="E2114" t="s">
        <v>3224</v>
      </c>
      <c r="F2114" t="s">
        <v>3226</v>
      </c>
      <c r="G2114" s="4">
        <v>70885.77</v>
      </c>
      <c r="H2114" s="4">
        <v>46526.81</v>
      </c>
      <c r="I2114" s="3" t="s">
        <v>3734</v>
      </c>
      <c r="J2114">
        <v>1</v>
      </c>
      <c r="K2114" s="4">
        <f>Table3[[#This Row],[Sales]]-Table3[[#This Row],[Cost]]</f>
        <v>24358.960000000006</v>
      </c>
      <c r="L2114" s="6">
        <f>Table3[[#This Row],[Profit]]/Table3[[#This Row],[Sales]]</f>
        <v>0.34363681173245358</v>
      </c>
    </row>
    <row r="2115" spans="1:12" x14ac:dyDescent="0.25">
      <c r="A2115" t="s">
        <v>3443</v>
      </c>
      <c r="B2115" s="2">
        <v>44972</v>
      </c>
      <c r="C2115" s="2" t="str">
        <f>TEXT(Table3[[#This Row],[Order Date]],"mmmm")</f>
        <v>February</v>
      </c>
      <c r="D2115" t="s">
        <v>3220</v>
      </c>
      <c r="E2115" t="s">
        <v>3224</v>
      </c>
      <c r="F2115" t="s">
        <v>3226</v>
      </c>
      <c r="G2115" s="4">
        <v>104618.11</v>
      </c>
      <c r="H2115" s="4">
        <v>96860.17</v>
      </c>
      <c r="I2115" s="3" t="s">
        <v>3734</v>
      </c>
      <c r="J2115">
        <v>2</v>
      </c>
      <c r="K2115" s="4">
        <f>Table3[[#This Row],[Sales]]-Table3[[#This Row],[Cost]]</f>
        <v>7757.9400000000023</v>
      </c>
      <c r="L2115" s="6">
        <f>Table3[[#This Row],[Profit]]/Table3[[#This Row],[Sales]]</f>
        <v>7.4154847568934312E-2</v>
      </c>
    </row>
    <row r="2116" spans="1:12" x14ac:dyDescent="0.25">
      <c r="A2116" t="s">
        <v>3568</v>
      </c>
      <c r="B2116" s="2">
        <v>44941</v>
      </c>
      <c r="C2116" s="2" t="str">
        <f>TEXT(Table3[[#This Row],[Order Date]],"mmmm")</f>
        <v>January</v>
      </c>
      <c r="D2116" t="s">
        <v>3730</v>
      </c>
      <c r="E2116" t="s">
        <v>3222</v>
      </c>
      <c r="F2116" t="s">
        <v>3226</v>
      </c>
      <c r="G2116" s="4">
        <v>64595.5</v>
      </c>
      <c r="H2116" s="4">
        <v>40661.83</v>
      </c>
      <c r="I2116" s="3" t="s">
        <v>3734</v>
      </c>
      <c r="J2116">
        <v>4</v>
      </c>
      <c r="K2116" s="4">
        <f>Table3[[#This Row],[Sales]]-Table3[[#This Row],[Cost]]</f>
        <v>23933.67</v>
      </c>
      <c r="L2116" s="6">
        <f>Table3[[#This Row],[Profit]]/Table3[[#This Row],[Sales]]</f>
        <v>0.3705160576201128</v>
      </c>
    </row>
    <row r="2117" spans="1:12" x14ac:dyDescent="0.25">
      <c r="A2117" t="s">
        <v>3368</v>
      </c>
      <c r="B2117" s="2">
        <v>44972</v>
      </c>
      <c r="C2117" s="2" t="str">
        <f>TEXT(Table3[[#This Row],[Order Date]],"mmmm")</f>
        <v>February</v>
      </c>
      <c r="D2117" t="s">
        <v>3731</v>
      </c>
      <c r="E2117" t="s">
        <v>3224</v>
      </c>
      <c r="F2117" t="s">
        <v>3226</v>
      </c>
      <c r="G2117" s="4">
        <v>50297.55</v>
      </c>
      <c r="H2117" s="4">
        <v>48829.24</v>
      </c>
      <c r="I2117" s="3" t="s">
        <v>3734</v>
      </c>
      <c r="J2117">
        <v>1</v>
      </c>
      <c r="K2117" s="4">
        <f>Table3[[#This Row],[Sales]]-Table3[[#This Row],[Cost]]</f>
        <v>1468.3100000000049</v>
      </c>
      <c r="L2117" s="6">
        <f>Table3[[#This Row],[Profit]]/Table3[[#This Row],[Sales]]</f>
        <v>2.9192475577836392E-2</v>
      </c>
    </row>
    <row r="2118" spans="1:12" x14ac:dyDescent="0.25">
      <c r="A2118" t="s">
        <v>3433</v>
      </c>
      <c r="B2118" s="2">
        <v>45102</v>
      </c>
      <c r="C2118" s="2" t="str">
        <f>TEXT(Table3[[#This Row],[Order Date]],"mmmm")</f>
        <v>June</v>
      </c>
      <c r="D2118" t="s">
        <v>3731</v>
      </c>
      <c r="E2118" t="s">
        <v>3225</v>
      </c>
      <c r="F2118" t="s">
        <v>3226</v>
      </c>
      <c r="G2118" s="4">
        <v>81494.52</v>
      </c>
      <c r="H2118" s="4">
        <v>50512.05</v>
      </c>
      <c r="I2118" s="3" t="s">
        <v>3734</v>
      </c>
      <c r="J2118">
        <v>4</v>
      </c>
      <c r="K2118" s="4">
        <f>Table3[[#This Row],[Sales]]-Table3[[#This Row],[Cost]]</f>
        <v>30982.47</v>
      </c>
      <c r="L2118" s="6">
        <f>Table3[[#This Row],[Profit]]/Table3[[#This Row],[Sales]]</f>
        <v>0.38017856906206698</v>
      </c>
    </row>
    <row r="2119" spans="1:12" x14ac:dyDescent="0.25">
      <c r="A2119" t="s">
        <v>1968</v>
      </c>
      <c r="B2119" s="2">
        <v>45005</v>
      </c>
      <c r="C2119" s="2" t="str">
        <f>TEXT(Table3[[#This Row],[Order Date]],"mmmm")</f>
        <v>March</v>
      </c>
      <c r="D2119" t="s">
        <v>3216</v>
      </c>
      <c r="E2119" t="s">
        <v>3223</v>
      </c>
      <c r="F2119" t="s">
        <v>3226</v>
      </c>
      <c r="G2119" s="4">
        <v>43667.32</v>
      </c>
      <c r="H2119" s="4">
        <v>26293.200000000001</v>
      </c>
      <c r="I2119" s="3" t="s">
        <v>3734</v>
      </c>
      <c r="J2119">
        <v>4</v>
      </c>
      <c r="K2119" s="4">
        <f>Table3[[#This Row],[Sales]]-Table3[[#This Row],[Cost]]</f>
        <v>17374.12</v>
      </c>
      <c r="L2119" s="6">
        <f>Table3[[#This Row],[Profit]]/Table3[[#This Row],[Sales]]</f>
        <v>0.39787465775321224</v>
      </c>
    </row>
    <row r="2120" spans="1:12" x14ac:dyDescent="0.25">
      <c r="A2120" t="s">
        <v>1969</v>
      </c>
      <c r="B2120" s="2">
        <v>45102</v>
      </c>
      <c r="C2120" s="2" t="str">
        <f>TEXT(Table3[[#This Row],[Order Date]],"mmmm")</f>
        <v>June</v>
      </c>
      <c r="D2120" t="s">
        <v>3220</v>
      </c>
      <c r="E2120" t="s">
        <v>3224</v>
      </c>
      <c r="F2120" t="s">
        <v>3226</v>
      </c>
      <c r="G2120" s="4">
        <v>268824.03999999998</v>
      </c>
      <c r="H2120" s="4">
        <v>192969.42</v>
      </c>
      <c r="I2120" s="3" t="s">
        <v>3734</v>
      </c>
      <c r="J2120">
        <v>4</v>
      </c>
      <c r="K2120" s="4">
        <f>Table3[[#This Row],[Sales]]-Table3[[#This Row],[Cost]]</f>
        <v>75854.619999999966</v>
      </c>
      <c r="L2120" s="6">
        <f>Table3[[#This Row],[Profit]]/Table3[[#This Row],[Sales]]</f>
        <v>0.28217201110436391</v>
      </c>
    </row>
    <row r="2121" spans="1:12" x14ac:dyDescent="0.25">
      <c r="A2121" t="s">
        <v>590</v>
      </c>
      <c r="B2121" s="2">
        <v>45005</v>
      </c>
      <c r="C2121" s="2" t="str">
        <f>TEXT(Table3[[#This Row],[Order Date]],"mmmm")</f>
        <v>March</v>
      </c>
      <c r="D2121" t="s">
        <v>3220</v>
      </c>
      <c r="E2121" t="s">
        <v>3225</v>
      </c>
      <c r="F2121" t="s">
        <v>3226</v>
      </c>
      <c r="G2121" s="4">
        <v>36492.410000000003</v>
      </c>
      <c r="H2121" s="4">
        <v>24660.21</v>
      </c>
      <c r="I2121" s="3" t="s">
        <v>3734</v>
      </c>
      <c r="J2121">
        <v>2</v>
      </c>
      <c r="K2121" s="4">
        <f>Table3[[#This Row],[Sales]]-Table3[[#This Row],[Cost]]</f>
        <v>11832.200000000004</v>
      </c>
      <c r="L2121" s="6">
        <f>Table3[[#This Row],[Profit]]/Table3[[#This Row],[Sales]]</f>
        <v>0.32423728660288548</v>
      </c>
    </row>
    <row r="2122" spans="1:12" x14ac:dyDescent="0.25">
      <c r="A2122" t="s">
        <v>693</v>
      </c>
      <c r="B2122" s="2">
        <v>45005</v>
      </c>
      <c r="C2122" s="2" t="str">
        <f>TEXT(Table3[[#This Row],[Order Date]],"mmmm")</f>
        <v>March</v>
      </c>
      <c r="D2122" t="s">
        <v>3220</v>
      </c>
      <c r="E2122" t="s">
        <v>3222</v>
      </c>
      <c r="F2122" t="s">
        <v>3226</v>
      </c>
      <c r="G2122" s="4">
        <v>15644.89</v>
      </c>
      <c r="H2122" s="4">
        <v>9033.43</v>
      </c>
      <c r="I2122" s="3" t="s">
        <v>3734</v>
      </c>
      <c r="J2122">
        <v>1</v>
      </c>
      <c r="K2122" s="4">
        <f>Table3[[#This Row],[Sales]]-Table3[[#This Row],[Cost]]</f>
        <v>6611.4599999999991</v>
      </c>
      <c r="L2122" s="6">
        <f>Table3[[#This Row],[Profit]]/Table3[[#This Row],[Sales]]</f>
        <v>0.42259549284143255</v>
      </c>
    </row>
    <row r="2123" spans="1:12" x14ac:dyDescent="0.25">
      <c r="A2123" t="s">
        <v>1970</v>
      </c>
      <c r="B2123" s="2">
        <v>44972</v>
      </c>
      <c r="C2123" s="2" t="str">
        <f>TEXT(Table3[[#This Row],[Order Date]],"mmmm")</f>
        <v>February</v>
      </c>
      <c r="D2123" t="s">
        <v>3730</v>
      </c>
      <c r="E2123" t="s">
        <v>3222</v>
      </c>
      <c r="F2123" t="s">
        <v>3226</v>
      </c>
      <c r="G2123" s="4">
        <v>74111.89</v>
      </c>
      <c r="H2123" s="4">
        <v>47874.91</v>
      </c>
      <c r="I2123" s="3" t="s">
        <v>3734</v>
      </c>
      <c r="J2123">
        <v>5</v>
      </c>
      <c r="K2123" s="4">
        <f>Table3[[#This Row],[Sales]]-Table3[[#This Row],[Cost]]</f>
        <v>26236.979999999996</v>
      </c>
      <c r="L2123" s="6">
        <f>Table3[[#This Row],[Profit]]/Table3[[#This Row],[Sales]]</f>
        <v>0.35401849824636772</v>
      </c>
    </row>
    <row r="2124" spans="1:12" x14ac:dyDescent="0.25">
      <c r="A2124" t="s">
        <v>923</v>
      </c>
      <c r="B2124" s="2">
        <v>44941</v>
      </c>
      <c r="C2124" s="2" t="str">
        <f>TEXT(Table3[[#This Row],[Order Date]],"mmmm")</f>
        <v>January</v>
      </c>
      <c r="D2124" t="s">
        <v>3730</v>
      </c>
      <c r="E2124" t="s">
        <v>3223</v>
      </c>
      <c r="F2124" t="s">
        <v>3226</v>
      </c>
      <c r="G2124" s="4">
        <v>39266.01</v>
      </c>
      <c r="H2124" s="4">
        <v>29896.32</v>
      </c>
      <c r="I2124" s="3" t="s">
        <v>3734</v>
      </c>
      <c r="J2124">
        <v>4</v>
      </c>
      <c r="K2124" s="4">
        <f>Table3[[#This Row],[Sales]]-Table3[[#This Row],[Cost]]</f>
        <v>9369.6900000000023</v>
      </c>
      <c r="L2124" s="6">
        <f>Table3[[#This Row],[Profit]]/Table3[[#This Row],[Sales]]</f>
        <v>0.23862088355806974</v>
      </c>
    </row>
    <row r="2125" spans="1:12" x14ac:dyDescent="0.25">
      <c r="A2125" t="s">
        <v>1951</v>
      </c>
      <c r="B2125" s="2">
        <v>44972</v>
      </c>
      <c r="C2125" s="2" t="str">
        <f>TEXT(Table3[[#This Row],[Order Date]],"mmmm")</f>
        <v>February</v>
      </c>
      <c r="D2125" t="s">
        <v>3730</v>
      </c>
      <c r="E2125" t="s">
        <v>3225</v>
      </c>
      <c r="F2125" t="s">
        <v>3226</v>
      </c>
      <c r="G2125" s="4">
        <v>20623.66</v>
      </c>
      <c r="H2125" s="4">
        <v>14196.87</v>
      </c>
      <c r="I2125" s="3" t="s">
        <v>3734</v>
      </c>
      <c r="J2125">
        <v>1</v>
      </c>
      <c r="K2125" s="4">
        <f>Table3[[#This Row],[Sales]]-Table3[[#This Row],[Cost]]</f>
        <v>6426.7899999999991</v>
      </c>
      <c r="L2125" s="6">
        <f>Table3[[#This Row],[Profit]]/Table3[[#This Row],[Sales]]</f>
        <v>0.31162218539289338</v>
      </c>
    </row>
    <row r="2126" spans="1:12" x14ac:dyDescent="0.25">
      <c r="A2126" t="s">
        <v>1971</v>
      </c>
      <c r="B2126" s="2">
        <v>45102</v>
      </c>
      <c r="C2126" s="2" t="str">
        <f>TEXT(Table3[[#This Row],[Order Date]],"mmmm")</f>
        <v>June</v>
      </c>
      <c r="D2126" t="s">
        <v>3730</v>
      </c>
      <c r="E2126" t="s">
        <v>3222</v>
      </c>
      <c r="F2126" t="s">
        <v>3226</v>
      </c>
      <c r="G2126" s="4">
        <v>24904.61</v>
      </c>
      <c r="H2126" s="4">
        <v>17245.25</v>
      </c>
      <c r="I2126" s="3" t="s">
        <v>3734</v>
      </c>
      <c r="J2126">
        <v>2</v>
      </c>
      <c r="K2126" s="4">
        <f>Table3[[#This Row],[Sales]]-Table3[[#This Row],[Cost]]</f>
        <v>7659.3600000000006</v>
      </c>
      <c r="L2126" s="6">
        <f>Table3[[#This Row],[Profit]]/Table3[[#This Row],[Sales]]</f>
        <v>0.30754787968974423</v>
      </c>
    </row>
    <row r="2127" spans="1:12" x14ac:dyDescent="0.25">
      <c r="A2127" t="s">
        <v>3569</v>
      </c>
      <c r="B2127" s="2">
        <v>45005</v>
      </c>
      <c r="C2127" s="2" t="str">
        <f>TEXT(Table3[[#This Row],[Order Date]],"mmmm")</f>
        <v>March</v>
      </c>
      <c r="D2127" t="s">
        <v>3220</v>
      </c>
      <c r="E2127" t="s">
        <v>3222</v>
      </c>
      <c r="F2127" t="s">
        <v>3226</v>
      </c>
      <c r="G2127" s="4">
        <v>12526.57</v>
      </c>
      <c r="H2127" s="4">
        <v>10653.7</v>
      </c>
      <c r="I2127" s="3" t="s">
        <v>3734</v>
      </c>
      <c r="J2127">
        <v>1</v>
      </c>
      <c r="K2127" s="4">
        <f>Table3[[#This Row],[Sales]]-Table3[[#This Row],[Cost]]</f>
        <v>1872.869999999999</v>
      </c>
      <c r="L2127" s="6">
        <f>Table3[[#This Row],[Profit]]/Table3[[#This Row],[Sales]]</f>
        <v>0.14951179772276041</v>
      </c>
    </row>
    <row r="2128" spans="1:12" x14ac:dyDescent="0.25">
      <c r="A2128" t="s">
        <v>1973</v>
      </c>
      <c r="B2128" s="2">
        <v>44972</v>
      </c>
      <c r="C2128" s="2" t="str">
        <f>TEXT(Table3[[#This Row],[Order Date]],"mmmm")</f>
        <v>February</v>
      </c>
      <c r="D2128" t="s">
        <v>3731</v>
      </c>
      <c r="E2128" t="s">
        <v>3225</v>
      </c>
      <c r="F2128" t="s">
        <v>3226</v>
      </c>
      <c r="G2128" s="4">
        <v>42646.26</v>
      </c>
      <c r="H2128" s="4">
        <v>25879.919999999998</v>
      </c>
      <c r="I2128" s="3" t="s">
        <v>3734</v>
      </c>
      <c r="J2128">
        <v>2</v>
      </c>
      <c r="K2128" s="4">
        <f>Table3[[#This Row],[Sales]]-Table3[[#This Row],[Cost]]</f>
        <v>16766.340000000004</v>
      </c>
      <c r="L2128" s="6">
        <f>Table3[[#This Row],[Profit]]/Table3[[#This Row],[Sales]]</f>
        <v>0.39314912960714499</v>
      </c>
    </row>
    <row r="2129" spans="1:12" x14ac:dyDescent="0.25">
      <c r="A2129" t="s">
        <v>1975</v>
      </c>
      <c r="B2129" s="2">
        <v>44972</v>
      </c>
      <c r="C2129" s="2" t="str">
        <f>TEXT(Table3[[#This Row],[Order Date]],"mmmm")</f>
        <v>February</v>
      </c>
      <c r="D2129" t="s">
        <v>3220</v>
      </c>
      <c r="E2129" t="s">
        <v>3222</v>
      </c>
      <c r="F2129" t="s">
        <v>3226</v>
      </c>
      <c r="G2129" s="4">
        <v>14982.78</v>
      </c>
      <c r="H2129" s="4">
        <v>9047.74</v>
      </c>
      <c r="I2129" s="3" t="s">
        <v>3734</v>
      </c>
      <c r="J2129" t="s">
        <v>3732</v>
      </c>
      <c r="K2129" s="4">
        <f>Table3[[#This Row],[Sales]]-Table3[[#This Row],[Cost]]</f>
        <v>5935.0400000000009</v>
      </c>
      <c r="L2129" s="6">
        <f>Table3[[#This Row],[Profit]]/Table3[[#This Row],[Sales]]</f>
        <v>0.39612408378151454</v>
      </c>
    </row>
    <row r="2130" spans="1:12" x14ac:dyDescent="0.25">
      <c r="A2130" t="s">
        <v>1673</v>
      </c>
      <c r="B2130" s="2">
        <v>45021</v>
      </c>
      <c r="C2130" s="2" t="str">
        <f>TEXT(Table3[[#This Row],[Order Date]],"mmmm")</f>
        <v>April</v>
      </c>
      <c r="D2130" t="s">
        <v>3731</v>
      </c>
      <c r="E2130" t="s">
        <v>3225</v>
      </c>
      <c r="F2130" t="s">
        <v>3226</v>
      </c>
      <c r="G2130" s="4">
        <v>84701.65</v>
      </c>
      <c r="H2130" s="4">
        <v>50663.040000000001</v>
      </c>
      <c r="I2130" s="3" t="s">
        <v>3734</v>
      </c>
      <c r="J2130">
        <v>4</v>
      </c>
      <c r="K2130" s="4">
        <f>Table3[[#This Row],[Sales]]-Table3[[#This Row],[Cost]]</f>
        <v>34038.609999999993</v>
      </c>
      <c r="L2130" s="6">
        <f>Table3[[#This Row],[Profit]]/Table3[[#This Row],[Sales]]</f>
        <v>0.40186478067428433</v>
      </c>
    </row>
    <row r="2131" spans="1:12" x14ac:dyDescent="0.25">
      <c r="A2131" t="s">
        <v>1976</v>
      </c>
      <c r="B2131" s="2">
        <v>45005</v>
      </c>
      <c r="C2131" s="2" t="str">
        <f>TEXT(Table3[[#This Row],[Order Date]],"mmmm")</f>
        <v>March</v>
      </c>
      <c r="D2131" t="s">
        <v>3216</v>
      </c>
      <c r="E2131" t="s">
        <v>3225</v>
      </c>
      <c r="F2131" t="s">
        <v>3226</v>
      </c>
      <c r="G2131" s="4">
        <v>102067.64</v>
      </c>
      <c r="H2131" s="4">
        <v>64409.77</v>
      </c>
      <c r="I2131" s="3" t="s">
        <v>3734</v>
      </c>
      <c r="J2131">
        <v>5</v>
      </c>
      <c r="K2131" s="4">
        <f>Table3[[#This Row],[Sales]]-Table3[[#This Row],[Cost]]</f>
        <v>37657.870000000003</v>
      </c>
      <c r="L2131" s="6">
        <f>Table3[[#This Row],[Profit]]/Table3[[#This Row],[Sales]]</f>
        <v>0.36895013933897169</v>
      </c>
    </row>
    <row r="2132" spans="1:12" x14ac:dyDescent="0.25">
      <c r="A2132" t="s">
        <v>1977</v>
      </c>
      <c r="B2132" s="2" t="s">
        <v>3729</v>
      </c>
      <c r="C2132" s="2" t="str">
        <f>TEXT(Table3[[#This Row],[Order Date]],"mmmm")</f>
        <v>Not Mentioned</v>
      </c>
      <c r="D2132" t="s">
        <v>3220</v>
      </c>
      <c r="E2132" t="s">
        <v>3225</v>
      </c>
      <c r="F2132" t="s">
        <v>3226</v>
      </c>
      <c r="G2132" s="4">
        <v>75242.05</v>
      </c>
      <c r="H2132" s="4">
        <v>60193.640000000007</v>
      </c>
      <c r="I2132" s="3" t="s">
        <v>3735</v>
      </c>
      <c r="J2132">
        <v>4</v>
      </c>
      <c r="K2132" s="4">
        <f>Table3[[#This Row],[Sales]]-Table3[[#This Row],[Cost]]</f>
        <v>15048.409999999996</v>
      </c>
      <c r="L2132" s="6">
        <f>Table3[[#This Row],[Profit]]/Table3[[#This Row],[Sales]]</f>
        <v>0.19999999999999996</v>
      </c>
    </row>
    <row r="2133" spans="1:12" x14ac:dyDescent="0.25">
      <c r="A2133" t="s">
        <v>1978</v>
      </c>
      <c r="B2133" s="2">
        <v>44941</v>
      </c>
      <c r="C2133" s="2" t="str">
        <f>TEXT(Table3[[#This Row],[Order Date]],"mmmm")</f>
        <v>January</v>
      </c>
      <c r="D2133" t="s">
        <v>3220</v>
      </c>
      <c r="E2133" t="s">
        <v>3223</v>
      </c>
      <c r="F2133" t="s">
        <v>3226</v>
      </c>
      <c r="G2133" s="4">
        <v>9154.32</v>
      </c>
      <c r="H2133" s="4">
        <v>6843.13</v>
      </c>
      <c r="I2133" s="3" t="s">
        <v>3734</v>
      </c>
      <c r="J2133">
        <v>1</v>
      </c>
      <c r="K2133" s="4">
        <f>Table3[[#This Row],[Sales]]-Table3[[#This Row],[Cost]]</f>
        <v>2311.1899999999996</v>
      </c>
      <c r="L2133" s="6">
        <f>Table3[[#This Row],[Profit]]/Table3[[#This Row],[Sales]]</f>
        <v>0.25246987214779465</v>
      </c>
    </row>
    <row r="2134" spans="1:12" x14ac:dyDescent="0.25">
      <c r="A2134" t="s">
        <v>1979</v>
      </c>
      <c r="B2134" s="2">
        <v>45102</v>
      </c>
      <c r="C2134" s="2" t="str">
        <f>TEXT(Table3[[#This Row],[Order Date]],"mmmm")</f>
        <v>June</v>
      </c>
      <c r="D2134" t="s">
        <v>3220</v>
      </c>
      <c r="E2134" t="s">
        <v>3225</v>
      </c>
      <c r="F2134" t="s">
        <v>3226</v>
      </c>
      <c r="G2134" s="4">
        <v>73107.429999999993</v>
      </c>
      <c r="H2134" s="4">
        <v>52904.34</v>
      </c>
      <c r="I2134" s="3" t="s">
        <v>3734</v>
      </c>
      <c r="J2134">
        <v>4</v>
      </c>
      <c r="K2134" s="4">
        <f>Table3[[#This Row],[Sales]]-Table3[[#This Row],[Cost]]</f>
        <v>20203.089999999997</v>
      </c>
      <c r="L2134" s="6">
        <f>Table3[[#This Row],[Profit]]/Table3[[#This Row],[Sales]]</f>
        <v>0.2763479717451427</v>
      </c>
    </row>
    <row r="2135" spans="1:12" x14ac:dyDescent="0.25">
      <c r="A2135" t="s">
        <v>1980</v>
      </c>
      <c r="B2135" s="2">
        <v>45102</v>
      </c>
      <c r="C2135" s="2" t="str">
        <f>TEXT(Table3[[#This Row],[Order Date]],"mmmm")</f>
        <v>June</v>
      </c>
      <c r="D2135" t="s">
        <v>3731</v>
      </c>
      <c r="E2135" t="s">
        <v>3225</v>
      </c>
      <c r="F2135" t="s">
        <v>3226</v>
      </c>
      <c r="G2135" s="4">
        <v>62427.07</v>
      </c>
      <c r="H2135" s="4">
        <v>36233.74</v>
      </c>
      <c r="I2135" s="3" t="s">
        <v>3734</v>
      </c>
      <c r="J2135">
        <v>3</v>
      </c>
      <c r="K2135" s="4">
        <f>Table3[[#This Row],[Sales]]-Table3[[#This Row],[Cost]]</f>
        <v>26193.33</v>
      </c>
      <c r="L2135" s="6">
        <f>Table3[[#This Row],[Profit]]/Table3[[#This Row],[Sales]]</f>
        <v>0.41958288287436846</v>
      </c>
    </row>
    <row r="2136" spans="1:12" x14ac:dyDescent="0.25">
      <c r="A2136" t="s">
        <v>1981</v>
      </c>
      <c r="B2136" s="2">
        <v>45102</v>
      </c>
      <c r="C2136" s="2" t="str">
        <f>TEXT(Table3[[#This Row],[Order Date]],"mmmm")</f>
        <v>June</v>
      </c>
      <c r="D2136" t="s">
        <v>3220</v>
      </c>
      <c r="E2136" t="s">
        <v>3223</v>
      </c>
      <c r="F2136" t="s">
        <v>3226</v>
      </c>
      <c r="G2136" s="4">
        <v>19147.73</v>
      </c>
      <c r="H2136" s="4">
        <v>15318.184000000001</v>
      </c>
      <c r="I2136" s="3" t="s">
        <v>3735</v>
      </c>
      <c r="J2136">
        <v>2</v>
      </c>
      <c r="K2136" s="4">
        <f>Table3[[#This Row],[Sales]]-Table3[[#This Row],[Cost]]</f>
        <v>3829.5459999999985</v>
      </c>
      <c r="L2136" s="6">
        <f>Table3[[#This Row],[Profit]]/Table3[[#This Row],[Sales]]</f>
        <v>0.19999999999999993</v>
      </c>
    </row>
    <row r="2137" spans="1:12" x14ac:dyDescent="0.25">
      <c r="A2137" t="s">
        <v>1982</v>
      </c>
      <c r="B2137" s="2">
        <v>45021</v>
      </c>
      <c r="C2137" s="2" t="str">
        <f>TEXT(Table3[[#This Row],[Order Date]],"mmmm")</f>
        <v>April</v>
      </c>
      <c r="D2137" t="s">
        <v>3216</v>
      </c>
      <c r="E2137" t="s">
        <v>3223</v>
      </c>
      <c r="F2137" t="s">
        <v>3226</v>
      </c>
      <c r="G2137" s="4">
        <v>32651.35</v>
      </c>
      <c r="H2137" s="4">
        <v>20261.5</v>
      </c>
      <c r="I2137" s="3" t="s">
        <v>3734</v>
      </c>
      <c r="J2137">
        <v>3</v>
      </c>
      <c r="K2137" s="4">
        <f>Table3[[#This Row],[Sales]]-Table3[[#This Row],[Cost]]</f>
        <v>12389.849999999999</v>
      </c>
      <c r="L2137" s="6">
        <f>Table3[[#This Row],[Profit]]/Table3[[#This Row],[Sales]]</f>
        <v>0.3794590422754342</v>
      </c>
    </row>
    <row r="2138" spans="1:12" x14ac:dyDescent="0.25">
      <c r="A2138" t="s">
        <v>1983</v>
      </c>
      <c r="B2138" s="2">
        <v>45021</v>
      </c>
      <c r="C2138" s="2" t="str">
        <f>TEXT(Table3[[#This Row],[Order Date]],"mmmm")</f>
        <v>April</v>
      </c>
      <c r="D2138" t="s">
        <v>3220</v>
      </c>
      <c r="E2138" t="s">
        <v>3224</v>
      </c>
      <c r="F2138" t="s">
        <v>3226</v>
      </c>
      <c r="G2138" s="4">
        <v>196364.09</v>
      </c>
      <c r="H2138" s="4">
        <v>190735.22</v>
      </c>
      <c r="I2138" s="3" t="s">
        <v>3734</v>
      </c>
      <c r="J2138">
        <v>4</v>
      </c>
      <c r="K2138" s="4">
        <f>Table3[[#This Row],[Sales]]-Table3[[#This Row],[Cost]]</f>
        <v>5628.8699999999953</v>
      </c>
      <c r="L2138" s="6">
        <f>Table3[[#This Row],[Profit]]/Table3[[#This Row],[Sales]]</f>
        <v>2.8665475444109946E-2</v>
      </c>
    </row>
    <row r="2139" spans="1:12" x14ac:dyDescent="0.25">
      <c r="A2139" t="s">
        <v>1984</v>
      </c>
      <c r="B2139" s="2">
        <v>45021</v>
      </c>
      <c r="C2139" s="2" t="str">
        <f>TEXT(Table3[[#This Row],[Order Date]],"mmmm")</f>
        <v>April</v>
      </c>
      <c r="D2139" t="s">
        <v>3220</v>
      </c>
      <c r="E2139" t="s">
        <v>3225</v>
      </c>
      <c r="F2139" t="s">
        <v>3226</v>
      </c>
      <c r="G2139" s="4">
        <v>95830.83</v>
      </c>
      <c r="H2139" s="4">
        <v>69161.34</v>
      </c>
      <c r="I2139" s="3" t="s">
        <v>3734</v>
      </c>
      <c r="J2139">
        <v>5</v>
      </c>
      <c r="K2139" s="4">
        <f>Table3[[#This Row],[Sales]]-Table3[[#This Row],[Cost]]</f>
        <v>26669.490000000005</v>
      </c>
      <c r="L2139" s="6">
        <f>Table3[[#This Row],[Profit]]/Table3[[#This Row],[Sales]]</f>
        <v>0.27829760005209186</v>
      </c>
    </row>
    <row r="2140" spans="1:12" x14ac:dyDescent="0.25">
      <c r="A2140" t="s">
        <v>1985</v>
      </c>
      <c r="B2140" s="2">
        <v>44941</v>
      </c>
      <c r="C2140" s="2" t="str">
        <f>TEXT(Table3[[#This Row],[Order Date]],"mmmm")</f>
        <v>January</v>
      </c>
      <c r="D2140" t="s">
        <v>3730</v>
      </c>
      <c r="E2140" t="s">
        <v>3223</v>
      </c>
      <c r="F2140" t="s">
        <v>3226</v>
      </c>
      <c r="G2140" s="4">
        <v>10238.030000000001</v>
      </c>
      <c r="H2140" s="4">
        <v>7264.36</v>
      </c>
      <c r="I2140" s="3" t="s">
        <v>3734</v>
      </c>
      <c r="J2140" t="s">
        <v>3732</v>
      </c>
      <c r="K2140" s="4">
        <f>Table3[[#This Row],[Sales]]-Table3[[#This Row],[Cost]]</f>
        <v>2973.670000000001</v>
      </c>
      <c r="L2140" s="6">
        <f>Table3[[#This Row],[Profit]]/Table3[[#This Row],[Sales]]</f>
        <v>0.2904533391677892</v>
      </c>
    </row>
    <row r="2141" spans="1:12" x14ac:dyDescent="0.25">
      <c r="A2141" t="s">
        <v>882</v>
      </c>
      <c r="B2141" s="2">
        <v>45021</v>
      </c>
      <c r="C2141" s="2" t="str">
        <f>TEXT(Table3[[#This Row],[Order Date]],"mmmm")</f>
        <v>April</v>
      </c>
      <c r="D2141" t="s">
        <v>3216</v>
      </c>
      <c r="E2141" t="s">
        <v>3224</v>
      </c>
      <c r="F2141" t="s">
        <v>3226</v>
      </c>
      <c r="G2141" s="4">
        <v>172225.95</v>
      </c>
      <c r="H2141" s="4">
        <v>132509.54</v>
      </c>
      <c r="I2141" s="3" t="s">
        <v>3734</v>
      </c>
      <c r="J2141">
        <v>3</v>
      </c>
      <c r="K2141" s="4">
        <f>Table3[[#This Row],[Sales]]-Table3[[#This Row],[Cost]]</f>
        <v>39716.410000000003</v>
      </c>
      <c r="L2141" s="6">
        <f>Table3[[#This Row],[Profit]]/Table3[[#This Row],[Sales]]</f>
        <v>0.23060642139004023</v>
      </c>
    </row>
    <row r="2142" spans="1:12" x14ac:dyDescent="0.25">
      <c r="A2142" t="s">
        <v>1986</v>
      </c>
      <c r="B2142" s="2">
        <v>45021</v>
      </c>
      <c r="C2142" s="2" t="str">
        <f>TEXT(Table3[[#This Row],[Order Date]],"mmmm")</f>
        <v>April</v>
      </c>
      <c r="D2142" t="s">
        <v>3220</v>
      </c>
      <c r="E2142" t="s">
        <v>3225</v>
      </c>
      <c r="F2142" t="s">
        <v>3226</v>
      </c>
      <c r="G2142" s="4">
        <v>75415.399999999994</v>
      </c>
      <c r="H2142" s="4">
        <v>61398.04</v>
      </c>
      <c r="I2142" s="3" t="s">
        <v>3734</v>
      </c>
      <c r="J2142" t="s">
        <v>3732</v>
      </c>
      <c r="K2142" s="4">
        <f>Table3[[#This Row],[Sales]]-Table3[[#This Row],[Cost]]</f>
        <v>14017.359999999993</v>
      </c>
      <c r="L2142" s="6">
        <f>Table3[[#This Row],[Profit]]/Table3[[#This Row],[Sales]]</f>
        <v>0.18586866873344163</v>
      </c>
    </row>
    <row r="2143" spans="1:12" x14ac:dyDescent="0.25">
      <c r="A2143" t="s">
        <v>1987</v>
      </c>
      <c r="B2143" s="2">
        <v>45005</v>
      </c>
      <c r="C2143" s="2" t="str">
        <f>TEXT(Table3[[#This Row],[Order Date]],"mmmm")</f>
        <v>March</v>
      </c>
      <c r="D2143" t="s">
        <v>3730</v>
      </c>
      <c r="E2143" t="s">
        <v>3225</v>
      </c>
      <c r="F2143" t="s">
        <v>3226</v>
      </c>
      <c r="G2143" s="4">
        <v>18837.63</v>
      </c>
      <c r="H2143" s="4">
        <v>15113.8</v>
      </c>
      <c r="I2143" s="3" t="s">
        <v>3734</v>
      </c>
      <c r="J2143">
        <v>1</v>
      </c>
      <c r="K2143" s="4">
        <f>Table3[[#This Row],[Sales]]-Table3[[#This Row],[Cost]]</f>
        <v>3723.8300000000017</v>
      </c>
      <c r="L2143" s="6">
        <f>Table3[[#This Row],[Profit]]/Table3[[#This Row],[Sales]]</f>
        <v>0.19768038760714599</v>
      </c>
    </row>
    <row r="2144" spans="1:12" x14ac:dyDescent="0.25">
      <c r="A2144" t="s">
        <v>1988</v>
      </c>
      <c r="B2144" s="2" t="s">
        <v>3729</v>
      </c>
      <c r="C2144" s="2" t="str">
        <f>TEXT(Table3[[#This Row],[Order Date]],"mmmm")</f>
        <v>Not Mentioned</v>
      </c>
      <c r="D2144" t="s">
        <v>3730</v>
      </c>
      <c r="E2144" t="s">
        <v>3225</v>
      </c>
      <c r="F2144" t="s">
        <v>3226</v>
      </c>
      <c r="G2144" s="4">
        <v>16972.900000000001</v>
      </c>
      <c r="H2144" s="4">
        <v>12829.93</v>
      </c>
      <c r="I2144" s="3" t="s">
        <v>3734</v>
      </c>
      <c r="J2144">
        <v>1</v>
      </c>
      <c r="K2144" s="4">
        <f>Table3[[#This Row],[Sales]]-Table3[[#This Row],[Cost]]</f>
        <v>4142.9700000000012</v>
      </c>
      <c r="L2144" s="6">
        <f>Table3[[#This Row],[Profit]]/Table3[[#This Row],[Sales]]</f>
        <v>0.24409323097408225</v>
      </c>
    </row>
    <row r="2145" spans="1:12" x14ac:dyDescent="0.25">
      <c r="A2145" t="s">
        <v>1989</v>
      </c>
      <c r="B2145" s="2">
        <v>44972</v>
      </c>
      <c r="C2145" s="2" t="str">
        <f>TEXT(Table3[[#This Row],[Order Date]],"mmmm")</f>
        <v>February</v>
      </c>
      <c r="D2145" t="s">
        <v>3216</v>
      </c>
      <c r="E2145" t="s">
        <v>3224</v>
      </c>
      <c r="F2145" t="s">
        <v>3226</v>
      </c>
      <c r="G2145" s="4">
        <v>187083.28</v>
      </c>
      <c r="H2145" s="4">
        <v>129254.9</v>
      </c>
      <c r="I2145" s="3" t="s">
        <v>3734</v>
      </c>
      <c r="J2145">
        <v>3</v>
      </c>
      <c r="K2145" s="4">
        <f>Table3[[#This Row],[Sales]]-Table3[[#This Row],[Cost]]</f>
        <v>57828.380000000005</v>
      </c>
      <c r="L2145" s="6">
        <f>Table3[[#This Row],[Profit]]/Table3[[#This Row],[Sales]]</f>
        <v>0.309105014622365</v>
      </c>
    </row>
    <row r="2146" spans="1:12" x14ac:dyDescent="0.25">
      <c r="A2146" t="s">
        <v>1990</v>
      </c>
      <c r="B2146" s="2">
        <v>45021</v>
      </c>
      <c r="C2146" s="2" t="str">
        <f>TEXT(Table3[[#This Row],[Order Date]],"mmmm")</f>
        <v>April</v>
      </c>
      <c r="D2146" t="s">
        <v>3220</v>
      </c>
      <c r="E2146" t="s">
        <v>3222</v>
      </c>
      <c r="F2146" t="s">
        <v>3226</v>
      </c>
      <c r="G2146" s="4">
        <v>13319.91</v>
      </c>
      <c r="H2146" s="4">
        <v>8528.1</v>
      </c>
      <c r="I2146" s="3" t="s">
        <v>3734</v>
      </c>
      <c r="J2146" t="s">
        <v>3732</v>
      </c>
      <c r="K2146" s="4">
        <f>Table3[[#This Row],[Sales]]-Table3[[#This Row],[Cost]]</f>
        <v>4791.8099999999995</v>
      </c>
      <c r="L2146" s="6">
        <f>Table3[[#This Row],[Profit]]/Table3[[#This Row],[Sales]]</f>
        <v>0.35974792622472673</v>
      </c>
    </row>
    <row r="2147" spans="1:12" x14ac:dyDescent="0.25">
      <c r="A2147" t="s">
        <v>577</v>
      </c>
      <c r="B2147" s="2">
        <v>45005</v>
      </c>
      <c r="C2147" s="2" t="str">
        <f>TEXT(Table3[[#This Row],[Order Date]],"mmmm")</f>
        <v>March</v>
      </c>
      <c r="D2147" t="s">
        <v>3220</v>
      </c>
      <c r="E2147" t="s">
        <v>3225</v>
      </c>
      <c r="F2147" t="s">
        <v>3226</v>
      </c>
      <c r="G2147" s="4">
        <v>64447.38</v>
      </c>
      <c r="H2147" s="4">
        <v>47780.66</v>
      </c>
      <c r="I2147" s="3" t="s">
        <v>3734</v>
      </c>
      <c r="J2147">
        <v>4</v>
      </c>
      <c r="K2147" s="4">
        <f>Table3[[#This Row],[Sales]]-Table3[[#This Row],[Cost]]</f>
        <v>16666.719999999994</v>
      </c>
      <c r="L2147" s="6">
        <f>Table3[[#This Row],[Profit]]/Table3[[#This Row],[Sales]]</f>
        <v>0.25860973712197444</v>
      </c>
    </row>
    <row r="2148" spans="1:12" x14ac:dyDescent="0.25">
      <c r="A2148" t="s">
        <v>1991</v>
      </c>
      <c r="B2148" s="2">
        <v>45005</v>
      </c>
      <c r="C2148" s="2" t="str">
        <f>TEXT(Table3[[#This Row],[Order Date]],"mmmm")</f>
        <v>March</v>
      </c>
      <c r="D2148" t="s">
        <v>3216</v>
      </c>
      <c r="E2148" t="s">
        <v>3223</v>
      </c>
      <c r="F2148" t="s">
        <v>3226</v>
      </c>
      <c r="G2148" s="4">
        <v>9665.0499999999993</v>
      </c>
      <c r="H2148" s="4">
        <v>7141.98</v>
      </c>
      <c r="I2148" s="3" t="s">
        <v>3734</v>
      </c>
      <c r="J2148">
        <v>1</v>
      </c>
      <c r="K2148" s="4">
        <f>Table3[[#This Row],[Sales]]-Table3[[#This Row],[Cost]]</f>
        <v>2523.0699999999997</v>
      </c>
      <c r="L2148" s="6">
        <f>Table3[[#This Row],[Profit]]/Table3[[#This Row],[Sales]]</f>
        <v>0.26105089989187846</v>
      </c>
    </row>
    <row r="2149" spans="1:12" x14ac:dyDescent="0.25">
      <c r="A2149" t="s">
        <v>1992</v>
      </c>
      <c r="B2149" s="2">
        <v>45005</v>
      </c>
      <c r="C2149" s="2" t="str">
        <f>TEXT(Table3[[#This Row],[Order Date]],"mmmm")</f>
        <v>March</v>
      </c>
      <c r="D2149" t="s">
        <v>3730</v>
      </c>
      <c r="E2149" t="s">
        <v>3223</v>
      </c>
      <c r="F2149" t="s">
        <v>3226</v>
      </c>
      <c r="G2149" s="4">
        <v>19250.169999999998</v>
      </c>
      <c r="H2149" s="4">
        <v>13264.1</v>
      </c>
      <c r="I2149" s="3" t="s">
        <v>3734</v>
      </c>
      <c r="J2149">
        <v>2</v>
      </c>
      <c r="K2149" s="4">
        <f>Table3[[#This Row],[Sales]]-Table3[[#This Row],[Cost]]</f>
        <v>5986.0699999999979</v>
      </c>
      <c r="L2149" s="6">
        <f>Table3[[#This Row],[Profit]]/Table3[[#This Row],[Sales]]</f>
        <v>0.31096192916737869</v>
      </c>
    </row>
    <row r="2150" spans="1:12" x14ac:dyDescent="0.25">
      <c r="A2150" t="s">
        <v>1993</v>
      </c>
      <c r="B2150" s="2">
        <v>44941</v>
      </c>
      <c r="C2150" s="2" t="str">
        <f>TEXT(Table3[[#This Row],[Order Date]],"mmmm")</f>
        <v>January</v>
      </c>
      <c r="D2150" t="s">
        <v>3220</v>
      </c>
      <c r="E2150" t="s">
        <v>3224</v>
      </c>
      <c r="F2150" t="s">
        <v>3226</v>
      </c>
      <c r="G2150" s="4">
        <v>273429.96999999997</v>
      </c>
      <c r="H2150" s="4">
        <v>205879.79</v>
      </c>
      <c r="I2150" s="3" t="s">
        <v>3734</v>
      </c>
      <c r="J2150">
        <v>5</v>
      </c>
      <c r="K2150" s="4">
        <f>Table3[[#This Row],[Sales]]-Table3[[#This Row],[Cost]]</f>
        <v>67550.179999999964</v>
      </c>
      <c r="L2150" s="6">
        <f>Table3[[#This Row],[Profit]]/Table3[[#This Row],[Sales]]</f>
        <v>0.2470474615492953</v>
      </c>
    </row>
    <row r="2151" spans="1:12" x14ac:dyDescent="0.25">
      <c r="A2151" t="s">
        <v>1995</v>
      </c>
      <c r="B2151" s="2">
        <v>45021</v>
      </c>
      <c r="C2151" s="2" t="str">
        <f>TEXT(Table3[[#This Row],[Order Date]],"mmmm")</f>
        <v>April</v>
      </c>
      <c r="D2151" t="s">
        <v>3730</v>
      </c>
      <c r="E2151" t="s">
        <v>3223</v>
      </c>
      <c r="F2151" t="s">
        <v>3226</v>
      </c>
      <c r="G2151" s="4">
        <v>20073.830000000002</v>
      </c>
      <c r="H2151" s="4">
        <v>12305.48</v>
      </c>
      <c r="I2151" s="3" t="s">
        <v>3734</v>
      </c>
      <c r="J2151">
        <v>2</v>
      </c>
      <c r="K2151" s="4">
        <f>Table3[[#This Row],[Sales]]-Table3[[#This Row],[Cost]]</f>
        <v>7768.3500000000022</v>
      </c>
      <c r="L2151" s="6">
        <f>Table3[[#This Row],[Profit]]/Table3[[#This Row],[Sales]]</f>
        <v>0.38698893036356297</v>
      </c>
    </row>
    <row r="2152" spans="1:12" x14ac:dyDescent="0.25">
      <c r="A2152" t="s">
        <v>3280</v>
      </c>
      <c r="B2152" s="2">
        <v>45005</v>
      </c>
      <c r="C2152" s="2" t="str">
        <f>TEXT(Table3[[#This Row],[Order Date]],"mmmm")</f>
        <v>March</v>
      </c>
      <c r="D2152" t="s">
        <v>3220</v>
      </c>
      <c r="E2152" t="s">
        <v>3222</v>
      </c>
      <c r="F2152" t="s">
        <v>3226</v>
      </c>
      <c r="G2152" s="4">
        <v>82938.81</v>
      </c>
      <c r="H2152" s="4">
        <v>50470.94</v>
      </c>
      <c r="I2152" s="3" t="s">
        <v>3734</v>
      </c>
      <c r="J2152">
        <v>5</v>
      </c>
      <c r="K2152" s="4">
        <f>Table3[[#This Row],[Sales]]-Table3[[#This Row],[Cost]]</f>
        <v>32467.869999999995</v>
      </c>
      <c r="L2152" s="6">
        <f>Table3[[#This Row],[Profit]]/Table3[[#This Row],[Sales]]</f>
        <v>0.39146775797723643</v>
      </c>
    </row>
    <row r="2153" spans="1:12" x14ac:dyDescent="0.25">
      <c r="A2153" t="s">
        <v>1996</v>
      </c>
      <c r="B2153" s="2">
        <v>44941</v>
      </c>
      <c r="C2153" s="2" t="str">
        <f>TEXT(Table3[[#This Row],[Order Date]],"mmmm")</f>
        <v>January</v>
      </c>
      <c r="D2153" t="s">
        <v>3216</v>
      </c>
      <c r="E2153" t="s">
        <v>3223</v>
      </c>
      <c r="F2153" t="s">
        <v>3226</v>
      </c>
      <c r="G2153" s="4">
        <v>42476.2</v>
      </c>
      <c r="H2153" s="4">
        <v>28701.99</v>
      </c>
      <c r="I2153" s="3" t="s">
        <v>3734</v>
      </c>
      <c r="J2153">
        <v>4</v>
      </c>
      <c r="K2153" s="4">
        <f>Table3[[#This Row],[Sales]]-Table3[[#This Row],[Cost]]</f>
        <v>13774.209999999995</v>
      </c>
      <c r="L2153" s="6">
        <f>Table3[[#This Row],[Profit]]/Table3[[#This Row],[Sales]]</f>
        <v>0.32428065599088424</v>
      </c>
    </row>
    <row r="2154" spans="1:12" x14ac:dyDescent="0.25">
      <c r="A2154" t="s">
        <v>1997</v>
      </c>
      <c r="B2154" s="2">
        <v>45005</v>
      </c>
      <c r="C2154" s="2" t="str">
        <f>TEXT(Table3[[#This Row],[Order Date]],"mmmm")</f>
        <v>March</v>
      </c>
      <c r="D2154" t="s">
        <v>3220</v>
      </c>
      <c r="E2154" t="s">
        <v>3225</v>
      </c>
      <c r="F2154" t="s">
        <v>3226</v>
      </c>
      <c r="G2154" s="4">
        <v>63668.95</v>
      </c>
      <c r="H2154" s="4">
        <v>39058.46</v>
      </c>
      <c r="I2154" s="3" t="s">
        <v>3734</v>
      </c>
      <c r="J2154">
        <v>3</v>
      </c>
      <c r="K2154" s="4">
        <f>Table3[[#This Row],[Sales]]-Table3[[#This Row],[Cost]]</f>
        <v>24610.489999999998</v>
      </c>
      <c r="L2154" s="6">
        <f>Table3[[#This Row],[Profit]]/Table3[[#This Row],[Sales]]</f>
        <v>0.38653833619056072</v>
      </c>
    </row>
    <row r="2155" spans="1:12" x14ac:dyDescent="0.25">
      <c r="A2155" t="s">
        <v>1998</v>
      </c>
      <c r="B2155" s="2">
        <v>44941</v>
      </c>
      <c r="C2155" s="2" t="str">
        <f>TEXT(Table3[[#This Row],[Order Date]],"mmmm")</f>
        <v>January</v>
      </c>
      <c r="D2155" t="s">
        <v>3220</v>
      </c>
      <c r="E2155" t="s">
        <v>3222</v>
      </c>
      <c r="F2155" t="s">
        <v>3226</v>
      </c>
      <c r="G2155" s="4">
        <v>16387.740000000002</v>
      </c>
      <c r="H2155" s="4">
        <v>10818.65</v>
      </c>
      <c r="I2155" s="3" t="s">
        <v>3734</v>
      </c>
      <c r="J2155">
        <v>1</v>
      </c>
      <c r="K2155" s="4">
        <f>Table3[[#This Row],[Sales]]-Table3[[#This Row],[Cost]]</f>
        <v>5569.090000000002</v>
      </c>
      <c r="L2155" s="6">
        <f>Table3[[#This Row],[Profit]]/Table3[[#This Row],[Sales]]</f>
        <v>0.33983270420448464</v>
      </c>
    </row>
    <row r="2156" spans="1:12" x14ac:dyDescent="0.25">
      <c r="A2156" t="s">
        <v>3571</v>
      </c>
      <c r="B2156" s="2" t="s">
        <v>3729</v>
      </c>
      <c r="C2156" s="2" t="str">
        <f>TEXT(Table3[[#This Row],[Order Date]],"mmmm")</f>
        <v>Not Mentioned</v>
      </c>
      <c r="D2156" t="s">
        <v>3730</v>
      </c>
      <c r="E2156" t="s">
        <v>3222</v>
      </c>
      <c r="F2156" t="s">
        <v>3226</v>
      </c>
      <c r="G2156" s="4">
        <v>36879.99</v>
      </c>
      <c r="H2156" s="4">
        <v>32270.63</v>
      </c>
      <c r="I2156" s="3" t="s">
        <v>3734</v>
      </c>
      <c r="J2156">
        <v>3</v>
      </c>
      <c r="K2156" s="4">
        <f>Table3[[#This Row],[Sales]]-Table3[[#This Row],[Cost]]</f>
        <v>4609.3599999999969</v>
      </c>
      <c r="L2156" s="6">
        <f>Table3[[#This Row],[Profit]]/Table3[[#This Row],[Sales]]</f>
        <v>0.12498268030983732</v>
      </c>
    </row>
    <row r="2157" spans="1:12" x14ac:dyDescent="0.25">
      <c r="A2157" t="s">
        <v>2000</v>
      </c>
      <c r="B2157" s="2" t="s">
        <v>3729</v>
      </c>
      <c r="C2157" s="2" t="str">
        <f>TEXT(Table3[[#This Row],[Order Date]],"mmmm")</f>
        <v>Not Mentioned</v>
      </c>
      <c r="D2157" t="s">
        <v>3730</v>
      </c>
      <c r="E2157" t="s">
        <v>3224</v>
      </c>
      <c r="F2157" t="s">
        <v>3226</v>
      </c>
      <c r="G2157" s="4">
        <v>250714.31</v>
      </c>
      <c r="H2157" s="4">
        <v>233254.68</v>
      </c>
      <c r="I2157" s="3" t="s">
        <v>3734</v>
      </c>
      <c r="J2157">
        <v>5</v>
      </c>
      <c r="K2157" s="4">
        <f>Table3[[#This Row],[Sales]]-Table3[[#This Row],[Cost]]</f>
        <v>17459.630000000005</v>
      </c>
      <c r="L2157" s="6">
        <f>Table3[[#This Row],[Profit]]/Table3[[#This Row],[Sales]]</f>
        <v>6.9639543111839147E-2</v>
      </c>
    </row>
    <row r="2158" spans="1:12" x14ac:dyDescent="0.25">
      <c r="A2158" t="s">
        <v>2001</v>
      </c>
      <c r="B2158" s="2">
        <v>44941</v>
      </c>
      <c r="C2158" s="2" t="str">
        <f>TEXT(Table3[[#This Row],[Order Date]],"mmmm")</f>
        <v>January</v>
      </c>
      <c r="D2158" t="s">
        <v>3220</v>
      </c>
      <c r="E2158" t="s">
        <v>3223</v>
      </c>
      <c r="F2158" t="s">
        <v>3226</v>
      </c>
      <c r="G2158" s="4">
        <v>33276.11</v>
      </c>
      <c r="H2158" s="4">
        <v>24767.09</v>
      </c>
      <c r="I2158" s="3" t="s">
        <v>3734</v>
      </c>
      <c r="J2158">
        <v>4</v>
      </c>
      <c r="K2158" s="4">
        <f>Table3[[#This Row],[Sales]]-Table3[[#This Row],[Cost]]</f>
        <v>8509.02</v>
      </c>
      <c r="L2158" s="6">
        <f>Table3[[#This Row],[Profit]]/Table3[[#This Row],[Sales]]</f>
        <v>0.25570957663020105</v>
      </c>
    </row>
    <row r="2159" spans="1:12" x14ac:dyDescent="0.25">
      <c r="A2159" t="s">
        <v>2002</v>
      </c>
      <c r="B2159" s="2">
        <v>45102</v>
      </c>
      <c r="C2159" s="2" t="str">
        <f>TEXT(Table3[[#This Row],[Order Date]],"mmmm")</f>
        <v>June</v>
      </c>
      <c r="D2159" t="s">
        <v>3731</v>
      </c>
      <c r="E2159" t="s">
        <v>3225</v>
      </c>
      <c r="F2159" t="s">
        <v>3226</v>
      </c>
      <c r="G2159" s="4">
        <v>21504.71</v>
      </c>
      <c r="H2159" s="4">
        <v>14107.19</v>
      </c>
      <c r="I2159" s="3" t="s">
        <v>3734</v>
      </c>
      <c r="J2159">
        <v>1</v>
      </c>
      <c r="K2159" s="4">
        <f>Table3[[#This Row],[Sales]]-Table3[[#This Row],[Cost]]</f>
        <v>7397.5199999999986</v>
      </c>
      <c r="L2159" s="6">
        <f>Table3[[#This Row],[Profit]]/Table3[[#This Row],[Sales]]</f>
        <v>0.34399533869556942</v>
      </c>
    </row>
    <row r="2160" spans="1:12" x14ac:dyDescent="0.25">
      <c r="A2160" t="s">
        <v>2003</v>
      </c>
      <c r="B2160" s="2">
        <v>45102</v>
      </c>
      <c r="C2160" s="2" t="str">
        <f>TEXT(Table3[[#This Row],[Order Date]],"mmmm")</f>
        <v>June</v>
      </c>
      <c r="D2160" t="s">
        <v>3216</v>
      </c>
      <c r="E2160" t="s">
        <v>3225</v>
      </c>
      <c r="F2160" t="s">
        <v>3226</v>
      </c>
      <c r="G2160" s="4">
        <v>17968.63</v>
      </c>
      <c r="H2160" s="4">
        <v>15235.11</v>
      </c>
      <c r="I2160" s="3" t="s">
        <v>3734</v>
      </c>
      <c r="J2160">
        <v>1</v>
      </c>
      <c r="K2160" s="4">
        <f>Table3[[#This Row],[Sales]]-Table3[[#This Row],[Cost]]</f>
        <v>2733.5200000000004</v>
      </c>
      <c r="L2160" s="6">
        <f>Table3[[#This Row],[Profit]]/Table3[[#This Row],[Sales]]</f>
        <v>0.15212734638088715</v>
      </c>
    </row>
    <row r="2161" spans="1:12" x14ac:dyDescent="0.25">
      <c r="A2161" t="s">
        <v>2004</v>
      </c>
      <c r="B2161" s="2">
        <v>45021</v>
      </c>
      <c r="C2161" s="2" t="str">
        <f>TEXT(Table3[[#This Row],[Order Date]],"mmmm")</f>
        <v>April</v>
      </c>
      <c r="D2161" t="s">
        <v>3216</v>
      </c>
      <c r="E2161" t="s">
        <v>3222</v>
      </c>
      <c r="F2161" t="s">
        <v>3226</v>
      </c>
      <c r="G2161" s="4">
        <v>14952.82</v>
      </c>
      <c r="H2161" s="4">
        <v>9255.18</v>
      </c>
      <c r="I2161" s="3" t="s">
        <v>3734</v>
      </c>
      <c r="J2161">
        <v>1</v>
      </c>
      <c r="K2161" s="4">
        <f>Table3[[#This Row],[Sales]]-Table3[[#This Row],[Cost]]</f>
        <v>5697.6399999999994</v>
      </c>
      <c r="L2161" s="6">
        <f>Table3[[#This Row],[Profit]]/Table3[[#This Row],[Sales]]</f>
        <v>0.38104116815423444</v>
      </c>
    </row>
    <row r="2162" spans="1:12" x14ac:dyDescent="0.25">
      <c r="A2162" t="s">
        <v>3572</v>
      </c>
      <c r="B2162" s="2">
        <v>45021</v>
      </c>
      <c r="C2162" s="2" t="str">
        <f>TEXT(Table3[[#This Row],[Order Date]],"mmmm")</f>
        <v>April</v>
      </c>
      <c r="D2162" t="s">
        <v>3731</v>
      </c>
      <c r="E2162" t="s">
        <v>3222</v>
      </c>
      <c r="F2162" t="s">
        <v>3226</v>
      </c>
      <c r="G2162" s="4">
        <v>64474.42</v>
      </c>
      <c r="H2162" s="4">
        <v>41419.67</v>
      </c>
      <c r="I2162" s="3" t="s">
        <v>3734</v>
      </c>
      <c r="J2162">
        <v>4</v>
      </c>
      <c r="K2162" s="4">
        <f>Table3[[#This Row],[Sales]]-Table3[[#This Row],[Cost]]</f>
        <v>23054.75</v>
      </c>
      <c r="L2162" s="6">
        <f>Table3[[#This Row],[Profit]]/Table3[[#This Row],[Sales]]</f>
        <v>0.35757979676280921</v>
      </c>
    </row>
    <row r="2163" spans="1:12" x14ac:dyDescent="0.25">
      <c r="A2163" t="s">
        <v>2006</v>
      </c>
      <c r="B2163" s="2">
        <v>45102</v>
      </c>
      <c r="C2163" s="2" t="str">
        <f>TEXT(Table3[[#This Row],[Order Date]],"mmmm")</f>
        <v>June</v>
      </c>
      <c r="D2163" t="s">
        <v>3216</v>
      </c>
      <c r="E2163" t="s">
        <v>3225</v>
      </c>
      <c r="F2163" t="s">
        <v>3226</v>
      </c>
      <c r="G2163" s="4">
        <v>98962.52</v>
      </c>
      <c r="H2163" s="4">
        <v>70781.240000000005</v>
      </c>
      <c r="I2163" s="3" t="s">
        <v>3734</v>
      </c>
      <c r="J2163">
        <v>5</v>
      </c>
      <c r="K2163" s="4">
        <f>Table3[[#This Row],[Sales]]-Table3[[#This Row],[Cost]]</f>
        <v>28181.279999999999</v>
      </c>
      <c r="L2163" s="6">
        <f>Table3[[#This Row],[Profit]]/Table3[[#This Row],[Sales]]</f>
        <v>0.28476720277535372</v>
      </c>
    </row>
    <row r="2164" spans="1:12" x14ac:dyDescent="0.25">
      <c r="A2164" t="s">
        <v>1289</v>
      </c>
      <c r="B2164" s="2">
        <v>44941</v>
      </c>
      <c r="C2164" s="2" t="str">
        <f>TEXT(Table3[[#This Row],[Order Date]],"mmmm")</f>
        <v>January</v>
      </c>
      <c r="D2164" t="s">
        <v>3730</v>
      </c>
      <c r="E2164" t="s">
        <v>3223</v>
      </c>
      <c r="F2164" t="s">
        <v>3226</v>
      </c>
      <c r="G2164" s="4">
        <v>10759.78</v>
      </c>
      <c r="H2164" s="4">
        <v>5961.39</v>
      </c>
      <c r="I2164" s="3" t="s">
        <v>3734</v>
      </c>
      <c r="J2164">
        <v>1</v>
      </c>
      <c r="K2164" s="4">
        <f>Table3[[#This Row],[Sales]]-Table3[[#This Row],[Cost]]</f>
        <v>4798.3900000000003</v>
      </c>
      <c r="L2164" s="6">
        <f>Table3[[#This Row],[Profit]]/Table3[[#This Row],[Sales]]</f>
        <v>0.44595614408473033</v>
      </c>
    </row>
    <row r="2165" spans="1:12" x14ac:dyDescent="0.25">
      <c r="A2165" t="s">
        <v>678</v>
      </c>
      <c r="B2165" s="2">
        <v>45102</v>
      </c>
      <c r="C2165" s="2" t="str">
        <f>TEXT(Table3[[#This Row],[Order Date]],"mmmm")</f>
        <v>June</v>
      </c>
      <c r="D2165" t="s">
        <v>3731</v>
      </c>
      <c r="E2165" t="s">
        <v>3225</v>
      </c>
      <c r="F2165" t="s">
        <v>3226</v>
      </c>
      <c r="G2165" s="4">
        <v>50323.49</v>
      </c>
      <c r="H2165" s="4">
        <v>41162.68</v>
      </c>
      <c r="I2165" s="3" t="s">
        <v>3734</v>
      </c>
      <c r="J2165">
        <v>3</v>
      </c>
      <c r="K2165" s="4">
        <f>Table3[[#This Row],[Sales]]-Table3[[#This Row],[Cost]]</f>
        <v>9160.8099999999977</v>
      </c>
      <c r="L2165" s="6">
        <f>Table3[[#This Row],[Profit]]/Table3[[#This Row],[Sales]]</f>
        <v>0.18203844765138502</v>
      </c>
    </row>
    <row r="2166" spans="1:12" x14ac:dyDescent="0.25">
      <c r="A2166" t="s">
        <v>3573</v>
      </c>
      <c r="B2166" s="2" t="s">
        <v>3729</v>
      </c>
      <c r="C2166" s="2" t="str">
        <f>TEXT(Table3[[#This Row],[Order Date]],"mmmm")</f>
        <v>Not Mentioned</v>
      </c>
      <c r="D2166" t="s">
        <v>3731</v>
      </c>
      <c r="E2166" t="s">
        <v>3224</v>
      </c>
      <c r="F2166" t="s">
        <v>3226</v>
      </c>
      <c r="G2166" s="4">
        <v>70622.17</v>
      </c>
      <c r="H2166" s="4">
        <v>46265.07</v>
      </c>
      <c r="I2166" s="3" t="s">
        <v>3734</v>
      </c>
      <c r="J2166">
        <v>1</v>
      </c>
      <c r="K2166" s="4">
        <f>Table3[[#This Row],[Sales]]-Table3[[#This Row],[Cost]]</f>
        <v>24357.1</v>
      </c>
      <c r="L2166" s="6">
        <f>Table3[[#This Row],[Profit]]/Table3[[#This Row],[Sales]]</f>
        <v>0.34489311217709678</v>
      </c>
    </row>
    <row r="2167" spans="1:12" x14ac:dyDescent="0.25">
      <c r="A2167" t="s">
        <v>3574</v>
      </c>
      <c r="B2167" s="2">
        <v>45021</v>
      </c>
      <c r="C2167" s="2" t="str">
        <f>TEXT(Table3[[#This Row],[Order Date]],"mmmm")</f>
        <v>April</v>
      </c>
      <c r="D2167" t="s">
        <v>3220</v>
      </c>
      <c r="E2167" t="s">
        <v>3222</v>
      </c>
      <c r="F2167" t="s">
        <v>3226</v>
      </c>
      <c r="G2167" s="4">
        <v>25517.58</v>
      </c>
      <c r="H2167" s="4">
        <v>20856.18</v>
      </c>
      <c r="I2167" s="3" t="s">
        <v>3734</v>
      </c>
      <c r="J2167">
        <v>2</v>
      </c>
      <c r="K2167" s="4">
        <f>Table3[[#This Row],[Sales]]-Table3[[#This Row],[Cost]]</f>
        <v>4661.4000000000015</v>
      </c>
      <c r="L2167" s="6">
        <f>Table3[[#This Row],[Profit]]/Table3[[#This Row],[Sales]]</f>
        <v>0.18267406235230774</v>
      </c>
    </row>
    <row r="2168" spans="1:12" x14ac:dyDescent="0.25">
      <c r="A2168" t="s">
        <v>3575</v>
      </c>
      <c r="B2168" s="2" t="s">
        <v>3729</v>
      </c>
      <c r="C2168" s="2" t="str">
        <f>TEXT(Table3[[#This Row],[Order Date]],"mmmm")</f>
        <v>Not Mentioned</v>
      </c>
      <c r="D2168" t="s">
        <v>3216</v>
      </c>
      <c r="E2168" t="s">
        <v>3222</v>
      </c>
      <c r="F2168" t="s">
        <v>3226</v>
      </c>
      <c r="G2168" s="4">
        <v>69982.960000000006</v>
      </c>
      <c r="H2168" s="4">
        <v>39859.370000000003</v>
      </c>
      <c r="I2168" s="3" t="s">
        <v>3734</v>
      </c>
      <c r="J2168">
        <v>4</v>
      </c>
      <c r="K2168" s="4">
        <f>Table3[[#This Row],[Sales]]-Table3[[#This Row],[Cost]]</f>
        <v>30123.590000000004</v>
      </c>
      <c r="L2168" s="6">
        <f>Table3[[#This Row],[Profit]]/Table3[[#This Row],[Sales]]</f>
        <v>0.43044178182803361</v>
      </c>
    </row>
    <row r="2169" spans="1:12" x14ac:dyDescent="0.25">
      <c r="A2169" t="s">
        <v>3576</v>
      </c>
      <c r="B2169" s="2">
        <v>45021</v>
      </c>
      <c r="C2169" s="2" t="str">
        <f>TEXT(Table3[[#This Row],[Order Date]],"mmmm")</f>
        <v>April</v>
      </c>
      <c r="D2169" t="s">
        <v>3220</v>
      </c>
      <c r="E2169" t="s">
        <v>3224</v>
      </c>
      <c r="F2169" t="s">
        <v>3226</v>
      </c>
      <c r="G2169" s="4">
        <v>208123.6</v>
      </c>
      <c r="H2169" s="4">
        <v>194416.21</v>
      </c>
      <c r="I2169" s="3" t="s">
        <v>3734</v>
      </c>
      <c r="J2169">
        <v>4</v>
      </c>
      <c r="K2169" s="4">
        <f>Table3[[#This Row],[Sales]]-Table3[[#This Row],[Cost]]</f>
        <v>13707.390000000014</v>
      </c>
      <c r="L2169" s="6">
        <f>Table3[[#This Row],[Profit]]/Table3[[#This Row],[Sales]]</f>
        <v>6.586177636750476E-2</v>
      </c>
    </row>
    <row r="2170" spans="1:12" x14ac:dyDescent="0.25">
      <c r="A2170" t="s">
        <v>1298</v>
      </c>
      <c r="B2170" s="2">
        <v>44972</v>
      </c>
      <c r="C2170" s="2" t="str">
        <f>TEXT(Table3[[#This Row],[Order Date]],"mmmm")</f>
        <v>February</v>
      </c>
      <c r="D2170" t="s">
        <v>3216</v>
      </c>
      <c r="E2170" t="s">
        <v>3225</v>
      </c>
      <c r="F2170" t="s">
        <v>3226</v>
      </c>
      <c r="G2170" s="4">
        <v>32055.5</v>
      </c>
      <c r="H2170" s="4">
        <v>29895.79</v>
      </c>
      <c r="I2170" s="3" t="s">
        <v>3734</v>
      </c>
      <c r="J2170">
        <v>2</v>
      </c>
      <c r="K2170" s="4">
        <f>Table3[[#This Row],[Sales]]-Table3[[#This Row],[Cost]]</f>
        <v>2159.7099999999991</v>
      </c>
      <c r="L2170" s="6">
        <f>Table3[[#This Row],[Profit]]/Table3[[#This Row],[Sales]]</f>
        <v>6.7374085570338915E-2</v>
      </c>
    </row>
    <row r="2171" spans="1:12" x14ac:dyDescent="0.25">
      <c r="A2171" t="s">
        <v>3577</v>
      </c>
      <c r="B2171" s="2">
        <v>44972</v>
      </c>
      <c r="C2171" s="2" t="str">
        <f>TEXT(Table3[[#This Row],[Order Date]],"mmmm")</f>
        <v>February</v>
      </c>
      <c r="D2171" t="s">
        <v>3220</v>
      </c>
      <c r="E2171" t="s">
        <v>3222</v>
      </c>
      <c r="F2171" t="s">
        <v>3226</v>
      </c>
      <c r="G2171" s="4">
        <v>58154.1</v>
      </c>
      <c r="H2171" s="4">
        <v>35043.64</v>
      </c>
      <c r="I2171" s="3" t="s">
        <v>3734</v>
      </c>
      <c r="J2171">
        <v>4</v>
      </c>
      <c r="K2171" s="4">
        <f>Table3[[#This Row],[Sales]]-Table3[[#This Row],[Cost]]</f>
        <v>23110.46</v>
      </c>
      <c r="L2171" s="6">
        <f>Table3[[#This Row],[Profit]]/Table3[[#This Row],[Sales]]</f>
        <v>0.39740035526299949</v>
      </c>
    </row>
    <row r="2172" spans="1:12" x14ac:dyDescent="0.25">
      <c r="A2172" t="s">
        <v>2012</v>
      </c>
      <c r="B2172" s="2">
        <v>45021</v>
      </c>
      <c r="C2172" s="2" t="str">
        <f>TEXT(Table3[[#This Row],[Order Date]],"mmmm")</f>
        <v>April</v>
      </c>
      <c r="D2172" t="s">
        <v>3220</v>
      </c>
      <c r="E2172" t="s">
        <v>3225</v>
      </c>
      <c r="F2172" t="s">
        <v>3226</v>
      </c>
      <c r="G2172" s="4">
        <v>18091.11</v>
      </c>
      <c r="H2172" s="4">
        <v>13347.35</v>
      </c>
      <c r="I2172" s="3" t="s">
        <v>3734</v>
      </c>
      <c r="J2172">
        <v>1</v>
      </c>
      <c r="K2172" s="4">
        <f>Table3[[#This Row],[Sales]]-Table3[[#This Row],[Cost]]</f>
        <v>4743.76</v>
      </c>
      <c r="L2172" s="6">
        <f>Table3[[#This Row],[Profit]]/Table3[[#This Row],[Sales]]</f>
        <v>0.26221497741155742</v>
      </c>
    </row>
    <row r="2173" spans="1:12" x14ac:dyDescent="0.25">
      <c r="A2173" t="s">
        <v>2013</v>
      </c>
      <c r="B2173" s="2">
        <v>45102</v>
      </c>
      <c r="C2173" s="2" t="str">
        <f>TEXT(Table3[[#This Row],[Order Date]],"mmmm")</f>
        <v>June</v>
      </c>
      <c r="D2173" t="s">
        <v>3216</v>
      </c>
      <c r="E2173" t="s">
        <v>3224</v>
      </c>
      <c r="F2173" t="s">
        <v>3226</v>
      </c>
      <c r="G2173" s="4">
        <v>177099.19</v>
      </c>
      <c r="H2173" s="4">
        <v>119946.03</v>
      </c>
      <c r="I2173" s="3" t="s">
        <v>3734</v>
      </c>
      <c r="J2173">
        <v>3</v>
      </c>
      <c r="K2173" s="4">
        <f>Table3[[#This Row],[Sales]]-Table3[[#This Row],[Cost]]</f>
        <v>57153.16</v>
      </c>
      <c r="L2173" s="6">
        <f>Table3[[#This Row],[Profit]]/Table3[[#This Row],[Sales]]</f>
        <v>0.32271835912970581</v>
      </c>
    </row>
    <row r="2174" spans="1:12" x14ac:dyDescent="0.25">
      <c r="A2174" t="s">
        <v>2014</v>
      </c>
      <c r="B2174" s="2">
        <v>44972</v>
      </c>
      <c r="C2174" s="2" t="str">
        <f>TEXT(Table3[[#This Row],[Order Date]],"mmmm")</f>
        <v>February</v>
      </c>
      <c r="D2174" t="s">
        <v>3220</v>
      </c>
      <c r="E2174" t="s">
        <v>3223</v>
      </c>
      <c r="F2174" t="s">
        <v>3226</v>
      </c>
      <c r="G2174" s="4">
        <v>44840.7</v>
      </c>
      <c r="H2174" s="4">
        <v>30290.29</v>
      </c>
      <c r="I2174" s="3" t="s">
        <v>3734</v>
      </c>
      <c r="J2174">
        <v>4</v>
      </c>
      <c r="K2174" s="4">
        <f>Table3[[#This Row],[Sales]]-Table3[[#This Row],[Cost]]</f>
        <v>14550.409999999996</v>
      </c>
      <c r="L2174" s="6">
        <f>Table3[[#This Row],[Profit]]/Table3[[#This Row],[Sales]]</f>
        <v>0.32449114309098648</v>
      </c>
    </row>
    <row r="2175" spans="1:12" x14ac:dyDescent="0.25">
      <c r="A2175" t="s">
        <v>2015</v>
      </c>
      <c r="B2175" s="2">
        <v>45102</v>
      </c>
      <c r="C2175" s="2" t="str">
        <f>TEXT(Table3[[#This Row],[Order Date]],"mmmm")</f>
        <v>June</v>
      </c>
      <c r="D2175" t="s">
        <v>3730</v>
      </c>
      <c r="E2175" t="s">
        <v>3225</v>
      </c>
      <c r="F2175" t="s">
        <v>3226</v>
      </c>
      <c r="G2175" s="4">
        <v>17631.07</v>
      </c>
      <c r="H2175" s="4">
        <v>11983.96</v>
      </c>
      <c r="I2175" s="3" t="s">
        <v>3734</v>
      </c>
      <c r="J2175">
        <v>1</v>
      </c>
      <c r="K2175" s="4">
        <f>Table3[[#This Row],[Sales]]-Table3[[#This Row],[Cost]]</f>
        <v>5647.1100000000006</v>
      </c>
      <c r="L2175" s="6">
        <f>Table3[[#This Row],[Profit]]/Table3[[#This Row],[Sales]]</f>
        <v>0.32029309622161334</v>
      </c>
    </row>
    <row r="2176" spans="1:12" x14ac:dyDescent="0.25">
      <c r="A2176" t="s">
        <v>2016</v>
      </c>
      <c r="B2176" s="2">
        <v>45005</v>
      </c>
      <c r="C2176" s="2" t="str">
        <f>TEXT(Table3[[#This Row],[Order Date]],"mmmm")</f>
        <v>March</v>
      </c>
      <c r="D2176" t="s">
        <v>3730</v>
      </c>
      <c r="E2176" t="s">
        <v>3225</v>
      </c>
      <c r="F2176" t="s">
        <v>3226</v>
      </c>
      <c r="G2176" s="4">
        <v>17053.12</v>
      </c>
      <c r="H2176" s="4">
        <v>13127.7</v>
      </c>
      <c r="I2176" s="3" t="s">
        <v>3734</v>
      </c>
      <c r="J2176">
        <v>1</v>
      </c>
      <c r="K2176" s="4">
        <f>Table3[[#This Row],[Sales]]-Table3[[#This Row],[Cost]]</f>
        <v>3925.4199999999983</v>
      </c>
      <c r="L2176" s="6">
        <f>Table3[[#This Row],[Profit]]/Table3[[#This Row],[Sales]]</f>
        <v>0.23018778968306083</v>
      </c>
    </row>
    <row r="2177" spans="1:12" x14ac:dyDescent="0.25">
      <c r="A2177" t="s">
        <v>2017</v>
      </c>
      <c r="B2177" s="2">
        <v>45102</v>
      </c>
      <c r="C2177" s="2" t="str">
        <f>TEXT(Table3[[#This Row],[Order Date]],"mmmm")</f>
        <v>June</v>
      </c>
      <c r="D2177" t="s">
        <v>3730</v>
      </c>
      <c r="E2177" t="s">
        <v>3223</v>
      </c>
      <c r="F2177" t="s">
        <v>3226</v>
      </c>
      <c r="G2177" s="4">
        <v>17010.46</v>
      </c>
      <c r="H2177" s="4">
        <v>13200.72</v>
      </c>
      <c r="I2177" s="3" t="s">
        <v>3734</v>
      </c>
      <c r="J2177">
        <v>2</v>
      </c>
      <c r="K2177" s="4">
        <f>Table3[[#This Row],[Sales]]-Table3[[#This Row],[Cost]]</f>
        <v>3809.74</v>
      </c>
      <c r="L2177" s="6">
        <f>Table3[[#This Row],[Profit]]/Table3[[#This Row],[Sales]]</f>
        <v>0.22396454887169423</v>
      </c>
    </row>
    <row r="2178" spans="1:12" x14ac:dyDescent="0.25">
      <c r="A2178" t="s">
        <v>3578</v>
      </c>
      <c r="B2178" s="2" t="s">
        <v>3729</v>
      </c>
      <c r="C2178" s="2" t="str">
        <f>TEXT(Table3[[#This Row],[Order Date]],"mmmm")</f>
        <v>Not Mentioned</v>
      </c>
      <c r="D2178" t="s">
        <v>3730</v>
      </c>
      <c r="E2178" t="s">
        <v>3224</v>
      </c>
      <c r="F2178" t="s">
        <v>3226</v>
      </c>
      <c r="G2178" s="4">
        <v>51960.9</v>
      </c>
      <c r="H2178" s="4">
        <v>49470.55</v>
      </c>
      <c r="I2178" s="3" t="s">
        <v>3734</v>
      </c>
      <c r="J2178">
        <v>1</v>
      </c>
      <c r="K2178" s="4">
        <f>Table3[[#This Row],[Sales]]-Table3[[#This Row],[Cost]]</f>
        <v>2490.3499999999985</v>
      </c>
      <c r="L2178" s="6">
        <f>Table3[[#This Row],[Profit]]/Table3[[#This Row],[Sales]]</f>
        <v>4.792738385978685E-2</v>
      </c>
    </row>
    <row r="2179" spans="1:12" x14ac:dyDescent="0.25">
      <c r="A2179" t="s">
        <v>3579</v>
      </c>
      <c r="B2179" s="2">
        <v>45005</v>
      </c>
      <c r="C2179" s="2" t="str">
        <f>TEXT(Table3[[#This Row],[Order Date]],"mmmm")</f>
        <v>March</v>
      </c>
      <c r="D2179" t="s">
        <v>3220</v>
      </c>
      <c r="E2179" t="s">
        <v>3222</v>
      </c>
      <c r="F2179" t="s">
        <v>3226</v>
      </c>
      <c r="G2179" s="4">
        <v>14933.36</v>
      </c>
      <c r="H2179" s="4">
        <v>9804.7900000000009</v>
      </c>
      <c r="I2179" s="3" t="s">
        <v>3734</v>
      </c>
      <c r="J2179">
        <v>1</v>
      </c>
      <c r="K2179" s="4">
        <f>Table3[[#This Row],[Sales]]-Table3[[#This Row],[Cost]]</f>
        <v>5128.57</v>
      </c>
      <c r="L2179" s="6">
        <f>Table3[[#This Row],[Profit]]/Table3[[#This Row],[Sales]]</f>
        <v>0.34343041351711867</v>
      </c>
    </row>
    <row r="2180" spans="1:12" x14ac:dyDescent="0.25">
      <c r="A2180" t="s">
        <v>2020</v>
      </c>
      <c r="B2180" s="2">
        <v>44941</v>
      </c>
      <c r="C2180" s="2" t="str">
        <f>TEXT(Table3[[#This Row],[Order Date]],"mmmm")</f>
        <v>January</v>
      </c>
      <c r="D2180" t="s">
        <v>3216</v>
      </c>
      <c r="E2180" t="s">
        <v>3224</v>
      </c>
      <c r="F2180" t="s">
        <v>3226</v>
      </c>
      <c r="G2180" s="4">
        <v>160172.42000000001</v>
      </c>
      <c r="H2180" s="4">
        <v>116564.91</v>
      </c>
      <c r="I2180" s="3" t="s">
        <v>3734</v>
      </c>
      <c r="J2180">
        <v>3</v>
      </c>
      <c r="K2180" s="4">
        <f>Table3[[#This Row],[Sales]]-Table3[[#This Row],[Cost]]</f>
        <v>43607.510000000009</v>
      </c>
      <c r="L2180" s="6">
        <f>Table3[[#This Row],[Profit]]/Table3[[#This Row],[Sales]]</f>
        <v>0.27225355026789261</v>
      </c>
    </row>
    <row r="2181" spans="1:12" x14ac:dyDescent="0.25">
      <c r="A2181" t="s">
        <v>472</v>
      </c>
      <c r="B2181" s="2">
        <v>44941</v>
      </c>
      <c r="C2181" s="2" t="str">
        <f>TEXT(Table3[[#This Row],[Order Date]],"mmmm")</f>
        <v>January</v>
      </c>
      <c r="D2181" t="s">
        <v>3216</v>
      </c>
      <c r="E2181" t="s">
        <v>3224</v>
      </c>
      <c r="F2181" t="s">
        <v>3226</v>
      </c>
      <c r="G2181" s="4">
        <v>118972.58</v>
      </c>
      <c r="H2181" s="4">
        <v>84158.7</v>
      </c>
      <c r="I2181" s="3" t="s">
        <v>3734</v>
      </c>
      <c r="J2181">
        <v>2</v>
      </c>
      <c r="K2181" s="4">
        <f>Table3[[#This Row],[Sales]]-Table3[[#This Row],[Cost]]</f>
        <v>34813.880000000005</v>
      </c>
      <c r="L2181" s="6">
        <f>Table3[[#This Row],[Profit]]/Table3[[#This Row],[Sales]]</f>
        <v>0.29262103923441857</v>
      </c>
    </row>
    <row r="2182" spans="1:12" x14ac:dyDescent="0.25">
      <c r="A2182" t="s">
        <v>2021</v>
      </c>
      <c r="B2182" s="2">
        <v>44941</v>
      </c>
      <c r="C2182" s="2" t="str">
        <f>TEXT(Table3[[#This Row],[Order Date]],"mmmm")</f>
        <v>January</v>
      </c>
      <c r="D2182" t="s">
        <v>3731</v>
      </c>
      <c r="E2182" t="s">
        <v>3224</v>
      </c>
      <c r="F2182" t="s">
        <v>3226</v>
      </c>
      <c r="G2182" s="4">
        <v>286745.7</v>
      </c>
      <c r="H2182" s="4">
        <v>213149.47</v>
      </c>
      <c r="I2182" s="3" t="s">
        <v>3734</v>
      </c>
      <c r="J2182">
        <v>5</v>
      </c>
      <c r="K2182" s="4">
        <f>Table3[[#This Row],[Sales]]-Table3[[#This Row],[Cost]]</f>
        <v>73596.23000000001</v>
      </c>
      <c r="L2182" s="6">
        <f>Table3[[#This Row],[Profit]]/Table3[[#This Row],[Sales]]</f>
        <v>0.25666027424299653</v>
      </c>
    </row>
    <row r="2183" spans="1:12" x14ac:dyDescent="0.25">
      <c r="A2183" t="s">
        <v>2022</v>
      </c>
      <c r="B2183" s="2" t="s">
        <v>3729</v>
      </c>
      <c r="C2183" s="2" t="str">
        <f>TEXT(Table3[[#This Row],[Order Date]],"mmmm")</f>
        <v>Not Mentioned</v>
      </c>
      <c r="D2183" t="s">
        <v>3730</v>
      </c>
      <c r="E2183" t="s">
        <v>3224</v>
      </c>
      <c r="F2183" t="s">
        <v>3226</v>
      </c>
      <c r="G2183" s="4">
        <v>204092.81</v>
      </c>
      <c r="H2183" s="4">
        <v>190612.94</v>
      </c>
      <c r="I2183" s="3" t="s">
        <v>3734</v>
      </c>
      <c r="J2183">
        <v>4</v>
      </c>
      <c r="K2183" s="4">
        <f>Table3[[#This Row],[Sales]]-Table3[[#This Row],[Cost]]</f>
        <v>13479.869999999995</v>
      </c>
      <c r="L2183" s="6">
        <f>Table3[[#This Row],[Profit]]/Table3[[#This Row],[Sales]]</f>
        <v>6.6047745631019519E-2</v>
      </c>
    </row>
    <row r="2184" spans="1:12" x14ac:dyDescent="0.25">
      <c r="A2184" t="s">
        <v>2023</v>
      </c>
      <c r="B2184" s="2">
        <v>44972</v>
      </c>
      <c r="C2184" s="2" t="str">
        <f>TEXT(Table3[[#This Row],[Order Date]],"mmmm")</f>
        <v>February</v>
      </c>
      <c r="D2184" t="s">
        <v>3731</v>
      </c>
      <c r="E2184" t="s">
        <v>3223</v>
      </c>
      <c r="F2184" t="s">
        <v>3226</v>
      </c>
      <c r="G2184" s="4">
        <v>44468.91</v>
      </c>
      <c r="H2184" s="4">
        <v>26058.639999999999</v>
      </c>
      <c r="I2184" s="3" t="s">
        <v>3734</v>
      </c>
      <c r="J2184">
        <v>4</v>
      </c>
      <c r="K2184" s="4">
        <f>Table3[[#This Row],[Sales]]-Table3[[#This Row],[Cost]]</f>
        <v>18410.270000000004</v>
      </c>
      <c r="L2184" s="6">
        <f>Table3[[#This Row],[Profit]]/Table3[[#This Row],[Sales]]</f>
        <v>0.41400317660136043</v>
      </c>
    </row>
    <row r="2185" spans="1:12" x14ac:dyDescent="0.25">
      <c r="A2185" t="s">
        <v>2024</v>
      </c>
      <c r="B2185" s="2">
        <v>45021</v>
      </c>
      <c r="C2185" s="2" t="str">
        <f>TEXT(Table3[[#This Row],[Order Date]],"mmmm")</f>
        <v>April</v>
      </c>
      <c r="D2185" t="s">
        <v>3730</v>
      </c>
      <c r="E2185" t="s">
        <v>3225</v>
      </c>
      <c r="F2185" t="s">
        <v>3226</v>
      </c>
      <c r="G2185" s="4">
        <v>90116.58</v>
      </c>
      <c r="H2185" s="4">
        <v>72093.26400000001</v>
      </c>
      <c r="I2185" s="3" t="s">
        <v>3735</v>
      </c>
      <c r="J2185">
        <v>5</v>
      </c>
      <c r="K2185" s="4">
        <f>Table3[[#This Row],[Sales]]-Table3[[#This Row],[Cost]]</f>
        <v>18023.315999999992</v>
      </c>
      <c r="L2185" s="6">
        <f>Table3[[#This Row],[Profit]]/Table3[[#This Row],[Sales]]</f>
        <v>0.1999999999999999</v>
      </c>
    </row>
    <row r="2186" spans="1:12" x14ac:dyDescent="0.25">
      <c r="A2186" t="s">
        <v>1449</v>
      </c>
      <c r="B2186" s="2">
        <v>44941</v>
      </c>
      <c r="C2186" s="2" t="str">
        <f>TEXT(Table3[[#This Row],[Order Date]],"mmmm")</f>
        <v>January</v>
      </c>
      <c r="D2186" t="s">
        <v>3730</v>
      </c>
      <c r="E2186" t="s">
        <v>3225</v>
      </c>
      <c r="F2186" t="s">
        <v>3226</v>
      </c>
      <c r="G2186" s="4">
        <v>49074.05</v>
      </c>
      <c r="H2186" s="4">
        <v>43215.66</v>
      </c>
      <c r="I2186" s="3" t="s">
        <v>3734</v>
      </c>
      <c r="J2186">
        <v>3</v>
      </c>
      <c r="K2186" s="4">
        <f>Table3[[#This Row],[Sales]]-Table3[[#This Row],[Cost]]</f>
        <v>5858.3899999999994</v>
      </c>
      <c r="L2186" s="6">
        <f>Table3[[#This Row],[Profit]]/Table3[[#This Row],[Sales]]</f>
        <v>0.1193785717706201</v>
      </c>
    </row>
    <row r="2187" spans="1:12" x14ac:dyDescent="0.25">
      <c r="A2187" t="s">
        <v>2025</v>
      </c>
      <c r="B2187" s="2" t="s">
        <v>3729</v>
      </c>
      <c r="C2187" s="2" t="str">
        <f>TEXT(Table3[[#This Row],[Order Date]],"mmmm")</f>
        <v>Not Mentioned</v>
      </c>
      <c r="D2187" t="s">
        <v>3731</v>
      </c>
      <c r="E2187" t="s">
        <v>3225</v>
      </c>
      <c r="F2187" t="s">
        <v>3226</v>
      </c>
      <c r="G2187" s="4">
        <v>36425.040000000001</v>
      </c>
      <c r="H2187" s="4">
        <v>30256.79</v>
      </c>
      <c r="I2187" s="3" t="s">
        <v>3734</v>
      </c>
      <c r="J2187">
        <v>2</v>
      </c>
      <c r="K2187" s="4">
        <f>Table3[[#This Row],[Sales]]-Table3[[#This Row],[Cost]]</f>
        <v>6168.25</v>
      </c>
      <c r="L2187" s="6">
        <f>Table3[[#This Row],[Profit]]/Table3[[#This Row],[Sales]]</f>
        <v>0.16934092591250413</v>
      </c>
    </row>
    <row r="2188" spans="1:12" x14ac:dyDescent="0.25">
      <c r="A2188" t="s">
        <v>2026</v>
      </c>
      <c r="B2188" s="2">
        <v>44972</v>
      </c>
      <c r="C2188" s="2" t="str">
        <f>TEXT(Table3[[#This Row],[Order Date]],"mmmm")</f>
        <v>February</v>
      </c>
      <c r="D2188" t="s">
        <v>3730</v>
      </c>
      <c r="E2188" t="s">
        <v>3224</v>
      </c>
      <c r="F2188" t="s">
        <v>3226</v>
      </c>
      <c r="G2188" s="4">
        <v>70539.820000000007</v>
      </c>
      <c r="H2188" s="4">
        <v>38737.56</v>
      </c>
      <c r="I2188" s="3" t="s">
        <v>3734</v>
      </c>
      <c r="J2188">
        <v>1</v>
      </c>
      <c r="K2188" s="4">
        <f>Table3[[#This Row],[Sales]]-Table3[[#This Row],[Cost]]</f>
        <v>31802.260000000009</v>
      </c>
      <c r="L2188" s="6">
        <f>Table3[[#This Row],[Profit]]/Table3[[#This Row],[Sales]]</f>
        <v>0.45084124115995766</v>
      </c>
    </row>
    <row r="2189" spans="1:12" x14ac:dyDescent="0.25">
      <c r="A2189" t="s">
        <v>2027</v>
      </c>
      <c r="B2189" s="2">
        <v>44941</v>
      </c>
      <c r="C2189" s="2" t="str">
        <f>TEXT(Table3[[#This Row],[Order Date]],"mmmm")</f>
        <v>January</v>
      </c>
      <c r="D2189" t="s">
        <v>3220</v>
      </c>
      <c r="E2189" t="s">
        <v>3222</v>
      </c>
      <c r="F2189" t="s">
        <v>3226</v>
      </c>
      <c r="G2189" s="4">
        <v>16576.009999999998</v>
      </c>
      <c r="H2189" s="4">
        <v>10622.91</v>
      </c>
      <c r="I2189" s="3" t="s">
        <v>3734</v>
      </c>
      <c r="J2189" t="s">
        <v>3732</v>
      </c>
      <c r="K2189" s="4">
        <f>Table3[[#This Row],[Sales]]-Table3[[#This Row],[Cost]]</f>
        <v>5953.0999999999985</v>
      </c>
      <c r="L2189" s="6">
        <f>Table3[[#This Row],[Profit]]/Table3[[#This Row],[Sales]]</f>
        <v>0.35913950341487483</v>
      </c>
    </row>
    <row r="2190" spans="1:12" x14ac:dyDescent="0.25">
      <c r="A2190" t="s">
        <v>2028</v>
      </c>
      <c r="B2190" s="2">
        <v>45102</v>
      </c>
      <c r="C2190" s="2" t="str">
        <f>TEXT(Table3[[#This Row],[Order Date]],"mmmm")</f>
        <v>June</v>
      </c>
      <c r="D2190" t="s">
        <v>3220</v>
      </c>
      <c r="E2190" t="s">
        <v>3223</v>
      </c>
      <c r="F2190" t="s">
        <v>3226</v>
      </c>
      <c r="G2190" s="4">
        <v>9736.91</v>
      </c>
      <c r="H2190" s="4">
        <v>6167.9</v>
      </c>
      <c r="I2190" s="3" t="s">
        <v>3734</v>
      </c>
      <c r="J2190">
        <v>1</v>
      </c>
      <c r="K2190" s="4">
        <f>Table3[[#This Row],[Sales]]-Table3[[#This Row],[Cost]]</f>
        <v>3569.01</v>
      </c>
      <c r="L2190" s="6">
        <f>Table3[[#This Row],[Profit]]/Table3[[#This Row],[Sales]]</f>
        <v>0.36654441706865937</v>
      </c>
    </row>
    <row r="2191" spans="1:12" x14ac:dyDescent="0.25">
      <c r="A2191" t="s">
        <v>2029</v>
      </c>
      <c r="B2191" s="2">
        <v>45102</v>
      </c>
      <c r="C2191" s="2" t="str">
        <f>TEXT(Table3[[#This Row],[Order Date]],"mmmm")</f>
        <v>June</v>
      </c>
      <c r="D2191" t="s">
        <v>3731</v>
      </c>
      <c r="E2191" t="s">
        <v>3224</v>
      </c>
      <c r="F2191" t="s">
        <v>3226</v>
      </c>
      <c r="G2191" s="4">
        <v>71930.73</v>
      </c>
      <c r="H2191" s="4">
        <v>45909.19</v>
      </c>
      <c r="I2191" s="3" t="s">
        <v>3734</v>
      </c>
      <c r="J2191">
        <v>1</v>
      </c>
      <c r="K2191" s="4">
        <f>Table3[[#This Row],[Sales]]-Table3[[#This Row],[Cost]]</f>
        <v>26021.539999999994</v>
      </c>
      <c r="L2191" s="6">
        <f>Table3[[#This Row],[Profit]]/Table3[[#This Row],[Sales]]</f>
        <v>0.36175831942759368</v>
      </c>
    </row>
    <row r="2192" spans="1:12" x14ac:dyDescent="0.25">
      <c r="A2192" t="s">
        <v>3580</v>
      </c>
      <c r="B2192" s="2">
        <v>45005</v>
      </c>
      <c r="C2192" s="2" t="str">
        <f>TEXT(Table3[[#This Row],[Order Date]],"mmmm")</f>
        <v>March</v>
      </c>
      <c r="D2192" t="s">
        <v>3731</v>
      </c>
      <c r="E2192" t="s">
        <v>3225</v>
      </c>
      <c r="F2192" t="s">
        <v>3226</v>
      </c>
      <c r="G2192" s="4">
        <v>87110.04</v>
      </c>
      <c r="H2192" s="4">
        <v>59568.29</v>
      </c>
      <c r="I2192" s="3" t="s">
        <v>3734</v>
      </c>
      <c r="J2192">
        <v>4</v>
      </c>
      <c r="K2192" s="4">
        <f>Table3[[#This Row],[Sales]]-Table3[[#This Row],[Cost]]</f>
        <v>27541.749999999993</v>
      </c>
      <c r="L2192" s="6">
        <f>Table3[[#This Row],[Profit]]/Table3[[#This Row],[Sales]]</f>
        <v>0.31617193609370398</v>
      </c>
    </row>
    <row r="2193" spans="1:12" x14ac:dyDescent="0.25">
      <c r="A2193" t="s">
        <v>2031</v>
      </c>
      <c r="B2193" s="2">
        <v>45021</v>
      </c>
      <c r="C2193" s="2" t="str">
        <f>TEXT(Table3[[#This Row],[Order Date]],"mmmm")</f>
        <v>April</v>
      </c>
      <c r="D2193" t="s">
        <v>3216</v>
      </c>
      <c r="E2193" t="s">
        <v>3223</v>
      </c>
      <c r="F2193" t="s">
        <v>3226</v>
      </c>
      <c r="G2193" s="4">
        <v>32530.28</v>
      </c>
      <c r="H2193" s="4">
        <v>18920.05</v>
      </c>
      <c r="I2193" s="3" t="s">
        <v>3734</v>
      </c>
      <c r="J2193">
        <v>3</v>
      </c>
      <c r="K2193" s="4">
        <f>Table3[[#This Row],[Sales]]-Table3[[#This Row],[Cost]]</f>
        <v>13610.23</v>
      </c>
      <c r="L2193" s="6">
        <f>Table3[[#This Row],[Profit]]/Table3[[#This Row],[Sales]]</f>
        <v>0.41838650020842122</v>
      </c>
    </row>
    <row r="2194" spans="1:12" x14ac:dyDescent="0.25">
      <c r="A2194" t="s">
        <v>3389</v>
      </c>
      <c r="B2194" s="2">
        <v>44941</v>
      </c>
      <c r="C2194" s="2" t="str">
        <f>TEXT(Table3[[#This Row],[Order Date]],"mmmm")</f>
        <v>January</v>
      </c>
      <c r="D2194" t="s">
        <v>3731</v>
      </c>
      <c r="E2194" t="s">
        <v>3225</v>
      </c>
      <c r="F2194" t="s">
        <v>3226</v>
      </c>
      <c r="G2194" s="4">
        <v>53726.98</v>
      </c>
      <c r="H2194" s="4">
        <v>44134.78</v>
      </c>
      <c r="I2194" s="3" t="s">
        <v>3734</v>
      </c>
      <c r="J2194">
        <v>3</v>
      </c>
      <c r="K2194" s="4">
        <f>Table3[[#This Row],[Sales]]-Table3[[#This Row],[Cost]]</f>
        <v>9592.2000000000044</v>
      </c>
      <c r="L2194" s="6">
        <f>Table3[[#This Row],[Profit]]/Table3[[#This Row],[Sales]]</f>
        <v>0.17853599811491366</v>
      </c>
    </row>
    <row r="2195" spans="1:12" x14ac:dyDescent="0.25">
      <c r="A2195" t="s">
        <v>2032</v>
      </c>
      <c r="B2195" s="2">
        <v>45005</v>
      </c>
      <c r="C2195" s="2" t="str">
        <f>TEXT(Table3[[#This Row],[Order Date]],"mmmm")</f>
        <v>March</v>
      </c>
      <c r="D2195" t="s">
        <v>3730</v>
      </c>
      <c r="E2195" t="s">
        <v>3222</v>
      </c>
      <c r="F2195" t="s">
        <v>3226</v>
      </c>
      <c r="G2195" s="4">
        <v>65334.67</v>
      </c>
      <c r="H2195" s="4">
        <v>38349.71</v>
      </c>
      <c r="I2195" s="3" t="s">
        <v>3734</v>
      </c>
      <c r="J2195">
        <v>4</v>
      </c>
      <c r="K2195" s="4">
        <f>Table3[[#This Row],[Sales]]-Table3[[#This Row],[Cost]]</f>
        <v>26984.959999999999</v>
      </c>
      <c r="L2195" s="6">
        <f>Table3[[#This Row],[Profit]]/Table3[[#This Row],[Sales]]</f>
        <v>0.41302665185268406</v>
      </c>
    </row>
    <row r="2196" spans="1:12" x14ac:dyDescent="0.25">
      <c r="A2196" t="s">
        <v>1163</v>
      </c>
      <c r="B2196" s="2">
        <v>45102</v>
      </c>
      <c r="C2196" s="2" t="str">
        <f>TEXT(Table3[[#This Row],[Order Date]],"mmmm")</f>
        <v>June</v>
      </c>
      <c r="D2196" t="s">
        <v>3730</v>
      </c>
      <c r="E2196" t="s">
        <v>3223</v>
      </c>
      <c r="F2196" t="s">
        <v>3226</v>
      </c>
      <c r="G2196" s="4">
        <v>8325.58</v>
      </c>
      <c r="H2196" s="4">
        <v>6150.71</v>
      </c>
      <c r="I2196" s="3" t="s">
        <v>3734</v>
      </c>
      <c r="J2196">
        <v>1</v>
      </c>
      <c r="K2196" s="4">
        <f>Table3[[#This Row],[Sales]]-Table3[[#This Row],[Cost]]</f>
        <v>2174.87</v>
      </c>
      <c r="L2196" s="6">
        <f>Table3[[#This Row],[Profit]]/Table3[[#This Row],[Sales]]</f>
        <v>0.26122744601577308</v>
      </c>
    </row>
    <row r="2197" spans="1:12" x14ac:dyDescent="0.25">
      <c r="A2197" t="s">
        <v>2033</v>
      </c>
      <c r="B2197" s="2">
        <v>45102</v>
      </c>
      <c r="C2197" s="2" t="str">
        <f>TEXT(Table3[[#This Row],[Order Date]],"mmmm")</f>
        <v>June</v>
      </c>
      <c r="D2197" t="s">
        <v>3220</v>
      </c>
      <c r="E2197" t="s">
        <v>3225</v>
      </c>
      <c r="F2197" t="s">
        <v>3226</v>
      </c>
      <c r="G2197" s="4">
        <v>20011.25</v>
      </c>
      <c r="H2197" s="4">
        <v>12843.95</v>
      </c>
      <c r="I2197" s="3" t="s">
        <v>3734</v>
      </c>
      <c r="J2197">
        <v>1</v>
      </c>
      <c r="K2197" s="4">
        <f>Table3[[#This Row],[Sales]]-Table3[[#This Row],[Cost]]</f>
        <v>7167.2999999999993</v>
      </c>
      <c r="L2197" s="6">
        <f>Table3[[#This Row],[Profit]]/Table3[[#This Row],[Sales]]</f>
        <v>0.35816353301268034</v>
      </c>
    </row>
    <row r="2198" spans="1:12" x14ac:dyDescent="0.25">
      <c r="A2198" t="s">
        <v>3450</v>
      </c>
      <c r="B2198" s="2">
        <v>44941</v>
      </c>
      <c r="C2198" s="2" t="str">
        <f>TEXT(Table3[[#This Row],[Order Date]],"mmmm")</f>
        <v>January</v>
      </c>
      <c r="D2198" t="s">
        <v>3730</v>
      </c>
      <c r="E2198" t="s">
        <v>3224</v>
      </c>
      <c r="F2198" t="s">
        <v>3226</v>
      </c>
      <c r="G2198" s="4">
        <v>127496.43</v>
      </c>
      <c r="H2198" s="4">
        <v>101997.144</v>
      </c>
      <c r="I2198" s="3" t="s">
        <v>3735</v>
      </c>
      <c r="J2198">
        <v>2</v>
      </c>
      <c r="K2198" s="4">
        <f>Table3[[#This Row],[Sales]]-Table3[[#This Row],[Cost]]</f>
        <v>25499.285999999993</v>
      </c>
      <c r="L2198" s="6">
        <f>Table3[[#This Row],[Profit]]/Table3[[#This Row],[Sales]]</f>
        <v>0.19999999999999996</v>
      </c>
    </row>
    <row r="2199" spans="1:12" x14ac:dyDescent="0.25">
      <c r="A2199" t="s">
        <v>1836</v>
      </c>
      <c r="B2199" s="2">
        <v>44972</v>
      </c>
      <c r="C2199" s="2" t="str">
        <f>TEXT(Table3[[#This Row],[Order Date]],"mmmm")</f>
        <v>February</v>
      </c>
      <c r="D2199" t="s">
        <v>3220</v>
      </c>
      <c r="E2199" t="s">
        <v>3225</v>
      </c>
      <c r="F2199" t="s">
        <v>3226</v>
      </c>
      <c r="G2199" s="4">
        <v>23270.05</v>
      </c>
      <c r="H2199" s="4">
        <v>14488.63</v>
      </c>
      <c r="I2199" s="3" t="s">
        <v>3734</v>
      </c>
      <c r="J2199">
        <v>1</v>
      </c>
      <c r="K2199" s="4">
        <f>Table3[[#This Row],[Sales]]-Table3[[#This Row],[Cost]]</f>
        <v>8781.42</v>
      </c>
      <c r="L2199" s="6">
        <f>Table3[[#This Row],[Profit]]/Table3[[#This Row],[Sales]]</f>
        <v>0.37737005292210374</v>
      </c>
    </row>
    <row r="2200" spans="1:12" x14ac:dyDescent="0.25">
      <c r="A2200" t="s">
        <v>3508</v>
      </c>
      <c r="B2200" s="2">
        <v>45102</v>
      </c>
      <c r="C2200" s="2" t="str">
        <f>TEXT(Table3[[#This Row],[Order Date]],"mmmm")</f>
        <v>June</v>
      </c>
      <c r="D2200" t="s">
        <v>3220</v>
      </c>
      <c r="E2200" t="s">
        <v>3224</v>
      </c>
      <c r="F2200" t="s">
        <v>3226</v>
      </c>
      <c r="G2200" s="4">
        <v>142062.73000000001</v>
      </c>
      <c r="H2200" s="4">
        <v>80663.009999999995</v>
      </c>
      <c r="I2200" s="3" t="s">
        <v>3734</v>
      </c>
      <c r="J2200">
        <v>2</v>
      </c>
      <c r="K2200" s="4">
        <f>Table3[[#This Row],[Sales]]-Table3[[#This Row],[Cost]]</f>
        <v>61399.720000000016</v>
      </c>
      <c r="L2200" s="6">
        <f>Table3[[#This Row],[Profit]]/Table3[[#This Row],[Sales]]</f>
        <v>0.43220146480361182</v>
      </c>
    </row>
    <row r="2201" spans="1:12" x14ac:dyDescent="0.25">
      <c r="A2201" t="s">
        <v>3581</v>
      </c>
      <c r="B2201" s="2">
        <v>45005</v>
      </c>
      <c r="C2201" s="2" t="str">
        <f>TEXT(Table3[[#This Row],[Order Date]],"mmmm")</f>
        <v>March</v>
      </c>
      <c r="D2201" t="s">
        <v>3730</v>
      </c>
      <c r="E2201" t="s">
        <v>3224</v>
      </c>
      <c r="F2201" t="s">
        <v>3226</v>
      </c>
      <c r="G2201" s="4">
        <v>54781.04</v>
      </c>
      <c r="H2201" s="4">
        <v>41494.97</v>
      </c>
      <c r="I2201" s="3" t="s">
        <v>3734</v>
      </c>
      <c r="J2201">
        <v>1</v>
      </c>
      <c r="K2201" s="4">
        <f>Table3[[#This Row],[Sales]]-Table3[[#This Row],[Cost]]</f>
        <v>13286.07</v>
      </c>
      <c r="L2201" s="6">
        <f>Table3[[#This Row],[Profit]]/Table3[[#This Row],[Sales]]</f>
        <v>0.24253044484003955</v>
      </c>
    </row>
    <row r="2202" spans="1:12" x14ac:dyDescent="0.25">
      <c r="A2202" t="s">
        <v>2035</v>
      </c>
      <c r="B2202" s="2">
        <v>44941</v>
      </c>
      <c r="C2202" s="2" t="str">
        <f>TEXT(Table3[[#This Row],[Order Date]],"mmmm")</f>
        <v>January</v>
      </c>
      <c r="D2202" t="s">
        <v>3731</v>
      </c>
      <c r="E2202" t="s">
        <v>3224</v>
      </c>
      <c r="F2202" t="s">
        <v>3226</v>
      </c>
      <c r="G2202" s="4">
        <v>244275.92</v>
      </c>
      <c r="H2202" s="4">
        <v>195420.73600000003</v>
      </c>
      <c r="I2202" s="3" t="s">
        <v>3735</v>
      </c>
      <c r="J2202">
        <v>5</v>
      </c>
      <c r="K2202" s="4">
        <f>Table3[[#This Row],[Sales]]-Table3[[#This Row],[Cost]]</f>
        <v>48855.183999999979</v>
      </c>
      <c r="L2202" s="6">
        <f>Table3[[#This Row],[Profit]]/Table3[[#This Row],[Sales]]</f>
        <v>0.1999999999999999</v>
      </c>
    </row>
    <row r="2203" spans="1:12" x14ac:dyDescent="0.25">
      <c r="A2203" t="s">
        <v>2036</v>
      </c>
      <c r="B2203" s="2">
        <v>45102</v>
      </c>
      <c r="C2203" s="2" t="str">
        <f>TEXT(Table3[[#This Row],[Order Date]],"mmmm")</f>
        <v>June</v>
      </c>
      <c r="D2203" t="s">
        <v>3220</v>
      </c>
      <c r="E2203" t="s">
        <v>3223</v>
      </c>
      <c r="F2203" t="s">
        <v>3226</v>
      </c>
      <c r="G2203" s="4">
        <v>8523.44</v>
      </c>
      <c r="H2203" s="4">
        <v>7345.84</v>
      </c>
      <c r="I2203" s="3" t="s">
        <v>3734</v>
      </c>
      <c r="J2203">
        <v>1</v>
      </c>
      <c r="K2203" s="4">
        <f>Table3[[#This Row],[Sales]]-Table3[[#This Row],[Cost]]</f>
        <v>1177.6000000000004</v>
      </c>
      <c r="L2203" s="6">
        <f>Table3[[#This Row],[Profit]]/Table3[[#This Row],[Sales]]</f>
        <v>0.13816017945805922</v>
      </c>
    </row>
    <row r="2204" spans="1:12" x14ac:dyDescent="0.25">
      <c r="A2204" t="s">
        <v>2038</v>
      </c>
      <c r="B2204" s="2">
        <v>44972</v>
      </c>
      <c r="C2204" s="2" t="str">
        <f>TEXT(Table3[[#This Row],[Order Date]],"mmmm")</f>
        <v>February</v>
      </c>
      <c r="D2204" t="s">
        <v>3731</v>
      </c>
      <c r="E2204" t="s">
        <v>3222</v>
      </c>
      <c r="F2204" t="s">
        <v>3226</v>
      </c>
      <c r="G2204" s="4">
        <v>76605.87</v>
      </c>
      <c r="H2204" s="4">
        <v>43474.68</v>
      </c>
      <c r="I2204" s="3" t="s">
        <v>3734</v>
      </c>
      <c r="J2204">
        <v>5</v>
      </c>
      <c r="K2204" s="4">
        <f>Table3[[#This Row],[Sales]]-Table3[[#This Row],[Cost]]</f>
        <v>33131.189999999995</v>
      </c>
      <c r="L2204" s="6">
        <f>Table3[[#This Row],[Profit]]/Table3[[#This Row],[Sales]]</f>
        <v>0.43248892023548585</v>
      </c>
    </row>
    <row r="2205" spans="1:12" x14ac:dyDescent="0.25">
      <c r="A2205" t="s">
        <v>1386</v>
      </c>
      <c r="B2205" s="2" t="s">
        <v>3729</v>
      </c>
      <c r="C2205" s="2" t="str">
        <f>TEXT(Table3[[#This Row],[Order Date]],"mmmm")</f>
        <v>Not Mentioned</v>
      </c>
      <c r="D2205" t="s">
        <v>3220</v>
      </c>
      <c r="E2205" t="s">
        <v>3225</v>
      </c>
      <c r="F2205" t="s">
        <v>3226</v>
      </c>
      <c r="G2205" s="4">
        <v>113340.94</v>
      </c>
      <c r="H2205" s="4">
        <v>64443.72</v>
      </c>
      <c r="I2205" s="3" t="s">
        <v>3734</v>
      </c>
      <c r="J2205">
        <v>5</v>
      </c>
      <c r="K2205" s="4">
        <f>Table3[[#This Row],[Sales]]-Table3[[#This Row],[Cost]]</f>
        <v>48897.22</v>
      </c>
      <c r="L2205" s="6">
        <f>Table3[[#This Row],[Profit]]/Table3[[#This Row],[Sales]]</f>
        <v>0.4314171031226669</v>
      </c>
    </row>
    <row r="2206" spans="1:12" x14ac:dyDescent="0.25">
      <c r="A2206" t="s">
        <v>2039</v>
      </c>
      <c r="B2206" s="2">
        <v>44941</v>
      </c>
      <c r="C2206" s="2" t="str">
        <f>TEXT(Table3[[#This Row],[Order Date]],"mmmm")</f>
        <v>January</v>
      </c>
      <c r="D2206" t="s">
        <v>3220</v>
      </c>
      <c r="E2206" t="s">
        <v>3224</v>
      </c>
      <c r="F2206" t="s">
        <v>3226</v>
      </c>
      <c r="G2206" s="4">
        <v>64270.28</v>
      </c>
      <c r="H2206" s="4">
        <v>47482.879999999997</v>
      </c>
      <c r="I2206" s="3" t="s">
        <v>3734</v>
      </c>
      <c r="J2206">
        <v>1</v>
      </c>
      <c r="K2206" s="4">
        <f>Table3[[#This Row],[Sales]]-Table3[[#This Row],[Cost]]</f>
        <v>16787.400000000001</v>
      </c>
      <c r="L2206" s="6">
        <f>Table3[[#This Row],[Profit]]/Table3[[#This Row],[Sales]]</f>
        <v>0.26120004456180995</v>
      </c>
    </row>
    <row r="2207" spans="1:12" x14ac:dyDescent="0.25">
      <c r="A2207" t="s">
        <v>2040</v>
      </c>
      <c r="B2207" s="2">
        <v>45021</v>
      </c>
      <c r="C2207" s="2" t="str">
        <f>TEXT(Table3[[#This Row],[Order Date]],"mmmm")</f>
        <v>April</v>
      </c>
      <c r="D2207" t="s">
        <v>3730</v>
      </c>
      <c r="E2207" t="s">
        <v>3222</v>
      </c>
      <c r="F2207" t="s">
        <v>3226</v>
      </c>
      <c r="G2207" s="4">
        <v>49276.45</v>
      </c>
      <c r="H2207" s="4">
        <v>43001.55</v>
      </c>
      <c r="I2207" s="3" t="s">
        <v>3734</v>
      </c>
      <c r="J2207">
        <v>4</v>
      </c>
      <c r="K2207" s="4">
        <f>Table3[[#This Row],[Sales]]-Table3[[#This Row],[Cost]]</f>
        <v>6274.8999999999942</v>
      </c>
      <c r="L2207" s="6">
        <f>Table3[[#This Row],[Profit]]/Table3[[#This Row],[Sales]]</f>
        <v>0.12734074796378381</v>
      </c>
    </row>
    <row r="2208" spans="1:12" x14ac:dyDescent="0.25">
      <c r="A2208" t="s">
        <v>2041</v>
      </c>
      <c r="B2208" s="2">
        <v>44972</v>
      </c>
      <c r="C2208" s="2" t="str">
        <f>TEXT(Table3[[#This Row],[Order Date]],"mmmm")</f>
        <v>February</v>
      </c>
      <c r="D2208" t="s">
        <v>3216</v>
      </c>
      <c r="E2208" t="s">
        <v>3222</v>
      </c>
      <c r="F2208" t="s">
        <v>3226</v>
      </c>
      <c r="G2208" s="4">
        <v>16430.349999999999</v>
      </c>
      <c r="H2208" s="4">
        <v>10760.35</v>
      </c>
      <c r="I2208" s="3" t="s">
        <v>3734</v>
      </c>
      <c r="J2208">
        <v>1</v>
      </c>
      <c r="K2208" s="4">
        <f>Table3[[#This Row],[Sales]]-Table3[[#This Row],[Cost]]</f>
        <v>5669.9999999999982</v>
      </c>
      <c r="L2208" s="6">
        <f>Table3[[#This Row],[Profit]]/Table3[[#This Row],[Sales]]</f>
        <v>0.34509307470625999</v>
      </c>
    </row>
    <row r="2209" spans="1:12" x14ac:dyDescent="0.25">
      <c r="A2209" t="s">
        <v>2042</v>
      </c>
      <c r="B2209" s="2">
        <v>45005</v>
      </c>
      <c r="C2209" s="2" t="str">
        <f>TEXT(Table3[[#This Row],[Order Date]],"mmmm")</f>
        <v>March</v>
      </c>
      <c r="D2209" t="s">
        <v>3216</v>
      </c>
      <c r="E2209" t="s">
        <v>3225</v>
      </c>
      <c r="F2209" t="s">
        <v>3226</v>
      </c>
      <c r="G2209" s="4">
        <v>56697.440000000002</v>
      </c>
      <c r="H2209" s="4">
        <v>39751.11</v>
      </c>
      <c r="I2209" s="3" t="s">
        <v>3734</v>
      </c>
      <c r="J2209">
        <v>3</v>
      </c>
      <c r="K2209" s="4">
        <f>Table3[[#This Row],[Sales]]-Table3[[#This Row],[Cost]]</f>
        <v>16946.330000000002</v>
      </c>
      <c r="L2209" s="6">
        <f>Table3[[#This Row],[Profit]]/Table3[[#This Row],[Sales]]</f>
        <v>0.29889056719315726</v>
      </c>
    </row>
    <row r="2210" spans="1:12" x14ac:dyDescent="0.25">
      <c r="A2210" t="s">
        <v>2043</v>
      </c>
      <c r="B2210" s="2">
        <v>45005</v>
      </c>
      <c r="C2210" s="2" t="str">
        <f>TEXT(Table3[[#This Row],[Order Date]],"mmmm")</f>
        <v>March</v>
      </c>
      <c r="D2210" t="s">
        <v>3730</v>
      </c>
      <c r="E2210" t="s">
        <v>3223</v>
      </c>
      <c r="F2210" t="s">
        <v>3226</v>
      </c>
      <c r="G2210" s="4">
        <v>40438.83</v>
      </c>
      <c r="H2210" s="4">
        <v>36476.22</v>
      </c>
      <c r="I2210" s="3" t="s">
        <v>3734</v>
      </c>
      <c r="J2210">
        <v>5</v>
      </c>
      <c r="K2210" s="4">
        <f>Table3[[#This Row],[Sales]]-Table3[[#This Row],[Cost]]</f>
        <v>3962.6100000000006</v>
      </c>
      <c r="L2210" s="6">
        <f>Table3[[#This Row],[Profit]]/Table3[[#This Row],[Sales]]</f>
        <v>9.7990223752764366E-2</v>
      </c>
    </row>
    <row r="2211" spans="1:12" x14ac:dyDescent="0.25">
      <c r="A2211" t="s">
        <v>3582</v>
      </c>
      <c r="B2211" s="2">
        <v>45102</v>
      </c>
      <c r="C2211" s="2" t="str">
        <f>TEXT(Table3[[#This Row],[Order Date]],"mmmm")</f>
        <v>June</v>
      </c>
      <c r="D2211" t="s">
        <v>3220</v>
      </c>
      <c r="E2211" t="s">
        <v>3225</v>
      </c>
      <c r="F2211" t="s">
        <v>3226</v>
      </c>
      <c r="G2211" s="4">
        <v>23792.99</v>
      </c>
      <c r="H2211" s="4">
        <v>14871.15</v>
      </c>
      <c r="I2211" s="3" t="s">
        <v>3734</v>
      </c>
      <c r="J2211">
        <v>1</v>
      </c>
      <c r="K2211" s="4">
        <f>Table3[[#This Row],[Sales]]-Table3[[#This Row],[Cost]]</f>
        <v>8921.840000000002</v>
      </c>
      <c r="L2211" s="6">
        <f>Table3[[#This Row],[Profit]]/Table3[[#This Row],[Sales]]</f>
        <v>0.37497767199498683</v>
      </c>
    </row>
    <row r="2212" spans="1:12" x14ac:dyDescent="0.25">
      <c r="A2212" t="s">
        <v>2045</v>
      </c>
      <c r="B2212" s="2" t="s">
        <v>3729</v>
      </c>
      <c r="C2212" s="2" t="str">
        <f>TEXT(Table3[[#This Row],[Order Date]],"mmmm")</f>
        <v>Not Mentioned</v>
      </c>
      <c r="D2212" t="s">
        <v>3730</v>
      </c>
      <c r="E2212" t="s">
        <v>3223</v>
      </c>
      <c r="F2212" t="s">
        <v>3226</v>
      </c>
      <c r="G2212" s="4">
        <v>23943.27</v>
      </c>
      <c r="H2212" s="4">
        <v>14100.83</v>
      </c>
      <c r="I2212" s="3" t="s">
        <v>3734</v>
      </c>
      <c r="J2212">
        <v>2</v>
      </c>
      <c r="K2212" s="4">
        <f>Table3[[#This Row],[Sales]]-Table3[[#This Row],[Cost]]</f>
        <v>9842.44</v>
      </c>
      <c r="L2212" s="6">
        <f>Table3[[#This Row],[Profit]]/Table3[[#This Row],[Sales]]</f>
        <v>0.41107334127711043</v>
      </c>
    </row>
    <row r="2213" spans="1:12" x14ac:dyDescent="0.25">
      <c r="A2213" t="s">
        <v>3583</v>
      </c>
      <c r="B2213" s="2">
        <v>44972</v>
      </c>
      <c r="C2213" s="2" t="str">
        <f>TEXT(Table3[[#This Row],[Order Date]],"mmmm")</f>
        <v>February</v>
      </c>
      <c r="D2213" t="s">
        <v>3220</v>
      </c>
      <c r="E2213" t="s">
        <v>3225</v>
      </c>
      <c r="F2213" t="s">
        <v>3226</v>
      </c>
      <c r="G2213" s="4">
        <v>87922.5</v>
      </c>
      <c r="H2213" s="4">
        <v>53542.13</v>
      </c>
      <c r="I2213" s="3" t="s">
        <v>3734</v>
      </c>
      <c r="J2213">
        <v>4</v>
      </c>
      <c r="K2213" s="4">
        <f>Table3[[#This Row],[Sales]]-Table3[[#This Row],[Cost]]</f>
        <v>34380.370000000003</v>
      </c>
      <c r="L2213" s="6">
        <f>Table3[[#This Row],[Profit]]/Table3[[#This Row],[Sales]]</f>
        <v>0.39103039608746343</v>
      </c>
    </row>
    <row r="2214" spans="1:12" x14ac:dyDescent="0.25">
      <c r="A2214" t="s">
        <v>2047</v>
      </c>
      <c r="B2214" s="2">
        <v>44972</v>
      </c>
      <c r="C2214" s="2" t="str">
        <f>TEXT(Table3[[#This Row],[Order Date]],"mmmm")</f>
        <v>February</v>
      </c>
      <c r="D2214" t="s">
        <v>3730</v>
      </c>
      <c r="E2214" t="s">
        <v>3222</v>
      </c>
      <c r="F2214" t="s">
        <v>3226</v>
      </c>
      <c r="G2214" s="4">
        <v>82263.98</v>
      </c>
      <c r="H2214" s="4">
        <v>45677.29</v>
      </c>
      <c r="I2214" s="3" t="s">
        <v>3734</v>
      </c>
      <c r="J2214">
        <v>5</v>
      </c>
      <c r="K2214" s="4">
        <f>Table3[[#This Row],[Sales]]-Table3[[#This Row],[Cost]]</f>
        <v>36586.689999999995</v>
      </c>
      <c r="L2214" s="6">
        <f>Table3[[#This Row],[Profit]]/Table3[[#This Row],[Sales]]</f>
        <v>0.4447473851860802</v>
      </c>
    </row>
    <row r="2215" spans="1:12" x14ac:dyDescent="0.25">
      <c r="A2215" t="s">
        <v>2016</v>
      </c>
      <c r="B2215" s="2">
        <v>45005</v>
      </c>
      <c r="C2215" s="2" t="str">
        <f>TEXT(Table3[[#This Row],[Order Date]],"mmmm")</f>
        <v>March</v>
      </c>
      <c r="D2215" t="s">
        <v>3730</v>
      </c>
      <c r="E2215" t="s">
        <v>3225</v>
      </c>
      <c r="F2215" t="s">
        <v>3226</v>
      </c>
      <c r="G2215" s="4">
        <v>87749.54</v>
      </c>
      <c r="H2215" s="4">
        <v>70382.19</v>
      </c>
      <c r="I2215" s="3" t="s">
        <v>3734</v>
      </c>
      <c r="J2215">
        <v>5</v>
      </c>
      <c r="K2215" s="4">
        <f>Table3[[#This Row],[Sales]]-Table3[[#This Row],[Cost]]</f>
        <v>17367.349999999991</v>
      </c>
      <c r="L2215" s="6">
        <f>Table3[[#This Row],[Profit]]/Table3[[#This Row],[Sales]]</f>
        <v>0.19791955604553588</v>
      </c>
    </row>
    <row r="2216" spans="1:12" x14ac:dyDescent="0.25">
      <c r="A2216" t="s">
        <v>2048</v>
      </c>
      <c r="B2216" s="2">
        <v>45102</v>
      </c>
      <c r="C2216" s="2" t="str">
        <f>TEXT(Table3[[#This Row],[Order Date]],"mmmm")</f>
        <v>June</v>
      </c>
      <c r="D2216" t="s">
        <v>3220</v>
      </c>
      <c r="E2216" t="s">
        <v>3222</v>
      </c>
      <c r="F2216" t="s">
        <v>3226</v>
      </c>
      <c r="G2216" s="4">
        <v>15750.73</v>
      </c>
      <c r="H2216" s="4">
        <v>12600.584000000001</v>
      </c>
      <c r="I2216" s="3" t="s">
        <v>3735</v>
      </c>
      <c r="J2216">
        <v>1</v>
      </c>
      <c r="K2216" s="4">
        <f>Table3[[#This Row],[Sales]]-Table3[[#This Row],[Cost]]</f>
        <v>3150.1459999999988</v>
      </c>
      <c r="L2216" s="6">
        <f>Table3[[#This Row],[Profit]]/Table3[[#This Row],[Sales]]</f>
        <v>0.19999999999999993</v>
      </c>
    </row>
    <row r="2217" spans="1:12" x14ac:dyDescent="0.25">
      <c r="A2217" t="s">
        <v>2049</v>
      </c>
      <c r="B2217" s="2">
        <v>45005</v>
      </c>
      <c r="C2217" s="2" t="str">
        <f>TEXT(Table3[[#This Row],[Order Date]],"mmmm")</f>
        <v>March</v>
      </c>
      <c r="D2217" t="s">
        <v>3730</v>
      </c>
      <c r="E2217" t="s">
        <v>3223</v>
      </c>
      <c r="F2217" t="s">
        <v>3226</v>
      </c>
      <c r="G2217" s="4">
        <v>31045.24</v>
      </c>
      <c r="H2217" s="4">
        <v>22791.01</v>
      </c>
      <c r="I2217" s="3" t="s">
        <v>3734</v>
      </c>
      <c r="J2217">
        <v>3</v>
      </c>
      <c r="K2217" s="4">
        <f>Table3[[#This Row],[Sales]]-Table3[[#This Row],[Cost]]</f>
        <v>8254.2300000000032</v>
      </c>
      <c r="L2217" s="6">
        <f>Table3[[#This Row],[Profit]]/Table3[[#This Row],[Sales]]</f>
        <v>0.26587747429235536</v>
      </c>
    </row>
    <row r="2218" spans="1:12" x14ac:dyDescent="0.25">
      <c r="A2218" t="s">
        <v>2050</v>
      </c>
      <c r="B2218" s="2">
        <v>44941</v>
      </c>
      <c r="C2218" s="2" t="str">
        <f>TEXT(Table3[[#This Row],[Order Date]],"mmmm")</f>
        <v>January</v>
      </c>
      <c r="D2218" t="s">
        <v>3216</v>
      </c>
      <c r="E2218" t="s">
        <v>3225</v>
      </c>
      <c r="F2218" t="s">
        <v>3226</v>
      </c>
      <c r="G2218" s="4">
        <v>63238.720000000001</v>
      </c>
      <c r="H2218" s="4">
        <v>40748.43</v>
      </c>
      <c r="I2218" s="3" t="s">
        <v>3734</v>
      </c>
      <c r="J2218">
        <v>3</v>
      </c>
      <c r="K2218" s="4">
        <f>Table3[[#This Row],[Sales]]-Table3[[#This Row],[Cost]]</f>
        <v>22490.29</v>
      </c>
      <c r="L2218" s="6">
        <f>Table3[[#This Row],[Profit]]/Table3[[#This Row],[Sales]]</f>
        <v>0.35564113252134139</v>
      </c>
    </row>
    <row r="2219" spans="1:12" x14ac:dyDescent="0.25">
      <c r="A2219" t="s">
        <v>2051</v>
      </c>
      <c r="B2219" s="2">
        <v>44972</v>
      </c>
      <c r="C2219" s="2" t="str">
        <f>TEXT(Table3[[#This Row],[Order Date]],"mmmm")</f>
        <v>February</v>
      </c>
      <c r="D2219" t="s">
        <v>3731</v>
      </c>
      <c r="E2219" t="s">
        <v>3224</v>
      </c>
      <c r="F2219" t="s">
        <v>3226</v>
      </c>
      <c r="G2219" s="4">
        <v>255010.93</v>
      </c>
      <c r="H2219" s="4">
        <v>170571.53</v>
      </c>
      <c r="I2219" s="3" t="s">
        <v>3734</v>
      </c>
      <c r="J2219">
        <v>4</v>
      </c>
      <c r="K2219" s="4">
        <f>Table3[[#This Row],[Sales]]-Table3[[#This Row],[Cost]]</f>
        <v>84439.4</v>
      </c>
      <c r="L2219" s="6">
        <f>Table3[[#This Row],[Profit]]/Table3[[#This Row],[Sales]]</f>
        <v>0.33112070921822839</v>
      </c>
    </row>
    <row r="2220" spans="1:12" x14ac:dyDescent="0.25">
      <c r="A2220" t="s">
        <v>3405</v>
      </c>
      <c r="B2220" s="2">
        <v>45102</v>
      </c>
      <c r="C2220" s="2" t="str">
        <f>TEXT(Table3[[#This Row],[Order Date]],"mmmm")</f>
        <v>June</v>
      </c>
      <c r="D2220" t="s">
        <v>3220</v>
      </c>
      <c r="E2220" t="s">
        <v>3225</v>
      </c>
      <c r="F2220" t="s">
        <v>3226</v>
      </c>
      <c r="G2220" s="4">
        <v>105209.53</v>
      </c>
      <c r="H2220" s="4">
        <v>67139.990000000005</v>
      </c>
      <c r="I2220" s="3" t="s">
        <v>3734</v>
      </c>
      <c r="J2220">
        <v>5</v>
      </c>
      <c r="K2220" s="4">
        <f>Table3[[#This Row],[Sales]]-Table3[[#This Row],[Cost]]</f>
        <v>38069.539999999994</v>
      </c>
      <c r="L2220" s="6">
        <f>Table3[[#This Row],[Profit]]/Table3[[#This Row],[Sales]]</f>
        <v>0.36184497735138627</v>
      </c>
    </row>
    <row r="2221" spans="1:12" x14ac:dyDescent="0.25">
      <c r="A2221" t="s">
        <v>2052</v>
      </c>
      <c r="B2221" s="2">
        <v>45102</v>
      </c>
      <c r="C2221" s="2" t="str">
        <f>TEXT(Table3[[#This Row],[Order Date]],"mmmm")</f>
        <v>June</v>
      </c>
      <c r="D2221" t="s">
        <v>3730</v>
      </c>
      <c r="E2221" t="s">
        <v>3224</v>
      </c>
      <c r="F2221" t="s">
        <v>3226</v>
      </c>
      <c r="G2221" s="4">
        <v>244601.89</v>
      </c>
      <c r="H2221" s="4">
        <v>195681.51200000002</v>
      </c>
      <c r="I2221" s="3" t="s">
        <v>3735</v>
      </c>
      <c r="J2221">
        <v>5</v>
      </c>
      <c r="K2221" s="4">
        <f>Table3[[#This Row],[Sales]]-Table3[[#This Row],[Cost]]</f>
        <v>48920.377999999997</v>
      </c>
      <c r="L2221" s="6">
        <f>Table3[[#This Row],[Profit]]/Table3[[#This Row],[Sales]]</f>
        <v>0.19999999999999998</v>
      </c>
    </row>
    <row r="2222" spans="1:12" x14ac:dyDescent="0.25">
      <c r="A2222" t="s">
        <v>2053</v>
      </c>
      <c r="B2222" s="2">
        <v>45021</v>
      </c>
      <c r="C2222" s="2" t="str">
        <f>TEXT(Table3[[#This Row],[Order Date]],"mmmm")</f>
        <v>April</v>
      </c>
      <c r="D2222" t="s">
        <v>3730</v>
      </c>
      <c r="E2222" t="s">
        <v>3223</v>
      </c>
      <c r="F2222" t="s">
        <v>3226</v>
      </c>
      <c r="G2222" s="4">
        <v>58961.05</v>
      </c>
      <c r="H2222" s="4">
        <v>38032.370000000003</v>
      </c>
      <c r="I2222" s="3" t="s">
        <v>3734</v>
      </c>
      <c r="J2222">
        <v>5</v>
      </c>
      <c r="K2222" s="4">
        <f>Table3[[#This Row],[Sales]]-Table3[[#This Row],[Cost]]</f>
        <v>20928.68</v>
      </c>
      <c r="L2222" s="6">
        <f>Table3[[#This Row],[Profit]]/Table3[[#This Row],[Sales]]</f>
        <v>0.35495772208941323</v>
      </c>
    </row>
    <row r="2223" spans="1:12" x14ac:dyDescent="0.25">
      <c r="A2223" t="s">
        <v>2054</v>
      </c>
      <c r="B2223" s="2" t="s">
        <v>3729</v>
      </c>
      <c r="C2223" s="2" t="str">
        <f>TEXT(Table3[[#This Row],[Order Date]],"mmmm")</f>
        <v>Not Mentioned</v>
      </c>
      <c r="D2223" t="s">
        <v>3730</v>
      </c>
      <c r="E2223" t="s">
        <v>3224</v>
      </c>
      <c r="F2223" t="s">
        <v>3226</v>
      </c>
      <c r="G2223" s="4">
        <v>64058.29</v>
      </c>
      <c r="H2223" s="4">
        <v>41934.959999999999</v>
      </c>
      <c r="I2223" s="3" t="s">
        <v>3734</v>
      </c>
      <c r="J2223">
        <v>1</v>
      </c>
      <c r="K2223" s="4">
        <f>Table3[[#This Row],[Sales]]-Table3[[#This Row],[Cost]]</f>
        <v>22123.33</v>
      </c>
      <c r="L2223" s="6">
        <f>Table3[[#This Row],[Profit]]/Table3[[#This Row],[Sales]]</f>
        <v>0.34536248157732591</v>
      </c>
    </row>
    <row r="2224" spans="1:12" x14ac:dyDescent="0.25">
      <c r="A2224" t="s">
        <v>2055</v>
      </c>
      <c r="B2224" s="2">
        <v>44972</v>
      </c>
      <c r="C2224" s="2" t="str">
        <f>TEXT(Table3[[#This Row],[Order Date]],"mmmm")</f>
        <v>February</v>
      </c>
      <c r="D2224" t="s">
        <v>3730</v>
      </c>
      <c r="E2224" t="s">
        <v>3224</v>
      </c>
      <c r="F2224" t="s">
        <v>3226</v>
      </c>
      <c r="G2224" s="4">
        <v>180536.57</v>
      </c>
      <c r="H2224" s="4">
        <v>116086.35</v>
      </c>
      <c r="I2224" s="3" t="s">
        <v>3734</v>
      </c>
      <c r="J2224">
        <v>3</v>
      </c>
      <c r="K2224" s="4">
        <f>Table3[[#This Row],[Sales]]-Table3[[#This Row],[Cost]]</f>
        <v>64450.22</v>
      </c>
      <c r="L2224" s="6">
        <f>Table3[[#This Row],[Profit]]/Table3[[#This Row],[Sales]]</f>
        <v>0.3569926026621642</v>
      </c>
    </row>
    <row r="2225" spans="1:12" x14ac:dyDescent="0.25">
      <c r="A2225" t="s">
        <v>2056</v>
      </c>
      <c r="B2225" s="2">
        <v>45005</v>
      </c>
      <c r="C2225" s="2" t="str">
        <f>TEXT(Table3[[#This Row],[Order Date]],"mmmm")</f>
        <v>March</v>
      </c>
      <c r="D2225" t="s">
        <v>3730</v>
      </c>
      <c r="E2225" t="s">
        <v>3224</v>
      </c>
      <c r="F2225" t="s">
        <v>3226</v>
      </c>
      <c r="G2225" s="4">
        <v>266849.7</v>
      </c>
      <c r="H2225" s="4">
        <v>179163.21</v>
      </c>
      <c r="I2225" s="3" t="s">
        <v>3734</v>
      </c>
      <c r="J2225">
        <v>4</v>
      </c>
      <c r="K2225" s="4">
        <f>Table3[[#This Row],[Sales]]-Table3[[#This Row],[Cost]]</f>
        <v>87686.49000000002</v>
      </c>
      <c r="L2225" s="6">
        <f>Table3[[#This Row],[Profit]]/Table3[[#This Row],[Sales]]</f>
        <v>0.32859879550173754</v>
      </c>
    </row>
    <row r="2226" spans="1:12" x14ac:dyDescent="0.25">
      <c r="A2226" t="s">
        <v>2057</v>
      </c>
      <c r="B2226" s="2">
        <v>45005</v>
      </c>
      <c r="C2226" s="2" t="str">
        <f>TEXT(Table3[[#This Row],[Order Date]],"mmmm")</f>
        <v>March</v>
      </c>
      <c r="D2226" t="s">
        <v>3730</v>
      </c>
      <c r="E2226" t="s">
        <v>3225</v>
      </c>
      <c r="F2226" t="s">
        <v>3226</v>
      </c>
      <c r="G2226" s="4">
        <v>102681</v>
      </c>
      <c r="H2226" s="4">
        <v>66451.570000000007</v>
      </c>
      <c r="I2226" s="3" t="s">
        <v>3734</v>
      </c>
      <c r="J2226">
        <v>5</v>
      </c>
      <c r="K2226" s="4">
        <f>Table3[[#This Row],[Sales]]-Table3[[#This Row],[Cost]]</f>
        <v>36229.429999999993</v>
      </c>
      <c r="L2226" s="6">
        <f>Table3[[#This Row],[Profit]]/Table3[[#This Row],[Sales]]</f>
        <v>0.35283479903779658</v>
      </c>
    </row>
    <row r="2227" spans="1:12" x14ac:dyDescent="0.25">
      <c r="A2227" t="s">
        <v>623</v>
      </c>
      <c r="B2227" s="2">
        <v>44941</v>
      </c>
      <c r="C2227" s="2" t="str">
        <f>TEXT(Table3[[#This Row],[Order Date]],"mmmm")</f>
        <v>January</v>
      </c>
      <c r="D2227" t="s">
        <v>3216</v>
      </c>
      <c r="E2227" t="s">
        <v>3224</v>
      </c>
      <c r="F2227" t="s">
        <v>3226</v>
      </c>
      <c r="G2227" s="4">
        <v>186625.42</v>
      </c>
      <c r="H2227" s="4">
        <v>120950.19</v>
      </c>
      <c r="I2227" s="3" t="s">
        <v>3734</v>
      </c>
      <c r="J2227" t="s">
        <v>3732</v>
      </c>
      <c r="K2227" s="4">
        <f>Table3[[#This Row],[Sales]]-Table3[[#This Row],[Cost]]</f>
        <v>65675.23000000001</v>
      </c>
      <c r="L2227" s="6">
        <f>Table3[[#This Row],[Profit]]/Table3[[#This Row],[Sales]]</f>
        <v>0.35190934868358237</v>
      </c>
    </row>
    <row r="2228" spans="1:12" x14ac:dyDescent="0.25">
      <c r="A2228" t="s">
        <v>2058</v>
      </c>
      <c r="B2228" s="2">
        <v>45102</v>
      </c>
      <c r="C2228" s="2" t="str">
        <f>TEXT(Table3[[#This Row],[Order Date]],"mmmm")</f>
        <v>June</v>
      </c>
      <c r="D2228" t="s">
        <v>3730</v>
      </c>
      <c r="E2228" t="s">
        <v>3223</v>
      </c>
      <c r="F2228" t="s">
        <v>3226</v>
      </c>
      <c r="G2228" s="4">
        <v>28791.3</v>
      </c>
      <c r="H2228" s="4">
        <v>21766.32</v>
      </c>
      <c r="I2228" s="3" t="s">
        <v>3734</v>
      </c>
      <c r="J2228">
        <v>3</v>
      </c>
      <c r="K2228" s="4">
        <f>Table3[[#This Row],[Sales]]-Table3[[#This Row],[Cost]]</f>
        <v>7024.98</v>
      </c>
      <c r="L2228" s="6">
        <f>Table3[[#This Row],[Profit]]/Table3[[#This Row],[Sales]]</f>
        <v>0.24399662398016067</v>
      </c>
    </row>
    <row r="2229" spans="1:12" x14ac:dyDescent="0.25">
      <c r="A2229" t="s">
        <v>875</v>
      </c>
      <c r="B2229" s="2">
        <v>44972</v>
      </c>
      <c r="C2229" s="2" t="str">
        <f>TEXT(Table3[[#This Row],[Order Date]],"mmmm")</f>
        <v>February</v>
      </c>
      <c r="D2229" t="s">
        <v>3731</v>
      </c>
      <c r="E2229" t="s">
        <v>3224</v>
      </c>
      <c r="F2229" t="s">
        <v>3226</v>
      </c>
      <c r="G2229" s="4">
        <v>169999.59</v>
      </c>
      <c r="H2229" s="4">
        <v>138967.20000000001</v>
      </c>
      <c r="I2229" s="3" t="s">
        <v>3734</v>
      </c>
      <c r="J2229">
        <v>3</v>
      </c>
      <c r="K2229" s="4">
        <f>Table3[[#This Row],[Sales]]-Table3[[#This Row],[Cost]]</f>
        <v>31032.389999999985</v>
      </c>
      <c r="L2229" s="6">
        <f>Table3[[#This Row],[Profit]]/Table3[[#This Row],[Sales]]</f>
        <v>0.18254391084119664</v>
      </c>
    </row>
    <row r="2230" spans="1:12" x14ac:dyDescent="0.25">
      <c r="A2230" t="s">
        <v>1231</v>
      </c>
      <c r="B2230" s="2">
        <v>45021</v>
      </c>
      <c r="C2230" s="2" t="str">
        <f>TEXT(Table3[[#This Row],[Order Date]],"mmmm")</f>
        <v>April</v>
      </c>
      <c r="D2230" t="s">
        <v>3731</v>
      </c>
      <c r="E2230" t="s">
        <v>3225</v>
      </c>
      <c r="F2230" t="s">
        <v>3226</v>
      </c>
      <c r="G2230" s="4">
        <v>87435.17</v>
      </c>
      <c r="H2230" s="4">
        <v>48710.23</v>
      </c>
      <c r="I2230" s="3" t="s">
        <v>3734</v>
      </c>
      <c r="J2230">
        <v>4</v>
      </c>
      <c r="K2230" s="4">
        <f>Table3[[#This Row],[Sales]]-Table3[[#This Row],[Cost]]</f>
        <v>38724.939999999995</v>
      </c>
      <c r="L2230" s="6">
        <f>Table3[[#This Row],[Profit]]/Table3[[#This Row],[Sales]]</f>
        <v>0.44289889297407437</v>
      </c>
    </row>
    <row r="2231" spans="1:12" x14ac:dyDescent="0.25">
      <c r="A2231" t="s">
        <v>2059</v>
      </c>
      <c r="B2231" s="2">
        <v>45005</v>
      </c>
      <c r="C2231" s="2" t="str">
        <f>TEXT(Table3[[#This Row],[Order Date]],"mmmm")</f>
        <v>March</v>
      </c>
      <c r="D2231" t="s">
        <v>3730</v>
      </c>
      <c r="E2231" t="s">
        <v>3223</v>
      </c>
      <c r="F2231" t="s">
        <v>3226</v>
      </c>
      <c r="G2231" s="4">
        <v>32195.25</v>
      </c>
      <c r="H2231" s="4">
        <v>22312.04</v>
      </c>
      <c r="I2231" s="3" t="s">
        <v>3734</v>
      </c>
      <c r="J2231">
        <v>3</v>
      </c>
      <c r="K2231" s="4">
        <f>Table3[[#This Row],[Sales]]-Table3[[#This Row],[Cost]]</f>
        <v>9883.2099999999991</v>
      </c>
      <c r="L2231" s="6">
        <f>Table3[[#This Row],[Profit]]/Table3[[#This Row],[Sales]]</f>
        <v>0.30697727149191262</v>
      </c>
    </row>
    <row r="2232" spans="1:12" x14ac:dyDescent="0.25">
      <c r="A2232" t="s">
        <v>654</v>
      </c>
      <c r="B2232" s="2">
        <v>45005</v>
      </c>
      <c r="C2232" s="2" t="str">
        <f>TEXT(Table3[[#This Row],[Order Date]],"mmmm")</f>
        <v>March</v>
      </c>
      <c r="D2232" t="s">
        <v>3220</v>
      </c>
      <c r="E2232" t="s">
        <v>3223</v>
      </c>
      <c r="F2232" t="s">
        <v>3226</v>
      </c>
      <c r="G2232" s="4">
        <v>32849.06</v>
      </c>
      <c r="H2232" s="4">
        <v>26279.248</v>
      </c>
      <c r="I2232" s="3" t="s">
        <v>3735</v>
      </c>
      <c r="J2232">
        <v>3</v>
      </c>
      <c r="K2232" s="4">
        <f>Table3[[#This Row],[Sales]]-Table3[[#This Row],[Cost]]</f>
        <v>6569.8119999999981</v>
      </c>
      <c r="L2232" s="6">
        <f>Table3[[#This Row],[Profit]]/Table3[[#This Row],[Sales]]</f>
        <v>0.19999999999999996</v>
      </c>
    </row>
    <row r="2233" spans="1:12" x14ac:dyDescent="0.25">
      <c r="A2233" t="s">
        <v>2060</v>
      </c>
      <c r="B2233" s="2">
        <v>45005</v>
      </c>
      <c r="C2233" s="2" t="str">
        <f>TEXT(Table3[[#This Row],[Order Date]],"mmmm")</f>
        <v>March</v>
      </c>
      <c r="D2233" t="s">
        <v>3730</v>
      </c>
      <c r="E2233" t="s">
        <v>3223</v>
      </c>
      <c r="F2233" t="s">
        <v>3226</v>
      </c>
      <c r="G2233" s="4">
        <v>38153.050000000003</v>
      </c>
      <c r="H2233" s="4">
        <v>25926.33</v>
      </c>
      <c r="I2233" s="3" t="s">
        <v>3734</v>
      </c>
      <c r="J2233">
        <v>4</v>
      </c>
      <c r="K2233" s="4">
        <f>Table3[[#This Row],[Sales]]-Table3[[#This Row],[Cost]]</f>
        <v>12226.720000000001</v>
      </c>
      <c r="L2233" s="6">
        <f>Table3[[#This Row],[Profit]]/Table3[[#This Row],[Sales]]</f>
        <v>0.32046507422080278</v>
      </c>
    </row>
    <row r="2234" spans="1:12" x14ac:dyDescent="0.25">
      <c r="A2234" t="s">
        <v>2061</v>
      </c>
      <c r="B2234" s="2">
        <v>44941</v>
      </c>
      <c r="C2234" s="2" t="str">
        <f>TEXT(Table3[[#This Row],[Order Date]],"mmmm")</f>
        <v>January</v>
      </c>
      <c r="D2234" t="s">
        <v>3220</v>
      </c>
      <c r="E2234" t="s">
        <v>3225</v>
      </c>
      <c r="F2234" t="s">
        <v>3226</v>
      </c>
      <c r="G2234" s="4">
        <v>39567.74</v>
      </c>
      <c r="H2234" s="4">
        <v>29138.71</v>
      </c>
      <c r="I2234" s="3" t="s">
        <v>3734</v>
      </c>
      <c r="J2234">
        <v>2</v>
      </c>
      <c r="K2234" s="4">
        <f>Table3[[#This Row],[Sales]]-Table3[[#This Row],[Cost]]</f>
        <v>10429.029999999999</v>
      </c>
      <c r="L2234" s="6">
        <f>Table3[[#This Row],[Profit]]/Table3[[#This Row],[Sales]]</f>
        <v>0.26357406311303094</v>
      </c>
    </row>
    <row r="2235" spans="1:12" x14ac:dyDescent="0.25">
      <c r="A2235" t="s">
        <v>2062</v>
      </c>
      <c r="B2235" s="2">
        <v>45021</v>
      </c>
      <c r="C2235" s="2" t="str">
        <f>TEXT(Table3[[#This Row],[Order Date]],"mmmm")</f>
        <v>April</v>
      </c>
      <c r="D2235" t="s">
        <v>3216</v>
      </c>
      <c r="E2235" t="s">
        <v>3223</v>
      </c>
      <c r="F2235" t="s">
        <v>3226</v>
      </c>
      <c r="G2235" s="4">
        <v>10860.97</v>
      </c>
      <c r="H2235" s="4">
        <v>7237.46</v>
      </c>
      <c r="I2235" s="3" t="s">
        <v>3734</v>
      </c>
      <c r="J2235">
        <v>1</v>
      </c>
      <c r="K2235" s="4">
        <f>Table3[[#This Row],[Sales]]-Table3[[#This Row],[Cost]]</f>
        <v>3623.5099999999993</v>
      </c>
      <c r="L2235" s="6">
        <f>Table3[[#This Row],[Profit]]/Table3[[#This Row],[Sales]]</f>
        <v>0.33362673867987847</v>
      </c>
    </row>
    <row r="2236" spans="1:12" x14ac:dyDescent="0.25">
      <c r="A2236" t="s">
        <v>2063</v>
      </c>
      <c r="B2236" s="2">
        <v>44941</v>
      </c>
      <c r="C2236" s="2" t="str">
        <f>TEXT(Table3[[#This Row],[Order Date]],"mmmm")</f>
        <v>January</v>
      </c>
      <c r="D2236" t="s">
        <v>3216</v>
      </c>
      <c r="E2236" t="s">
        <v>3224</v>
      </c>
      <c r="F2236" t="s">
        <v>3226</v>
      </c>
      <c r="G2236" s="4">
        <v>209243.57</v>
      </c>
      <c r="H2236" s="4">
        <v>167394.85600000003</v>
      </c>
      <c r="I2236" s="3" t="s">
        <v>3735</v>
      </c>
      <c r="J2236">
        <v>3</v>
      </c>
      <c r="K2236" s="4">
        <f>Table3[[#This Row],[Sales]]-Table3[[#This Row],[Cost]]</f>
        <v>41848.713999999978</v>
      </c>
      <c r="L2236" s="6">
        <f>Table3[[#This Row],[Profit]]/Table3[[#This Row],[Sales]]</f>
        <v>0.1999999999999999</v>
      </c>
    </row>
    <row r="2237" spans="1:12" x14ac:dyDescent="0.25">
      <c r="A2237" t="s">
        <v>3489</v>
      </c>
      <c r="B2237" s="2" t="s">
        <v>3729</v>
      </c>
      <c r="C2237" s="2" t="str">
        <f>TEXT(Table3[[#This Row],[Order Date]],"mmmm")</f>
        <v>Not Mentioned</v>
      </c>
      <c r="D2237" t="s">
        <v>3731</v>
      </c>
      <c r="E2237" t="s">
        <v>3225</v>
      </c>
      <c r="F2237" t="s">
        <v>3226</v>
      </c>
      <c r="G2237" s="4">
        <v>103126.49</v>
      </c>
      <c r="H2237" s="4">
        <v>69010.02</v>
      </c>
      <c r="I2237" s="3" t="s">
        <v>3734</v>
      </c>
      <c r="J2237">
        <v>5</v>
      </c>
      <c r="K2237" s="4">
        <f>Table3[[#This Row],[Sales]]-Table3[[#This Row],[Cost]]</f>
        <v>34116.47</v>
      </c>
      <c r="L2237" s="6">
        <f>Table3[[#This Row],[Profit]]/Table3[[#This Row],[Sales]]</f>
        <v>0.33082159588676002</v>
      </c>
    </row>
    <row r="2238" spans="1:12" x14ac:dyDescent="0.25">
      <c r="A2238" t="s">
        <v>2064</v>
      </c>
      <c r="B2238" s="2">
        <v>45021</v>
      </c>
      <c r="C2238" s="2" t="str">
        <f>TEXT(Table3[[#This Row],[Order Date]],"mmmm")</f>
        <v>April</v>
      </c>
      <c r="D2238" t="s">
        <v>3220</v>
      </c>
      <c r="E2238" t="s">
        <v>3224</v>
      </c>
      <c r="F2238" t="s">
        <v>3226</v>
      </c>
      <c r="G2238" s="4">
        <v>66660.710000000006</v>
      </c>
      <c r="H2238" s="4">
        <v>42953.71</v>
      </c>
      <c r="I2238" s="3" t="s">
        <v>3734</v>
      </c>
      <c r="J2238">
        <v>1</v>
      </c>
      <c r="K2238" s="4">
        <f>Table3[[#This Row],[Sales]]-Table3[[#This Row],[Cost]]</f>
        <v>23707.000000000007</v>
      </c>
      <c r="L2238" s="6">
        <f>Table3[[#This Row],[Profit]]/Table3[[#This Row],[Sales]]</f>
        <v>0.35563677614594874</v>
      </c>
    </row>
    <row r="2239" spans="1:12" x14ac:dyDescent="0.25">
      <c r="A2239" t="s">
        <v>1347</v>
      </c>
      <c r="B2239" s="2">
        <v>45102</v>
      </c>
      <c r="C2239" s="2" t="str">
        <f>TEXT(Table3[[#This Row],[Order Date]],"mmmm")</f>
        <v>June</v>
      </c>
      <c r="D2239" t="s">
        <v>3216</v>
      </c>
      <c r="E2239" t="s">
        <v>3224</v>
      </c>
      <c r="F2239" t="s">
        <v>3226</v>
      </c>
      <c r="G2239" s="4">
        <v>212296.25</v>
      </c>
      <c r="H2239" s="4">
        <v>121275.75</v>
      </c>
      <c r="I2239" s="3" t="s">
        <v>3734</v>
      </c>
      <c r="J2239">
        <v>3</v>
      </c>
      <c r="K2239" s="4">
        <f>Table3[[#This Row],[Sales]]-Table3[[#This Row],[Cost]]</f>
        <v>91020.5</v>
      </c>
      <c r="L2239" s="6">
        <f>Table3[[#This Row],[Profit]]/Table3[[#This Row],[Sales]]</f>
        <v>0.4287428534418295</v>
      </c>
    </row>
    <row r="2240" spans="1:12" x14ac:dyDescent="0.25">
      <c r="A2240" t="s">
        <v>1592</v>
      </c>
      <c r="B2240" s="2">
        <v>44972</v>
      </c>
      <c r="C2240" s="2" t="str">
        <f>TEXT(Table3[[#This Row],[Order Date]],"mmmm")</f>
        <v>February</v>
      </c>
      <c r="D2240" t="s">
        <v>3731</v>
      </c>
      <c r="E2240" t="s">
        <v>3224</v>
      </c>
      <c r="F2240" t="s">
        <v>3226</v>
      </c>
      <c r="G2240" s="4">
        <v>210083.55</v>
      </c>
      <c r="H2240" s="4">
        <v>144579.75</v>
      </c>
      <c r="I2240" s="3" t="s">
        <v>3734</v>
      </c>
      <c r="J2240">
        <v>3</v>
      </c>
      <c r="K2240" s="4">
        <f>Table3[[#This Row],[Sales]]-Table3[[#This Row],[Cost]]</f>
        <v>65503.799999999988</v>
      </c>
      <c r="L2240" s="6">
        <f>Table3[[#This Row],[Profit]]/Table3[[#This Row],[Sales]]</f>
        <v>0.31179880576085084</v>
      </c>
    </row>
    <row r="2241" spans="1:12" x14ac:dyDescent="0.25">
      <c r="A2241" t="s">
        <v>482</v>
      </c>
      <c r="B2241" s="2">
        <v>44972</v>
      </c>
      <c r="C2241" s="2" t="str">
        <f>TEXT(Table3[[#This Row],[Order Date]],"mmmm")</f>
        <v>February</v>
      </c>
      <c r="D2241" t="s">
        <v>3216</v>
      </c>
      <c r="E2241" t="s">
        <v>3224</v>
      </c>
      <c r="F2241" t="s">
        <v>3226</v>
      </c>
      <c r="G2241" s="4">
        <v>235319.53</v>
      </c>
      <c r="H2241" s="4">
        <v>171018.21</v>
      </c>
      <c r="I2241" s="3" t="s">
        <v>3734</v>
      </c>
      <c r="J2241">
        <v>4</v>
      </c>
      <c r="K2241" s="4">
        <f>Table3[[#This Row],[Sales]]-Table3[[#This Row],[Cost]]</f>
        <v>64301.320000000007</v>
      </c>
      <c r="L2241" s="6">
        <f>Table3[[#This Row],[Profit]]/Table3[[#This Row],[Sales]]</f>
        <v>0.27325109819826687</v>
      </c>
    </row>
    <row r="2242" spans="1:12" x14ac:dyDescent="0.25">
      <c r="A2242" t="s">
        <v>2065</v>
      </c>
      <c r="B2242" s="2">
        <v>45021</v>
      </c>
      <c r="C2242" s="2" t="str">
        <f>TEXT(Table3[[#This Row],[Order Date]],"mmmm")</f>
        <v>April</v>
      </c>
      <c r="D2242" t="s">
        <v>3220</v>
      </c>
      <c r="E2242" t="s">
        <v>3222</v>
      </c>
      <c r="F2242" t="s">
        <v>3226</v>
      </c>
      <c r="G2242" s="4">
        <v>40394.870000000003</v>
      </c>
      <c r="H2242" s="4">
        <v>32383.18</v>
      </c>
      <c r="I2242" s="3" t="s">
        <v>3734</v>
      </c>
      <c r="J2242">
        <v>3</v>
      </c>
      <c r="K2242" s="4">
        <f>Table3[[#This Row],[Sales]]-Table3[[#This Row],[Cost]]</f>
        <v>8011.6900000000023</v>
      </c>
      <c r="L2242" s="6">
        <f>Table3[[#This Row],[Profit]]/Table3[[#This Row],[Sales]]</f>
        <v>0.19833434294998353</v>
      </c>
    </row>
    <row r="2243" spans="1:12" x14ac:dyDescent="0.25">
      <c r="A2243" t="s">
        <v>3584</v>
      </c>
      <c r="B2243" s="2">
        <v>44941</v>
      </c>
      <c r="C2243" s="2" t="str">
        <f>TEXT(Table3[[#This Row],[Order Date]],"mmmm")</f>
        <v>January</v>
      </c>
      <c r="D2243" t="s">
        <v>3730</v>
      </c>
      <c r="E2243" t="s">
        <v>3224</v>
      </c>
      <c r="F2243" t="s">
        <v>3226</v>
      </c>
      <c r="G2243" s="4">
        <v>351197.93</v>
      </c>
      <c r="H2243" s="4">
        <v>235357.44</v>
      </c>
      <c r="I2243" s="3" t="s">
        <v>3734</v>
      </c>
      <c r="J2243">
        <v>5</v>
      </c>
      <c r="K2243" s="4">
        <f>Table3[[#This Row],[Sales]]-Table3[[#This Row],[Cost]]</f>
        <v>115840.48999999999</v>
      </c>
      <c r="L2243" s="6">
        <f>Table3[[#This Row],[Profit]]/Table3[[#This Row],[Sales]]</f>
        <v>0.3298438860388499</v>
      </c>
    </row>
    <row r="2244" spans="1:12" x14ac:dyDescent="0.25">
      <c r="A2244" t="s">
        <v>2067</v>
      </c>
      <c r="B2244" s="2">
        <v>44941</v>
      </c>
      <c r="C2244" s="2" t="str">
        <f>TEXT(Table3[[#This Row],[Order Date]],"mmmm")</f>
        <v>January</v>
      </c>
      <c r="D2244" t="s">
        <v>3730</v>
      </c>
      <c r="E2244" t="s">
        <v>3223</v>
      </c>
      <c r="F2244" t="s">
        <v>3226</v>
      </c>
      <c r="G2244" s="4">
        <v>33533.769999999997</v>
      </c>
      <c r="H2244" s="4">
        <v>24442.5</v>
      </c>
      <c r="I2244" s="3" t="s">
        <v>3734</v>
      </c>
      <c r="J2244">
        <v>4</v>
      </c>
      <c r="K2244" s="4">
        <f>Table3[[#This Row],[Sales]]-Table3[[#This Row],[Cost]]</f>
        <v>9091.2699999999968</v>
      </c>
      <c r="L2244" s="6">
        <f>Table3[[#This Row],[Profit]]/Table3[[#This Row],[Sales]]</f>
        <v>0.2711079010800157</v>
      </c>
    </row>
    <row r="2245" spans="1:12" x14ac:dyDescent="0.25">
      <c r="A2245" t="s">
        <v>2068</v>
      </c>
      <c r="B2245" s="2">
        <v>45102</v>
      </c>
      <c r="C2245" s="2" t="str">
        <f>TEXT(Table3[[#This Row],[Order Date]],"mmmm")</f>
        <v>June</v>
      </c>
      <c r="D2245" t="s">
        <v>3220</v>
      </c>
      <c r="E2245" t="s">
        <v>3222</v>
      </c>
      <c r="F2245" t="s">
        <v>3226</v>
      </c>
      <c r="G2245" s="4">
        <v>56614.2</v>
      </c>
      <c r="H2245" s="4">
        <v>35480.980000000003</v>
      </c>
      <c r="I2245" s="3" t="s">
        <v>3734</v>
      </c>
      <c r="J2245">
        <v>4</v>
      </c>
      <c r="K2245" s="4">
        <f>Table3[[#This Row],[Sales]]-Table3[[#This Row],[Cost]]</f>
        <v>21133.219999999994</v>
      </c>
      <c r="L2245" s="6">
        <f>Table3[[#This Row],[Profit]]/Table3[[#This Row],[Sales]]</f>
        <v>0.37328479427422795</v>
      </c>
    </row>
    <row r="2246" spans="1:12" x14ac:dyDescent="0.25">
      <c r="A2246" t="s">
        <v>2069</v>
      </c>
      <c r="B2246" s="2">
        <v>44941</v>
      </c>
      <c r="C2246" s="2" t="str">
        <f>TEXT(Table3[[#This Row],[Order Date]],"mmmm")</f>
        <v>January</v>
      </c>
      <c r="D2246" t="s">
        <v>3220</v>
      </c>
      <c r="E2246" t="s">
        <v>3224</v>
      </c>
      <c r="F2246" t="s">
        <v>3226</v>
      </c>
      <c r="G2246" s="4">
        <v>59268.05</v>
      </c>
      <c r="H2246" s="4">
        <v>47414.44</v>
      </c>
      <c r="I2246" s="3" t="s">
        <v>3735</v>
      </c>
      <c r="J2246">
        <v>1</v>
      </c>
      <c r="K2246" s="4">
        <f>Table3[[#This Row],[Sales]]-Table3[[#This Row],[Cost]]</f>
        <v>11853.61</v>
      </c>
      <c r="L2246" s="6">
        <f>Table3[[#This Row],[Profit]]/Table3[[#This Row],[Sales]]</f>
        <v>0.2</v>
      </c>
    </row>
    <row r="2247" spans="1:12" x14ac:dyDescent="0.25">
      <c r="A2247" t="s">
        <v>2070</v>
      </c>
      <c r="B2247" s="2">
        <v>44941</v>
      </c>
      <c r="C2247" s="2" t="str">
        <f>TEXT(Table3[[#This Row],[Order Date]],"mmmm")</f>
        <v>January</v>
      </c>
      <c r="D2247" t="s">
        <v>3730</v>
      </c>
      <c r="E2247" t="s">
        <v>3224</v>
      </c>
      <c r="F2247" t="s">
        <v>3226</v>
      </c>
      <c r="G2247" s="4">
        <v>65745.91</v>
      </c>
      <c r="H2247" s="4">
        <v>47036.6</v>
      </c>
      <c r="I2247" s="3" t="s">
        <v>3734</v>
      </c>
      <c r="J2247">
        <v>1</v>
      </c>
      <c r="K2247" s="4">
        <f>Table3[[#This Row],[Sales]]-Table3[[#This Row],[Cost]]</f>
        <v>18709.310000000005</v>
      </c>
      <c r="L2247" s="6">
        <f>Table3[[#This Row],[Profit]]/Table3[[#This Row],[Sales]]</f>
        <v>0.28456994511141459</v>
      </c>
    </row>
    <row r="2248" spans="1:12" x14ac:dyDescent="0.25">
      <c r="A2248" t="s">
        <v>2071</v>
      </c>
      <c r="B2248" s="2">
        <v>45005</v>
      </c>
      <c r="C2248" s="2" t="str">
        <f>TEXT(Table3[[#This Row],[Order Date]],"mmmm")</f>
        <v>March</v>
      </c>
      <c r="D2248" t="s">
        <v>3220</v>
      </c>
      <c r="E2248" t="s">
        <v>3223</v>
      </c>
      <c r="F2248" t="s">
        <v>3226</v>
      </c>
      <c r="G2248" s="4">
        <v>17298.560000000001</v>
      </c>
      <c r="H2248" s="4">
        <v>12619.99</v>
      </c>
      <c r="I2248" s="3" t="s">
        <v>3734</v>
      </c>
      <c r="J2248">
        <v>2</v>
      </c>
      <c r="K2248" s="4">
        <f>Table3[[#This Row],[Sales]]-Table3[[#This Row],[Cost]]</f>
        <v>4678.5700000000015</v>
      </c>
      <c r="L2248" s="6">
        <f>Table3[[#This Row],[Profit]]/Table3[[#This Row],[Sales]]</f>
        <v>0.27046008453882875</v>
      </c>
    </row>
    <row r="2249" spans="1:12" x14ac:dyDescent="0.25">
      <c r="A2249" t="s">
        <v>2052</v>
      </c>
      <c r="B2249" s="2">
        <v>45005</v>
      </c>
      <c r="C2249" s="2" t="str">
        <f>TEXT(Table3[[#This Row],[Order Date]],"mmmm")</f>
        <v>March</v>
      </c>
      <c r="D2249" t="s">
        <v>3731</v>
      </c>
      <c r="E2249" t="s">
        <v>3224</v>
      </c>
      <c r="F2249" t="s">
        <v>3226</v>
      </c>
      <c r="G2249" s="4">
        <v>176433.65</v>
      </c>
      <c r="H2249" s="4">
        <v>120452.3</v>
      </c>
      <c r="I2249" s="3" t="s">
        <v>3734</v>
      </c>
      <c r="J2249">
        <v>3</v>
      </c>
      <c r="K2249" s="4">
        <f>Table3[[#This Row],[Sales]]-Table3[[#This Row],[Cost]]</f>
        <v>55981.349999999991</v>
      </c>
      <c r="L2249" s="6">
        <f>Table3[[#This Row],[Profit]]/Table3[[#This Row],[Sales]]</f>
        <v>0.31729406493602547</v>
      </c>
    </row>
    <row r="2250" spans="1:12" x14ac:dyDescent="0.25">
      <c r="A2250" t="s">
        <v>3573</v>
      </c>
      <c r="B2250" s="2">
        <v>45021</v>
      </c>
      <c r="C2250" s="2" t="str">
        <f>TEXT(Table3[[#This Row],[Order Date]],"mmmm")</f>
        <v>April</v>
      </c>
      <c r="D2250" t="s">
        <v>3220</v>
      </c>
      <c r="E2250" t="s">
        <v>3224</v>
      </c>
      <c r="F2250" t="s">
        <v>3226</v>
      </c>
      <c r="G2250" s="4">
        <v>68322.19</v>
      </c>
      <c r="H2250" s="4">
        <v>45246.09</v>
      </c>
      <c r="I2250" s="3" t="s">
        <v>3734</v>
      </c>
      <c r="J2250">
        <v>1</v>
      </c>
      <c r="K2250" s="4">
        <f>Table3[[#This Row],[Sales]]-Table3[[#This Row],[Cost]]</f>
        <v>23076.100000000006</v>
      </c>
      <c r="L2250" s="6">
        <f>Table3[[#This Row],[Profit]]/Table3[[#This Row],[Sales]]</f>
        <v>0.33775410302275155</v>
      </c>
    </row>
    <row r="2251" spans="1:12" x14ac:dyDescent="0.25">
      <c r="A2251" t="s">
        <v>2072</v>
      </c>
      <c r="B2251" s="2">
        <v>45005</v>
      </c>
      <c r="C2251" s="2" t="str">
        <f>TEXT(Table3[[#This Row],[Order Date]],"mmmm")</f>
        <v>March</v>
      </c>
      <c r="D2251" t="s">
        <v>3730</v>
      </c>
      <c r="E2251" t="s">
        <v>3223</v>
      </c>
      <c r="F2251" t="s">
        <v>3226</v>
      </c>
      <c r="G2251" s="4">
        <v>11738.28</v>
      </c>
      <c r="H2251" s="4">
        <v>6368.45</v>
      </c>
      <c r="I2251" s="3" t="s">
        <v>3734</v>
      </c>
      <c r="J2251">
        <v>1</v>
      </c>
      <c r="K2251" s="4">
        <f>Table3[[#This Row],[Sales]]-Table3[[#This Row],[Cost]]</f>
        <v>5369.8300000000008</v>
      </c>
      <c r="L2251" s="6">
        <f>Table3[[#This Row],[Profit]]/Table3[[#This Row],[Sales]]</f>
        <v>0.45746310362335885</v>
      </c>
    </row>
    <row r="2252" spans="1:12" x14ac:dyDescent="0.25">
      <c r="A2252" t="s">
        <v>2073</v>
      </c>
      <c r="B2252" s="2">
        <v>45005</v>
      </c>
      <c r="C2252" s="2" t="str">
        <f>TEXT(Table3[[#This Row],[Order Date]],"mmmm")</f>
        <v>March</v>
      </c>
      <c r="D2252" t="s">
        <v>3731</v>
      </c>
      <c r="E2252" t="s">
        <v>3225</v>
      </c>
      <c r="F2252" t="s">
        <v>3226</v>
      </c>
      <c r="G2252" s="4">
        <v>43336.99</v>
      </c>
      <c r="H2252" s="4">
        <v>29228.98</v>
      </c>
      <c r="I2252" s="3" t="s">
        <v>3734</v>
      </c>
      <c r="J2252">
        <v>2</v>
      </c>
      <c r="K2252" s="4">
        <f>Table3[[#This Row],[Sales]]-Table3[[#This Row],[Cost]]</f>
        <v>14108.009999999998</v>
      </c>
      <c r="L2252" s="6">
        <f>Table3[[#This Row],[Profit]]/Table3[[#This Row],[Sales]]</f>
        <v>0.32554199080277607</v>
      </c>
    </row>
    <row r="2253" spans="1:12" x14ac:dyDescent="0.25">
      <c r="A2253" t="s">
        <v>1990</v>
      </c>
      <c r="B2253" s="2">
        <v>45021</v>
      </c>
      <c r="C2253" s="2" t="str">
        <f>TEXT(Table3[[#This Row],[Order Date]],"mmmm")</f>
        <v>April</v>
      </c>
      <c r="D2253" t="s">
        <v>3220</v>
      </c>
      <c r="E2253" t="s">
        <v>3223</v>
      </c>
      <c r="F2253" t="s">
        <v>3226</v>
      </c>
      <c r="G2253" s="4">
        <v>21066.86</v>
      </c>
      <c r="H2253" s="4">
        <v>12296.44</v>
      </c>
      <c r="I2253" s="3" t="s">
        <v>3734</v>
      </c>
      <c r="J2253">
        <v>2</v>
      </c>
      <c r="K2253" s="4">
        <f>Table3[[#This Row],[Sales]]-Table3[[#This Row],[Cost]]</f>
        <v>8770.42</v>
      </c>
      <c r="L2253" s="6">
        <f>Table3[[#This Row],[Profit]]/Table3[[#This Row],[Sales]]</f>
        <v>0.41631358446394001</v>
      </c>
    </row>
    <row r="2254" spans="1:12" x14ac:dyDescent="0.25">
      <c r="A2254" t="s">
        <v>2074</v>
      </c>
      <c r="B2254" s="2" t="s">
        <v>3729</v>
      </c>
      <c r="C2254" s="2" t="str">
        <f>TEXT(Table3[[#This Row],[Order Date]],"mmmm")</f>
        <v>Not Mentioned</v>
      </c>
      <c r="D2254" t="s">
        <v>3730</v>
      </c>
      <c r="E2254" t="s">
        <v>3224</v>
      </c>
      <c r="F2254" t="s">
        <v>3226</v>
      </c>
      <c r="G2254" s="4">
        <v>110541.99</v>
      </c>
      <c r="H2254" s="4">
        <v>81470.649999999994</v>
      </c>
      <c r="I2254" s="3" t="s">
        <v>3734</v>
      </c>
      <c r="J2254">
        <v>2</v>
      </c>
      <c r="K2254" s="4">
        <f>Table3[[#This Row],[Sales]]-Table3[[#This Row],[Cost]]</f>
        <v>29071.340000000011</v>
      </c>
      <c r="L2254" s="6">
        <f>Table3[[#This Row],[Profit]]/Table3[[#This Row],[Sales]]</f>
        <v>0.26298911391046975</v>
      </c>
    </row>
    <row r="2255" spans="1:12" x14ac:dyDescent="0.25">
      <c r="A2255" t="s">
        <v>633</v>
      </c>
      <c r="B2255" s="2">
        <v>45102</v>
      </c>
      <c r="C2255" s="2" t="str">
        <f>TEXT(Table3[[#This Row],[Order Date]],"mmmm")</f>
        <v>June</v>
      </c>
      <c r="D2255" t="s">
        <v>3730</v>
      </c>
      <c r="E2255" t="s">
        <v>3223</v>
      </c>
      <c r="F2255" t="s">
        <v>3226</v>
      </c>
      <c r="G2255" s="4">
        <v>57977.72</v>
      </c>
      <c r="H2255" s="4">
        <v>30346.17</v>
      </c>
      <c r="I2255" s="3" t="s">
        <v>3734</v>
      </c>
      <c r="J2255">
        <v>5</v>
      </c>
      <c r="K2255" s="4">
        <f>Table3[[#This Row],[Sales]]-Table3[[#This Row],[Cost]]</f>
        <v>27631.550000000003</v>
      </c>
      <c r="L2255" s="6">
        <f>Table3[[#This Row],[Profit]]/Table3[[#This Row],[Sales]]</f>
        <v>0.47658911043759572</v>
      </c>
    </row>
    <row r="2256" spans="1:12" x14ac:dyDescent="0.25">
      <c r="A2256" t="s">
        <v>2075</v>
      </c>
      <c r="B2256" s="2">
        <v>45102</v>
      </c>
      <c r="C2256" s="2" t="str">
        <f>TEXT(Table3[[#This Row],[Order Date]],"mmmm")</f>
        <v>June</v>
      </c>
      <c r="D2256" t="s">
        <v>3216</v>
      </c>
      <c r="E2256" t="s">
        <v>3225</v>
      </c>
      <c r="F2256" t="s">
        <v>3226</v>
      </c>
      <c r="G2256" s="4">
        <v>81776.37</v>
      </c>
      <c r="H2256" s="4">
        <v>59740.959999999999</v>
      </c>
      <c r="I2256" s="3" t="s">
        <v>3734</v>
      </c>
      <c r="J2256">
        <v>4</v>
      </c>
      <c r="K2256" s="4">
        <f>Table3[[#This Row],[Sales]]-Table3[[#This Row],[Cost]]</f>
        <v>22035.409999999996</v>
      </c>
      <c r="L2256" s="6">
        <f>Table3[[#This Row],[Profit]]/Table3[[#This Row],[Sales]]</f>
        <v>0.26945938050319423</v>
      </c>
    </row>
    <row r="2257" spans="1:12" x14ac:dyDescent="0.25">
      <c r="A2257" t="s">
        <v>2076</v>
      </c>
      <c r="B2257" s="2">
        <v>45102</v>
      </c>
      <c r="C2257" s="2" t="str">
        <f>TEXT(Table3[[#This Row],[Order Date]],"mmmm")</f>
        <v>June</v>
      </c>
      <c r="D2257" t="s">
        <v>3730</v>
      </c>
      <c r="E2257" t="s">
        <v>3225</v>
      </c>
      <c r="F2257" t="s">
        <v>3226</v>
      </c>
      <c r="G2257" s="4">
        <v>76715.39</v>
      </c>
      <c r="H2257" s="4">
        <v>51044.77</v>
      </c>
      <c r="I2257" s="3" t="s">
        <v>3734</v>
      </c>
      <c r="J2257">
        <v>4</v>
      </c>
      <c r="K2257" s="4">
        <f>Table3[[#This Row],[Sales]]-Table3[[#This Row],[Cost]]</f>
        <v>25670.620000000003</v>
      </c>
      <c r="L2257" s="6">
        <f>Table3[[#This Row],[Profit]]/Table3[[#This Row],[Sales]]</f>
        <v>0.33462151466609247</v>
      </c>
    </row>
    <row r="2258" spans="1:12" x14ac:dyDescent="0.25">
      <c r="A2258" t="s">
        <v>3585</v>
      </c>
      <c r="B2258" s="2">
        <v>45005</v>
      </c>
      <c r="C2258" s="2" t="str">
        <f>TEXT(Table3[[#This Row],[Order Date]],"mmmm")</f>
        <v>March</v>
      </c>
      <c r="D2258" t="s">
        <v>3730</v>
      </c>
      <c r="E2258" t="s">
        <v>3222</v>
      </c>
      <c r="F2258" t="s">
        <v>3226</v>
      </c>
      <c r="G2258" s="4">
        <v>13484.66</v>
      </c>
      <c r="H2258" s="4">
        <v>10859.74</v>
      </c>
      <c r="I2258" s="3" t="s">
        <v>3734</v>
      </c>
      <c r="J2258">
        <v>1</v>
      </c>
      <c r="K2258" s="4">
        <f>Table3[[#This Row],[Sales]]-Table3[[#This Row],[Cost]]</f>
        <v>2624.92</v>
      </c>
      <c r="L2258" s="6">
        <f>Table3[[#This Row],[Profit]]/Table3[[#This Row],[Sales]]</f>
        <v>0.19465970962560422</v>
      </c>
    </row>
    <row r="2259" spans="1:12" x14ac:dyDescent="0.25">
      <c r="A2259" t="s">
        <v>2078</v>
      </c>
      <c r="B2259" s="2">
        <v>45021</v>
      </c>
      <c r="C2259" s="2" t="str">
        <f>TEXT(Table3[[#This Row],[Order Date]],"mmmm")</f>
        <v>April</v>
      </c>
      <c r="D2259" t="s">
        <v>3220</v>
      </c>
      <c r="E2259" t="s">
        <v>3224</v>
      </c>
      <c r="F2259" t="s">
        <v>3226</v>
      </c>
      <c r="G2259" s="4">
        <v>200691.53</v>
      </c>
      <c r="H2259" s="4">
        <v>116281.48</v>
      </c>
      <c r="I2259" s="3" t="s">
        <v>3734</v>
      </c>
      <c r="J2259">
        <v>3</v>
      </c>
      <c r="K2259" s="4">
        <f>Table3[[#This Row],[Sales]]-Table3[[#This Row],[Cost]]</f>
        <v>84410.05</v>
      </c>
      <c r="L2259" s="6">
        <f>Table3[[#This Row],[Profit]]/Table3[[#This Row],[Sales]]</f>
        <v>0.42059597632246865</v>
      </c>
    </row>
    <row r="2260" spans="1:12" x14ac:dyDescent="0.25">
      <c r="A2260" t="s">
        <v>2079</v>
      </c>
      <c r="B2260" s="2">
        <v>45021</v>
      </c>
      <c r="C2260" s="2" t="str">
        <f>TEXT(Table3[[#This Row],[Order Date]],"mmmm")</f>
        <v>April</v>
      </c>
      <c r="D2260" t="s">
        <v>3730</v>
      </c>
      <c r="E2260" t="s">
        <v>3223</v>
      </c>
      <c r="F2260" t="s">
        <v>3226</v>
      </c>
      <c r="G2260" s="4">
        <v>8241.65</v>
      </c>
      <c r="H2260" s="4">
        <v>6994.26</v>
      </c>
      <c r="I2260" s="3" t="s">
        <v>3734</v>
      </c>
      <c r="J2260">
        <v>1</v>
      </c>
      <c r="K2260" s="4">
        <f>Table3[[#This Row],[Sales]]-Table3[[#This Row],[Cost]]</f>
        <v>1247.3899999999994</v>
      </c>
      <c r="L2260" s="6">
        <f>Table3[[#This Row],[Profit]]/Table3[[#This Row],[Sales]]</f>
        <v>0.15135197442259735</v>
      </c>
    </row>
    <row r="2261" spans="1:12" x14ac:dyDescent="0.25">
      <c r="A2261" t="s">
        <v>3518</v>
      </c>
      <c r="B2261" s="2">
        <v>45005</v>
      </c>
      <c r="C2261" s="2" t="str">
        <f>TEXT(Table3[[#This Row],[Order Date]],"mmmm")</f>
        <v>March</v>
      </c>
      <c r="D2261" t="s">
        <v>3730</v>
      </c>
      <c r="E2261" t="s">
        <v>3224</v>
      </c>
      <c r="F2261" t="s">
        <v>3226</v>
      </c>
      <c r="G2261" s="4">
        <v>251811.58</v>
      </c>
      <c r="H2261" s="4">
        <v>197142.97</v>
      </c>
      <c r="I2261" s="3" t="s">
        <v>3734</v>
      </c>
      <c r="J2261">
        <v>5</v>
      </c>
      <c r="K2261" s="4">
        <f>Table3[[#This Row],[Sales]]-Table3[[#This Row],[Cost]]</f>
        <v>54668.609999999986</v>
      </c>
      <c r="L2261" s="6">
        <f>Table3[[#This Row],[Profit]]/Table3[[#This Row],[Sales]]</f>
        <v>0.21710125483506354</v>
      </c>
    </row>
    <row r="2262" spans="1:12" x14ac:dyDescent="0.25">
      <c r="A2262" t="s">
        <v>2080</v>
      </c>
      <c r="B2262" s="2">
        <v>45005</v>
      </c>
      <c r="C2262" s="2" t="str">
        <f>TEXT(Table3[[#This Row],[Order Date]],"mmmm")</f>
        <v>March</v>
      </c>
      <c r="D2262" t="s">
        <v>3730</v>
      </c>
      <c r="E2262" t="s">
        <v>3223</v>
      </c>
      <c r="F2262" t="s">
        <v>3226</v>
      </c>
      <c r="G2262" s="4">
        <v>22731</v>
      </c>
      <c r="H2262" s="4">
        <v>12869.71</v>
      </c>
      <c r="I2262" s="3" t="s">
        <v>3734</v>
      </c>
      <c r="J2262">
        <v>2</v>
      </c>
      <c r="K2262" s="4">
        <f>Table3[[#This Row],[Sales]]-Table3[[#This Row],[Cost]]</f>
        <v>9861.2900000000009</v>
      </c>
      <c r="L2262" s="6">
        <f>Table3[[#This Row],[Profit]]/Table3[[#This Row],[Sales]]</f>
        <v>0.43382561259953373</v>
      </c>
    </row>
    <row r="2263" spans="1:12" x14ac:dyDescent="0.25">
      <c r="A2263" t="s">
        <v>2081</v>
      </c>
      <c r="B2263" s="2">
        <v>45005</v>
      </c>
      <c r="C2263" s="2" t="str">
        <f>TEXT(Table3[[#This Row],[Order Date]],"mmmm")</f>
        <v>March</v>
      </c>
      <c r="D2263" t="s">
        <v>3730</v>
      </c>
      <c r="E2263" t="s">
        <v>3225</v>
      </c>
      <c r="F2263" t="s">
        <v>3226</v>
      </c>
      <c r="G2263" s="4">
        <v>80512.17</v>
      </c>
      <c r="H2263" s="4">
        <v>64409.736000000004</v>
      </c>
      <c r="I2263" s="3" t="s">
        <v>3735</v>
      </c>
      <c r="J2263">
        <v>4</v>
      </c>
      <c r="K2263" s="4">
        <f>Table3[[#This Row],[Sales]]-Table3[[#This Row],[Cost]]</f>
        <v>16102.433999999994</v>
      </c>
      <c r="L2263" s="6">
        <f>Table3[[#This Row],[Profit]]/Table3[[#This Row],[Sales]]</f>
        <v>0.19999999999999993</v>
      </c>
    </row>
    <row r="2264" spans="1:12" x14ac:dyDescent="0.25">
      <c r="A2264" t="s">
        <v>2082</v>
      </c>
      <c r="B2264" s="2">
        <v>45005</v>
      </c>
      <c r="C2264" s="2" t="str">
        <f>TEXT(Table3[[#This Row],[Order Date]],"mmmm")</f>
        <v>March</v>
      </c>
      <c r="D2264" t="s">
        <v>3220</v>
      </c>
      <c r="E2264" t="s">
        <v>3224</v>
      </c>
      <c r="F2264" t="s">
        <v>3226</v>
      </c>
      <c r="G2264" s="4">
        <v>109898.37</v>
      </c>
      <c r="H2264" s="4">
        <v>89039.98</v>
      </c>
      <c r="I2264" s="3" t="s">
        <v>3734</v>
      </c>
      <c r="J2264">
        <v>2</v>
      </c>
      <c r="K2264" s="4">
        <f>Table3[[#This Row],[Sales]]-Table3[[#This Row],[Cost]]</f>
        <v>20858.39</v>
      </c>
      <c r="L2264" s="6">
        <f>Table3[[#This Row],[Profit]]/Table3[[#This Row],[Sales]]</f>
        <v>0.18979708252269803</v>
      </c>
    </row>
    <row r="2265" spans="1:12" x14ac:dyDescent="0.25">
      <c r="A2265" t="s">
        <v>2083</v>
      </c>
      <c r="B2265" s="2">
        <v>44941</v>
      </c>
      <c r="C2265" s="2" t="str">
        <f>TEXT(Table3[[#This Row],[Order Date]],"mmmm")</f>
        <v>January</v>
      </c>
      <c r="D2265" t="s">
        <v>3730</v>
      </c>
      <c r="E2265" t="s">
        <v>3225</v>
      </c>
      <c r="F2265" t="s">
        <v>3226</v>
      </c>
      <c r="G2265" s="4">
        <v>51001.71</v>
      </c>
      <c r="H2265" s="4">
        <v>38608.29</v>
      </c>
      <c r="I2265" s="3" t="s">
        <v>3734</v>
      </c>
      <c r="J2265">
        <v>3</v>
      </c>
      <c r="K2265" s="4">
        <f>Table3[[#This Row],[Sales]]-Table3[[#This Row],[Cost]]</f>
        <v>12393.419999999998</v>
      </c>
      <c r="L2265" s="6">
        <f>Table3[[#This Row],[Profit]]/Table3[[#This Row],[Sales]]</f>
        <v>0.24300008764412015</v>
      </c>
    </row>
    <row r="2266" spans="1:12" x14ac:dyDescent="0.25">
      <c r="A2266" t="s">
        <v>2084</v>
      </c>
      <c r="B2266" s="2">
        <v>45102</v>
      </c>
      <c r="C2266" s="2" t="str">
        <f>TEXT(Table3[[#This Row],[Order Date]],"mmmm")</f>
        <v>June</v>
      </c>
      <c r="D2266" t="s">
        <v>3730</v>
      </c>
      <c r="E2266" t="s">
        <v>3223</v>
      </c>
      <c r="F2266" t="s">
        <v>3226</v>
      </c>
      <c r="G2266" s="4">
        <v>17786.38</v>
      </c>
      <c r="H2266" s="4">
        <v>12851.85</v>
      </c>
      <c r="I2266" s="3" t="s">
        <v>3734</v>
      </c>
      <c r="J2266">
        <v>2</v>
      </c>
      <c r="K2266" s="4">
        <f>Table3[[#This Row],[Sales]]-Table3[[#This Row],[Cost]]</f>
        <v>4934.5300000000007</v>
      </c>
      <c r="L2266" s="6">
        <f>Table3[[#This Row],[Profit]]/Table3[[#This Row],[Sales]]</f>
        <v>0.27743306957346014</v>
      </c>
    </row>
    <row r="2267" spans="1:12" x14ac:dyDescent="0.25">
      <c r="A2267" t="s">
        <v>2085</v>
      </c>
      <c r="B2267" s="2">
        <v>45005</v>
      </c>
      <c r="C2267" s="2" t="str">
        <f>TEXT(Table3[[#This Row],[Order Date]],"mmmm")</f>
        <v>March</v>
      </c>
      <c r="D2267" t="s">
        <v>3730</v>
      </c>
      <c r="E2267" t="s">
        <v>3222</v>
      </c>
      <c r="F2267" t="s">
        <v>3226</v>
      </c>
      <c r="G2267" s="4">
        <v>36082.81</v>
      </c>
      <c r="H2267" s="4">
        <v>27722.86</v>
      </c>
      <c r="I2267" s="3" t="s">
        <v>3734</v>
      </c>
      <c r="J2267">
        <v>3</v>
      </c>
      <c r="K2267" s="4">
        <f>Table3[[#This Row],[Sales]]-Table3[[#This Row],[Cost]]</f>
        <v>8359.9499999999971</v>
      </c>
      <c r="L2267" s="6">
        <f>Table3[[#This Row],[Profit]]/Table3[[#This Row],[Sales]]</f>
        <v>0.23168788683586444</v>
      </c>
    </row>
    <row r="2268" spans="1:12" x14ac:dyDescent="0.25">
      <c r="A2268" t="s">
        <v>2086</v>
      </c>
      <c r="B2268" s="2">
        <v>45021</v>
      </c>
      <c r="C2268" s="2" t="str">
        <f>TEXT(Table3[[#This Row],[Order Date]],"mmmm")</f>
        <v>April</v>
      </c>
      <c r="D2268" t="s">
        <v>3220</v>
      </c>
      <c r="E2268" t="s">
        <v>3224</v>
      </c>
      <c r="F2268" t="s">
        <v>3226</v>
      </c>
      <c r="G2268" s="4">
        <v>104934.24</v>
      </c>
      <c r="H2268" s="4">
        <v>83163.22</v>
      </c>
      <c r="I2268" s="3" t="s">
        <v>3734</v>
      </c>
      <c r="J2268">
        <v>2</v>
      </c>
      <c r="K2268" s="4">
        <f>Table3[[#This Row],[Sales]]-Table3[[#This Row],[Cost]]</f>
        <v>21771.020000000004</v>
      </c>
      <c r="L2268" s="6">
        <f>Table3[[#This Row],[Profit]]/Table3[[#This Row],[Sales]]</f>
        <v>0.20747298498564437</v>
      </c>
    </row>
    <row r="2269" spans="1:12" x14ac:dyDescent="0.25">
      <c r="A2269" t="s">
        <v>3315</v>
      </c>
      <c r="B2269" s="2">
        <v>45005</v>
      </c>
      <c r="C2269" s="2" t="str">
        <f>TEXT(Table3[[#This Row],[Order Date]],"mmmm")</f>
        <v>March</v>
      </c>
      <c r="D2269" t="s">
        <v>3731</v>
      </c>
      <c r="E2269" t="s">
        <v>3223</v>
      </c>
      <c r="F2269" t="s">
        <v>3226</v>
      </c>
      <c r="G2269" s="4">
        <v>30572.23</v>
      </c>
      <c r="H2269" s="4">
        <v>19605.68</v>
      </c>
      <c r="I2269" s="3" t="s">
        <v>3734</v>
      </c>
      <c r="J2269">
        <v>3</v>
      </c>
      <c r="K2269" s="4">
        <f>Table3[[#This Row],[Sales]]-Table3[[#This Row],[Cost]]</f>
        <v>10966.55</v>
      </c>
      <c r="L2269" s="6">
        <f>Table3[[#This Row],[Profit]]/Table3[[#This Row],[Sales]]</f>
        <v>0.35870952168029613</v>
      </c>
    </row>
    <row r="2270" spans="1:12" x14ac:dyDescent="0.25">
      <c r="A2270" t="s">
        <v>2087</v>
      </c>
      <c r="B2270" s="2">
        <v>45102</v>
      </c>
      <c r="C2270" s="2" t="str">
        <f>TEXT(Table3[[#This Row],[Order Date]],"mmmm")</f>
        <v>June</v>
      </c>
      <c r="D2270" t="s">
        <v>3731</v>
      </c>
      <c r="E2270" t="s">
        <v>3222</v>
      </c>
      <c r="F2270" t="s">
        <v>3226</v>
      </c>
      <c r="G2270" s="4">
        <v>28244.07</v>
      </c>
      <c r="H2270" s="4">
        <v>17663.45</v>
      </c>
      <c r="I2270" s="3" t="s">
        <v>3734</v>
      </c>
      <c r="J2270">
        <v>2</v>
      </c>
      <c r="K2270" s="4">
        <f>Table3[[#This Row],[Sales]]-Table3[[#This Row],[Cost]]</f>
        <v>10580.619999999999</v>
      </c>
      <c r="L2270" s="6">
        <f>Table3[[#This Row],[Profit]]/Table3[[#This Row],[Sales]]</f>
        <v>0.3746138569972387</v>
      </c>
    </row>
    <row r="2271" spans="1:12" x14ac:dyDescent="0.25">
      <c r="A2271" t="s">
        <v>2088</v>
      </c>
      <c r="B2271" s="2">
        <v>44972</v>
      </c>
      <c r="C2271" s="2" t="str">
        <f>TEXT(Table3[[#This Row],[Order Date]],"mmmm")</f>
        <v>February</v>
      </c>
      <c r="D2271" t="s">
        <v>3220</v>
      </c>
      <c r="E2271" t="s">
        <v>3223</v>
      </c>
      <c r="F2271" t="s">
        <v>3226</v>
      </c>
      <c r="G2271" s="4">
        <v>41880.61</v>
      </c>
      <c r="H2271" s="4">
        <v>32218.37</v>
      </c>
      <c r="I2271" s="3" t="s">
        <v>3734</v>
      </c>
      <c r="J2271">
        <v>5</v>
      </c>
      <c r="K2271" s="4">
        <f>Table3[[#This Row],[Sales]]-Table3[[#This Row],[Cost]]</f>
        <v>9662.2400000000016</v>
      </c>
      <c r="L2271" s="6">
        <f>Table3[[#This Row],[Profit]]/Table3[[#This Row],[Sales]]</f>
        <v>0.2307091515620236</v>
      </c>
    </row>
    <row r="2272" spans="1:12" x14ac:dyDescent="0.25">
      <c r="A2272" t="s">
        <v>3586</v>
      </c>
      <c r="B2272" s="2">
        <v>45021</v>
      </c>
      <c r="C2272" s="2" t="str">
        <f>TEXT(Table3[[#This Row],[Order Date]],"mmmm")</f>
        <v>April</v>
      </c>
      <c r="D2272" t="s">
        <v>3220</v>
      </c>
      <c r="E2272" t="s">
        <v>3222</v>
      </c>
      <c r="F2272" t="s">
        <v>3226</v>
      </c>
      <c r="G2272" s="4">
        <v>16511.34</v>
      </c>
      <c r="H2272" s="4">
        <v>8882.7800000000007</v>
      </c>
      <c r="I2272" s="3" t="s">
        <v>3734</v>
      </c>
      <c r="J2272">
        <v>1</v>
      </c>
      <c r="K2272" s="4">
        <f>Table3[[#This Row],[Sales]]-Table3[[#This Row],[Cost]]</f>
        <v>7628.5599999999995</v>
      </c>
      <c r="L2272" s="6">
        <f>Table3[[#This Row],[Profit]]/Table3[[#This Row],[Sales]]</f>
        <v>0.46201943633890402</v>
      </c>
    </row>
    <row r="2273" spans="1:12" x14ac:dyDescent="0.25">
      <c r="A2273" t="s">
        <v>1499</v>
      </c>
      <c r="B2273" s="2">
        <v>45021</v>
      </c>
      <c r="C2273" s="2" t="str">
        <f>TEXT(Table3[[#This Row],[Order Date]],"mmmm")</f>
        <v>April</v>
      </c>
      <c r="D2273" t="s">
        <v>3730</v>
      </c>
      <c r="E2273" t="s">
        <v>3223</v>
      </c>
      <c r="F2273" t="s">
        <v>3226</v>
      </c>
      <c r="G2273" s="4">
        <v>8867.34</v>
      </c>
      <c r="H2273" s="4">
        <v>7463.46</v>
      </c>
      <c r="I2273" s="3" t="s">
        <v>3734</v>
      </c>
      <c r="J2273">
        <v>1</v>
      </c>
      <c r="K2273" s="4">
        <f>Table3[[#This Row],[Sales]]-Table3[[#This Row],[Cost]]</f>
        <v>1403.88</v>
      </c>
      <c r="L2273" s="6">
        <f>Table3[[#This Row],[Profit]]/Table3[[#This Row],[Sales]]</f>
        <v>0.15832030800668523</v>
      </c>
    </row>
    <row r="2274" spans="1:12" x14ac:dyDescent="0.25">
      <c r="A2274" t="s">
        <v>2092</v>
      </c>
      <c r="B2274" s="2">
        <v>45021</v>
      </c>
      <c r="C2274" s="2" t="str">
        <f>TEXT(Table3[[#This Row],[Order Date]],"mmmm")</f>
        <v>April</v>
      </c>
      <c r="D2274" t="s">
        <v>3730</v>
      </c>
      <c r="E2274" t="s">
        <v>3223</v>
      </c>
      <c r="F2274" t="s">
        <v>3226</v>
      </c>
      <c r="G2274" s="4">
        <v>32773.800000000003</v>
      </c>
      <c r="H2274" s="4">
        <v>28371.95</v>
      </c>
      <c r="I2274" s="3" t="s">
        <v>3734</v>
      </c>
      <c r="J2274">
        <v>4</v>
      </c>
      <c r="K2274" s="4">
        <f>Table3[[#This Row],[Sales]]-Table3[[#This Row],[Cost]]</f>
        <v>4401.8500000000022</v>
      </c>
      <c r="L2274" s="6">
        <f>Table3[[#This Row],[Profit]]/Table3[[#This Row],[Sales]]</f>
        <v>0.13431002813222762</v>
      </c>
    </row>
    <row r="2275" spans="1:12" x14ac:dyDescent="0.25">
      <c r="A2275" t="s">
        <v>3570</v>
      </c>
      <c r="B2275" s="2" t="s">
        <v>3729</v>
      </c>
      <c r="C2275" s="2" t="str">
        <f>TEXT(Table3[[#This Row],[Order Date]],"mmmm")</f>
        <v>Not Mentioned</v>
      </c>
      <c r="D2275" t="s">
        <v>3730</v>
      </c>
      <c r="E2275" t="s">
        <v>3222</v>
      </c>
      <c r="F2275" t="s">
        <v>3226</v>
      </c>
      <c r="G2275" s="4">
        <v>27128.13</v>
      </c>
      <c r="H2275" s="4">
        <v>18966.11</v>
      </c>
      <c r="I2275" s="3" t="s">
        <v>3734</v>
      </c>
      <c r="J2275">
        <v>2</v>
      </c>
      <c r="K2275" s="4">
        <f>Table3[[#This Row],[Sales]]-Table3[[#This Row],[Cost]]</f>
        <v>8162.02</v>
      </c>
      <c r="L2275" s="6">
        <f>Table3[[#This Row],[Profit]]/Table3[[#This Row],[Sales]]</f>
        <v>0.30086924531842041</v>
      </c>
    </row>
    <row r="2276" spans="1:12" x14ac:dyDescent="0.25">
      <c r="A2276" t="s">
        <v>3587</v>
      </c>
      <c r="B2276" s="2">
        <v>44941</v>
      </c>
      <c r="C2276" s="2" t="str">
        <f>TEXT(Table3[[#This Row],[Order Date]],"mmmm")</f>
        <v>January</v>
      </c>
      <c r="D2276" t="s">
        <v>3730</v>
      </c>
      <c r="E2276" t="s">
        <v>3225</v>
      </c>
      <c r="F2276" t="s">
        <v>3226</v>
      </c>
      <c r="G2276" s="4">
        <v>78395.67</v>
      </c>
      <c r="H2276" s="4">
        <v>55048.1</v>
      </c>
      <c r="I2276" s="3" t="s">
        <v>3734</v>
      </c>
      <c r="J2276">
        <v>4</v>
      </c>
      <c r="K2276" s="4">
        <f>Table3[[#This Row],[Sales]]-Table3[[#This Row],[Cost]]</f>
        <v>23347.57</v>
      </c>
      <c r="L2276" s="6">
        <f>Table3[[#This Row],[Profit]]/Table3[[#This Row],[Sales]]</f>
        <v>0.29781708607120777</v>
      </c>
    </row>
    <row r="2277" spans="1:12" x14ac:dyDescent="0.25">
      <c r="A2277" t="s">
        <v>2094</v>
      </c>
      <c r="B2277" s="2" t="s">
        <v>3729</v>
      </c>
      <c r="C2277" s="2" t="str">
        <f>TEXT(Table3[[#This Row],[Order Date]],"mmmm")</f>
        <v>Not Mentioned</v>
      </c>
      <c r="D2277" t="s">
        <v>3216</v>
      </c>
      <c r="E2277" t="s">
        <v>3225</v>
      </c>
      <c r="F2277" t="s">
        <v>3226</v>
      </c>
      <c r="G2277" s="4">
        <v>92643.19</v>
      </c>
      <c r="H2277" s="4">
        <v>73512.100000000006</v>
      </c>
      <c r="I2277" s="3" t="s">
        <v>3734</v>
      </c>
      <c r="J2277">
        <v>5</v>
      </c>
      <c r="K2277" s="4">
        <f>Table3[[#This Row],[Sales]]-Table3[[#This Row],[Cost]]</f>
        <v>19131.089999999997</v>
      </c>
      <c r="L2277" s="6">
        <f>Table3[[#This Row],[Profit]]/Table3[[#This Row],[Sales]]</f>
        <v>0.20650292806195464</v>
      </c>
    </row>
    <row r="2278" spans="1:12" x14ac:dyDescent="0.25">
      <c r="A2278" t="s">
        <v>2095</v>
      </c>
      <c r="B2278" s="2">
        <v>44972</v>
      </c>
      <c r="C2278" s="2" t="str">
        <f>TEXT(Table3[[#This Row],[Order Date]],"mmmm")</f>
        <v>February</v>
      </c>
      <c r="D2278" t="s">
        <v>3216</v>
      </c>
      <c r="E2278" t="s">
        <v>3224</v>
      </c>
      <c r="F2278" t="s">
        <v>3226</v>
      </c>
      <c r="G2278" s="4">
        <v>115192.03</v>
      </c>
      <c r="H2278" s="4">
        <v>81377.350000000006</v>
      </c>
      <c r="I2278" s="3" t="s">
        <v>3734</v>
      </c>
      <c r="J2278">
        <v>2</v>
      </c>
      <c r="K2278" s="4">
        <f>Table3[[#This Row],[Sales]]-Table3[[#This Row],[Cost]]</f>
        <v>33814.679999999993</v>
      </c>
      <c r="L2278" s="6">
        <f>Table3[[#This Row],[Profit]]/Table3[[#This Row],[Sales]]</f>
        <v>0.29355051734047916</v>
      </c>
    </row>
    <row r="2279" spans="1:12" x14ac:dyDescent="0.25">
      <c r="A2279" t="s">
        <v>2096</v>
      </c>
      <c r="B2279" s="2">
        <v>45005</v>
      </c>
      <c r="C2279" s="2" t="str">
        <f>TEXT(Table3[[#This Row],[Order Date]],"mmmm")</f>
        <v>March</v>
      </c>
      <c r="D2279" t="s">
        <v>3220</v>
      </c>
      <c r="E2279" t="s">
        <v>3223</v>
      </c>
      <c r="F2279" t="s">
        <v>3226</v>
      </c>
      <c r="G2279" s="4">
        <v>38653.440000000002</v>
      </c>
      <c r="H2279" s="4">
        <v>24933.88</v>
      </c>
      <c r="I2279" s="3" t="s">
        <v>3734</v>
      </c>
      <c r="J2279">
        <v>4</v>
      </c>
      <c r="K2279" s="4">
        <f>Table3[[#This Row],[Sales]]-Table3[[#This Row],[Cost]]</f>
        <v>13719.560000000001</v>
      </c>
      <c r="L2279" s="6">
        <f>Table3[[#This Row],[Profit]]/Table3[[#This Row],[Sales]]</f>
        <v>0.35493762004106233</v>
      </c>
    </row>
    <row r="2280" spans="1:12" x14ac:dyDescent="0.25">
      <c r="A2280" t="s">
        <v>998</v>
      </c>
      <c r="B2280" s="2">
        <v>44972</v>
      </c>
      <c r="C2280" s="2" t="str">
        <f>TEXT(Table3[[#This Row],[Order Date]],"mmmm")</f>
        <v>February</v>
      </c>
      <c r="D2280" t="s">
        <v>3220</v>
      </c>
      <c r="E2280" t="s">
        <v>3222</v>
      </c>
      <c r="F2280" t="s">
        <v>3226</v>
      </c>
      <c r="G2280" s="4">
        <v>28102.68</v>
      </c>
      <c r="H2280" s="4">
        <v>17534.91</v>
      </c>
      <c r="I2280" s="3" t="s">
        <v>3734</v>
      </c>
      <c r="J2280">
        <v>2</v>
      </c>
      <c r="K2280" s="4">
        <f>Table3[[#This Row],[Sales]]-Table3[[#This Row],[Cost]]</f>
        <v>10567.77</v>
      </c>
      <c r="L2280" s="6">
        <f>Table3[[#This Row],[Profit]]/Table3[[#This Row],[Sales]]</f>
        <v>0.37604135975643604</v>
      </c>
    </row>
    <row r="2281" spans="1:12" x14ac:dyDescent="0.25">
      <c r="A2281" t="s">
        <v>2097</v>
      </c>
      <c r="B2281" s="2" t="s">
        <v>3729</v>
      </c>
      <c r="C2281" s="2" t="str">
        <f>TEXT(Table3[[#This Row],[Order Date]],"mmmm")</f>
        <v>Not Mentioned</v>
      </c>
      <c r="D2281" t="s">
        <v>3730</v>
      </c>
      <c r="E2281" t="s">
        <v>3224</v>
      </c>
      <c r="F2281" t="s">
        <v>3226</v>
      </c>
      <c r="G2281" s="4">
        <v>135337.10999999999</v>
      </c>
      <c r="H2281" s="4">
        <v>108269.68799999999</v>
      </c>
      <c r="I2281" s="3" t="s">
        <v>3735</v>
      </c>
      <c r="J2281" t="s">
        <v>3732</v>
      </c>
      <c r="K2281" s="4">
        <f>Table3[[#This Row],[Sales]]-Table3[[#This Row],[Cost]]</f>
        <v>27067.421999999991</v>
      </c>
      <c r="L2281" s="6">
        <f>Table3[[#This Row],[Profit]]/Table3[[#This Row],[Sales]]</f>
        <v>0.19999999999999996</v>
      </c>
    </row>
    <row r="2282" spans="1:12" x14ac:dyDescent="0.25">
      <c r="A2282" t="s">
        <v>2098</v>
      </c>
      <c r="B2282" s="2">
        <v>45102</v>
      </c>
      <c r="C2282" s="2" t="str">
        <f>TEXT(Table3[[#This Row],[Order Date]],"mmmm")</f>
        <v>June</v>
      </c>
      <c r="D2282" t="s">
        <v>3220</v>
      </c>
      <c r="E2282" t="s">
        <v>3223</v>
      </c>
      <c r="F2282" t="s">
        <v>3226</v>
      </c>
      <c r="G2282" s="4">
        <v>55963.519999999997</v>
      </c>
      <c r="H2282" s="4">
        <v>30909.759999999998</v>
      </c>
      <c r="I2282" s="3" t="s">
        <v>3734</v>
      </c>
      <c r="J2282">
        <v>5</v>
      </c>
      <c r="K2282" s="4">
        <f>Table3[[#This Row],[Sales]]-Table3[[#This Row],[Cost]]</f>
        <v>25053.759999999998</v>
      </c>
      <c r="L2282" s="6">
        <f>Table3[[#This Row],[Profit]]/Table3[[#This Row],[Sales]]</f>
        <v>0.44768020310373613</v>
      </c>
    </row>
    <row r="2283" spans="1:12" x14ac:dyDescent="0.25">
      <c r="A2283" t="s">
        <v>789</v>
      </c>
      <c r="B2283" s="2">
        <v>45021</v>
      </c>
      <c r="C2283" s="2" t="str">
        <f>TEXT(Table3[[#This Row],[Order Date]],"mmmm")</f>
        <v>April</v>
      </c>
      <c r="D2283" t="s">
        <v>3730</v>
      </c>
      <c r="E2283" t="s">
        <v>3224</v>
      </c>
      <c r="F2283" t="s">
        <v>3226</v>
      </c>
      <c r="G2283" s="4">
        <v>102663.2</v>
      </c>
      <c r="H2283" s="4">
        <v>78278.240000000005</v>
      </c>
      <c r="I2283" s="3" t="s">
        <v>3734</v>
      </c>
      <c r="J2283">
        <v>2</v>
      </c>
      <c r="K2283" s="4">
        <f>Table3[[#This Row],[Sales]]-Table3[[#This Row],[Cost]]</f>
        <v>24384.959999999992</v>
      </c>
      <c r="L2283" s="6">
        <f>Table3[[#This Row],[Profit]]/Table3[[#This Row],[Sales]]</f>
        <v>0.23752386444217591</v>
      </c>
    </row>
    <row r="2284" spans="1:12" x14ac:dyDescent="0.25">
      <c r="A2284" t="s">
        <v>2099</v>
      </c>
      <c r="B2284" s="2">
        <v>45021</v>
      </c>
      <c r="C2284" s="2" t="str">
        <f>TEXT(Table3[[#This Row],[Order Date]],"mmmm")</f>
        <v>April</v>
      </c>
      <c r="D2284" t="s">
        <v>3731</v>
      </c>
      <c r="E2284" t="s">
        <v>3223</v>
      </c>
      <c r="F2284" t="s">
        <v>3226</v>
      </c>
      <c r="G2284" s="4">
        <v>30864.41</v>
      </c>
      <c r="H2284" s="4">
        <v>24691.528000000002</v>
      </c>
      <c r="I2284" s="3" t="s">
        <v>3735</v>
      </c>
      <c r="J2284">
        <v>3</v>
      </c>
      <c r="K2284" s="4">
        <f>Table3[[#This Row],[Sales]]-Table3[[#This Row],[Cost]]</f>
        <v>6172.8819999999978</v>
      </c>
      <c r="L2284" s="6">
        <f>Table3[[#This Row],[Profit]]/Table3[[#This Row],[Sales]]</f>
        <v>0.19999999999999993</v>
      </c>
    </row>
    <row r="2285" spans="1:12" x14ac:dyDescent="0.25">
      <c r="A2285" t="s">
        <v>1737</v>
      </c>
      <c r="B2285" s="2">
        <v>45102</v>
      </c>
      <c r="C2285" s="2" t="str">
        <f>TEXT(Table3[[#This Row],[Order Date]],"mmmm")</f>
        <v>June</v>
      </c>
      <c r="D2285" t="s">
        <v>3730</v>
      </c>
      <c r="E2285" t="s">
        <v>3225</v>
      </c>
      <c r="F2285" t="s">
        <v>3226</v>
      </c>
      <c r="G2285" s="4">
        <v>17430.07</v>
      </c>
      <c r="H2285" s="4">
        <v>13591.33</v>
      </c>
      <c r="I2285" s="3" t="s">
        <v>3734</v>
      </c>
      <c r="J2285">
        <v>1</v>
      </c>
      <c r="K2285" s="4">
        <f>Table3[[#This Row],[Sales]]-Table3[[#This Row],[Cost]]</f>
        <v>3838.74</v>
      </c>
      <c r="L2285" s="6">
        <f>Table3[[#This Row],[Profit]]/Table3[[#This Row],[Sales]]</f>
        <v>0.22023663703014387</v>
      </c>
    </row>
    <row r="2286" spans="1:12" x14ac:dyDescent="0.25">
      <c r="A2286" t="s">
        <v>3298</v>
      </c>
      <c r="B2286" s="2">
        <v>44972</v>
      </c>
      <c r="C2286" s="2" t="str">
        <f>TEXT(Table3[[#This Row],[Order Date]],"mmmm")</f>
        <v>February</v>
      </c>
      <c r="D2286" t="s">
        <v>3731</v>
      </c>
      <c r="E2286" t="s">
        <v>3225</v>
      </c>
      <c r="F2286" t="s">
        <v>3226</v>
      </c>
      <c r="G2286" s="4">
        <v>90077.61</v>
      </c>
      <c r="H2286" s="4">
        <v>59889.38</v>
      </c>
      <c r="I2286" s="3" t="s">
        <v>3734</v>
      </c>
      <c r="J2286">
        <v>5</v>
      </c>
      <c r="K2286" s="4">
        <f>Table3[[#This Row],[Sales]]-Table3[[#This Row],[Cost]]</f>
        <v>30188.230000000003</v>
      </c>
      <c r="L2286" s="6">
        <f>Table3[[#This Row],[Profit]]/Table3[[#This Row],[Sales]]</f>
        <v>0.3351357790243325</v>
      </c>
    </row>
    <row r="2287" spans="1:12" x14ac:dyDescent="0.25">
      <c r="A2287" t="s">
        <v>1408</v>
      </c>
      <c r="B2287" s="2" t="s">
        <v>3729</v>
      </c>
      <c r="C2287" s="2" t="str">
        <f>TEXT(Table3[[#This Row],[Order Date]],"mmmm")</f>
        <v>Not Mentioned</v>
      </c>
      <c r="D2287" t="s">
        <v>3730</v>
      </c>
      <c r="E2287" t="s">
        <v>3222</v>
      </c>
      <c r="F2287" t="s">
        <v>3226</v>
      </c>
      <c r="G2287" s="4">
        <v>38125.06</v>
      </c>
      <c r="H2287" s="4">
        <v>27298.81</v>
      </c>
      <c r="I2287" s="3" t="s">
        <v>3734</v>
      </c>
      <c r="J2287">
        <v>3</v>
      </c>
      <c r="K2287" s="4">
        <f>Table3[[#This Row],[Sales]]-Table3[[#This Row],[Cost]]</f>
        <v>10826.249999999996</v>
      </c>
      <c r="L2287" s="6">
        <f>Table3[[#This Row],[Profit]]/Table3[[#This Row],[Sales]]</f>
        <v>0.28396676621623668</v>
      </c>
    </row>
    <row r="2288" spans="1:12" x14ac:dyDescent="0.25">
      <c r="A2288" t="s">
        <v>2100</v>
      </c>
      <c r="B2288" s="2" t="s">
        <v>3729</v>
      </c>
      <c r="C2288" s="2" t="str">
        <f>TEXT(Table3[[#This Row],[Order Date]],"mmmm")</f>
        <v>Not Mentioned</v>
      </c>
      <c r="D2288" t="s">
        <v>3731</v>
      </c>
      <c r="E2288" t="s">
        <v>3223</v>
      </c>
      <c r="F2288" t="s">
        <v>3226</v>
      </c>
      <c r="G2288" s="4">
        <v>10173.219999999999</v>
      </c>
      <c r="H2288" s="4">
        <v>7681.54</v>
      </c>
      <c r="I2288" s="3" t="s">
        <v>3734</v>
      </c>
      <c r="J2288">
        <v>1</v>
      </c>
      <c r="K2288" s="4">
        <f>Table3[[#This Row],[Sales]]-Table3[[#This Row],[Cost]]</f>
        <v>2491.6799999999994</v>
      </c>
      <c r="L2288" s="6">
        <f>Table3[[#This Row],[Profit]]/Table3[[#This Row],[Sales]]</f>
        <v>0.24492540218337946</v>
      </c>
    </row>
    <row r="2289" spans="1:12" x14ac:dyDescent="0.25">
      <c r="A2289" t="s">
        <v>2101</v>
      </c>
      <c r="B2289" s="2">
        <v>44941</v>
      </c>
      <c r="C2289" s="2" t="str">
        <f>TEXT(Table3[[#This Row],[Order Date]],"mmmm")</f>
        <v>January</v>
      </c>
      <c r="D2289" t="s">
        <v>3730</v>
      </c>
      <c r="E2289" t="s">
        <v>3222</v>
      </c>
      <c r="F2289" t="s">
        <v>3226</v>
      </c>
      <c r="G2289" s="4">
        <v>61457.74</v>
      </c>
      <c r="H2289" s="4">
        <v>39867.769999999997</v>
      </c>
      <c r="I2289" s="3" t="s">
        <v>3734</v>
      </c>
      <c r="J2289">
        <v>4</v>
      </c>
      <c r="K2289" s="4">
        <f>Table3[[#This Row],[Sales]]-Table3[[#This Row],[Cost]]</f>
        <v>21589.97</v>
      </c>
      <c r="L2289" s="6">
        <f>Table3[[#This Row],[Profit]]/Table3[[#This Row],[Sales]]</f>
        <v>0.35129781863114395</v>
      </c>
    </row>
    <row r="2290" spans="1:12" x14ac:dyDescent="0.25">
      <c r="A2290" t="s">
        <v>2103</v>
      </c>
      <c r="B2290" s="2">
        <v>45005</v>
      </c>
      <c r="C2290" s="2" t="str">
        <f>TEXT(Table3[[#This Row],[Order Date]],"mmmm")</f>
        <v>March</v>
      </c>
      <c r="D2290" t="s">
        <v>3216</v>
      </c>
      <c r="E2290" t="s">
        <v>3222</v>
      </c>
      <c r="F2290" t="s">
        <v>3226</v>
      </c>
      <c r="G2290" s="4">
        <v>64046.46</v>
      </c>
      <c r="H2290" s="4">
        <v>38260.050000000003</v>
      </c>
      <c r="I2290" s="3" t="s">
        <v>3734</v>
      </c>
      <c r="J2290">
        <v>4</v>
      </c>
      <c r="K2290" s="4">
        <f>Table3[[#This Row],[Sales]]-Table3[[#This Row],[Cost]]</f>
        <v>25786.409999999996</v>
      </c>
      <c r="L2290" s="6">
        <f>Table3[[#This Row],[Profit]]/Table3[[#This Row],[Sales]]</f>
        <v>0.40262037901860614</v>
      </c>
    </row>
    <row r="2291" spans="1:12" x14ac:dyDescent="0.25">
      <c r="A2291" t="s">
        <v>1024</v>
      </c>
      <c r="B2291" s="2">
        <v>44941</v>
      </c>
      <c r="C2291" s="2" t="str">
        <f>TEXT(Table3[[#This Row],[Order Date]],"mmmm")</f>
        <v>January</v>
      </c>
      <c r="D2291" t="s">
        <v>3730</v>
      </c>
      <c r="E2291" t="s">
        <v>3225</v>
      </c>
      <c r="F2291" t="s">
        <v>3226</v>
      </c>
      <c r="G2291" s="4">
        <v>21910.75</v>
      </c>
      <c r="H2291" s="4">
        <v>17528.600000000002</v>
      </c>
      <c r="I2291" s="3" t="s">
        <v>3735</v>
      </c>
      <c r="J2291">
        <v>1</v>
      </c>
      <c r="K2291" s="4">
        <f>Table3[[#This Row],[Sales]]-Table3[[#This Row],[Cost]]</f>
        <v>4382.1499999999978</v>
      </c>
      <c r="L2291" s="6">
        <f>Table3[[#This Row],[Profit]]/Table3[[#This Row],[Sales]]</f>
        <v>0.1999999999999999</v>
      </c>
    </row>
    <row r="2292" spans="1:12" x14ac:dyDescent="0.25">
      <c r="A2292" t="s">
        <v>3439</v>
      </c>
      <c r="B2292" s="2">
        <v>44941</v>
      </c>
      <c r="C2292" s="2" t="str">
        <f>TEXT(Table3[[#This Row],[Order Date]],"mmmm")</f>
        <v>January</v>
      </c>
      <c r="D2292" t="s">
        <v>3216</v>
      </c>
      <c r="E2292" t="s">
        <v>3224</v>
      </c>
      <c r="F2292" t="s">
        <v>3226</v>
      </c>
      <c r="G2292" s="4">
        <v>129100.67</v>
      </c>
      <c r="H2292" s="4">
        <v>79415.600000000006</v>
      </c>
      <c r="I2292" s="3" t="s">
        <v>3734</v>
      </c>
      <c r="J2292">
        <v>2</v>
      </c>
      <c r="K2292" s="4">
        <f>Table3[[#This Row],[Sales]]-Table3[[#This Row],[Cost]]</f>
        <v>49685.069999999992</v>
      </c>
      <c r="L2292" s="6">
        <f>Table3[[#This Row],[Profit]]/Table3[[#This Row],[Sales]]</f>
        <v>0.38485524513544345</v>
      </c>
    </row>
    <row r="2293" spans="1:12" x14ac:dyDescent="0.25">
      <c r="A2293" t="s">
        <v>2104</v>
      </c>
      <c r="B2293" s="2">
        <v>44972</v>
      </c>
      <c r="C2293" s="2" t="str">
        <f>TEXT(Table3[[#This Row],[Order Date]],"mmmm")</f>
        <v>February</v>
      </c>
      <c r="D2293" t="s">
        <v>3730</v>
      </c>
      <c r="E2293" t="s">
        <v>3225</v>
      </c>
      <c r="F2293" t="s">
        <v>3226</v>
      </c>
      <c r="G2293" s="4">
        <v>43840.09</v>
      </c>
      <c r="H2293" s="4">
        <v>27371.49</v>
      </c>
      <c r="I2293" s="3" t="s">
        <v>3734</v>
      </c>
      <c r="J2293">
        <v>2</v>
      </c>
      <c r="K2293" s="4">
        <f>Table3[[#This Row],[Sales]]-Table3[[#This Row],[Cost]]</f>
        <v>16468.599999999995</v>
      </c>
      <c r="L2293" s="6">
        <f>Table3[[#This Row],[Profit]]/Table3[[#This Row],[Sales]]</f>
        <v>0.37565160108019841</v>
      </c>
    </row>
    <row r="2294" spans="1:12" x14ac:dyDescent="0.25">
      <c r="A2294" t="s">
        <v>742</v>
      </c>
      <c r="B2294" s="2">
        <v>45021</v>
      </c>
      <c r="C2294" s="2" t="str">
        <f>TEXT(Table3[[#This Row],[Order Date]],"mmmm")</f>
        <v>April</v>
      </c>
      <c r="D2294" t="s">
        <v>3730</v>
      </c>
      <c r="E2294" t="s">
        <v>3225</v>
      </c>
      <c r="F2294" t="s">
        <v>3226</v>
      </c>
      <c r="G2294" s="4">
        <v>58557.48</v>
      </c>
      <c r="H2294" s="4">
        <v>41669.4</v>
      </c>
      <c r="I2294" s="3" t="s">
        <v>3734</v>
      </c>
      <c r="J2294">
        <v>3</v>
      </c>
      <c r="K2294" s="4">
        <f>Table3[[#This Row],[Sales]]-Table3[[#This Row],[Cost]]</f>
        <v>16888.080000000002</v>
      </c>
      <c r="L2294" s="6">
        <f>Table3[[#This Row],[Profit]]/Table3[[#This Row],[Sales]]</f>
        <v>0.28840175499355508</v>
      </c>
    </row>
    <row r="2295" spans="1:12" x14ac:dyDescent="0.25">
      <c r="A2295" t="s">
        <v>1140</v>
      </c>
      <c r="B2295" s="2">
        <v>45102</v>
      </c>
      <c r="C2295" s="2" t="str">
        <f>TEXT(Table3[[#This Row],[Order Date]],"mmmm")</f>
        <v>June</v>
      </c>
      <c r="D2295" t="s">
        <v>3216</v>
      </c>
      <c r="E2295" t="s">
        <v>3224</v>
      </c>
      <c r="F2295" t="s">
        <v>3226</v>
      </c>
      <c r="G2295" s="4">
        <v>227019.25</v>
      </c>
      <c r="H2295" s="4">
        <v>178231.4</v>
      </c>
      <c r="I2295" s="3" t="s">
        <v>3734</v>
      </c>
      <c r="J2295">
        <v>4</v>
      </c>
      <c r="K2295" s="4">
        <f>Table3[[#This Row],[Sales]]-Table3[[#This Row],[Cost]]</f>
        <v>48787.850000000006</v>
      </c>
      <c r="L2295" s="6">
        <f>Table3[[#This Row],[Profit]]/Table3[[#This Row],[Sales]]</f>
        <v>0.21490622491264511</v>
      </c>
    </row>
    <row r="2296" spans="1:12" x14ac:dyDescent="0.25">
      <c r="A2296" t="s">
        <v>1770</v>
      </c>
      <c r="B2296" s="2">
        <v>45102</v>
      </c>
      <c r="C2296" s="2" t="str">
        <f>TEXT(Table3[[#This Row],[Order Date]],"mmmm")</f>
        <v>June</v>
      </c>
      <c r="D2296" t="s">
        <v>3731</v>
      </c>
      <c r="E2296" t="s">
        <v>3222</v>
      </c>
      <c r="F2296" t="s">
        <v>3226</v>
      </c>
      <c r="G2296" s="4">
        <v>17980.87</v>
      </c>
      <c r="H2296" s="4">
        <v>14384.696</v>
      </c>
      <c r="I2296" s="3" t="s">
        <v>3735</v>
      </c>
      <c r="J2296">
        <v>1</v>
      </c>
      <c r="K2296" s="4">
        <f>Table3[[#This Row],[Sales]]-Table3[[#This Row],[Cost]]</f>
        <v>3596.1739999999991</v>
      </c>
      <c r="L2296" s="6">
        <f>Table3[[#This Row],[Profit]]/Table3[[#This Row],[Sales]]</f>
        <v>0.19999999999999996</v>
      </c>
    </row>
    <row r="2297" spans="1:12" x14ac:dyDescent="0.25">
      <c r="A2297" t="s">
        <v>2105</v>
      </c>
      <c r="B2297" s="2">
        <v>44972</v>
      </c>
      <c r="C2297" s="2" t="str">
        <f>TEXT(Table3[[#This Row],[Order Date]],"mmmm")</f>
        <v>February</v>
      </c>
      <c r="D2297" t="s">
        <v>3731</v>
      </c>
      <c r="E2297" t="s">
        <v>3222</v>
      </c>
      <c r="F2297" t="s">
        <v>3226</v>
      </c>
      <c r="G2297" s="4">
        <v>44282.29</v>
      </c>
      <c r="H2297" s="4">
        <v>26118.79</v>
      </c>
      <c r="I2297" s="3" t="s">
        <v>3734</v>
      </c>
      <c r="J2297">
        <v>3</v>
      </c>
      <c r="K2297" s="4">
        <f>Table3[[#This Row],[Sales]]-Table3[[#This Row],[Cost]]</f>
        <v>18163.5</v>
      </c>
      <c r="L2297" s="6">
        <f>Table3[[#This Row],[Profit]]/Table3[[#This Row],[Sales]]</f>
        <v>0.41017526419704131</v>
      </c>
    </row>
    <row r="2298" spans="1:12" x14ac:dyDescent="0.25">
      <c r="A2298" t="s">
        <v>2106</v>
      </c>
      <c r="B2298" s="2">
        <v>44972</v>
      </c>
      <c r="C2298" s="2" t="str">
        <f>TEXT(Table3[[#This Row],[Order Date]],"mmmm")</f>
        <v>February</v>
      </c>
      <c r="D2298" t="s">
        <v>3216</v>
      </c>
      <c r="E2298" t="s">
        <v>3225</v>
      </c>
      <c r="F2298" t="s">
        <v>3226</v>
      </c>
      <c r="G2298" s="4">
        <v>38291.83</v>
      </c>
      <c r="H2298" s="4">
        <v>29523.27</v>
      </c>
      <c r="I2298" s="3" t="s">
        <v>3734</v>
      </c>
      <c r="J2298">
        <v>2</v>
      </c>
      <c r="K2298" s="4">
        <f>Table3[[#This Row],[Sales]]-Table3[[#This Row],[Cost]]</f>
        <v>8768.5600000000013</v>
      </c>
      <c r="L2298" s="6">
        <f>Table3[[#This Row],[Profit]]/Table3[[#This Row],[Sales]]</f>
        <v>0.22899297317469552</v>
      </c>
    </row>
    <row r="2299" spans="1:12" x14ac:dyDescent="0.25">
      <c r="A2299" t="s">
        <v>2107</v>
      </c>
      <c r="B2299" s="2" t="s">
        <v>3729</v>
      </c>
      <c r="C2299" s="2" t="str">
        <f>TEXT(Table3[[#This Row],[Order Date]],"mmmm")</f>
        <v>Not Mentioned</v>
      </c>
      <c r="D2299" t="s">
        <v>3216</v>
      </c>
      <c r="E2299" t="s">
        <v>3224</v>
      </c>
      <c r="F2299" t="s">
        <v>3226</v>
      </c>
      <c r="G2299" s="4">
        <v>298512.09999999998</v>
      </c>
      <c r="H2299" s="4">
        <v>204649.54</v>
      </c>
      <c r="I2299" s="3" t="s">
        <v>3734</v>
      </c>
      <c r="J2299">
        <v>5</v>
      </c>
      <c r="K2299" s="4">
        <f>Table3[[#This Row],[Sales]]-Table3[[#This Row],[Cost]]</f>
        <v>93862.559999999969</v>
      </c>
      <c r="L2299" s="6">
        <f>Table3[[#This Row],[Profit]]/Table3[[#This Row],[Sales]]</f>
        <v>0.31443469125707124</v>
      </c>
    </row>
    <row r="2300" spans="1:12" x14ac:dyDescent="0.25">
      <c r="A2300" t="s">
        <v>2108</v>
      </c>
      <c r="B2300" s="2">
        <v>44941</v>
      </c>
      <c r="C2300" s="2" t="str">
        <f>TEXT(Table3[[#This Row],[Order Date]],"mmmm")</f>
        <v>January</v>
      </c>
      <c r="D2300" t="s">
        <v>3220</v>
      </c>
      <c r="E2300" t="s">
        <v>3224</v>
      </c>
      <c r="F2300" t="s">
        <v>3226</v>
      </c>
      <c r="G2300" s="4">
        <v>173754.07</v>
      </c>
      <c r="H2300" s="4">
        <v>131330.46</v>
      </c>
      <c r="I2300" s="3" t="s">
        <v>3734</v>
      </c>
      <c r="J2300">
        <v>3</v>
      </c>
      <c r="K2300" s="4">
        <f>Table3[[#This Row],[Sales]]-Table3[[#This Row],[Cost]]</f>
        <v>42423.610000000015</v>
      </c>
      <c r="L2300" s="6">
        <f>Table3[[#This Row],[Profit]]/Table3[[#This Row],[Sales]]</f>
        <v>0.24415894257901419</v>
      </c>
    </row>
    <row r="2301" spans="1:12" x14ac:dyDescent="0.25">
      <c r="A2301" t="s">
        <v>2109</v>
      </c>
      <c r="B2301" s="2">
        <v>44972</v>
      </c>
      <c r="C2301" s="2" t="str">
        <f>TEXT(Table3[[#This Row],[Order Date]],"mmmm")</f>
        <v>February</v>
      </c>
      <c r="D2301" t="s">
        <v>3731</v>
      </c>
      <c r="E2301" t="s">
        <v>3225</v>
      </c>
      <c r="F2301" t="s">
        <v>3226</v>
      </c>
      <c r="G2301" s="4">
        <v>85220.12</v>
      </c>
      <c r="H2301" s="4">
        <v>58762.400000000001</v>
      </c>
      <c r="I2301" s="3" t="s">
        <v>3734</v>
      </c>
      <c r="J2301">
        <v>4</v>
      </c>
      <c r="K2301" s="4">
        <f>Table3[[#This Row],[Sales]]-Table3[[#This Row],[Cost]]</f>
        <v>26457.719999999994</v>
      </c>
      <c r="L2301" s="6">
        <f>Table3[[#This Row],[Profit]]/Table3[[#This Row],[Sales]]</f>
        <v>0.3104633037362538</v>
      </c>
    </row>
    <row r="2302" spans="1:12" x14ac:dyDescent="0.25">
      <c r="A2302" t="s">
        <v>340</v>
      </c>
      <c r="B2302" s="2">
        <v>45102</v>
      </c>
      <c r="C2302" s="2" t="str">
        <f>TEXT(Table3[[#This Row],[Order Date]],"mmmm")</f>
        <v>June</v>
      </c>
      <c r="D2302" t="s">
        <v>3730</v>
      </c>
      <c r="E2302" t="s">
        <v>3222</v>
      </c>
      <c r="F2302" t="s">
        <v>3226</v>
      </c>
      <c r="G2302" s="4">
        <v>51372.28</v>
      </c>
      <c r="H2302" s="4">
        <v>32689.15</v>
      </c>
      <c r="I2302" s="3" t="s">
        <v>3734</v>
      </c>
      <c r="J2302">
        <v>3</v>
      </c>
      <c r="K2302" s="4">
        <f>Table3[[#This Row],[Sales]]-Table3[[#This Row],[Cost]]</f>
        <v>18683.129999999997</v>
      </c>
      <c r="L2302" s="6">
        <f>Table3[[#This Row],[Profit]]/Table3[[#This Row],[Sales]]</f>
        <v>0.36368115255931793</v>
      </c>
    </row>
    <row r="2303" spans="1:12" x14ac:dyDescent="0.25">
      <c r="A2303" t="s">
        <v>2110</v>
      </c>
      <c r="B2303" s="2">
        <v>45005</v>
      </c>
      <c r="C2303" s="2" t="str">
        <f>TEXT(Table3[[#This Row],[Order Date]],"mmmm")</f>
        <v>March</v>
      </c>
      <c r="D2303" t="s">
        <v>3730</v>
      </c>
      <c r="E2303" t="s">
        <v>3222</v>
      </c>
      <c r="F2303" t="s">
        <v>3226</v>
      </c>
      <c r="G2303" s="4">
        <v>51118.35</v>
      </c>
      <c r="H2303" s="4">
        <v>27272.73</v>
      </c>
      <c r="I2303" s="3" t="s">
        <v>3734</v>
      </c>
      <c r="J2303">
        <v>3</v>
      </c>
      <c r="K2303" s="4">
        <f>Table3[[#This Row],[Sales]]-Table3[[#This Row],[Cost]]</f>
        <v>23845.62</v>
      </c>
      <c r="L2303" s="6">
        <f>Table3[[#This Row],[Profit]]/Table3[[#This Row],[Sales]]</f>
        <v>0.46647867155336586</v>
      </c>
    </row>
    <row r="2304" spans="1:12" x14ac:dyDescent="0.25">
      <c r="A2304" t="s">
        <v>2111</v>
      </c>
      <c r="B2304" s="2">
        <v>45102</v>
      </c>
      <c r="C2304" s="2" t="str">
        <f>TEXT(Table3[[#This Row],[Order Date]],"mmmm")</f>
        <v>June</v>
      </c>
      <c r="D2304" t="s">
        <v>3220</v>
      </c>
      <c r="E2304" t="s">
        <v>3225</v>
      </c>
      <c r="F2304" t="s">
        <v>3226</v>
      </c>
      <c r="G2304" s="4">
        <v>64181.77</v>
      </c>
      <c r="H2304" s="4">
        <v>37100.769999999997</v>
      </c>
      <c r="I2304" s="3" t="s">
        <v>3734</v>
      </c>
      <c r="J2304">
        <v>3</v>
      </c>
      <c r="K2304" s="4">
        <f>Table3[[#This Row],[Sales]]-Table3[[#This Row],[Cost]]</f>
        <v>27081</v>
      </c>
      <c r="L2304" s="6">
        <f>Table3[[#This Row],[Profit]]/Table3[[#This Row],[Sales]]</f>
        <v>0.42194224310111739</v>
      </c>
    </row>
    <row r="2305" spans="1:12" x14ac:dyDescent="0.25">
      <c r="A2305" t="s">
        <v>3588</v>
      </c>
      <c r="B2305" s="2">
        <v>45005</v>
      </c>
      <c r="C2305" s="2" t="str">
        <f>TEXT(Table3[[#This Row],[Order Date]],"mmmm")</f>
        <v>March</v>
      </c>
      <c r="D2305" t="s">
        <v>3731</v>
      </c>
      <c r="E2305" t="s">
        <v>3224</v>
      </c>
      <c r="F2305" t="s">
        <v>3226</v>
      </c>
      <c r="G2305" s="4">
        <v>205574.1</v>
      </c>
      <c r="H2305" s="4">
        <v>134229.73000000001</v>
      </c>
      <c r="I2305" s="3" t="s">
        <v>3734</v>
      </c>
      <c r="J2305">
        <v>3</v>
      </c>
      <c r="K2305" s="4">
        <f>Table3[[#This Row],[Sales]]-Table3[[#This Row],[Cost]]</f>
        <v>71344.37</v>
      </c>
      <c r="L2305" s="6">
        <f>Table3[[#This Row],[Profit]]/Table3[[#This Row],[Sales]]</f>
        <v>0.34704940943435963</v>
      </c>
    </row>
    <row r="2306" spans="1:12" x14ac:dyDescent="0.25">
      <c r="A2306" t="s">
        <v>2113</v>
      </c>
      <c r="B2306" s="2">
        <v>45021</v>
      </c>
      <c r="C2306" s="2" t="str">
        <f>TEXT(Table3[[#This Row],[Order Date]],"mmmm")</f>
        <v>April</v>
      </c>
      <c r="D2306" t="s">
        <v>3216</v>
      </c>
      <c r="E2306" t="s">
        <v>3222</v>
      </c>
      <c r="F2306" t="s">
        <v>3226</v>
      </c>
      <c r="G2306" s="4">
        <v>53422.98</v>
      </c>
      <c r="H2306" s="4">
        <v>37496.01</v>
      </c>
      <c r="I2306" s="3" t="s">
        <v>3734</v>
      </c>
      <c r="J2306">
        <v>4</v>
      </c>
      <c r="K2306" s="4">
        <f>Table3[[#This Row],[Sales]]-Table3[[#This Row],[Cost]]</f>
        <v>15926.970000000001</v>
      </c>
      <c r="L2306" s="6">
        <f>Table3[[#This Row],[Profit]]/Table3[[#This Row],[Sales]]</f>
        <v>0.29812956896077308</v>
      </c>
    </row>
    <row r="2307" spans="1:12" x14ac:dyDescent="0.25">
      <c r="A2307" t="s">
        <v>2114</v>
      </c>
      <c r="B2307" s="2">
        <v>44972</v>
      </c>
      <c r="C2307" s="2" t="str">
        <f>TEXT(Table3[[#This Row],[Order Date]],"mmmm")</f>
        <v>February</v>
      </c>
      <c r="D2307" t="s">
        <v>3216</v>
      </c>
      <c r="E2307" t="s">
        <v>3222</v>
      </c>
      <c r="F2307" t="s">
        <v>3226</v>
      </c>
      <c r="G2307" s="4">
        <v>13605.34</v>
      </c>
      <c r="H2307" s="4">
        <v>8831.23</v>
      </c>
      <c r="I2307" s="3" t="s">
        <v>3734</v>
      </c>
      <c r="J2307">
        <v>1</v>
      </c>
      <c r="K2307" s="4">
        <f>Table3[[#This Row],[Sales]]-Table3[[#This Row],[Cost]]</f>
        <v>4774.1100000000006</v>
      </c>
      <c r="L2307" s="6">
        <f>Table3[[#This Row],[Profit]]/Table3[[#This Row],[Sales]]</f>
        <v>0.35089972025689919</v>
      </c>
    </row>
    <row r="2308" spans="1:12" x14ac:dyDescent="0.25">
      <c r="A2308" t="s">
        <v>2115</v>
      </c>
      <c r="B2308" s="2" t="s">
        <v>3729</v>
      </c>
      <c r="C2308" s="2" t="str">
        <f>TEXT(Table3[[#This Row],[Order Date]],"mmmm")</f>
        <v>Not Mentioned</v>
      </c>
      <c r="D2308" t="s">
        <v>3730</v>
      </c>
      <c r="E2308" t="s">
        <v>3222</v>
      </c>
      <c r="F2308" t="s">
        <v>3226</v>
      </c>
      <c r="G2308" s="4">
        <v>60590.91</v>
      </c>
      <c r="H2308" s="4">
        <v>37735.25</v>
      </c>
      <c r="I2308" s="3" t="s">
        <v>3734</v>
      </c>
      <c r="J2308">
        <v>4</v>
      </c>
      <c r="K2308" s="4">
        <f>Table3[[#This Row],[Sales]]-Table3[[#This Row],[Cost]]</f>
        <v>22855.660000000003</v>
      </c>
      <c r="L2308" s="6">
        <f>Table3[[#This Row],[Profit]]/Table3[[#This Row],[Sales]]</f>
        <v>0.37721268751368814</v>
      </c>
    </row>
    <row r="2309" spans="1:12" x14ac:dyDescent="0.25">
      <c r="A2309" t="s">
        <v>2116</v>
      </c>
      <c r="B2309" s="2" t="s">
        <v>3729</v>
      </c>
      <c r="C2309" s="2" t="str">
        <f>TEXT(Table3[[#This Row],[Order Date]],"mmmm")</f>
        <v>Not Mentioned</v>
      </c>
      <c r="D2309" t="s">
        <v>3730</v>
      </c>
      <c r="E2309" t="s">
        <v>3223</v>
      </c>
      <c r="F2309" t="s">
        <v>3226</v>
      </c>
      <c r="G2309" s="4">
        <v>35142.5</v>
      </c>
      <c r="H2309" s="4">
        <v>19353.939999999999</v>
      </c>
      <c r="I2309" s="3" t="s">
        <v>3734</v>
      </c>
      <c r="J2309">
        <v>3</v>
      </c>
      <c r="K2309" s="4">
        <f>Table3[[#This Row],[Sales]]-Table3[[#This Row],[Cost]]</f>
        <v>15788.560000000001</v>
      </c>
      <c r="L2309" s="6">
        <f>Table3[[#This Row],[Profit]]/Table3[[#This Row],[Sales]]</f>
        <v>0.44927253325745187</v>
      </c>
    </row>
    <row r="2310" spans="1:12" x14ac:dyDescent="0.25">
      <c r="A2310" t="s">
        <v>2117</v>
      </c>
      <c r="B2310" s="2" t="s">
        <v>3729</v>
      </c>
      <c r="C2310" s="2" t="str">
        <f>TEXT(Table3[[#This Row],[Order Date]],"mmmm")</f>
        <v>Not Mentioned</v>
      </c>
      <c r="D2310" t="s">
        <v>3216</v>
      </c>
      <c r="E2310" t="s">
        <v>3223</v>
      </c>
      <c r="F2310" t="s">
        <v>3226</v>
      </c>
      <c r="G2310" s="4">
        <v>9723.75</v>
      </c>
      <c r="H2310" s="4">
        <v>7673.22</v>
      </c>
      <c r="I2310" s="3" t="s">
        <v>3734</v>
      </c>
      <c r="J2310">
        <v>1</v>
      </c>
      <c r="K2310" s="4">
        <f>Table3[[#This Row],[Sales]]-Table3[[#This Row],[Cost]]</f>
        <v>2050.5299999999997</v>
      </c>
      <c r="L2310" s="6">
        <f>Table3[[#This Row],[Profit]]/Table3[[#This Row],[Sales]]</f>
        <v>0.21087851908985727</v>
      </c>
    </row>
    <row r="2311" spans="1:12" x14ac:dyDescent="0.25">
      <c r="A2311" t="s">
        <v>2118</v>
      </c>
      <c r="B2311" s="2" t="s">
        <v>3729</v>
      </c>
      <c r="C2311" s="2" t="str">
        <f>TEXT(Table3[[#This Row],[Order Date]],"mmmm")</f>
        <v>Not Mentioned</v>
      </c>
      <c r="D2311" t="s">
        <v>3731</v>
      </c>
      <c r="E2311" t="s">
        <v>3223</v>
      </c>
      <c r="F2311" t="s">
        <v>3226</v>
      </c>
      <c r="G2311" s="4">
        <v>44417.51</v>
      </c>
      <c r="H2311" s="4">
        <v>24270.23</v>
      </c>
      <c r="I2311" s="3" t="s">
        <v>3734</v>
      </c>
      <c r="J2311">
        <v>4</v>
      </c>
      <c r="K2311" s="4">
        <f>Table3[[#This Row],[Sales]]-Table3[[#This Row],[Cost]]</f>
        <v>20147.280000000002</v>
      </c>
      <c r="L2311" s="6">
        <f>Table3[[#This Row],[Profit]]/Table3[[#This Row],[Sales]]</f>
        <v>0.45358868608348379</v>
      </c>
    </row>
    <row r="2312" spans="1:12" x14ac:dyDescent="0.25">
      <c r="A2312" t="s">
        <v>41</v>
      </c>
      <c r="B2312" s="2">
        <v>44972</v>
      </c>
      <c r="C2312" s="2" t="str">
        <f>TEXT(Table3[[#This Row],[Order Date]],"mmmm")</f>
        <v>February</v>
      </c>
      <c r="D2312" t="s">
        <v>3731</v>
      </c>
      <c r="E2312" t="s">
        <v>3225</v>
      </c>
      <c r="F2312" t="s">
        <v>3226</v>
      </c>
      <c r="G2312" s="4">
        <v>23121.31</v>
      </c>
      <c r="H2312" s="4">
        <v>13030.08</v>
      </c>
      <c r="I2312" s="3" t="s">
        <v>3734</v>
      </c>
      <c r="J2312">
        <v>1</v>
      </c>
      <c r="K2312" s="4">
        <f>Table3[[#This Row],[Sales]]-Table3[[#This Row],[Cost]]</f>
        <v>10091.230000000001</v>
      </c>
      <c r="L2312" s="6">
        <f>Table3[[#This Row],[Profit]]/Table3[[#This Row],[Sales]]</f>
        <v>0.43644715632462006</v>
      </c>
    </row>
    <row r="2313" spans="1:12" x14ac:dyDescent="0.25">
      <c r="A2313" t="s">
        <v>880</v>
      </c>
      <c r="B2313" s="2">
        <v>45021</v>
      </c>
      <c r="C2313" s="2" t="str">
        <f>TEXT(Table3[[#This Row],[Order Date]],"mmmm")</f>
        <v>April</v>
      </c>
      <c r="D2313" t="s">
        <v>3220</v>
      </c>
      <c r="E2313" t="s">
        <v>3224</v>
      </c>
      <c r="F2313" t="s">
        <v>3226</v>
      </c>
      <c r="G2313" s="4">
        <v>296780.78999999998</v>
      </c>
      <c r="H2313" s="4">
        <v>239478.2</v>
      </c>
      <c r="I2313" s="3" t="s">
        <v>3734</v>
      </c>
      <c r="J2313">
        <v>5</v>
      </c>
      <c r="K2313" s="4">
        <f>Table3[[#This Row],[Sales]]-Table3[[#This Row],[Cost]]</f>
        <v>57302.589999999967</v>
      </c>
      <c r="L2313" s="6">
        <f>Table3[[#This Row],[Profit]]/Table3[[#This Row],[Sales]]</f>
        <v>0.19308052249608196</v>
      </c>
    </row>
    <row r="2314" spans="1:12" x14ac:dyDescent="0.25">
      <c r="A2314" t="s">
        <v>2119</v>
      </c>
      <c r="B2314" s="2">
        <v>45021</v>
      </c>
      <c r="C2314" s="2" t="str">
        <f>TEXT(Table3[[#This Row],[Order Date]],"mmmm")</f>
        <v>April</v>
      </c>
      <c r="D2314" t="s">
        <v>3220</v>
      </c>
      <c r="E2314" t="s">
        <v>3225</v>
      </c>
      <c r="F2314" t="s">
        <v>3226</v>
      </c>
      <c r="G2314" s="4">
        <v>42255.91</v>
      </c>
      <c r="H2314" s="4">
        <v>23814.57</v>
      </c>
      <c r="I2314" s="3" t="s">
        <v>3734</v>
      </c>
      <c r="J2314">
        <v>2</v>
      </c>
      <c r="K2314" s="4">
        <f>Table3[[#This Row],[Sales]]-Table3[[#This Row],[Cost]]</f>
        <v>18441.340000000004</v>
      </c>
      <c r="L2314" s="6">
        <f>Table3[[#This Row],[Profit]]/Table3[[#This Row],[Sales]]</f>
        <v>0.43642037291351676</v>
      </c>
    </row>
    <row r="2315" spans="1:12" x14ac:dyDescent="0.25">
      <c r="A2315" t="s">
        <v>2120</v>
      </c>
      <c r="B2315" s="2">
        <v>44972</v>
      </c>
      <c r="C2315" s="2" t="str">
        <f>TEXT(Table3[[#This Row],[Order Date]],"mmmm")</f>
        <v>February</v>
      </c>
      <c r="D2315" t="s">
        <v>3730</v>
      </c>
      <c r="E2315" t="s">
        <v>3222</v>
      </c>
      <c r="F2315" t="s">
        <v>3226</v>
      </c>
      <c r="G2315" s="4">
        <v>34436.239999999998</v>
      </c>
      <c r="H2315" s="4">
        <v>20361.37</v>
      </c>
      <c r="I2315" s="3" t="s">
        <v>3734</v>
      </c>
      <c r="J2315">
        <v>2</v>
      </c>
      <c r="K2315" s="4">
        <f>Table3[[#This Row],[Sales]]-Table3[[#This Row],[Cost]]</f>
        <v>14074.869999999999</v>
      </c>
      <c r="L2315" s="6">
        <f>Table3[[#This Row],[Profit]]/Table3[[#This Row],[Sales]]</f>
        <v>0.40872261315404934</v>
      </c>
    </row>
    <row r="2316" spans="1:12" x14ac:dyDescent="0.25">
      <c r="A2316" t="s">
        <v>435</v>
      </c>
      <c r="B2316" s="2">
        <v>44972</v>
      </c>
      <c r="C2316" s="2" t="str">
        <f>TEXT(Table3[[#This Row],[Order Date]],"mmmm")</f>
        <v>February</v>
      </c>
      <c r="D2316" t="s">
        <v>3220</v>
      </c>
      <c r="E2316" t="s">
        <v>3223</v>
      </c>
      <c r="F2316" t="s">
        <v>3226</v>
      </c>
      <c r="G2316" s="4">
        <v>29397.88</v>
      </c>
      <c r="H2316" s="4">
        <v>22298.59</v>
      </c>
      <c r="I2316" s="3" t="s">
        <v>3734</v>
      </c>
      <c r="J2316">
        <v>3</v>
      </c>
      <c r="K2316" s="4">
        <f>Table3[[#This Row],[Sales]]-Table3[[#This Row],[Cost]]</f>
        <v>7099.2900000000009</v>
      </c>
      <c r="L2316" s="6">
        <f>Table3[[#This Row],[Profit]]/Table3[[#This Row],[Sales]]</f>
        <v>0.24148986253430521</v>
      </c>
    </row>
    <row r="2317" spans="1:12" x14ac:dyDescent="0.25">
      <c r="A2317" t="s">
        <v>2121</v>
      </c>
      <c r="B2317" s="2" t="s">
        <v>3729</v>
      </c>
      <c r="C2317" s="2" t="str">
        <f>TEXT(Table3[[#This Row],[Order Date]],"mmmm")</f>
        <v>Not Mentioned</v>
      </c>
      <c r="D2317" t="s">
        <v>3730</v>
      </c>
      <c r="E2317" t="s">
        <v>3224</v>
      </c>
      <c r="F2317" t="s">
        <v>3226</v>
      </c>
      <c r="G2317" s="4">
        <v>115339.66</v>
      </c>
      <c r="H2317" s="4">
        <v>84896.63</v>
      </c>
      <c r="I2317" s="3" t="s">
        <v>3734</v>
      </c>
      <c r="J2317">
        <v>2</v>
      </c>
      <c r="K2317" s="4">
        <f>Table3[[#This Row],[Sales]]-Table3[[#This Row],[Cost]]</f>
        <v>30443.03</v>
      </c>
      <c r="L2317" s="6">
        <f>Table3[[#This Row],[Profit]]/Table3[[#This Row],[Sales]]</f>
        <v>0.26394242882283508</v>
      </c>
    </row>
    <row r="2318" spans="1:12" x14ac:dyDescent="0.25">
      <c r="A2318" t="s">
        <v>2122</v>
      </c>
      <c r="B2318" s="2">
        <v>44941</v>
      </c>
      <c r="C2318" s="2" t="str">
        <f>TEXT(Table3[[#This Row],[Order Date]],"mmmm")</f>
        <v>January</v>
      </c>
      <c r="D2318" t="s">
        <v>3220</v>
      </c>
      <c r="E2318" t="s">
        <v>3224</v>
      </c>
      <c r="F2318" t="s">
        <v>3226</v>
      </c>
      <c r="G2318" s="4">
        <v>166877.53</v>
      </c>
      <c r="H2318" s="4">
        <v>134390.07</v>
      </c>
      <c r="I2318" s="3" t="s">
        <v>3734</v>
      </c>
      <c r="J2318">
        <v>3</v>
      </c>
      <c r="K2318" s="4">
        <f>Table3[[#This Row],[Sales]]-Table3[[#This Row],[Cost]]</f>
        <v>32487.459999999992</v>
      </c>
      <c r="L2318" s="6">
        <f>Table3[[#This Row],[Profit]]/Table3[[#This Row],[Sales]]</f>
        <v>0.19467845671013942</v>
      </c>
    </row>
    <row r="2319" spans="1:12" x14ac:dyDescent="0.25">
      <c r="A2319" t="s">
        <v>2123</v>
      </c>
      <c r="B2319" s="2">
        <v>44941</v>
      </c>
      <c r="C2319" s="2" t="str">
        <f>TEXT(Table3[[#This Row],[Order Date]],"mmmm")</f>
        <v>January</v>
      </c>
      <c r="D2319" t="s">
        <v>3730</v>
      </c>
      <c r="E2319" t="s">
        <v>3224</v>
      </c>
      <c r="F2319" t="s">
        <v>3226</v>
      </c>
      <c r="G2319" s="4">
        <v>140243.65</v>
      </c>
      <c r="H2319" s="4">
        <v>76785.460000000006</v>
      </c>
      <c r="I2319" s="3" t="s">
        <v>3734</v>
      </c>
      <c r="J2319">
        <v>2</v>
      </c>
      <c r="K2319" s="4">
        <f>Table3[[#This Row],[Sales]]-Table3[[#This Row],[Cost]]</f>
        <v>63458.189999999988</v>
      </c>
      <c r="L2319" s="6">
        <f>Table3[[#This Row],[Profit]]/Table3[[#This Row],[Sales]]</f>
        <v>0.45248529969093065</v>
      </c>
    </row>
    <row r="2320" spans="1:12" x14ac:dyDescent="0.25">
      <c r="A2320" t="s">
        <v>3366</v>
      </c>
      <c r="B2320" s="2" t="s">
        <v>3729</v>
      </c>
      <c r="C2320" s="2" t="str">
        <f>TEXT(Table3[[#This Row],[Order Date]],"mmmm")</f>
        <v>Not Mentioned</v>
      </c>
      <c r="D2320" t="s">
        <v>3730</v>
      </c>
      <c r="E2320" t="s">
        <v>3225</v>
      </c>
      <c r="F2320" t="s">
        <v>3226</v>
      </c>
      <c r="G2320" s="4">
        <v>96572.54</v>
      </c>
      <c r="H2320" s="4">
        <v>62084.35</v>
      </c>
      <c r="I2320" s="3" t="s">
        <v>3734</v>
      </c>
      <c r="J2320">
        <v>5</v>
      </c>
      <c r="K2320" s="4">
        <f>Table3[[#This Row],[Sales]]-Table3[[#This Row],[Cost]]</f>
        <v>34488.189999999995</v>
      </c>
      <c r="L2320" s="6">
        <f>Table3[[#This Row],[Profit]]/Table3[[#This Row],[Sales]]</f>
        <v>0.35712211773657393</v>
      </c>
    </row>
    <row r="2321" spans="1:12" x14ac:dyDescent="0.25">
      <c r="A2321" t="s">
        <v>2124</v>
      </c>
      <c r="B2321" s="2">
        <v>45021</v>
      </c>
      <c r="C2321" s="2" t="str">
        <f>TEXT(Table3[[#This Row],[Order Date]],"mmmm")</f>
        <v>April</v>
      </c>
      <c r="D2321" t="s">
        <v>3730</v>
      </c>
      <c r="E2321" t="s">
        <v>3224</v>
      </c>
      <c r="F2321" t="s">
        <v>3226</v>
      </c>
      <c r="G2321" s="4">
        <v>243940.92</v>
      </c>
      <c r="H2321" s="4">
        <v>166222.93</v>
      </c>
      <c r="I2321" s="3" t="s">
        <v>3734</v>
      </c>
      <c r="J2321">
        <v>4</v>
      </c>
      <c r="K2321" s="4">
        <f>Table3[[#This Row],[Sales]]-Table3[[#This Row],[Cost]]</f>
        <v>77717.99000000002</v>
      </c>
      <c r="L2321" s="6">
        <f>Table3[[#This Row],[Profit]]/Table3[[#This Row],[Sales]]</f>
        <v>0.31859349386728564</v>
      </c>
    </row>
    <row r="2322" spans="1:12" x14ac:dyDescent="0.25">
      <c r="A2322" t="s">
        <v>43</v>
      </c>
      <c r="B2322" s="2" t="s">
        <v>3729</v>
      </c>
      <c r="C2322" s="2" t="str">
        <f>TEXT(Table3[[#This Row],[Order Date]],"mmmm")</f>
        <v>Not Mentioned</v>
      </c>
      <c r="D2322" t="s">
        <v>3220</v>
      </c>
      <c r="E2322" t="s">
        <v>3224</v>
      </c>
      <c r="F2322" t="s">
        <v>3226</v>
      </c>
      <c r="G2322" s="4">
        <v>146451.56</v>
      </c>
      <c r="H2322" s="4">
        <v>125594.4</v>
      </c>
      <c r="I2322" s="3" t="s">
        <v>3734</v>
      </c>
      <c r="J2322">
        <v>3</v>
      </c>
      <c r="K2322" s="4">
        <f>Table3[[#This Row],[Sales]]-Table3[[#This Row],[Cost]]</f>
        <v>20857.160000000003</v>
      </c>
      <c r="L2322" s="6">
        <f>Table3[[#This Row],[Profit]]/Table3[[#This Row],[Sales]]</f>
        <v>0.14241678272324312</v>
      </c>
    </row>
    <row r="2323" spans="1:12" x14ac:dyDescent="0.25">
      <c r="A2323" t="s">
        <v>2125</v>
      </c>
      <c r="B2323" s="2">
        <v>45005</v>
      </c>
      <c r="C2323" s="2" t="str">
        <f>TEXT(Table3[[#This Row],[Order Date]],"mmmm")</f>
        <v>March</v>
      </c>
      <c r="D2323" t="s">
        <v>3216</v>
      </c>
      <c r="E2323" t="s">
        <v>3222</v>
      </c>
      <c r="F2323" t="s">
        <v>3226</v>
      </c>
      <c r="G2323" s="4">
        <v>17275.439999999999</v>
      </c>
      <c r="H2323" s="4">
        <v>9617.75</v>
      </c>
      <c r="I2323" s="3" t="s">
        <v>3734</v>
      </c>
      <c r="J2323">
        <v>1</v>
      </c>
      <c r="K2323" s="4">
        <f>Table3[[#This Row],[Sales]]-Table3[[#This Row],[Cost]]</f>
        <v>7657.6899999999987</v>
      </c>
      <c r="L2323" s="6">
        <f>Table3[[#This Row],[Profit]]/Table3[[#This Row],[Sales]]</f>
        <v>0.44327033059649995</v>
      </c>
    </row>
    <row r="2324" spans="1:12" x14ac:dyDescent="0.25">
      <c r="A2324" t="s">
        <v>2126</v>
      </c>
      <c r="B2324" s="2" t="s">
        <v>3729</v>
      </c>
      <c r="C2324" s="2" t="str">
        <f>TEXT(Table3[[#This Row],[Order Date]],"mmmm")</f>
        <v>Not Mentioned</v>
      </c>
      <c r="D2324" t="s">
        <v>3730</v>
      </c>
      <c r="E2324" t="s">
        <v>3223</v>
      </c>
      <c r="F2324" t="s">
        <v>3226</v>
      </c>
      <c r="G2324" s="4">
        <v>52534.400000000001</v>
      </c>
      <c r="H2324" s="4">
        <v>37914.01</v>
      </c>
      <c r="I2324" s="3" t="s">
        <v>3734</v>
      </c>
      <c r="J2324" t="s">
        <v>3732</v>
      </c>
      <c r="K2324" s="4">
        <f>Table3[[#This Row],[Sales]]-Table3[[#This Row],[Cost]]</f>
        <v>14620.39</v>
      </c>
      <c r="L2324" s="6">
        <f>Table3[[#This Row],[Profit]]/Table3[[#This Row],[Sales]]</f>
        <v>0.27830126545653894</v>
      </c>
    </row>
    <row r="2325" spans="1:12" x14ac:dyDescent="0.25">
      <c r="A2325" t="s">
        <v>1087</v>
      </c>
      <c r="B2325" s="2">
        <v>44941</v>
      </c>
      <c r="C2325" s="2" t="str">
        <f>TEXT(Table3[[#This Row],[Order Date]],"mmmm")</f>
        <v>January</v>
      </c>
      <c r="D2325" t="s">
        <v>3220</v>
      </c>
      <c r="E2325" t="s">
        <v>3225</v>
      </c>
      <c r="F2325" t="s">
        <v>3226</v>
      </c>
      <c r="G2325" s="4">
        <v>59354.42</v>
      </c>
      <c r="H2325" s="4">
        <v>38705.339999999997</v>
      </c>
      <c r="I2325" s="3" t="s">
        <v>3734</v>
      </c>
      <c r="J2325">
        <v>3</v>
      </c>
      <c r="K2325" s="4">
        <f>Table3[[#This Row],[Sales]]-Table3[[#This Row],[Cost]]</f>
        <v>20649.080000000002</v>
      </c>
      <c r="L2325" s="6">
        <f>Table3[[#This Row],[Profit]]/Table3[[#This Row],[Sales]]</f>
        <v>0.34789456286490544</v>
      </c>
    </row>
    <row r="2326" spans="1:12" x14ac:dyDescent="0.25">
      <c r="A2326" t="s">
        <v>2127</v>
      </c>
      <c r="B2326" s="2">
        <v>45021</v>
      </c>
      <c r="C2326" s="2" t="str">
        <f>TEXT(Table3[[#This Row],[Order Date]],"mmmm")</f>
        <v>April</v>
      </c>
      <c r="D2326" t="s">
        <v>3220</v>
      </c>
      <c r="E2326" t="s">
        <v>3224</v>
      </c>
      <c r="F2326" t="s">
        <v>3226</v>
      </c>
      <c r="G2326" s="4">
        <v>57057.39</v>
      </c>
      <c r="H2326" s="4">
        <v>47160.95</v>
      </c>
      <c r="I2326" s="3" t="s">
        <v>3734</v>
      </c>
      <c r="J2326" t="s">
        <v>3732</v>
      </c>
      <c r="K2326" s="4">
        <f>Table3[[#This Row],[Sales]]-Table3[[#This Row],[Cost]]</f>
        <v>9896.4400000000023</v>
      </c>
      <c r="L2326" s="6">
        <f>Table3[[#This Row],[Profit]]/Table3[[#This Row],[Sales]]</f>
        <v>0.17344712052198677</v>
      </c>
    </row>
    <row r="2327" spans="1:12" x14ac:dyDescent="0.25">
      <c r="A2327" t="s">
        <v>2128</v>
      </c>
      <c r="B2327" s="2">
        <v>44972</v>
      </c>
      <c r="C2327" s="2" t="str">
        <f>TEXT(Table3[[#This Row],[Order Date]],"mmmm")</f>
        <v>February</v>
      </c>
      <c r="D2327" t="s">
        <v>3216</v>
      </c>
      <c r="E2327" t="s">
        <v>3224</v>
      </c>
      <c r="F2327" t="s">
        <v>3226</v>
      </c>
      <c r="G2327" s="4">
        <v>181215.05</v>
      </c>
      <c r="H2327" s="4">
        <v>144972.04</v>
      </c>
      <c r="I2327" s="3" t="s">
        <v>3735</v>
      </c>
      <c r="J2327">
        <v>3</v>
      </c>
      <c r="K2327" s="4">
        <f>Table3[[#This Row],[Sales]]-Table3[[#This Row],[Cost]]</f>
        <v>36243.00999999998</v>
      </c>
      <c r="L2327" s="6">
        <f>Table3[[#This Row],[Profit]]/Table3[[#This Row],[Sales]]</f>
        <v>0.1999999999999999</v>
      </c>
    </row>
    <row r="2328" spans="1:12" x14ac:dyDescent="0.25">
      <c r="A2328" t="s">
        <v>2129</v>
      </c>
      <c r="B2328" s="2">
        <v>45102</v>
      </c>
      <c r="C2328" s="2" t="str">
        <f>TEXT(Table3[[#This Row],[Order Date]],"mmmm")</f>
        <v>June</v>
      </c>
      <c r="D2328" t="s">
        <v>3216</v>
      </c>
      <c r="E2328" t="s">
        <v>3224</v>
      </c>
      <c r="F2328" t="s">
        <v>3226</v>
      </c>
      <c r="G2328" s="4">
        <v>233008.78</v>
      </c>
      <c r="H2328" s="4">
        <v>165903.29</v>
      </c>
      <c r="I2328" s="3" t="s">
        <v>3734</v>
      </c>
      <c r="J2328" t="s">
        <v>3732</v>
      </c>
      <c r="K2328" s="4">
        <f>Table3[[#This Row],[Sales]]-Table3[[#This Row],[Cost]]</f>
        <v>67105.489999999991</v>
      </c>
      <c r="L2328" s="6">
        <f>Table3[[#This Row],[Profit]]/Table3[[#This Row],[Sales]]</f>
        <v>0.28799554248556636</v>
      </c>
    </row>
    <row r="2329" spans="1:12" x14ac:dyDescent="0.25">
      <c r="A2329" t="s">
        <v>2130</v>
      </c>
      <c r="B2329" s="2">
        <v>45021</v>
      </c>
      <c r="C2329" s="2" t="str">
        <f>TEXT(Table3[[#This Row],[Order Date]],"mmmm")</f>
        <v>April</v>
      </c>
      <c r="D2329" t="s">
        <v>3730</v>
      </c>
      <c r="E2329" t="s">
        <v>3225</v>
      </c>
      <c r="F2329" t="s">
        <v>3226</v>
      </c>
      <c r="G2329" s="4">
        <v>110437.04</v>
      </c>
      <c r="H2329" s="4">
        <v>72146.3</v>
      </c>
      <c r="I2329" s="3" t="s">
        <v>3734</v>
      </c>
      <c r="J2329">
        <v>5</v>
      </c>
      <c r="K2329" s="4">
        <f>Table3[[#This Row],[Sales]]-Table3[[#This Row],[Cost]]</f>
        <v>38290.739999999991</v>
      </c>
      <c r="L2329" s="6">
        <f>Table3[[#This Row],[Profit]]/Table3[[#This Row],[Sales]]</f>
        <v>0.34672008594218018</v>
      </c>
    </row>
    <row r="2330" spans="1:12" x14ac:dyDescent="0.25">
      <c r="A2330" t="s">
        <v>2131</v>
      </c>
      <c r="B2330" s="2">
        <v>45005</v>
      </c>
      <c r="C2330" s="2" t="str">
        <f>TEXT(Table3[[#This Row],[Order Date]],"mmmm")</f>
        <v>March</v>
      </c>
      <c r="D2330" t="s">
        <v>3730</v>
      </c>
      <c r="E2330" t="s">
        <v>3223</v>
      </c>
      <c r="F2330" t="s">
        <v>3226</v>
      </c>
      <c r="G2330" s="4">
        <v>56740.23</v>
      </c>
      <c r="H2330" s="4">
        <v>30288.2</v>
      </c>
      <c r="I2330" s="3" t="s">
        <v>3734</v>
      </c>
      <c r="J2330">
        <v>5</v>
      </c>
      <c r="K2330" s="4">
        <f>Table3[[#This Row],[Sales]]-Table3[[#This Row],[Cost]]</f>
        <v>26452.030000000002</v>
      </c>
      <c r="L2330" s="6">
        <f>Table3[[#This Row],[Profit]]/Table3[[#This Row],[Sales]]</f>
        <v>0.46619532560936044</v>
      </c>
    </row>
    <row r="2331" spans="1:12" x14ac:dyDescent="0.25">
      <c r="A2331" t="s">
        <v>2132</v>
      </c>
      <c r="B2331" s="2">
        <v>44941</v>
      </c>
      <c r="C2331" s="2" t="str">
        <f>TEXT(Table3[[#This Row],[Order Date]],"mmmm")</f>
        <v>January</v>
      </c>
      <c r="D2331" t="s">
        <v>3730</v>
      </c>
      <c r="E2331" t="s">
        <v>3225</v>
      </c>
      <c r="F2331" t="s">
        <v>3226</v>
      </c>
      <c r="G2331" s="4">
        <v>108464.5</v>
      </c>
      <c r="H2331" s="4">
        <v>71109.58</v>
      </c>
      <c r="I2331" s="3" t="s">
        <v>3734</v>
      </c>
      <c r="J2331">
        <v>5</v>
      </c>
      <c r="K2331" s="4">
        <f>Table3[[#This Row],[Sales]]-Table3[[#This Row],[Cost]]</f>
        <v>37354.92</v>
      </c>
      <c r="L2331" s="6">
        <f>Table3[[#This Row],[Profit]]/Table3[[#This Row],[Sales]]</f>
        <v>0.34439766006389183</v>
      </c>
    </row>
    <row r="2332" spans="1:12" x14ac:dyDescent="0.25">
      <c r="A2332" t="s">
        <v>3589</v>
      </c>
      <c r="B2332" s="2">
        <v>45102</v>
      </c>
      <c r="C2332" s="2" t="str">
        <f>TEXT(Table3[[#This Row],[Order Date]],"mmmm")</f>
        <v>June</v>
      </c>
      <c r="D2332" t="s">
        <v>3216</v>
      </c>
      <c r="E2332" t="s">
        <v>3225</v>
      </c>
      <c r="F2332" t="s">
        <v>3226</v>
      </c>
      <c r="G2332" s="4">
        <v>70395.88</v>
      </c>
      <c r="H2332" s="4">
        <v>46111.58</v>
      </c>
      <c r="I2332" s="3" t="s">
        <v>3734</v>
      </c>
      <c r="J2332">
        <v>3</v>
      </c>
      <c r="K2332" s="4">
        <f>Table3[[#This Row],[Sales]]-Table3[[#This Row],[Cost]]</f>
        <v>24284.300000000003</v>
      </c>
      <c r="L2332" s="6">
        <f>Table3[[#This Row],[Profit]]/Table3[[#This Row],[Sales]]</f>
        <v>0.34496763162844191</v>
      </c>
    </row>
    <row r="2333" spans="1:12" x14ac:dyDescent="0.25">
      <c r="A2333" t="s">
        <v>2134</v>
      </c>
      <c r="B2333" s="2">
        <v>45021</v>
      </c>
      <c r="C2333" s="2" t="str">
        <f>TEXT(Table3[[#This Row],[Order Date]],"mmmm")</f>
        <v>April</v>
      </c>
      <c r="D2333" t="s">
        <v>3216</v>
      </c>
      <c r="E2333" t="s">
        <v>3222</v>
      </c>
      <c r="F2333" t="s">
        <v>3226</v>
      </c>
      <c r="G2333" s="4">
        <v>41540.29</v>
      </c>
      <c r="H2333" s="4">
        <v>25530.639999999999</v>
      </c>
      <c r="I2333" s="3" t="s">
        <v>3734</v>
      </c>
      <c r="J2333">
        <v>3</v>
      </c>
      <c r="K2333" s="4">
        <f>Table3[[#This Row],[Sales]]-Table3[[#This Row],[Cost]]</f>
        <v>16009.650000000001</v>
      </c>
      <c r="L2333" s="6">
        <f>Table3[[#This Row],[Profit]]/Table3[[#This Row],[Sales]]</f>
        <v>0.38540053523940254</v>
      </c>
    </row>
    <row r="2334" spans="1:12" x14ac:dyDescent="0.25">
      <c r="A2334" t="s">
        <v>802</v>
      </c>
      <c r="B2334" s="2">
        <v>45005</v>
      </c>
      <c r="C2334" s="2" t="str">
        <f>TEXT(Table3[[#This Row],[Order Date]],"mmmm")</f>
        <v>March</v>
      </c>
      <c r="D2334" t="s">
        <v>3730</v>
      </c>
      <c r="E2334" t="s">
        <v>3225</v>
      </c>
      <c r="F2334" t="s">
        <v>3226</v>
      </c>
      <c r="G2334" s="4">
        <v>22071.65</v>
      </c>
      <c r="H2334" s="4">
        <v>14694</v>
      </c>
      <c r="I2334" s="3" t="s">
        <v>3734</v>
      </c>
      <c r="J2334">
        <v>1</v>
      </c>
      <c r="K2334" s="4">
        <f>Table3[[#This Row],[Sales]]-Table3[[#This Row],[Cost]]</f>
        <v>7377.6500000000015</v>
      </c>
      <c r="L2334" s="6">
        <f>Table3[[#This Row],[Profit]]/Table3[[#This Row],[Sales]]</f>
        <v>0.33425910613841742</v>
      </c>
    </row>
    <row r="2335" spans="1:12" x14ac:dyDescent="0.25">
      <c r="A2335" t="s">
        <v>2135</v>
      </c>
      <c r="B2335" s="2">
        <v>45021</v>
      </c>
      <c r="C2335" s="2" t="str">
        <f>TEXT(Table3[[#This Row],[Order Date]],"mmmm")</f>
        <v>April</v>
      </c>
      <c r="D2335" t="s">
        <v>3730</v>
      </c>
      <c r="E2335" t="s">
        <v>3224</v>
      </c>
      <c r="F2335" t="s">
        <v>3226</v>
      </c>
      <c r="G2335" s="4">
        <v>160116.65</v>
      </c>
      <c r="H2335" s="4">
        <v>119643.51</v>
      </c>
      <c r="I2335" s="3" t="s">
        <v>3734</v>
      </c>
      <c r="J2335">
        <v>3</v>
      </c>
      <c r="K2335" s="4">
        <f>Table3[[#This Row],[Sales]]-Table3[[#This Row],[Cost]]</f>
        <v>40473.14</v>
      </c>
      <c r="L2335" s="6">
        <f>Table3[[#This Row],[Profit]]/Table3[[#This Row],[Sales]]</f>
        <v>0.2527728378029393</v>
      </c>
    </row>
    <row r="2336" spans="1:12" x14ac:dyDescent="0.25">
      <c r="A2336" t="s">
        <v>3541</v>
      </c>
      <c r="B2336" s="2">
        <v>44972</v>
      </c>
      <c r="C2336" s="2" t="str">
        <f>TEXT(Table3[[#This Row],[Order Date]],"mmmm")</f>
        <v>February</v>
      </c>
      <c r="D2336" t="s">
        <v>3730</v>
      </c>
      <c r="E2336" t="s">
        <v>3222</v>
      </c>
      <c r="F2336" t="s">
        <v>3226</v>
      </c>
      <c r="G2336" s="4">
        <v>37442.58</v>
      </c>
      <c r="H2336" s="4">
        <v>30814.91</v>
      </c>
      <c r="I2336" s="3" t="s">
        <v>3734</v>
      </c>
      <c r="J2336">
        <v>3</v>
      </c>
      <c r="K2336" s="4">
        <f>Table3[[#This Row],[Sales]]-Table3[[#This Row],[Cost]]</f>
        <v>6627.6700000000019</v>
      </c>
      <c r="L2336" s="6">
        <f>Table3[[#This Row],[Profit]]/Table3[[#This Row],[Sales]]</f>
        <v>0.17700890269847863</v>
      </c>
    </row>
    <row r="2337" spans="1:12" x14ac:dyDescent="0.25">
      <c r="A2337" t="s">
        <v>2136</v>
      </c>
      <c r="B2337" s="2">
        <v>44972</v>
      </c>
      <c r="C2337" s="2" t="str">
        <f>TEXT(Table3[[#This Row],[Order Date]],"mmmm")</f>
        <v>February</v>
      </c>
      <c r="D2337" t="s">
        <v>3220</v>
      </c>
      <c r="E2337" t="s">
        <v>3225</v>
      </c>
      <c r="F2337" t="s">
        <v>3226</v>
      </c>
      <c r="G2337" s="4">
        <v>89567.46</v>
      </c>
      <c r="H2337" s="4">
        <v>71518.81</v>
      </c>
      <c r="I2337" s="3" t="s">
        <v>3734</v>
      </c>
      <c r="J2337">
        <v>5</v>
      </c>
      <c r="K2337" s="4">
        <f>Table3[[#This Row],[Sales]]-Table3[[#This Row],[Cost]]</f>
        <v>18048.650000000009</v>
      </c>
      <c r="L2337" s="6">
        <f>Table3[[#This Row],[Profit]]/Table3[[#This Row],[Sales]]</f>
        <v>0.20150900784726961</v>
      </c>
    </row>
    <row r="2338" spans="1:12" x14ac:dyDescent="0.25">
      <c r="A2338" t="s">
        <v>3590</v>
      </c>
      <c r="B2338" s="2">
        <v>45102</v>
      </c>
      <c r="C2338" s="2" t="str">
        <f>TEXT(Table3[[#This Row],[Order Date]],"mmmm")</f>
        <v>June</v>
      </c>
      <c r="D2338" t="s">
        <v>3216</v>
      </c>
      <c r="E2338" t="s">
        <v>3225</v>
      </c>
      <c r="F2338" t="s">
        <v>3226</v>
      </c>
      <c r="G2338" s="4">
        <v>82037.34</v>
      </c>
      <c r="H2338" s="4">
        <v>71638.149999999994</v>
      </c>
      <c r="I2338" s="3" t="s">
        <v>3734</v>
      </c>
      <c r="J2338">
        <v>5</v>
      </c>
      <c r="K2338" s="4">
        <f>Table3[[#This Row],[Sales]]-Table3[[#This Row],[Cost]]</f>
        <v>10399.190000000002</v>
      </c>
      <c r="L2338" s="6">
        <f>Table3[[#This Row],[Profit]]/Table3[[#This Row],[Sales]]</f>
        <v>0.12676166730905711</v>
      </c>
    </row>
    <row r="2339" spans="1:12" x14ac:dyDescent="0.25">
      <c r="A2339" t="s">
        <v>3591</v>
      </c>
      <c r="B2339" s="2">
        <v>45021</v>
      </c>
      <c r="C2339" s="2" t="str">
        <f>TEXT(Table3[[#This Row],[Order Date]],"mmmm")</f>
        <v>April</v>
      </c>
      <c r="D2339" t="s">
        <v>3731</v>
      </c>
      <c r="E2339" t="s">
        <v>3224</v>
      </c>
      <c r="F2339" t="s">
        <v>3226</v>
      </c>
      <c r="G2339" s="4">
        <v>132624.85999999999</v>
      </c>
      <c r="H2339" s="4">
        <v>95521.97</v>
      </c>
      <c r="I2339" s="3" t="s">
        <v>3734</v>
      </c>
      <c r="J2339">
        <v>2</v>
      </c>
      <c r="K2339" s="4">
        <f>Table3[[#This Row],[Sales]]-Table3[[#This Row],[Cost]]</f>
        <v>37102.889999999985</v>
      </c>
      <c r="L2339" s="6">
        <f>Table3[[#This Row],[Profit]]/Table3[[#This Row],[Sales]]</f>
        <v>0.27975818409911979</v>
      </c>
    </row>
    <row r="2340" spans="1:12" x14ac:dyDescent="0.25">
      <c r="A2340" t="s">
        <v>2139</v>
      </c>
      <c r="B2340" s="2">
        <v>45005</v>
      </c>
      <c r="C2340" s="2" t="str">
        <f>TEXT(Table3[[#This Row],[Order Date]],"mmmm")</f>
        <v>March</v>
      </c>
      <c r="D2340" t="s">
        <v>3220</v>
      </c>
      <c r="E2340" t="s">
        <v>3222</v>
      </c>
      <c r="F2340" t="s">
        <v>3226</v>
      </c>
      <c r="G2340" s="4">
        <v>39730.44</v>
      </c>
      <c r="H2340" s="4">
        <v>28210.83</v>
      </c>
      <c r="I2340" s="3" t="s">
        <v>3734</v>
      </c>
      <c r="J2340">
        <v>3</v>
      </c>
      <c r="K2340" s="4">
        <f>Table3[[#This Row],[Sales]]-Table3[[#This Row],[Cost]]</f>
        <v>11519.61</v>
      </c>
      <c r="L2340" s="6">
        <f>Table3[[#This Row],[Profit]]/Table3[[#This Row],[Sales]]</f>
        <v>0.28994418385499882</v>
      </c>
    </row>
    <row r="2341" spans="1:12" x14ac:dyDescent="0.25">
      <c r="A2341" t="s">
        <v>3592</v>
      </c>
      <c r="B2341" s="2" t="s">
        <v>3729</v>
      </c>
      <c r="C2341" s="2" t="str">
        <f>TEXT(Table3[[#This Row],[Order Date]],"mmmm")</f>
        <v>Not Mentioned</v>
      </c>
      <c r="D2341" t="s">
        <v>3216</v>
      </c>
      <c r="E2341" t="s">
        <v>3223</v>
      </c>
      <c r="F2341" t="s">
        <v>3226</v>
      </c>
      <c r="G2341" s="4">
        <v>8318.01</v>
      </c>
      <c r="H2341" s="4">
        <v>6695.58</v>
      </c>
      <c r="I2341" s="3" t="s">
        <v>3734</v>
      </c>
      <c r="J2341">
        <v>1</v>
      </c>
      <c r="K2341" s="4">
        <f>Table3[[#This Row],[Sales]]-Table3[[#This Row],[Cost]]</f>
        <v>1622.4300000000003</v>
      </c>
      <c r="L2341" s="6">
        <f>Table3[[#This Row],[Profit]]/Table3[[#This Row],[Sales]]</f>
        <v>0.19505025841517384</v>
      </c>
    </row>
    <row r="2342" spans="1:12" x14ac:dyDescent="0.25">
      <c r="A2342" t="s">
        <v>2141</v>
      </c>
      <c r="B2342" s="2">
        <v>44941</v>
      </c>
      <c r="C2342" s="2" t="str">
        <f>TEXT(Table3[[#This Row],[Order Date]],"mmmm")</f>
        <v>January</v>
      </c>
      <c r="D2342" t="s">
        <v>3730</v>
      </c>
      <c r="E2342" t="s">
        <v>3222</v>
      </c>
      <c r="F2342" t="s">
        <v>3226</v>
      </c>
      <c r="G2342" s="4">
        <v>28073.54</v>
      </c>
      <c r="H2342" s="4">
        <v>19952.66</v>
      </c>
      <c r="I2342" s="3" t="s">
        <v>3734</v>
      </c>
      <c r="J2342">
        <v>2</v>
      </c>
      <c r="K2342" s="4">
        <f>Table3[[#This Row],[Sales]]-Table3[[#This Row],[Cost]]</f>
        <v>8120.880000000001</v>
      </c>
      <c r="L2342" s="6">
        <f>Table3[[#This Row],[Profit]]/Table3[[#This Row],[Sales]]</f>
        <v>0.28927167717359481</v>
      </c>
    </row>
    <row r="2343" spans="1:12" x14ac:dyDescent="0.25">
      <c r="A2343" t="s">
        <v>2142</v>
      </c>
      <c r="B2343" s="2">
        <v>45021</v>
      </c>
      <c r="C2343" s="2" t="str">
        <f>TEXT(Table3[[#This Row],[Order Date]],"mmmm")</f>
        <v>April</v>
      </c>
      <c r="D2343" t="s">
        <v>3730</v>
      </c>
      <c r="E2343" t="s">
        <v>3222</v>
      </c>
      <c r="F2343" t="s">
        <v>3226</v>
      </c>
      <c r="G2343" s="4">
        <v>82984.509999999995</v>
      </c>
      <c r="H2343" s="4">
        <v>49986.28</v>
      </c>
      <c r="I2343" s="3" t="s">
        <v>3734</v>
      </c>
      <c r="J2343">
        <v>5</v>
      </c>
      <c r="K2343" s="4">
        <f>Table3[[#This Row],[Sales]]-Table3[[#This Row],[Cost]]</f>
        <v>32998.229999999996</v>
      </c>
      <c r="L2343" s="6">
        <f>Table3[[#This Row],[Profit]]/Table3[[#This Row],[Sales]]</f>
        <v>0.39764324691439401</v>
      </c>
    </row>
    <row r="2344" spans="1:12" x14ac:dyDescent="0.25">
      <c r="A2344" t="s">
        <v>2143</v>
      </c>
      <c r="B2344" s="2">
        <v>45005</v>
      </c>
      <c r="C2344" s="2" t="str">
        <f>TEXT(Table3[[#This Row],[Order Date]],"mmmm")</f>
        <v>March</v>
      </c>
      <c r="D2344" t="s">
        <v>3220</v>
      </c>
      <c r="E2344" t="s">
        <v>3222</v>
      </c>
      <c r="F2344" t="s">
        <v>3226</v>
      </c>
      <c r="G2344" s="4">
        <v>49127.79</v>
      </c>
      <c r="H2344" s="4">
        <v>27275.3</v>
      </c>
      <c r="I2344" s="3" t="s">
        <v>3734</v>
      </c>
      <c r="J2344">
        <v>3</v>
      </c>
      <c r="K2344" s="4">
        <f>Table3[[#This Row],[Sales]]-Table3[[#This Row],[Cost]]</f>
        <v>21852.49</v>
      </c>
      <c r="L2344" s="6">
        <f>Table3[[#This Row],[Profit]]/Table3[[#This Row],[Sales]]</f>
        <v>0.44480913959288626</v>
      </c>
    </row>
    <row r="2345" spans="1:12" x14ac:dyDescent="0.25">
      <c r="A2345" t="s">
        <v>2144</v>
      </c>
      <c r="B2345" s="2">
        <v>44972</v>
      </c>
      <c r="C2345" s="2" t="str">
        <f>TEXT(Table3[[#This Row],[Order Date]],"mmmm")</f>
        <v>February</v>
      </c>
      <c r="D2345" t="s">
        <v>3730</v>
      </c>
      <c r="E2345" t="s">
        <v>3225</v>
      </c>
      <c r="F2345" t="s">
        <v>3226</v>
      </c>
      <c r="G2345" s="4">
        <v>90883.62</v>
      </c>
      <c r="H2345" s="4">
        <v>59200.02</v>
      </c>
      <c r="I2345" s="3" t="s">
        <v>3734</v>
      </c>
      <c r="J2345">
        <v>4</v>
      </c>
      <c r="K2345" s="4">
        <f>Table3[[#This Row],[Sales]]-Table3[[#This Row],[Cost]]</f>
        <v>31683.599999999999</v>
      </c>
      <c r="L2345" s="6">
        <f>Table3[[#This Row],[Profit]]/Table3[[#This Row],[Sales]]</f>
        <v>0.34861727558827432</v>
      </c>
    </row>
    <row r="2346" spans="1:12" x14ac:dyDescent="0.25">
      <c r="A2346" t="s">
        <v>826</v>
      </c>
      <c r="B2346" s="2">
        <v>44941</v>
      </c>
      <c r="C2346" s="2" t="str">
        <f>TEXT(Table3[[#This Row],[Order Date]],"mmmm")</f>
        <v>January</v>
      </c>
      <c r="D2346" t="s">
        <v>3731</v>
      </c>
      <c r="E2346" t="s">
        <v>3225</v>
      </c>
      <c r="F2346" t="s">
        <v>3226</v>
      </c>
      <c r="G2346" s="4">
        <v>19193.599999999999</v>
      </c>
      <c r="H2346" s="4">
        <v>12553.75</v>
      </c>
      <c r="I2346" s="3" t="s">
        <v>3734</v>
      </c>
      <c r="J2346">
        <v>1</v>
      </c>
      <c r="K2346" s="4">
        <f>Table3[[#This Row],[Sales]]-Table3[[#This Row],[Cost]]</f>
        <v>6639.8499999999985</v>
      </c>
      <c r="L2346" s="6">
        <f>Table3[[#This Row],[Profit]]/Table3[[#This Row],[Sales]]</f>
        <v>0.34594083444481488</v>
      </c>
    </row>
    <row r="2347" spans="1:12" x14ac:dyDescent="0.25">
      <c r="A2347" t="s">
        <v>2145</v>
      </c>
      <c r="B2347" s="2">
        <v>44941</v>
      </c>
      <c r="C2347" s="2" t="str">
        <f>TEXT(Table3[[#This Row],[Order Date]],"mmmm")</f>
        <v>January</v>
      </c>
      <c r="D2347" t="s">
        <v>3731</v>
      </c>
      <c r="E2347" t="s">
        <v>3222</v>
      </c>
      <c r="F2347" t="s">
        <v>3226</v>
      </c>
      <c r="G2347" s="4">
        <v>49044.63</v>
      </c>
      <c r="H2347" s="4">
        <v>30330.71</v>
      </c>
      <c r="I2347" s="3" t="s">
        <v>3734</v>
      </c>
      <c r="J2347">
        <v>3</v>
      </c>
      <c r="K2347" s="4">
        <f>Table3[[#This Row],[Sales]]-Table3[[#This Row],[Cost]]</f>
        <v>18713.919999999998</v>
      </c>
      <c r="L2347" s="6">
        <f>Table3[[#This Row],[Profit]]/Table3[[#This Row],[Sales]]</f>
        <v>0.38156919524115074</v>
      </c>
    </row>
    <row r="2348" spans="1:12" x14ac:dyDescent="0.25">
      <c r="A2348" t="s">
        <v>350</v>
      </c>
      <c r="B2348" s="2" t="s">
        <v>3729</v>
      </c>
      <c r="C2348" s="2" t="str">
        <f>TEXT(Table3[[#This Row],[Order Date]],"mmmm")</f>
        <v>Not Mentioned</v>
      </c>
      <c r="D2348" t="s">
        <v>3730</v>
      </c>
      <c r="E2348" t="s">
        <v>3225</v>
      </c>
      <c r="F2348" t="s">
        <v>3226</v>
      </c>
      <c r="G2348" s="4">
        <v>107949.12</v>
      </c>
      <c r="H2348" s="4">
        <v>60687.98</v>
      </c>
      <c r="I2348" s="3" t="s">
        <v>3734</v>
      </c>
      <c r="J2348" t="s">
        <v>3732</v>
      </c>
      <c r="K2348" s="4">
        <f>Table3[[#This Row],[Sales]]-Table3[[#This Row],[Cost]]</f>
        <v>47261.139999999992</v>
      </c>
      <c r="L2348" s="6">
        <f>Table3[[#This Row],[Profit]]/Table3[[#This Row],[Sales]]</f>
        <v>0.43780940502340354</v>
      </c>
    </row>
    <row r="2349" spans="1:12" x14ac:dyDescent="0.25">
      <c r="A2349" t="s">
        <v>2146</v>
      </c>
      <c r="B2349" s="2">
        <v>45021</v>
      </c>
      <c r="C2349" s="2" t="str">
        <f>TEXT(Table3[[#This Row],[Order Date]],"mmmm")</f>
        <v>April</v>
      </c>
      <c r="D2349" t="s">
        <v>3216</v>
      </c>
      <c r="E2349" t="s">
        <v>3225</v>
      </c>
      <c r="F2349" t="s">
        <v>3226</v>
      </c>
      <c r="G2349" s="4">
        <v>20943.64</v>
      </c>
      <c r="H2349" s="4">
        <v>14290.44</v>
      </c>
      <c r="I2349" s="3" t="s">
        <v>3734</v>
      </c>
      <c r="J2349">
        <v>1</v>
      </c>
      <c r="K2349" s="4">
        <f>Table3[[#This Row],[Sales]]-Table3[[#This Row],[Cost]]</f>
        <v>6653.1999999999989</v>
      </c>
      <c r="L2349" s="6">
        <f>Table3[[#This Row],[Profit]]/Table3[[#This Row],[Sales]]</f>
        <v>0.31767161773216113</v>
      </c>
    </row>
    <row r="2350" spans="1:12" x14ac:dyDescent="0.25">
      <c r="A2350" t="s">
        <v>2147</v>
      </c>
      <c r="B2350" s="2">
        <v>45021</v>
      </c>
      <c r="C2350" s="2" t="str">
        <f>TEXT(Table3[[#This Row],[Order Date]],"mmmm")</f>
        <v>April</v>
      </c>
      <c r="D2350" t="s">
        <v>3216</v>
      </c>
      <c r="E2350" t="s">
        <v>3224</v>
      </c>
      <c r="F2350" t="s">
        <v>3226</v>
      </c>
      <c r="G2350" s="4">
        <v>285118.40000000002</v>
      </c>
      <c r="H2350" s="4">
        <v>237121.86</v>
      </c>
      <c r="I2350" s="3" t="s">
        <v>3734</v>
      </c>
      <c r="J2350">
        <v>5</v>
      </c>
      <c r="K2350" s="4">
        <f>Table3[[#This Row],[Sales]]-Table3[[#This Row],[Cost]]</f>
        <v>47996.540000000037</v>
      </c>
      <c r="L2350" s="6">
        <f>Table3[[#This Row],[Profit]]/Table3[[#This Row],[Sales]]</f>
        <v>0.16833897777204149</v>
      </c>
    </row>
    <row r="2351" spans="1:12" x14ac:dyDescent="0.25">
      <c r="A2351" t="s">
        <v>3520</v>
      </c>
      <c r="B2351" s="2">
        <v>44941</v>
      </c>
      <c r="C2351" s="2" t="str">
        <f>TEXT(Table3[[#This Row],[Order Date]],"mmmm")</f>
        <v>January</v>
      </c>
      <c r="D2351" t="s">
        <v>3216</v>
      </c>
      <c r="E2351" t="s">
        <v>3223</v>
      </c>
      <c r="F2351" t="s">
        <v>3226</v>
      </c>
      <c r="G2351" s="4">
        <v>26075.34</v>
      </c>
      <c r="H2351" s="4">
        <v>17888.86</v>
      </c>
      <c r="I2351" s="3" t="s">
        <v>3734</v>
      </c>
      <c r="J2351">
        <v>3</v>
      </c>
      <c r="K2351" s="4">
        <f>Table3[[#This Row],[Sales]]-Table3[[#This Row],[Cost]]</f>
        <v>8186.48</v>
      </c>
      <c r="L2351" s="6">
        <f>Table3[[#This Row],[Profit]]/Table3[[#This Row],[Sales]]</f>
        <v>0.31395487077062079</v>
      </c>
    </row>
    <row r="2352" spans="1:12" x14ac:dyDescent="0.25">
      <c r="A2352" t="s">
        <v>2149</v>
      </c>
      <c r="B2352" s="2">
        <v>45102</v>
      </c>
      <c r="C2352" s="2" t="str">
        <f>TEXT(Table3[[#This Row],[Order Date]],"mmmm")</f>
        <v>June</v>
      </c>
      <c r="D2352" t="s">
        <v>3730</v>
      </c>
      <c r="E2352" t="s">
        <v>3225</v>
      </c>
      <c r="F2352" t="s">
        <v>3226</v>
      </c>
      <c r="G2352" s="4">
        <v>19991.09</v>
      </c>
      <c r="H2352" s="4">
        <v>15992.872000000001</v>
      </c>
      <c r="I2352" s="3" t="s">
        <v>3735</v>
      </c>
      <c r="J2352">
        <v>1</v>
      </c>
      <c r="K2352" s="4">
        <f>Table3[[#This Row],[Sales]]-Table3[[#This Row],[Cost]]</f>
        <v>3998.2179999999989</v>
      </c>
      <c r="L2352" s="6">
        <f>Table3[[#This Row],[Profit]]/Table3[[#This Row],[Sales]]</f>
        <v>0.19999999999999996</v>
      </c>
    </row>
    <row r="2353" spans="1:12" x14ac:dyDescent="0.25">
      <c r="A2353" t="s">
        <v>2150</v>
      </c>
      <c r="B2353" s="2">
        <v>45102</v>
      </c>
      <c r="C2353" s="2" t="str">
        <f>TEXT(Table3[[#This Row],[Order Date]],"mmmm")</f>
        <v>June</v>
      </c>
      <c r="D2353" t="s">
        <v>3216</v>
      </c>
      <c r="E2353" t="s">
        <v>3225</v>
      </c>
      <c r="F2353" t="s">
        <v>3226</v>
      </c>
      <c r="G2353" s="4">
        <v>66287.100000000006</v>
      </c>
      <c r="H2353" s="4">
        <v>44420.06</v>
      </c>
      <c r="I2353" s="3" t="s">
        <v>3734</v>
      </c>
      <c r="J2353">
        <v>3</v>
      </c>
      <c r="K2353" s="4">
        <f>Table3[[#This Row],[Sales]]-Table3[[#This Row],[Cost]]</f>
        <v>21867.040000000008</v>
      </c>
      <c r="L2353" s="6">
        <f>Table3[[#This Row],[Profit]]/Table3[[#This Row],[Sales]]</f>
        <v>0.32988379337759544</v>
      </c>
    </row>
    <row r="2354" spans="1:12" x14ac:dyDescent="0.25">
      <c r="A2354" t="s">
        <v>2151</v>
      </c>
      <c r="B2354" s="2">
        <v>45005</v>
      </c>
      <c r="C2354" s="2" t="str">
        <f>TEXT(Table3[[#This Row],[Order Date]],"mmmm")</f>
        <v>March</v>
      </c>
      <c r="D2354" t="s">
        <v>3220</v>
      </c>
      <c r="E2354" t="s">
        <v>3222</v>
      </c>
      <c r="F2354" t="s">
        <v>3226</v>
      </c>
      <c r="G2354" s="4">
        <v>68255.67</v>
      </c>
      <c r="H2354" s="4">
        <v>52472.38</v>
      </c>
      <c r="I2354" s="3" t="s">
        <v>3734</v>
      </c>
      <c r="J2354" t="s">
        <v>3732</v>
      </c>
      <c r="K2354" s="4">
        <f>Table3[[#This Row],[Sales]]-Table3[[#This Row],[Cost]]</f>
        <v>15783.29</v>
      </c>
      <c r="L2354" s="6">
        <f>Table3[[#This Row],[Profit]]/Table3[[#This Row],[Sales]]</f>
        <v>0.23123778581325188</v>
      </c>
    </row>
    <row r="2355" spans="1:12" x14ac:dyDescent="0.25">
      <c r="A2355" t="s">
        <v>2152</v>
      </c>
      <c r="B2355" s="2">
        <v>45021</v>
      </c>
      <c r="C2355" s="2" t="str">
        <f>TEXT(Table3[[#This Row],[Order Date]],"mmmm")</f>
        <v>April</v>
      </c>
      <c r="D2355" t="s">
        <v>3730</v>
      </c>
      <c r="E2355" t="s">
        <v>3222</v>
      </c>
      <c r="F2355" t="s">
        <v>3226</v>
      </c>
      <c r="G2355" s="4">
        <v>12046.35</v>
      </c>
      <c r="H2355" s="4">
        <v>9359.94</v>
      </c>
      <c r="I2355" s="3" t="s">
        <v>3734</v>
      </c>
      <c r="J2355">
        <v>1</v>
      </c>
      <c r="K2355" s="4">
        <f>Table3[[#This Row],[Sales]]-Table3[[#This Row],[Cost]]</f>
        <v>2686.41</v>
      </c>
      <c r="L2355" s="6">
        <f>Table3[[#This Row],[Profit]]/Table3[[#This Row],[Sales]]</f>
        <v>0.22300613878892775</v>
      </c>
    </row>
    <row r="2356" spans="1:12" x14ac:dyDescent="0.25">
      <c r="A2356" t="s">
        <v>2153</v>
      </c>
      <c r="B2356" s="2" t="s">
        <v>3729</v>
      </c>
      <c r="C2356" s="2" t="str">
        <f>TEXT(Table3[[#This Row],[Order Date]],"mmmm")</f>
        <v>Not Mentioned</v>
      </c>
      <c r="D2356" t="s">
        <v>3220</v>
      </c>
      <c r="E2356" t="s">
        <v>3222</v>
      </c>
      <c r="F2356" t="s">
        <v>3226</v>
      </c>
      <c r="G2356" s="4">
        <v>26233.17</v>
      </c>
      <c r="H2356" s="4">
        <v>20278.099999999999</v>
      </c>
      <c r="I2356" s="3" t="s">
        <v>3734</v>
      </c>
      <c r="J2356">
        <v>2</v>
      </c>
      <c r="K2356" s="4">
        <f>Table3[[#This Row],[Sales]]-Table3[[#This Row],[Cost]]</f>
        <v>5955.07</v>
      </c>
      <c r="L2356" s="6">
        <f>Table3[[#This Row],[Profit]]/Table3[[#This Row],[Sales]]</f>
        <v>0.22700535238402375</v>
      </c>
    </row>
    <row r="2357" spans="1:12" x14ac:dyDescent="0.25">
      <c r="A2357" t="s">
        <v>2154</v>
      </c>
      <c r="B2357" s="2">
        <v>44941</v>
      </c>
      <c r="C2357" s="2" t="str">
        <f>TEXT(Table3[[#This Row],[Order Date]],"mmmm")</f>
        <v>January</v>
      </c>
      <c r="D2357" t="s">
        <v>3730</v>
      </c>
      <c r="E2357" t="s">
        <v>3222</v>
      </c>
      <c r="F2357" t="s">
        <v>3226</v>
      </c>
      <c r="G2357" s="4">
        <v>16907.89</v>
      </c>
      <c r="H2357" s="4">
        <v>9601.35</v>
      </c>
      <c r="I2357" s="3" t="s">
        <v>3734</v>
      </c>
      <c r="J2357">
        <v>1</v>
      </c>
      <c r="K2357" s="4">
        <f>Table3[[#This Row],[Sales]]-Table3[[#This Row],[Cost]]</f>
        <v>7306.5399999999991</v>
      </c>
      <c r="L2357" s="6">
        <f>Table3[[#This Row],[Profit]]/Table3[[#This Row],[Sales]]</f>
        <v>0.43213789538493563</v>
      </c>
    </row>
    <row r="2358" spans="1:12" x14ac:dyDescent="0.25">
      <c r="A2358" t="s">
        <v>2155</v>
      </c>
      <c r="B2358" s="2">
        <v>44941</v>
      </c>
      <c r="C2358" s="2" t="str">
        <f>TEXT(Table3[[#This Row],[Order Date]],"mmmm")</f>
        <v>January</v>
      </c>
      <c r="D2358" t="s">
        <v>3220</v>
      </c>
      <c r="E2358" t="s">
        <v>3224</v>
      </c>
      <c r="F2358" t="s">
        <v>3226</v>
      </c>
      <c r="G2358" s="4">
        <v>67686.58</v>
      </c>
      <c r="H2358" s="4">
        <v>41717.660000000003</v>
      </c>
      <c r="I2358" s="3" t="s">
        <v>3734</v>
      </c>
      <c r="J2358">
        <v>1</v>
      </c>
      <c r="K2358" s="4">
        <f>Table3[[#This Row],[Sales]]-Table3[[#This Row],[Cost]]</f>
        <v>25968.92</v>
      </c>
      <c r="L2358" s="6">
        <f>Table3[[#This Row],[Profit]]/Table3[[#This Row],[Sales]]</f>
        <v>0.38366423595341936</v>
      </c>
    </row>
    <row r="2359" spans="1:12" x14ac:dyDescent="0.25">
      <c r="A2359" t="s">
        <v>2156</v>
      </c>
      <c r="B2359" s="2" t="s">
        <v>3729</v>
      </c>
      <c r="C2359" s="2" t="str">
        <f>TEXT(Table3[[#This Row],[Order Date]],"mmmm")</f>
        <v>Not Mentioned</v>
      </c>
      <c r="D2359" t="s">
        <v>3220</v>
      </c>
      <c r="E2359" t="s">
        <v>3225</v>
      </c>
      <c r="F2359" t="s">
        <v>3226</v>
      </c>
      <c r="G2359" s="4">
        <v>18849.62</v>
      </c>
      <c r="H2359" s="4">
        <v>12822.05</v>
      </c>
      <c r="I2359" s="3" t="s">
        <v>3734</v>
      </c>
      <c r="J2359">
        <v>1</v>
      </c>
      <c r="K2359" s="4">
        <f>Table3[[#This Row],[Sales]]-Table3[[#This Row],[Cost]]</f>
        <v>6027.57</v>
      </c>
      <c r="L2359" s="6">
        <f>Table3[[#This Row],[Profit]]/Table3[[#This Row],[Sales]]</f>
        <v>0.31977143305806693</v>
      </c>
    </row>
    <row r="2360" spans="1:12" x14ac:dyDescent="0.25">
      <c r="A2360" t="s">
        <v>347</v>
      </c>
      <c r="B2360" s="2">
        <v>45021</v>
      </c>
      <c r="C2360" s="2" t="str">
        <f>TEXT(Table3[[#This Row],[Order Date]],"mmmm")</f>
        <v>April</v>
      </c>
      <c r="D2360" t="s">
        <v>3730</v>
      </c>
      <c r="E2360" t="s">
        <v>3225</v>
      </c>
      <c r="F2360" t="s">
        <v>3226</v>
      </c>
      <c r="G2360" s="4">
        <v>50658.81</v>
      </c>
      <c r="H2360" s="4">
        <v>44241.27</v>
      </c>
      <c r="I2360" s="3" t="s">
        <v>3734</v>
      </c>
      <c r="J2360">
        <v>3</v>
      </c>
      <c r="K2360" s="4">
        <f>Table3[[#This Row],[Sales]]-Table3[[#This Row],[Cost]]</f>
        <v>6417.5400000000009</v>
      </c>
      <c r="L2360" s="6">
        <f>Table3[[#This Row],[Profit]]/Table3[[#This Row],[Sales]]</f>
        <v>0.12668161766926625</v>
      </c>
    </row>
    <row r="2361" spans="1:12" x14ac:dyDescent="0.25">
      <c r="A2361" t="s">
        <v>2157</v>
      </c>
      <c r="B2361" s="2" t="s">
        <v>3729</v>
      </c>
      <c r="C2361" s="2" t="str">
        <f>TEXT(Table3[[#This Row],[Order Date]],"mmmm")</f>
        <v>Not Mentioned</v>
      </c>
      <c r="D2361" t="s">
        <v>3216</v>
      </c>
      <c r="E2361" t="s">
        <v>3223</v>
      </c>
      <c r="F2361" t="s">
        <v>3226</v>
      </c>
      <c r="G2361" s="4">
        <v>51407.1</v>
      </c>
      <c r="H2361" s="4">
        <v>37685.18</v>
      </c>
      <c r="I2361" s="3" t="s">
        <v>3734</v>
      </c>
      <c r="J2361">
        <v>5</v>
      </c>
      <c r="K2361" s="4">
        <f>Table3[[#This Row],[Sales]]-Table3[[#This Row],[Cost]]</f>
        <v>13721.919999999998</v>
      </c>
      <c r="L2361" s="6">
        <f>Table3[[#This Row],[Profit]]/Table3[[#This Row],[Sales]]</f>
        <v>0.26692655294696643</v>
      </c>
    </row>
    <row r="2362" spans="1:12" x14ac:dyDescent="0.25">
      <c r="A2362" t="s">
        <v>2158</v>
      </c>
      <c r="B2362" s="2">
        <v>45102</v>
      </c>
      <c r="C2362" s="2" t="str">
        <f>TEXT(Table3[[#This Row],[Order Date]],"mmmm")</f>
        <v>June</v>
      </c>
      <c r="D2362" t="s">
        <v>3220</v>
      </c>
      <c r="E2362" t="s">
        <v>3225</v>
      </c>
      <c r="F2362" t="s">
        <v>3226</v>
      </c>
      <c r="G2362" s="4">
        <v>92762.61</v>
      </c>
      <c r="H2362" s="4">
        <v>63423.89</v>
      </c>
      <c r="I2362" s="3" t="s">
        <v>3734</v>
      </c>
      <c r="J2362">
        <v>5</v>
      </c>
      <c r="K2362" s="4">
        <f>Table3[[#This Row],[Sales]]-Table3[[#This Row],[Cost]]</f>
        <v>29338.720000000001</v>
      </c>
      <c r="L2362" s="6">
        <f>Table3[[#This Row],[Profit]]/Table3[[#This Row],[Sales]]</f>
        <v>0.31627743117620344</v>
      </c>
    </row>
    <row r="2363" spans="1:12" x14ac:dyDescent="0.25">
      <c r="A2363" t="s">
        <v>3498</v>
      </c>
      <c r="B2363" s="2">
        <v>44972</v>
      </c>
      <c r="C2363" s="2" t="str">
        <f>TEXT(Table3[[#This Row],[Order Date]],"mmmm")</f>
        <v>February</v>
      </c>
      <c r="D2363" t="s">
        <v>3730</v>
      </c>
      <c r="E2363" t="s">
        <v>3223</v>
      </c>
      <c r="F2363" t="s">
        <v>3226</v>
      </c>
      <c r="G2363" s="4">
        <v>30412.66</v>
      </c>
      <c r="H2363" s="4">
        <v>22858.32</v>
      </c>
      <c r="I2363" s="3" t="s">
        <v>3734</v>
      </c>
      <c r="J2363">
        <v>3</v>
      </c>
      <c r="K2363" s="4">
        <f>Table3[[#This Row],[Sales]]-Table3[[#This Row],[Cost]]</f>
        <v>7554.34</v>
      </c>
      <c r="L2363" s="6">
        <f>Table3[[#This Row],[Profit]]/Table3[[#This Row],[Sales]]</f>
        <v>0.2483945830453502</v>
      </c>
    </row>
    <row r="2364" spans="1:12" x14ac:dyDescent="0.25">
      <c r="A2364" t="s">
        <v>3523</v>
      </c>
      <c r="B2364" s="2">
        <v>45005</v>
      </c>
      <c r="C2364" s="2" t="str">
        <f>TEXT(Table3[[#This Row],[Order Date]],"mmmm")</f>
        <v>March</v>
      </c>
      <c r="D2364" t="s">
        <v>3730</v>
      </c>
      <c r="E2364" t="s">
        <v>3223</v>
      </c>
      <c r="F2364" t="s">
        <v>3226</v>
      </c>
      <c r="G2364" s="4">
        <v>25949.83</v>
      </c>
      <c r="H2364" s="4">
        <v>22871.51</v>
      </c>
      <c r="I2364" s="3" t="s">
        <v>3734</v>
      </c>
      <c r="J2364">
        <v>3</v>
      </c>
      <c r="K2364" s="4">
        <f>Table3[[#This Row],[Sales]]-Table3[[#This Row],[Cost]]</f>
        <v>3078.3200000000033</v>
      </c>
      <c r="L2364" s="6">
        <f>Table3[[#This Row],[Profit]]/Table3[[#This Row],[Sales]]</f>
        <v>0.11862582529442402</v>
      </c>
    </row>
    <row r="2365" spans="1:12" x14ac:dyDescent="0.25">
      <c r="A2365" t="s">
        <v>2159</v>
      </c>
      <c r="B2365" s="2">
        <v>45005</v>
      </c>
      <c r="C2365" s="2" t="str">
        <f>TEXT(Table3[[#This Row],[Order Date]],"mmmm")</f>
        <v>March</v>
      </c>
      <c r="D2365" t="s">
        <v>3730</v>
      </c>
      <c r="E2365" t="s">
        <v>3222</v>
      </c>
      <c r="F2365" t="s">
        <v>3226</v>
      </c>
      <c r="G2365" s="4">
        <v>16145.65</v>
      </c>
      <c r="H2365" s="4">
        <v>10024.11</v>
      </c>
      <c r="I2365" s="3" t="s">
        <v>3734</v>
      </c>
      <c r="J2365">
        <v>1</v>
      </c>
      <c r="K2365" s="4">
        <f>Table3[[#This Row],[Sales]]-Table3[[#This Row],[Cost]]</f>
        <v>6121.5399999999991</v>
      </c>
      <c r="L2365" s="6">
        <f>Table3[[#This Row],[Profit]]/Table3[[#This Row],[Sales]]</f>
        <v>0.37914484706406981</v>
      </c>
    </row>
    <row r="2366" spans="1:12" x14ac:dyDescent="0.25">
      <c r="A2366" t="s">
        <v>298</v>
      </c>
      <c r="B2366" s="2">
        <v>45021</v>
      </c>
      <c r="C2366" s="2" t="str">
        <f>TEXT(Table3[[#This Row],[Order Date]],"mmmm")</f>
        <v>April</v>
      </c>
      <c r="D2366" t="s">
        <v>3220</v>
      </c>
      <c r="E2366" t="s">
        <v>3223</v>
      </c>
      <c r="F2366" t="s">
        <v>3226</v>
      </c>
      <c r="G2366" s="4">
        <v>44202.11</v>
      </c>
      <c r="H2366" s="4">
        <v>32333.71</v>
      </c>
      <c r="I2366" s="3" t="s">
        <v>3734</v>
      </c>
      <c r="J2366">
        <v>5</v>
      </c>
      <c r="K2366" s="4">
        <f>Table3[[#This Row],[Sales]]-Table3[[#This Row],[Cost]]</f>
        <v>11868.400000000001</v>
      </c>
      <c r="L2366" s="6">
        <f>Table3[[#This Row],[Profit]]/Table3[[#This Row],[Sales]]</f>
        <v>0.26850301942599575</v>
      </c>
    </row>
    <row r="2367" spans="1:12" x14ac:dyDescent="0.25">
      <c r="A2367" t="s">
        <v>3593</v>
      </c>
      <c r="B2367" s="2">
        <v>44972</v>
      </c>
      <c r="C2367" s="2" t="str">
        <f>TEXT(Table3[[#This Row],[Order Date]],"mmmm")</f>
        <v>February</v>
      </c>
      <c r="D2367" t="s">
        <v>3730</v>
      </c>
      <c r="E2367" t="s">
        <v>3222</v>
      </c>
      <c r="F2367" t="s">
        <v>3226</v>
      </c>
      <c r="G2367" s="4">
        <v>81966.14</v>
      </c>
      <c r="H2367" s="4">
        <v>43599.57</v>
      </c>
      <c r="I2367" s="3" t="s">
        <v>3734</v>
      </c>
      <c r="J2367">
        <v>5</v>
      </c>
      <c r="K2367" s="4">
        <f>Table3[[#This Row],[Sales]]-Table3[[#This Row],[Cost]]</f>
        <v>38366.57</v>
      </c>
      <c r="L2367" s="6">
        <f>Table3[[#This Row],[Profit]]/Table3[[#This Row],[Sales]]</f>
        <v>0.46807828208086899</v>
      </c>
    </row>
    <row r="2368" spans="1:12" x14ac:dyDescent="0.25">
      <c r="A2368" t="s">
        <v>3375</v>
      </c>
      <c r="B2368" s="2">
        <v>44941</v>
      </c>
      <c r="C2368" s="2" t="str">
        <f>TEXT(Table3[[#This Row],[Order Date]],"mmmm")</f>
        <v>January</v>
      </c>
      <c r="D2368" t="s">
        <v>3731</v>
      </c>
      <c r="E2368" t="s">
        <v>3223</v>
      </c>
      <c r="F2368" t="s">
        <v>3226</v>
      </c>
      <c r="G2368" s="4">
        <v>41248.050000000003</v>
      </c>
      <c r="H2368" s="4">
        <v>32998.44</v>
      </c>
      <c r="I2368" s="3" t="s">
        <v>3735</v>
      </c>
      <c r="J2368">
        <v>5</v>
      </c>
      <c r="K2368" s="4">
        <f>Table3[[#This Row],[Sales]]-Table3[[#This Row],[Cost]]</f>
        <v>8249.61</v>
      </c>
      <c r="L2368" s="6">
        <f>Table3[[#This Row],[Profit]]/Table3[[#This Row],[Sales]]</f>
        <v>0.2</v>
      </c>
    </row>
    <row r="2369" spans="1:12" x14ac:dyDescent="0.25">
      <c r="A2369" t="s">
        <v>2161</v>
      </c>
      <c r="B2369" s="2">
        <v>45102</v>
      </c>
      <c r="C2369" s="2" t="str">
        <f>TEXT(Table3[[#This Row],[Order Date]],"mmmm")</f>
        <v>June</v>
      </c>
      <c r="D2369" t="s">
        <v>3731</v>
      </c>
      <c r="E2369" t="s">
        <v>3222</v>
      </c>
      <c r="F2369" t="s">
        <v>3226</v>
      </c>
      <c r="G2369" s="4">
        <v>69091.39</v>
      </c>
      <c r="H2369" s="4">
        <v>39909.17</v>
      </c>
      <c r="I2369" s="3" t="s">
        <v>3734</v>
      </c>
      <c r="J2369">
        <v>4</v>
      </c>
      <c r="K2369" s="4">
        <f>Table3[[#This Row],[Sales]]-Table3[[#This Row],[Cost]]</f>
        <v>29182.22</v>
      </c>
      <c r="L2369" s="6">
        <f>Table3[[#This Row],[Profit]]/Table3[[#This Row],[Sales]]</f>
        <v>0.42237129691557806</v>
      </c>
    </row>
    <row r="2370" spans="1:12" x14ac:dyDescent="0.25">
      <c r="A2370" t="s">
        <v>2162</v>
      </c>
      <c r="B2370" s="2">
        <v>45021</v>
      </c>
      <c r="C2370" s="2" t="str">
        <f>TEXT(Table3[[#This Row],[Order Date]],"mmmm")</f>
        <v>April</v>
      </c>
      <c r="D2370" t="s">
        <v>3220</v>
      </c>
      <c r="E2370" t="s">
        <v>3225</v>
      </c>
      <c r="F2370" t="s">
        <v>3226</v>
      </c>
      <c r="G2370" s="4">
        <v>84891.44</v>
      </c>
      <c r="H2370" s="4">
        <v>49405.54</v>
      </c>
      <c r="I2370" s="3" t="s">
        <v>3734</v>
      </c>
      <c r="J2370">
        <v>4</v>
      </c>
      <c r="K2370" s="4">
        <f>Table3[[#This Row],[Sales]]-Table3[[#This Row],[Cost]]</f>
        <v>35485.9</v>
      </c>
      <c r="L2370" s="6">
        <f>Table3[[#This Row],[Profit]]/Table3[[#This Row],[Sales]]</f>
        <v>0.41801505546377821</v>
      </c>
    </row>
    <row r="2371" spans="1:12" x14ac:dyDescent="0.25">
      <c r="A2371" t="s">
        <v>2163</v>
      </c>
      <c r="B2371" s="2">
        <v>44972</v>
      </c>
      <c r="C2371" s="2" t="str">
        <f>TEXT(Table3[[#This Row],[Order Date]],"mmmm")</f>
        <v>February</v>
      </c>
      <c r="D2371" t="s">
        <v>3220</v>
      </c>
      <c r="E2371" t="s">
        <v>3225</v>
      </c>
      <c r="F2371" t="s">
        <v>3226</v>
      </c>
      <c r="G2371" s="4">
        <v>81861.600000000006</v>
      </c>
      <c r="H2371" s="4">
        <v>70136.11</v>
      </c>
      <c r="I2371" s="3" t="s">
        <v>3734</v>
      </c>
      <c r="J2371">
        <v>5</v>
      </c>
      <c r="K2371" s="4">
        <f>Table3[[#This Row],[Sales]]-Table3[[#This Row],[Cost]]</f>
        <v>11725.490000000005</v>
      </c>
      <c r="L2371" s="6">
        <f>Table3[[#This Row],[Profit]]/Table3[[#This Row],[Sales]]</f>
        <v>0.14323553412100429</v>
      </c>
    </row>
    <row r="2372" spans="1:12" x14ac:dyDescent="0.25">
      <c r="A2372" t="s">
        <v>2164</v>
      </c>
      <c r="B2372" s="2">
        <v>45102</v>
      </c>
      <c r="C2372" s="2" t="str">
        <f>TEXT(Table3[[#This Row],[Order Date]],"mmmm")</f>
        <v>June</v>
      </c>
      <c r="D2372" t="s">
        <v>3731</v>
      </c>
      <c r="E2372" t="s">
        <v>3222</v>
      </c>
      <c r="F2372" t="s">
        <v>3226</v>
      </c>
      <c r="G2372" s="4">
        <v>88971.8</v>
      </c>
      <c r="H2372" s="4">
        <v>46226.44</v>
      </c>
      <c r="I2372" s="3" t="s">
        <v>3734</v>
      </c>
      <c r="J2372">
        <v>5</v>
      </c>
      <c r="K2372" s="4">
        <f>Table3[[#This Row],[Sales]]-Table3[[#This Row],[Cost]]</f>
        <v>42745.36</v>
      </c>
      <c r="L2372" s="6">
        <f>Table3[[#This Row],[Profit]]/Table3[[#This Row],[Sales]]</f>
        <v>0.48043717222760468</v>
      </c>
    </row>
    <row r="2373" spans="1:12" x14ac:dyDescent="0.25">
      <c r="A2373" t="s">
        <v>1835</v>
      </c>
      <c r="B2373" s="2">
        <v>44972</v>
      </c>
      <c r="C2373" s="2" t="str">
        <f>TEXT(Table3[[#This Row],[Order Date]],"mmmm")</f>
        <v>February</v>
      </c>
      <c r="D2373" t="s">
        <v>3730</v>
      </c>
      <c r="E2373" t="s">
        <v>3225</v>
      </c>
      <c r="F2373" t="s">
        <v>3226</v>
      </c>
      <c r="G2373" s="4">
        <v>104993.69</v>
      </c>
      <c r="H2373" s="4">
        <v>69946.19</v>
      </c>
      <c r="I2373" s="3" t="s">
        <v>3734</v>
      </c>
      <c r="J2373">
        <v>5</v>
      </c>
      <c r="K2373" s="4">
        <f>Table3[[#This Row],[Sales]]-Table3[[#This Row],[Cost]]</f>
        <v>35047.5</v>
      </c>
      <c r="L2373" s="6">
        <f>Table3[[#This Row],[Profit]]/Table3[[#This Row],[Sales]]</f>
        <v>0.3338057744232058</v>
      </c>
    </row>
    <row r="2374" spans="1:12" x14ac:dyDescent="0.25">
      <c r="A2374" t="s">
        <v>3251</v>
      </c>
      <c r="B2374" s="2" t="s">
        <v>3729</v>
      </c>
      <c r="C2374" s="2" t="str">
        <f>TEXT(Table3[[#This Row],[Order Date]],"mmmm")</f>
        <v>Not Mentioned</v>
      </c>
      <c r="D2374" t="s">
        <v>3220</v>
      </c>
      <c r="E2374" t="s">
        <v>3225</v>
      </c>
      <c r="F2374" t="s">
        <v>3226</v>
      </c>
      <c r="G2374" s="4">
        <v>58201.120000000003</v>
      </c>
      <c r="H2374" s="4">
        <v>46560.896000000008</v>
      </c>
      <c r="I2374" s="3" t="s">
        <v>3735</v>
      </c>
      <c r="J2374">
        <v>3</v>
      </c>
      <c r="K2374" s="4">
        <f>Table3[[#This Row],[Sales]]-Table3[[#This Row],[Cost]]</f>
        <v>11640.223999999995</v>
      </c>
      <c r="L2374" s="6">
        <f>Table3[[#This Row],[Profit]]/Table3[[#This Row],[Sales]]</f>
        <v>0.1999999999999999</v>
      </c>
    </row>
    <row r="2375" spans="1:12" x14ac:dyDescent="0.25">
      <c r="A2375" t="s">
        <v>2165</v>
      </c>
      <c r="B2375" s="2">
        <v>45021</v>
      </c>
      <c r="C2375" s="2" t="str">
        <f>TEXT(Table3[[#This Row],[Order Date]],"mmmm")</f>
        <v>April</v>
      </c>
      <c r="D2375" t="s">
        <v>3220</v>
      </c>
      <c r="E2375" t="s">
        <v>3223</v>
      </c>
      <c r="F2375" t="s">
        <v>3226</v>
      </c>
      <c r="G2375" s="4">
        <v>17802.13</v>
      </c>
      <c r="H2375" s="4">
        <v>12466.26</v>
      </c>
      <c r="I2375" s="3" t="s">
        <v>3734</v>
      </c>
      <c r="J2375" t="s">
        <v>3732</v>
      </c>
      <c r="K2375" s="4">
        <f>Table3[[#This Row],[Sales]]-Table3[[#This Row],[Cost]]</f>
        <v>5335.8700000000008</v>
      </c>
      <c r="L2375" s="6">
        <f>Table3[[#This Row],[Profit]]/Table3[[#This Row],[Sales]]</f>
        <v>0.29973211070810069</v>
      </c>
    </row>
    <row r="2376" spans="1:12" x14ac:dyDescent="0.25">
      <c r="A2376" t="s">
        <v>2166</v>
      </c>
      <c r="B2376" s="2">
        <v>44941</v>
      </c>
      <c r="C2376" s="2" t="str">
        <f>TEXT(Table3[[#This Row],[Order Date]],"mmmm")</f>
        <v>January</v>
      </c>
      <c r="D2376" t="s">
        <v>3220</v>
      </c>
      <c r="E2376" t="s">
        <v>3222</v>
      </c>
      <c r="F2376" t="s">
        <v>3226</v>
      </c>
      <c r="G2376" s="4">
        <v>77783.12</v>
      </c>
      <c r="H2376" s="4">
        <v>52016.37</v>
      </c>
      <c r="I2376" s="3" t="s">
        <v>3734</v>
      </c>
      <c r="J2376">
        <v>5</v>
      </c>
      <c r="K2376" s="4">
        <f>Table3[[#This Row],[Sales]]-Table3[[#This Row],[Cost]]</f>
        <v>25766.749999999993</v>
      </c>
      <c r="L2376" s="6">
        <f>Table3[[#This Row],[Profit]]/Table3[[#This Row],[Sales]]</f>
        <v>0.3312640326075888</v>
      </c>
    </row>
    <row r="2377" spans="1:12" x14ac:dyDescent="0.25">
      <c r="A2377" t="s">
        <v>2167</v>
      </c>
      <c r="B2377" s="2">
        <v>45005</v>
      </c>
      <c r="C2377" s="2" t="str">
        <f>TEXT(Table3[[#This Row],[Order Date]],"mmmm")</f>
        <v>March</v>
      </c>
      <c r="D2377" t="s">
        <v>3220</v>
      </c>
      <c r="E2377" t="s">
        <v>3224</v>
      </c>
      <c r="F2377" t="s">
        <v>3226</v>
      </c>
      <c r="G2377" s="4">
        <v>333458.81</v>
      </c>
      <c r="H2377" s="4">
        <v>192378.77</v>
      </c>
      <c r="I2377" s="3" t="s">
        <v>3734</v>
      </c>
      <c r="J2377">
        <v>5</v>
      </c>
      <c r="K2377" s="4">
        <f>Table3[[#This Row],[Sales]]-Table3[[#This Row],[Cost]]</f>
        <v>141080.04</v>
      </c>
      <c r="L2377" s="6">
        <f>Table3[[#This Row],[Profit]]/Table3[[#This Row],[Sales]]</f>
        <v>0.42308085967199371</v>
      </c>
    </row>
    <row r="2378" spans="1:12" x14ac:dyDescent="0.25">
      <c r="A2378" t="s">
        <v>3594</v>
      </c>
      <c r="B2378" s="2">
        <v>44972</v>
      </c>
      <c r="C2378" s="2" t="str">
        <f>TEXT(Table3[[#This Row],[Order Date]],"mmmm")</f>
        <v>February</v>
      </c>
      <c r="D2378" t="s">
        <v>3731</v>
      </c>
      <c r="E2378" t="s">
        <v>3223</v>
      </c>
      <c r="F2378" t="s">
        <v>3226</v>
      </c>
      <c r="G2378" s="4">
        <v>29295.31</v>
      </c>
      <c r="H2378" s="4">
        <v>22240.34</v>
      </c>
      <c r="I2378" s="3" t="s">
        <v>3734</v>
      </c>
      <c r="J2378">
        <v>3</v>
      </c>
      <c r="K2378" s="4">
        <f>Table3[[#This Row],[Sales]]-Table3[[#This Row],[Cost]]</f>
        <v>7054.9700000000012</v>
      </c>
      <c r="L2378" s="6">
        <f>Table3[[#This Row],[Profit]]/Table3[[#This Row],[Sales]]</f>
        <v>0.24082250708389843</v>
      </c>
    </row>
    <row r="2379" spans="1:12" x14ac:dyDescent="0.25">
      <c r="A2379" t="s">
        <v>506</v>
      </c>
      <c r="B2379" s="2">
        <v>45021</v>
      </c>
      <c r="C2379" s="2" t="str">
        <f>TEXT(Table3[[#This Row],[Order Date]],"mmmm")</f>
        <v>April</v>
      </c>
      <c r="D2379" t="s">
        <v>3216</v>
      </c>
      <c r="E2379" t="s">
        <v>3223</v>
      </c>
      <c r="F2379" t="s">
        <v>3226</v>
      </c>
      <c r="G2379" s="4">
        <v>31674.89</v>
      </c>
      <c r="H2379" s="4">
        <v>25339.912</v>
      </c>
      <c r="I2379" s="3" t="s">
        <v>3735</v>
      </c>
      <c r="J2379">
        <v>3</v>
      </c>
      <c r="K2379" s="4">
        <f>Table3[[#This Row],[Sales]]-Table3[[#This Row],[Cost]]</f>
        <v>6334.9779999999992</v>
      </c>
      <c r="L2379" s="6">
        <f>Table3[[#This Row],[Profit]]/Table3[[#This Row],[Sales]]</f>
        <v>0.19999999999999998</v>
      </c>
    </row>
    <row r="2380" spans="1:12" x14ac:dyDescent="0.25">
      <c r="A2380" t="s">
        <v>3399</v>
      </c>
      <c r="B2380" s="2">
        <v>45005</v>
      </c>
      <c r="C2380" s="2" t="str">
        <f>TEXT(Table3[[#This Row],[Order Date]],"mmmm")</f>
        <v>March</v>
      </c>
      <c r="D2380" t="s">
        <v>3730</v>
      </c>
      <c r="E2380" t="s">
        <v>3224</v>
      </c>
      <c r="F2380" t="s">
        <v>3226</v>
      </c>
      <c r="G2380" s="4">
        <v>123347.92</v>
      </c>
      <c r="H2380" s="4">
        <v>92419.97</v>
      </c>
      <c r="I2380" s="3" t="s">
        <v>3734</v>
      </c>
      <c r="J2380">
        <v>2</v>
      </c>
      <c r="K2380" s="4">
        <f>Table3[[#This Row],[Sales]]-Table3[[#This Row],[Cost]]</f>
        <v>30927.949999999997</v>
      </c>
      <c r="L2380" s="6">
        <f>Table3[[#This Row],[Profit]]/Table3[[#This Row],[Sales]]</f>
        <v>0.25073750736939865</v>
      </c>
    </row>
    <row r="2381" spans="1:12" x14ac:dyDescent="0.25">
      <c r="A2381" t="s">
        <v>2169</v>
      </c>
      <c r="B2381" s="2">
        <v>45021</v>
      </c>
      <c r="C2381" s="2" t="str">
        <f>TEXT(Table3[[#This Row],[Order Date]],"mmmm")</f>
        <v>April</v>
      </c>
      <c r="D2381" t="s">
        <v>3220</v>
      </c>
      <c r="E2381" t="s">
        <v>3225</v>
      </c>
      <c r="F2381" t="s">
        <v>3226</v>
      </c>
      <c r="G2381" s="4">
        <v>70865.919999999998</v>
      </c>
      <c r="H2381" s="4">
        <v>44021.64</v>
      </c>
      <c r="I2381" s="3" t="s">
        <v>3734</v>
      </c>
      <c r="J2381">
        <v>3</v>
      </c>
      <c r="K2381" s="4">
        <f>Table3[[#This Row],[Sales]]-Table3[[#This Row],[Cost]]</f>
        <v>26844.28</v>
      </c>
      <c r="L2381" s="6">
        <f>Table3[[#This Row],[Profit]]/Table3[[#This Row],[Sales]]</f>
        <v>0.3788038030127881</v>
      </c>
    </row>
    <row r="2382" spans="1:12" x14ac:dyDescent="0.25">
      <c r="A2382" t="s">
        <v>2170</v>
      </c>
      <c r="B2382" s="2">
        <v>44972</v>
      </c>
      <c r="C2382" s="2" t="str">
        <f>TEXT(Table3[[#This Row],[Order Date]],"mmmm")</f>
        <v>February</v>
      </c>
      <c r="D2382" t="s">
        <v>3731</v>
      </c>
      <c r="E2382" t="s">
        <v>3222</v>
      </c>
      <c r="F2382" t="s">
        <v>3226</v>
      </c>
      <c r="G2382" s="4">
        <v>37325.9</v>
      </c>
      <c r="H2382" s="4">
        <v>29586.41</v>
      </c>
      <c r="I2382" s="3" t="s">
        <v>3734</v>
      </c>
      <c r="J2382">
        <v>3</v>
      </c>
      <c r="K2382" s="4">
        <f>Table3[[#This Row],[Sales]]-Table3[[#This Row],[Cost]]</f>
        <v>7739.4900000000016</v>
      </c>
      <c r="L2382" s="6">
        <f>Table3[[#This Row],[Profit]]/Table3[[#This Row],[Sales]]</f>
        <v>0.20734905253456717</v>
      </c>
    </row>
    <row r="2383" spans="1:12" x14ac:dyDescent="0.25">
      <c r="A2383" t="s">
        <v>2171</v>
      </c>
      <c r="B2383" s="2">
        <v>45005</v>
      </c>
      <c r="C2383" s="2" t="str">
        <f>TEXT(Table3[[#This Row],[Order Date]],"mmmm")</f>
        <v>March</v>
      </c>
      <c r="D2383" t="s">
        <v>3220</v>
      </c>
      <c r="E2383" t="s">
        <v>3225</v>
      </c>
      <c r="F2383" t="s">
        <v>3226</v>
      </c>
      <c r="G2383" s="4">
        <v>35029.83</v>
      </c>
      <c r="H2383" s="4">
        <v>27893.45</v>
      </c>
      <c r="I2383" s="3" t="s">
        <v>3734</v>
      </c>
      <c r="J2383">
        <v>2</v>
      </c>
      <c r="K2383" s="4">
        <f>Table3[[#This Row],[Sales]]-Table3[[#This Row],[Cost]]</f>
        <v>7136.380000000001</v>
      </c>
      <c r="L2383" s="6">
        <f>Table3[[#This Row],[Profit]]/Table3[[#This Row],[Sales]]</f>
        <v>0.20372294127604959</v>
      </c>
    </row>
    <row r="2384" spans="1:12" x14ac:dyDescent="0.25">
      <c r="A2384" t="s">
        <v>3358</v>
      </c>
      <c r="B2384" s="2">
        <v>45102</v>
      </c>
      <c r="C2384" s="2" t="str">
        <f>TEXT(Table3[[#This Row],[Order Date]],"mmmm")</f>
        <v>June</v>
      </c>
      <c r="D2384" t="s">
        <v>3730</v>
      </c>
      <c r="E2384" t="s">
        <v>3225</v>
      </c>
      <c r="F2384" t="s">
        <v>3226</v>
      </c>
      <c r="G2384" s="4">
        <v>21472.959999999999</v>
      </c>
      <c r="H2384" s="4">
        <v>17178.367999999999</v>
      </c>
      <c r="I2384" s="3" t="s">
        <v>3735</v>
      </c>
      <c r="J2384">
        <v>1</v>
      </c>
      <c r="K2384" s="4">
        <f>Table3[[#This Row],[Sales]]-Table3[[#This Row],[Cost]]</f>
        <v>4294.5920000000006</v>
      </c>
      <c r="L2384" s="6">
        <f>Table3[[#This Row],[Profit]]/Table3[[#This Row],[Sales]]</f>
        <v>0.20000000000000004</v>
      </c>
    </row>
    <row r="2385" spans="1:12" x14ac:dyDescent="0.25">
      <c r="A2385" t="s">
        <v>554</v>
      </c>
      <c r="B2385" s="2">
        <v>45005</v>
      </c>
      <c r="C2385" s="2" t="str">
        <f>TEXT(Table3[[#This Row],[Order Date]],"mmmm")</f>
        <v>March</v>
      </c>
      <c r="D2385" t="s">
        <v>3220</v>
      </c>
      <c r="E2385" t="s">
        <v>3225</v>
      </c>
      <c r="F2385" t="s">
        <v>3226</v>
      </c>
      <c r="G2385" s="4">
        <v>37115.97</v>
      </c>
      <c r="H2385" s="4">
        <v>30461.23</v>
      </c>
      <c r="I2385" s="3" t="s">
        <v>3734</v>
      </c>
      <c r="J2385">
        <v>2</v>
      </c>
      <c r="K2385" s="4">
        <f>Table3[[#This Row],[Sales]]-Table3[[#This Row],[Cost]]</f>
        <v>6654.7400000000016</v>
      </c>
      <c r="L2385" s="6">
        <f>Table3[[#This Row],[Profit]]/Table3[[#This Row],[Sales]]</f>
        <v>0.17929586644239667</v>
      </c>
    </row>
    <row r="2386" spans="1:12" x14ac:dyDescent="0.25">
      <c r="A2386" t="s">
        <v>2172</v>
      </c>
      <c r="B2386" s="2">
        <v>44972</v>
      </c>
      <c r="C2386" s="2" t="str">
        <f>TEXT(Table3[[#This Row],[Order Date]],"mmmm")</f>
        <v>February</v>
      </c>
      <c r="D2386" t="s">
        <v>3216</v>
      </c>
      <c r="E2386" t="s">
        <v>3223</v>
      </c>
      <c r="F2386" t="s">
        <v>3226</v>
      </c>
      <c r="G2386" s="4">
        <v>44187.79</v>
      </c>
      <c r="H2386" s="4">
        <v>26311.59</v>
      </c>
      <c r="I2386" s="3" t="s">
        <v>3734</v>
      </c>
      <c r="J2386">
        <v>4</v>
      </c>
      <c r="K2386" s="4">
        <f>Table3[[#This Row],[Sales]]-Table3[[#This Row],[Cost]]</f>
        <v>17876.2</v>
      </c>
      <c r="L2386" s="6">
        <f>Table3[[#This Row],[Profit]]/Table3[[#This Row],[Sales]]</f>
        <v>0.40455066886123975</v>
      </c>
    </row>
    <row r="2387" spans="1:12" x14ac:dyDescent="0.25">
      <c r="A2387" t="s">
        <v>2173</v>
      </c>
      <c r="B2387" s="2">
        <v>44941</v>
      </c>
      <c r="C2387" s="2" t="str">
        <f>TEXT(Table3[[#This Row],[Order Date]],"mmmm")</f>
        <v>January</v>
      </c>
      <c r="D2387" t="s">
        <v>3216</v>
      </c>
      <c r="E2387" t="s">
        <v>3223</v>
      </c>
      <c r="F2387" t="s">
        <v>3226</v>
      </c>
      <c r="G2387" s="4">
        <v>30052.11</v>
      </c>
      <c r="H2387" s="4">
        <v>21363.61</v>
      </c>
      <c r="I2387" s="3" t="s">
        <v>3734</v>
      </c>
      <c r="J2387">
        <v>3</v>
      </c>
      <c r="K2387" s="4">
        <f>Table3[[#This Row],[Sales]]-Table3[[#This Row],[Cost]]</f>
        <v>8688.5</v>
      </c>
      <c r="L2387" s="6">
        <f>Table3[[#This Row],[Profit]]/Table3[[#This Row],[Sales]]</f>
        <v>0.28911447482389757</v>
      </c>
    </row>
    <row r="2388" spans="1:12" x14ac:dyDescent="0.25">
      <c r="A2388" t="s">
        <v>3595</v>
      </c>
      <c r="B2388" s="2">
        <v>44941</v>
      </c>
      <c r="C2388" s="2" t="str">
        <f>TEXT(Table3[[#This Row],[Order Date]],"mmmm")</f>
        <v>January</v>
      </c>
      <c r="D2388" t="s">
        <v>3220</v>
      </c>
      <c r="E2388" t="s">
        <v>3224</v>
      </c>
      <c r="F2388" t="s">
        <v>3226</v>
      </c>
      <c r="G2388" s="4">
        <v>328004.34999999998</v>
      </c>
      <c r="H2388" s="4">
        <v>235782.05</v>
      </c>
      <c r="I2388" s="3" t="s">
        <v>3734</v>
      </c>
      <c r="J2388">
        <v>5</v>
      </c>
      <c r="K2388" s="4">
        <f>Table3[[#This Row],[Sales]]-Table3[[#This Row],[Cost]]</f>
        <v>92222.299999999988</v>
      </c>
      <c r="L2388" s="6">
        <f>Table3[[#This Row],[Profit]]/Table3[[#This Row],[Sales]]</f>
        <v>0.28116181995757067</v>
      </c>
    </row>
    <row r="2389" spans="1:12" x14ac:dyDescent="0.25">
      <c r="A2389" t="s">
        <v>3596</v>
      </c>
      <c r="B2389" s="2">
        <v>45021</v>
      </c>
      <c r="C2389" s="2" t="str">
        <f>TEXT(Table3[[#This Row],[Order Date]],"mmmm")</f>
        <v>April</v>
      </c>
      <c r="D2389" t="s">
        <v>3731</v>
      </c>
      <c r="E2389" t="s">
        <v>3224</v>
      </c>
      <c r="F2389" t="s">
        <v>3226</v>
      </c>
      <c r="G2389" s="4">
        <v>211739.85</v>
      </c>
      <c r="H2389" s="4">
        <v>134260.31</v>
      </c>
      <c r="I2389" s="3" t="s">
        <v>3734</v>
      </c>
      <c r="J2389">
        <v>3</v>
      </c>
      <c r="K2389" s="4">
        <f>Table3[[#This Row],[Sales]]-Table3[[#This Row],[Cost]]</f>
        <v>77479.540000000008</v>
      </c>
      <c r="L2389" s="6">
        <f>Table3[[#This Row],[Profit]]/Table3[[#This Row],[Sales]]</f>
        <v>0.36591855524597761</v>
      </c>
    </row>
    <row r="2390" spans="1:12" x14ac:dyDescent="0.25">
      <c r="A2390" t="s">
        <v>2176</v>
      </c>
      <c r="B2390" s="2">
        <v>44972</v>
      </c>
      <c r="C2390" s="2" t="str">
        <f>TEXT(Table3[[#This Row],[Order Date]],"mmmm")</f>
        <v>February</v>
      </c>
      <c r="D2390" t="s">
        <v>3216</v>
      </c>
      <c r="E2390" t="s">
        <v>3225</v>
      </c>
      <c r="F2390" t="s">
        <v>3226</v>
      </c>
      <c r="G2390" s="4">
        <v>38624.01</v>
      </c>
      <c r="H2390" s="4">
        <v>26136.74</v>
      </c>
      <c r="I2390" s="3" t="s">
        <v>3734</v>
      </c>
      <c r="J2390">
        <v>2</v>
      </c>
      <c r="K2390" s="4">
        <f>Table3[[#This Row],[Sales]]-Table3[[#This Row],[Cost]]</f>
        <v>12487.27</v>
      </c>
      <c r="L2390" s="6">
        <f>Table3[[#This Row],[Profit]]/Table3[[#This Row],[Sales]]</f>
        <v>0.32330330279015568</v>
      </c>
    </row>
    <row r="2391" spans="1:12" x14ac:dyDescent="0.25">
      <c r="A2391" t="s">
        <v>3597</v>
      </c>
      <c r="B2391" s="2">
        <v>45102</v>
      </c>
      <c r="C2391" s="2" t="str">
        <f>TEXT(Table3[[#This Row],[Order Date]],"mmmm")</f>
        <v>June</v>
      </c>
      <c r="D2391" t="s">
        <v>3730</v>
      </c>
      <c r="E2391" t="s">
        <v>3225</v>
      </c>
      <c r="F2391" t="s">
        <v>3226</v>
      </c>
      <c r="G2391" s="4">
        <v>109101.39</v>
      </c>
      <c r="H2391" s="4">
        <v>69145.8</v>
      </c>
      <c r="I2391" s="3" t="s">
        <v>3734</v>
      </c>
      <c r="J2391">
        <v>5</v>
      </c>
      <c r="K2391" s="4">
        <f>Table3[[#This Row],[Sales]]-Table3[[#This Row],[Cost]]</f>
        <v>39955.589999999997</v>
      </c>
      <c r="L2391" s="6">
        <f>Table3[[#This Row],[Profit]]/Table3[[#This Row],[Sales]]</f>
        <v>0.36622438999173151</v>
      </c>
    </row>
    <row r="2392" spans="1:12" x14ac:dyDescent="0.25">
      <c r="A2392" t="s">
        <v>2178</v>
      </c>
      <c r="B2392" s="2">
        <v>44972</v>
      </c>
      <c r="C2392" s="2" t="str">
        <f>TEXT(Table3[[#This Row],[Order Date]],"mmmm")</f>
        <v>February</v>
      </c>
      <c r="D2392" t="s">
        <v>3216</v>
      </c>
      <c r="E2392" t="s">
        <v>3223</v>
      </c>
      <c r="F2392" t="s">
        <v>3226</v>
      </c>
      <c r="G2392" s="4">
        <v>17717.18</v>
      </c>
      <c r="H2392" s="4">
        <v>12229.67</v>
      </c>
      <c r="I2392" s="3" t="s">
        <v>3734</v>
      </c>
      <c r="J2392">
        <v>2</v>
      </c>
      <c r="K2392" s="4">
        <f>Table3[[#This Row],[Sales]]-Table3[[#This Row],[Cost]]</f>
        <v>5487.51</v>
      </c>
      <c r="L2392" s="6">
        <f>Table3[[#This Row],[Profit]]/Table3[[#This Row],[Sales]]</f>
        <v>0.30972818473368785</v>
      </c>
    </row>
    <row r="2393" spans="1:12" x14ac:dyDescent="0.25">
      <c r="A2393" t="s">
        <v>2179</v>
      </c>
      <c r="B2393" s="2">
        <v>45005</v>
      </c>
      <c r="C2393" s="2" t="str">
        <f>TEXT(Table3[[#This Row],[Order Date]],"mmmm")</f>
        <v>March</v>
      </c>
      <c r="D2393" t="s">
        <v>3216</v>
      </c>
      <c r="E2393" t="s">
        <v>3224</v>
      </c>
      <c r="F2393" t="s">
        <v>3226</v>
      </c>
      <c r="G2393" s="4">
        <v>271637.28000000003</v>
      </c>
      <c r="H2393" s="4">
        <v>184553.79</v>
      </c>
      <c r="I2393" s="3" t="s">
        <v>3734</v>
      </c>
      <c r="J2393">
        <v>4</v>
      </c>
      <c r="K2393" s="4">
        <f>Table3[[#This Row],[Sales]]-Table3[[#This Row],[Cost]]</f>
        <v>87083.49000000002</v>
      </c>
      <c r="L2393" s="6">
        <f>Table3[[#This Row],[Profit]]/Table3[[#This Row],[Sales]]</f>
        <v>0.32058740243607214</v>
      </c>
    </row>
    <row r="2394" spans="1:12" x14ac:dyDescent="0.25">
      <c r="A2394" t="s">
        <v>2180</v>
      </c>
      <c r="B2394" s="2">
        <v>45102</v>
      </c>
      <c r="C2394" s="2" t="str">
        <f>TEXT(Table3[[#This Row],[Order Date]],"mmmm")</f>
        <v>June</v>
      </c>
      <c r="D2394" t="s">
        <v>3730</v>
      </c>
      <c r="E2394" t="s">
        <v>3225</v>
      </c>
      <c r="F2394" t="s">
        <v>3226</v>
      </c>
      <c r="G2394" s="4">
        <v>22317.85</v>
      </c>
      <c r="H2394" s="4">
        <v>15013.67</v>
      </c>
      <c r="I2394" s="3" t="s">
        <v>3734</v>
      </c>
      <c r="J2394">
        <v>1</v>
      </c>
      <c r="K2394" s="4">
        <f>Table3[[#This Row],[Sales]]-Table3[[#This Row],[Cost]]</f>
        <v>7304.1799999999985</v>
      </c>
      <c r="L2394" s="6">
        <f>Table3[[#This Row],[Profit]]/Table3[[#This Row],[Sales]]</f>
        <v>0.32727973348687256</v>
      </c>
    </row>
    <row r="2395" spans="1:12" x14ac:dyDescent="0.25">
      <c r="A2395" t="s">
        <v>653</v>
      </c>
      <c r="B2395" s="2" t="s">
        <v>3729</v>
      </c>
      <c r="C2395" s="2" t="str">
        <f>TEXT(Table3[[#This Row],[Order Date]],"mmmm")</f>
        <v>Not Mentioned</v>
      </c>
      <c r="D2395" t="s">
        <v>3730</v>
      </c>
      <c r="E2395" t="s">
        <v>3225</v>
      </c>
      <c r="F2395" t="s">
        <v>3226</v>
      </c>
      <c r="G2395" s="4">
        <v>84755.27</v>
      </c>
      <c r="H2395" s="4">
        <v>56165.69</v>
      </c>
      <c r="I2395" s="3" t="s">
        <v>3734</v>
      </c>
      <c r="J2395">
        <v>4</v>
      </c>
      <c r="K2395" s="4">
        <f>Table3[[#This Row],[Sales]]-Table3[[#This Row],[Cost]]</f>
        <v>28589.58</v>
      </c>
      <c r="L2395" s="6">
        <f>Table3[[#This Row],[Profit]]/Table3[[#This Row],[Sales]]</f>
        <v>0.33731920150805961</v>
      </c>
    </row>
    <row r="2396" spans="1:12" x14ac:dyDescent="0.25">
      <c r="A2396" t="s">
        <v>2181</v>
      </c>
      <c r="B2396" s="2" t="s">
        <v>3729</v>
      </c>
      <c r="C2396" s="2" t="str">
        <f>TEXT(Table3[[#This Row],[Order Date]],"mmmm")</f>
        <v>Not Mentioned</v>
      </c>
      <c r="D2396" t="s">
        <v>3731</v>
      </c>
      <c r="E2396" t="s">
        <v>3224</v>
      </c>
      <c r="F2396" t="s">
        <v>3226</v>
      </c>
      <c r="G2396" s="4">
        <v>332440.33</v>
      </c>
      <c r="H2396" s="4">
        <v>216010.38</v>
      </c>
      <c r="I2396" s="3" t="s">
        <v>3734</v>
      </c>
      <c r="J2396">
        <v>5</v>
      </c>
      <c r="K2396" s="4">
        <f>Table3[[#This Row],[Sales]]-Table3[[#This Row],[Cost]]</f>
        <v>116429.95000000001</v>
      </c>
      <c r="L2396" s="6">
        <f>Table3[[#This Row],[Profit]]/Table3[[#This Row],[Sales]]</f>
        <v>0.35022811462135178</v>
      </c>
    </row>
    <row r="2397" spans="1:12" x14ac:dyDescent="0.25">
      <c r="A2397" t="s">
        <v>2182</v>
      </c>
      <c r="B2397" s="2">
        <v>44972</v>
      </c>
      <c r="C2397" s="2" t="str">
        <f>TEXT(Table3[[#This Row],[Order Date]],"mmmm")</f>
        <v>February</v>
      </c>
      <c r="D2397" t="s">
        <v>3220</v>
      </c>
      <c r="E2397" t="s">
        <v>3225</v>
      </c>
      <c r="F2397" t="s">
        <v>3226</v>
      </c>
      <c r="G2397" s="4">
        <v>77639.91</v>
      </c>
      <c r="H2397" s="4">
        <v>50844.15</v>
      </c>
      <c r="I2397" s="3" t="s">
        <v>3734</v>
      </c>
      <c r="J2397">
        <v>4</v>
      </c>
      <c r="K2397" s="4">
        <f>Table3[[#This Row],[Sales]]-Table3[[#This Row],[Cost]]</f>
        <v>26795.760000000002</v>
      </c>
      <c r="L2397" s="6">
        <f>Table3[[#This Row],[Profit]]/Table3[[#This Row],[Sales]]</f>
        <v>0.34512868446138079</v>
      </c>
    </row>
    <row r="2398" spans="1:12" x14ac:dyDescent="0.25">
      <c r="A2398" t="s">
        <v>3598</v>
      </c>
      <c r="B2398" s="2" t="s">
        <v>3729</v>
      </c>
      <c r="C2398" s="2" t="str">
        <f>TEXT(Table3[[#This Row],[Order Date]],"mmmm")</f>
        <v>Not Mentioned</v>
      </c>
      <c r="D2398" t="s">
        <v>3730</v>
      </c>
      <c r="E2398" t="s">
        <v>3224</v>
      </c>
      <c r="F2398" t="s">
        <v>3226</v>
      </c>
      <c r="G2398" s="4">
        <v>278693.38</v>
      </c>
      <c r="H2398" s="4">
        <v>233851.26</v>
      </c>
      <c r="I2398" s="3" t="s">
        <v>3734</v>
      </c>
      <c r="J2398" t="s">
        <v>3732</v>
      </c>
      <c r="K2398" s="4">
        <f>Table3[[#This Row],[Sales]]-Table3[[#This Row],[Cost]]</f>
        <v>44842.119999999995</v>
      </c>
      <c r="L2398" s="6">
        <f>Table3[[#This Row],[Profit]]/Table3[[#This Row],[Sales]]</f>
        <v>0.16090127436826807</v>
      </c>
    </row>
    <row r="2399" spans="1:12" x14ac:dyDescent="0.25">
      <c r="A2399" t="s">
        <v>2184</v>
      </c>
      <c r="B2399" s="2">
        <v>44941</v>
      </c>
      <c r="C2399" s="2" t="str">
        <f>TEXT(Table3[[#This Row],[Order Date]],"mmmm")</f>
        <v>January</v>
      </c>
      <c r="D2399" t="s">
        <v>3730</v>
      </c>
      <c r="E2399" t="s">
        <v>3222</v>
      </c>
      <c r="F2399" t="s">
        <v>3226</v>
      </c>
      <c r="G2399" s="4">
        <v>13611.16</v>
      </c>
      <c r="H2399" s="4">
        <v>10782.1</v>
      </c>
      <c r="I2399" s="3" t="s">
        <v>3734</v>
      </c>
      <c r="J2399">
        <v>1</v>
      </c>
      <c r="K2399" s="4">
        <f>Table3[[#This Row],[Sales]]-Table3[[#This Row],[Cost]]</f>
        <v>2829.0599999999995</v>
      </c>
      <c r="L2399" s="6">
        <f>Table3[[#This Row],[Profit]]/Table3[[#This Row],[Sales]]</f>
        <v>0.20784855956435744</v>
      </c>
    </row>
    <row r="2400" spans="1:12" x14ac:dyDescent="0.25">
      <c r="A2400" t="s">
        <v>2185</v>
      </c>
      <c r="B2400" s="2">
        <v>45005</v>
      </c>
      <c r="C2400" s="2" t="str">
        <f>TEXT(Table3[[#This Row],[Order Date]],"mmmm")</f>
        <v>March</v>
      </c>
      <c r="D2400" t="s">
        <v>3216</v>
      </c>
      <c r="E2400" t="s">
        <v>3224</v>
      </c>
      <c r="F2400" t="s">
        <v>3226</v>
      </c>
      <c r="G2400" s="4">
        <v>223280.12</v>
      </c>
      <c r="H2400" s="4">
        <v>157726.26</v>
      </c>
      <c r="I2400" s="3" t="s">
        <v>3734</v>
      </c>
      <c r="J2400">
        <v>4</v>
      </c>
      <c r="K2400" s="4">
        <f>Table3[[#This Row],[Sales]]-Table3[[#This Row],[Cost]]</f>
        <v>65553.859999999986</v>
      </c>
      <c r="L2400" s="6">
        <f>Table3[[#This Row],[Profit]]/Table3[[#This Row],[Sales]]</f>
        <v>0.2935947006836076</v>
      </c>
    </row>
    <row r="2401" spans="1:12" x14ac:dyDescent="0.25">
      <c r="A2401" t="s">
        <v>2186</v>
      </c>
      <c r="B2401" s="2">
        <v>45102</v>
      </c>
      <c r="C2401" s="2" t="str">
        <f>TEXT(Table3[[#This Row],[Order Date]],"mmmm")</f>
        <v>June</v>
      </c>
      <c r="D2401" t="s">
        <v>3220</v>
      </c>
      <c r="E2401" t="s">
        <v>3225</v>
      </c>
      <c r="F2401" t="s">
        <v>3226</v>
      </c>
      <c r="G2401" s="4">
        <v>18727.04</v>
      </c>
      <c r="H2401" s="4">
        <v>11970.81</v>
      </c>
      <c r="I2401" s="3" t="s">
        <v>3734</v>
      </c>
      <c r="J2401">
        <v>1</v>
      </c>
      <c r="K2401" s="4">
        <f>Table3[[#This Row],[Sales]]-Table3[[#This Row],[Cost]]</f>
        <v>6756.2300000000014</v>
      </c>
      <c r="L2401" s="6">
        <f>Table3[[#This Row],[Profit]]/Table3[[#This Row],[Sales]]</f>
        <v>0.36077404651242273</v>
      </c>
    </row>
    <row r="2402" spans="1:12" x14ac:dyDescent="0.25">
      <c r="A2402" t="s">
        <v>1032</v>
      </c>
      <c r="B2402" s="2">
        <v>45005</v>
      </c>
      <c r="C2402" s="2" t="str">
        <f>TEXT(Table3[[#This Row],[Order Date]],"mmmm")</f>
        <v>March</v>
      </c>
      <c r="D2402" t="s">
        <v>3220</v>
      </c>
      <c r="E2402" t="s">
        <v>3224</v>
      </c>
      <c r="F2402" t="s">
        <v>3226</v>
      </c>
      <c r="G2402" s="4">
        <v>208919.77</v>
      </c>
      <c r="H2402" s="4">
        <v>167135.81599999999</v>
      </c>
      <c r="I2402" s="3" t="s">
        <v>3735</v>
      </c>
      <c r="J2402">
        <v>3</v>
      </c>
      <c r="K2402" s="4">
        <f>Table3[[#This Row],[Sales]]-Table3[[#This Row],[Cost]]</f>
        <v>41783.953999999998</v>
      </c>
      <c r="L2402" s="6">
        <f>Table3[[#This Row],[Profit]]/Table3[[#This Row],[Sales]]</f>
        <v>0.2</v>
      </c>
    </row>
    <row r="2403" spans="1:12" x14ac:dyDescent="0.25">
      <c r="A2403" t="s">
        <v>3599</v>
      </c>
      <c r="B2403" s="2">
        <v>44972</v>
      </c>
      <c r="C2403" s="2" t="str">
        <f>TEXT(Table3[[#This Row],[Order Date]],"mmmm")</f>
        <v>February</v>
      </c>
      <c r="D2403" t="s">
        <v>3220</v>
      </c>
      <c r="E2403" t="s">
        <v>3224</v>
      </c>
      <c r="F2403" t="s">
        <v>3226</v>
      </c>
      <c r="G2403" s="4">
        <v>202060.83</v>
      </c>
      <c r="H2403" s="4">
        <v>132770.97</v>
      </c>
      <c r="I2403" s="3" t="s">
        <v>3734</v>
      </c>
      <c r="J2403">
        <v>3</v>
      </c>
      <c r="K2403" s="4">
        <f>Table3[[#This Row],[Sales]]-Table3[[#This Row],[Cost]]</f>
        <v>69289.859999999986</v>
      </c>
      <c r="L2403" s="6">
        <f>Table3[[#This Row],[Profit]]/Table3[[#This Row],[Sales]]</f>
        <v>0.34291584370904538</v>
      </c>
    </row>
    <row r="2404" spans="1:12" x14ac:dyDescent="0.25">
      <c r="A2404" t="s">
        <v>650</v>
      </c>
      <c r="B2404" s="2">
        <v>45005</v>
      </c>
      <c r="C2404" s="2" t="str">
        <f>TEXT(Table3[[#This Row],[Order Date]],"mmmm")</f>
        <v>March</v>
      </c>
      <c r="D2404" t="s">
        <v>3216</v>
      </c>
      <c r="E2404" t="s">
        <v>3223</v>
      </c>
      <c r="F2404" t="s">
        <v>3226</v>
      </c>
      <c r="G2404" s="4">
        <v>22086.21</v>
      </c>
      <c r="H2404" s="4">
        <v>12363.11</v>
      </c>
      <c r="I2404" s="3" t="s">
        <v>3734</v>
      </c>
      <c r="J2404">
        <v>2</v>
      </c>
      <c r="K2404" s="4">
        <f>Table3[[#This Row],[Sales]]-Table3[[#This Row],[Cost]]</f>
        <v>9723.0999999999985</v>
      </c>
      <c r="L2404" s="6">
        <f>Table3[[#This Row],[Profit]]/Table3[[#This Row],[Sales]]</f>
        <v>0.44023397404987091</v>
      </c>
    </row>
    <row r="2405" spans="1:12" x14ac:dyDescent="0.25">
      <c r="A2405" t="s">
        <v>3600</v>
      </c>
      <c r="B2405" s="2">
        <v>45005</v>
      </c>
      <c r="C2405" s="2" t="str">
        <f>TEXT(Table3[[#This Row],[Order Date]],"mmmm")</f>
        <v>March</v>
      </c>
      <c r="D2405" t="s">
        <v>3220</v>
      </c>
      <c r="E2405" t="s">
        <v>3223</v>
      </c>
      <c r="F2405" t="s">
        <v>3226</v>
      </c>
      <c r="G2405" s="4">
        <v>8634.6200000000008</v>
      </c>
      <c r="H2405" s="4">
        <v>6880.75</v>
      </c>
      <c r="I2405" s="3" t="s">
        <v>3734</v>
      </c>
      <c r="J2405">
        <v>1</v>
      </c>
      <c r="K2405" s="4">
        <f>Table3[[#This Row],[Sales]]-Table3[[#This Row],[Cost]]</f>
        <v>1753.8700000000008</v>
      </c>
      <c r="L2405" s="6">
        <f>Table3[[#This Row],[Profit]]/Table3[[#This Row],[Sales]]</f>
        <v>0.2031206932094291</v>
      </c>
    </row>
    <row r="2406" spans="1:12" x14ac:dyDescent="0.25">
      <c r="A2406" t="s">
        <v>3601</v>
      </c>
      <c r="B2406" s="2">
        <v>44972</v>
      </c>
      <c r="C2406" s="2" t="str">
        <f>TEXT(Table3[[#This Row],[Order Date]],"mmmm")</f>
        <v>February</v>
      </c>
      <c r="D2406" t="s">
        <v>3731</v>
      </c>
      <c r="E2406" t="s">
        <v>3225</v>
      </c>
      <c r="F2406" t="s">
        <v>3226</v>
      </c>
      <c r="G2406" s="4">
        <v>63517.98</v>
      </c>
      <c r="H2406" s="4">
        <v>45187.21</v>
      </c>
      <c r="I2406" s="3" t="s">
        <v>3734</v>
      </c>
      <c r="J2406">
        <v>3</v>
      </c>
      <c r="K2406" s="4">
        <f>Table3[[#This Row],[Sales]]-Table3[[#This Row],[Cost]]</f>
        <v>18330.770000000004</v>
      </c>
      <c r="L2406" s="6">
        <f>Table3[[#This Row],[Profit]]/Table3[[#This Row],[Sales]]</f>
        <v>0.28859182864442484</v>
      </c>
    </row>
    <row r="2407" spans="1:12" x14ac:dyDescent="0.25">
      <c r="A2407" t="s">
        <v>2190</v>
      </c>
      <c r="B2407" s="2">
        <v>45021</v>
      </c>
      <c r="C2407" s="2" t="str">
        <f>TEXT(Table3[[#This Row],[Order Date]],"mmmm")</f>
        <v>April</v>
      </c>
      <c r="D2407" t="s">
        <v>3730</v>
      </c>
      <c r="E2407" t="s">
        <v>3225</v>
      </c>
      <c r="F2407" t="s">
        <v>3226</v>
      </c>
      <c r="G2407" s="4">
        <v>37831.360000000001</v>
      </c>
      <c r="H2407" s="4">
        <v>24919.279999999999</v>
      </c>
      <c r="I2407" s="3" t="s">
        <v>3734</v>
      </c>
      <c r="J2407" t="s">
        <v>3732</v>
      </c>
      <c r="K2407" s="4">
        <f>Table3[[#This Row],[Sales]]-Table3[[#This Row],[Cost]]</f>
        <v>12912.080000000002</v>
      </c>
      <c r="L2407" s="6">
        <f>Table3[[#This Row],[Profit]]/Table3[[#This Row],[Sales]]</f>
        <v>0.34130626020317539</v>
      </c>
    </row>
    <row r="2408" spans="1:12" x14ac:dyDescent="0.25">
      <c r="A2408" t="s">
        <v>2191</v>
      </c>
      <c r="B2408" s="2">
        <v>45021</v>
      </c>
      <c r="C2408" s="2" t="str">
        <f>TEXT(Table3[[#This Row],[Order Date]],"mmmm")</f>
        <v>April</v>
      </c>
      <c r="D2408" t="s">
        <v>3730</v>
      </c>
      <c r="E2408" t="s">
        <v>3225</v>
      </c>
      <c r="F2408" t="s">
        <v>3226</v>
      </c>
      <c r="G2408" s="4">
        <v>116020.43</v>
      </c>
      <c r="H2408" s="4">
        <v>71686.070000000007</v>
      </c>
      <c r="I2408" s="3" t="s">
        <v>3734</v>
      </c>
      <c r="J2408">
        <v>5</v>
      </c>
      <c r="K2408" s="4">
        <f>Table3[[#This Row],[Sales]]-Table3[[#This Row],[Cost]]</f>
        <v>44334.359999999986</v>
      </c>
      <c r="L2408" s="6">
        <f>Table3[[#This Row],[Profit]]/Table3[[#This Row],[Sales]]</f>
        <v>0.3821254584214176</v>
      </c>
    </row>
    <row r="2409" spans="1:12" x14ac:dyDescent="0.25">
      <c r="A2409" t="s">
        <v>3602</v>
      </c>
      <c r="B2409" s="2">
        <v>45102</v>
      </c>
      <c r="C2409" s="2" t="str">
        <f>TEXT(Table3[[#This Row],[Order Date]],"mmmm")</f>
        <v>June</v>
      </c>
      <c r="D2409" t="s">
        <v>3731</v>
      </c>
      <c r="E2409" t="s">
        <v>3224</v>
      </c>
      <c r="F2409" t="s">
        <v>3226</v>
      </c>
      <c r="G2409" s="4">
        <v>113793.7</v>
      </c>
      <c r="H2409" s="4">
        <v>96205.18</v>
      </c>
      <c r="I2409" s="3" t="s">
        <v>3734</v>
      </c>
      <c r="J2409">
        <v>2</v>
      </c>
      <c r="K2409" s="4">
        <f>Table3[[#This Row],[Sales]]-Table3[[#This Row],[Cost]]</f>
        <v>17588.520000000004</v>
      </c>
      <c r="L2409" s="6">
        <f>Table3[[#This Row],[Profit]]/Table3[[#This Row],[Sales]]</f>
        <v>0.15456497152302812</v>
      </c>
    </row>
    <row r="2410" spans="1:12" x14ac:dyDescent="0.25">
      <c r="A2410" t="s">
        <v>1667</v>
      </c>
      <c r="B2410" s="2" t="s">
        <v>3729</v>
      </c>
      <c r="C2410" s="2" t="str">
        <f>TEXT(Table3[[#This Row],[Order Date]],"mmmm")</f>
        <v>Not Mentioned</v>
      </c>
      <c r="D2410" t="s">
        <v>3220</v>
      </c>
      <c r="E2410" t="s">
        <v>3225</v>
      </c>
      <c r="F2410" t="s">
        <v>3226</v>
      </c>
      <c r="G2410" s="4">
        <v>20341.96</v>
      </c>
      <c r="H2410" s="4">
        <v>14665.03</v>
      </c>
      <c r="I2410" s="3" t="s">
        <v>3734</v>
      </c>
      <c r="J2410">
        <v>1</v>
      </c>
      <c r="K2410" s="4">
        <f>Table3[[#This Row],[Sales]]-Table3[[#This Row],[Cost]]</f>
        <v>5676.9299999999985</v>
      </c>
      <c r="L2410" s="6">
        <f>Table3[[#This Row],[Profit]]/Table3[[#This Row],[Sales]]</f>
        <v>0.27907487774039469</v>
      </c>
    </row>
    <row r="2411" spans="1:12" x14ac:dyDescent="0.25">
      <c r="A2411" t="s">
        <v>970</v>
      </c>
      <c r="B2411" s="2">
        <v>44941</v>
      </c>
      <c r="C2411" s="2" t="str">
        <f>TEXT(Table3[[#This Row],[Order Date]],"mmmm")</f>
        <v>January</v>
      </c>
      <c r="D2411" t="s">
        <v>3220</v>
      </c>
      <c r="E2411" t="s">
        <v>3223</v>
      </c>
      <c r="F2411" t="s">
        <v>3226</v>
      </c>
      <c r="G2411" s="4">
        <v>45469.72</v>
      </c>
      <c r="H2411" s="4">
        <v>30457.26</v>
      </c>
      <c r="I2411" s="3" t="s">
        <v>3734</v>
      </c>
      <c r="J2411">
        <v>4</v>
      </c>
      <c r="K2411" s="4">
        <f>Table3[[#This Row],[Sales]]-Table3[[#This Row],[Cost]]</f>
        <v>15012.460000000003</v>
      </c>
      <c r="L2411" s="6">
        <f>Table3[[#This Row],[Profit]]/Table3[[#This Row],[Sales]]</f>
        <v>0.33016389808426361</v>
      </c>
    </row>
    <row r="2412" spans="1:12" x14ac:dyDescent="0.25">
      <c r="A2412" t="s">
        <v>729</v>
      </c>
      <c r="B2412" s="2">
        <v>45021</v>
      </c>
      <c r="C2412" s="2" t="str">
        <f>TEXT(Table3[[#This Row],[Order Date]],"mmmm")</f>
        <v>April</v>
      </c>
      <c r="D2412" t="s">
        <v>3730</v>
      </c>
      <c r="E2412" t="s">
        <v>3222</v>
      </c>
      <c r="F2412" t="s">
        <v>3226</v>
      </c>
      <c r="G2412" s="4">
        <v>15816.67</v>
      </c>
      <c r="H2412" s="4">
        <v>10231.290000000001</v>
      </c>
      <c r="I2412" s="3" t="s">
        <v>3734</v>
      </c>
      <c r="J2412">
        <v>1</v>
      </c>
      <c r="K2412" s="4">
        <f>Table3[[#This Row],[Sales]]-Table3[[#This Row],[Cost]]</f>
        <v>5585.3799999999992</v>
      </c>
      <c r="L2412" s="6">
        <f>Table3[[#This Row],[Profit]]/Table3[[#This Row],[Sales]]</f>
        <v>0.35313248616807452</v>
      </c>
    </row>
    <row r="2413" spans="1:12" x14ac:dyDescent="0.25">
      <c r="A2413" t="s">
        <v>2193</v>
      </c>
      <c r="B2413" s="2">
        <v>45102</v>
      </c>
      <c r="C2413" s="2" t="str">
        <f>TEXT(Table3[[#This Row],[Order Date]],"mmmm")</f>
        <v>June</v>
      </c>
      <c r="D2413" t="s">
        <v>3220</v>
      </c>
      <c r="E2413" t="s">
        <v>3224</v>
      </c>
      <c r="F2413" t="s">
        <v>3226</v>
      </c>
      <c r="G2413" s="4">
        <v>205658.78</v>
      </c>
      <c r="H2413" s="4">
        <v>189594.6</v>
      </c>
      <c r="I2413" s="3" t="s">
        <v>3734</v>
      </c>
      <c r="J2413">
        <v>4</v>
      </c>
      <c r="K2413" s="4">
        <f>Table3[[#This Row],[Sales]]-Table3[[#This Row],[Cost]]</f>
        <v>16064.179999999993</v>
      </c>
      <c r="L2413" s="6">
        <f>Table3[[#This Row],[Profit]]/Table3[[#This Row],[Sales]]</f>
        <v>7.8110839712265109E-2</v>
      </c>
    </row>
    <row r="2414" spans="1:12" x14ac:dyDescent="0.25">
      <c r="A2414" t="s">
        <v>2195</v>
      </c>
      <c r="B2414" s="2">
        <v>44972</v>
      </c>
      <c r="C2414" s="2" t="str">
        <f>TEXT(Table3[[#This Row],[Order Date]],"mmmm")</f>
        <v>February</v>
      </c>
      <c r="D2414" t="s">
        <v>3216</v>
      </c>
      <c r="E2414" t="s">
        <v>3224</v>
      </c>
      <c r="F2414" t="s">
        <v>3226</v>
      </c>
      <c r="G2414" s="4">
        <v>64988.39</v>
      </c>
      <c r="H2414" s="4">
        <v>46124.69</v>
      </c>
      <c r="I2414" s="3" t="s">
        <v>3734</v>
      </c>
      <c r="J2414">
        <v>1</v>
      </c>
      <c r="K2414" s="4">
        <f>Table3[[#This Row],[Sales]]-Table3[[#This Row],[Cost]]</f>
        <v>18863.699999999997</v>
      </c>
      <c r="L2414" s="6">
        <f>Table3[[#This Row],[Profit]]/Table3[[#This Row],[Sales]]</f>
        <v>0.29026261459931529</v>
      </c>
    </row>
    <row r="2415" spans="1:12" x14ac:dyDescent="0.25">
      <c r="A2415" t="s">
        <v>318</v>
      </c>
      <c r="B2415" s="2">
        <v>44941</v>
      </c>
      <c r="C2415" s="2" t="str">
        <f>TEXT(Table3[[#This Row],[Order Date]],"mmmm")</f>
        <v>January</v>
      </c>
      <c r="D2415" t="s">
        <v>3220</v>
      </c>
      <c r="E2415" t="s">
        <v>3223</v>
      </c>
      <c r="F2415" t="s">
        <v>3226</v>
      </c>
      <c r="G2415" s="4">
        <v>41016.19</v>
      </c>
      <c r="H2415" s="4">
        <v>26287.05</v>
      </c>
      <c r="I2415" s="3" t="s">
        <v>3734</v>
      </c>
      <c r="J2415">
        <v>4</v>
      </c>
      <c r="K2415" s="4">
        <f>Table3[[#This Row],[Sales]]-Table3[[#This Row],[Cost]]</f>
        <v>14729.140000000003</v>
      </c>
      <c r="L2415" s="6">
        <f>Table3[[#This Row],[Profit]]/Table3[[#This Row],[Sales]]</f>
        <v>0.35910551418842174</v>
      </c>
    </row>
    <row r="2416" spans="1:12" x14ac:dyDescent="0.25">
      <c r="A2416" t="s">
        <v>2196</v>
      </c>
      <c r="B2416" s="2">
        <v>45005</v>
      </c>
      <c r="C2416" s="2" t="str">
        <f>TEXT(Table3[[#This Row],[Order Date]],"mmmm")</f>
        <v>March</v>
      </c>
      <c r="D2416" t="s">
        <v>3731</v>
      </c>
      <c r="E2416" t="s">
        <v>3222</v>
      </c>
      <c r="F2416" t="s">
        <v>3226</v>
      </c>
      <c r="G2416" s="4">
        <v>30241.99</v>
      </c>
      <c r="H2416" s="4">
        <v>21932.11</v>
      </c>
      <c r="I2416" s="3" t="s">
        <v>3734</v>
      </c>
      <c r="J2416">
        <v>2</v>
      </c>
      <c r="K2416" s="4">
        <f>Table3[[#This Row],[Sales]]-Table3[[#This Row],[Cost]]</f>
        <v>8309.880000000001</v>
      </c>
      <c r="L2416" s="6">
        <f>Table3[[#This Row],[Profit]]/Table3[[#This Row],[Sales]]</f>
        <v>0.27477953666408861</v>
      </c>
    </row>
    <row r="2417" spans="1:12" x14ac:dyDescent="0.25">
      <c r="A2417" t="s">
        <v>2197</v>
      </c>
      <c r="B2417" s="2">
        <v>45021</v>
      </c>
      <c r="C2417" s="2" t="str">
        <f>TEXT(Table3[[#This Row],[Order Date]],"mmmm")</f>
        <v>April</v>
      </c>
      <c r="D2417" t="s">
        <v>3731</v>
      </c>
      <c r="E2417" t="s">
        <v>3223</v>
      </c>
      <c r="F2417" t="s">
        <v>3226</v>
      </c>
      <c r="G2417" s="4">
        <v>33106.18</v>
      </c>
      <c r="H2417" s="4">
        <v>22654.639999999999</v>
      </c>
      <c r="I2417" s="3" t="s">
        <v>3734</v>
      </c>
      <c r="J2417">
        <v>3</v>
      </c>
      <c r="K2417" s="4">
        <f>Table3[[#This Row],[Sales]]-Table3[[#This Row],[Cost]]</f>
        <v>10451.540000000001</v>
      </c>
      <c r="L2417" s="6">
        <f>Table3[[#This Row],[Profit]]/Table3[[#This Row],[Sales]]</f>
        <v>0.31569755254154969</v>
      </c>
    </row>
    <row r="2418" spans="1:12" x14ac:dyDescent="0.25">
      <c r="A2418" t="s">
        <v>2198</v>
      </c>
      <c r="B2418" s="2">
        <v>44972</v>
      </c>
      <c r="C2418" s="2" t="str">
        <f>TEXT(Table3[[#This Row],[Order Date]],"mmmm")</f>
        <v>February</v>
      </c>
      <c r="D2418" t="s">
        <v>3731</v>
      </c>
      <c r="E2418" t="s">
        <v>3225</v>
      </c>
      <c r="F2418" t="s">
        <v>3226</v>
      </c>
      <c r="G2418" s="4">
        <v>110071.34</v>
      </c>
      <c r="H2418" s="4">
        <v>59579.96</v>
      </c>
      <c r="I2418" s="3" t="s">
        <v>3734</v>
      </c>
      <c r="J2418">
        <v>5</v>
      </c>
      <c r="K2418" s="4">
        <f>Table3[[#This Row],[Sales]]-Table3[[#This Row],[Cost]]</f>
        <v>50491.38</v>
      </c>
      <c r="L2418" s="6">
        <f>Table3[[#This Row],[Profit]]/Table3[[#This Row],[Sales]]</f>
        <v>0.45871504789530132</v>
      </c>
    </row>
    <row r="2419" spans="1:12" x14ac:dyDescent="0.25">
      <c r="A2419" t="s">
        <v>2199</v>
      </c>
      <c r="B2419" s="2">
        <v>45102</v>
      </c>
      <c r="C2419" s="2" t="str">
        <f>TEXT(Table3[[#This Row],[Order Date]],"mmmm")</f>
        <v>June</v>
      </c>
      <c r="D2419" t="s">
        <v>3216</v>
      </c>
      <c r="E2419" t="s">
        <v>3223</v>
      </c>
      <c r="F2419" t="s">
        <v>3226</v>
      </c>
      <c r="G2419" s="4">
        <v>21135.67</v>
      </c>
      <c r="H2419" s="4">
        <v>14681.05</v>
      </c>
      <c r="I2419" s="3" t="s">
        <v>3734</v>
      </c>
      <c r="J2419">
        <v>2</v>
      </c>
      <c r="K2419" s="4">
        <f>Table3[[#This Row],[Sales]]-Table3[[#This Row],[Cost]]</f>
        <v>6454.619999999999</v>
      </c>
      <c r="L2419" s="6">
        <f>Table3[[#This Row],[Profit]]/Table3[[#This Row],[Sales]]</f>
        <v>0.30538989301025232</v>
      </c>
    </row>
    <row r="2420" spans="1:12" x14ac:dyDescent="0.25">
      <c r="A2420" t="s">
        <v>3332</v>
      </c>
      <c r="B2420" s="2">
        <v>45005</v>
      </c>
      <c r="C2420" s="2" t="str">
        <f>TEXT(Table3[[#This Row],[Order Date]],"mmmm")</f>
        <v>March</v>
      </c>
      <c r="D2420" t="s">
        <v>3220</v>
      </c>
      <c r="E2420" t="s">
        <v>3223</v>
      </c>
      <c r="F2420" t="s">
        <v>3226</v>
      </c>
      <c r="G2420" s="4">
        <v>43734.14</v>
      </c>
      <c r="H2420" s="4">
        <v>27313.25</v>
      </c>
      <c r="I2420" s="3" t="s">
        <v>3734</v>
      </c>
      <c r="J2420">
        <v>4</v>
      </c>
      <c r="K2420" s="4">
        <f>Table3[[#This Row],[Sales]]-Table3[[#This Row],[Cost]]</f>
        <v>16420.89</v>
      </c>
      <c r="L2420" s="6">
        <f>Table3[[#This Row],[Profit]]/Table3[[#This Row],[Sales]]</f>
        <v>0.37547074207930003</v>
      </c>
    </row>
    <row r="2421" spans="1:12" x14ac:dyDescent="0.25">
      <c r="A2421" t="s">
        <v>2201</v>
      </c>
      <c r="B2421" s="2">
        <v>44972</v>
      </c>
      <c r="C2421" s="2" t="str">
        <f>TEXT(Table3[[#This Row],[Order Date]],"mmmm")</f>
        <v>February</v>
      </c>
      <c r="D2421" t="s">
        <v>3216</v>
      </c>
      <c r="E2421" t="s">
        <v>3224</v>
      </c>
      <c r="F2421" t="s">
        <v>3226</v>
      </c>
      <c r="G2421" s="4">
        <v>244054.58</v>
      </c>
      <c r="H2421" s="4">
        <v>200104.63</v>
      </c>
      <c r="I2421" s="3" t="s">
        <v>3734</v>
      </c>
      <c r="J2421">
        <v>5</v>
      </c>
      <c r="K2421" s="4">
        <f>Table3[[#This Row],[Sales]]-Table3[[#This Row],[Cost]]</f>
        <v>43949.949999999983</v>
      </c>
      <c r="L2421" s="6">
        <f>Table3[[#This Row],[Profit]]/Table3[[#This Row],[Sales]]</f>
        <v>0.18008246352106969</v>
      </c>
    </row>
    <row r="2422" spans="1:12" x14ac:dyDescent="0.25">
      <c r="A2422" t="s">
        <v>1207</v>
      </c>
      <c r="B2422" s="2">
        <v>44972</v>
      </c>
      <c r="C2422" s="2" t="str">
        <f>TEXT(Table3[[#This Row],[Order Date]],"mmmm")</f>
        <v>February</v>
      </c>
      <c r="D2422" t="s">
        <v>3731</v>
      </c>
      <c r="E2422" t="s">
        <v>3224</v>
      </c>
      <c r="F2422" t="s">
        <v>3226</v>
      </c>
      <c r="G2422" s="4">
        <v>51705.84</v>
      </c>
      <c r="H2422" s="4">
        <v>38890.519999999997</v>
      </c>
      <c r="I2422" s="3" t="s">
        <v>3734</v>
      </c>
      <c r="J2422">
        <v>1</v>
      </c>
      <c r="K2422" s="4">
        <f>Table3[[#This Row],[Sales]]-Table3[[#This Row],[Cost]]</f>
        <v>12815.32</v>
      </c>
      <c r="L2422" s="6">
        <f>Table3[[#This Row],[Profit]]/Table3[[#This Row],[Sales]]</f>
        <v>0.24785053293786544</v>
      </c>
    </row>
    <row r="2423" spans="1:12" x14ac:dyDescent="0.25">
      <c r="A2423" t="s">
        <v>1649</v>
      </c>
      <c r="B2423" s="2">
        <v>45102</v>
      </c>
      <c r="C2423" s="2" t="str">
        <f>TEXT(Table3[[#This Row],[Order Date]],"mmmm")</f>
        <v>June</v>
      </c>
      <c r="D2423" t="s">
        <v>3730</v>
      </c>
      <c r="E2423" t="s">
        <v>3222</v>
      </c>
      <c r="F2423" t="s">
        <v>3226</v>
      </c>
      <c r="G2423" s="4">
        <v>13817.37</v>
      </c>
      <c r="H2423" s="4">
        <v>9745.0300000000007</v>
      </c>
      <c r="I2423" s="3" t="s">
        <v>3734</v>
      </c>
      <c r="J2423">
        <v>1</v>
      </c>
      <c r="K2423" s="4">
        <f>Table3[[#This Row],[Sales]]-Table3[[#This Row],[Cost]]</f>
        <v>4072.34</v>
      </c>
      <c r="L2423" s="6">
        <f>Table3[[#This Row],[Profit]]/Table3[[#This Row],[Sales]]</f>
        <v>0.29472613094966699</v>
      </c>
    </row>
    <row r="2424" spans="1:12" x14ac:dyDescent="0.25">
      <c r="A2424" t="s">
        <v>2203</v>
      </c>
      <c r="B2424" s="2" t="s">
        <v>3729</v>
      </c>
      <c r="C2424" s="2" t="str">
        <f>TEXT(Table3[[#This Row],[Order Date]],"mmmm")</f>
        <v>Not Mentioned</v>
      </c>
      <c r="D2424" t="s">
        <v>3730</v>
      </c>
      <c r="E2424" t="s">
        <v>3223</v>
      </c>
      <c r="F2424" t="s">
        <v>3226</v>
      </c>
      <c r="G2424" s="4">
        <v>54835.54</v>
      </c>
      <c r="H2424" s="4">
        <v>37471.449999999997</v>
      </c>
      <c r="I2424" s="3" t="s">
        <v>3734</v>
      </c>
      <c r="J2424">
        <v>5</v>
      </c>
      <c r="K2424" s="4">
        <f>Table3[[#This Row],[Sales]]-Table3[[#This Row],[Cost]]</f>
        <v>17364.090000000004</v>
      </c>
      <c r="L2424" s="6">
        <f>Table3[[#This Row],[Profit]]/Table3[[#This Row],[Sales]]</f>
        <v>0.31665759104405655</v>
      </c>
    </row>
    <row r="2425" spans="1:12" x14ac:dyDescent="0.25">
      <c r="A2425" t="s">
        <v>2204</v>
      </c>
      <c r="B2425" s="2" t="s">
        <v>3729</v>
      </c>
      <c r="C2425" s="2" t="str">
        <f>TEXT(Table3[[#This Row],[Order Date]],"mmmm")</f>
        <v>Not Mentioned</v>
      </c>
      <c r="D2425" t="s">
        <v>3730</v>
      </c>
      <c r="E2425" t="s">
        <v>3225</v>
      </c>
      <c r="F2425" t="s">
        <v>3226</v>
      </c>
      <c r="G2425" s="4">
        <v>43699.29</v>
      </c>
      <c r="H2425" s="4">
        <v>25694.54</v>
      </c>
      <c r="I2425" s="3" t="s">
        <v>3734</v>
      </c>
      <c r="J2425">
        <v>2</v>
      </c>
      <c r="K2425" s="4">
        <f>Table3[[#This Row],[Sales]]-Table3[[#This Row],[Cost]]</f>
        <v>18004.75</v>
      </c>
      <c r="L2425" s="6">
        <f>Table3[[#This Row],[Profit]]/Table3[[#This Row],[Sales]]</f>
        <v>0.41201470321371353</v>
      </c>
    </row>
    <row r="2426" spans="1:12" x14ac:dyDescent="0.25">
      <c r="A2426" t="s">
        <v>3603</v>
      </c>
      <c r="B2426" s="2">
        <v>44941</v>
      </c>
      <c r="C2426" s="2" t="str">
        <f>TEXT(Table3[[#This Row],[Order Date]],"mmmm")</f>
        <v>January</v>
      </c>
      <c r="D2426" t="s">
        <v>3730</v>
      </c>
      <c r="E2426" t="s">
        <v>3225</v>
      </c>
      <c r="F2426" t="s">
        <v>3226</v>
      </c>
      <c r="G2426" s="4">
        <v>17271.240000000002</v>
      </c>
      <c r="H2426" s="4">
        <v>14354.15</v>
      </c>
      <c r="I2426" s="3" t="s">
        <v>3734</v>
      </c>
      <c r="J2426">
        <v>1</v>
      </c>
      <c r="K2426" s="4">
        <f>Table3[[#This Row],[Sales]]-Table3[[#This Row],[Cost]]</f>
        <v>2917.090000000002</v>
      </c>
      <c r="L2426" s="6">
        <f>Table3[[#This Row],[Profit]]/Table3[[#This Row],[Sales]]</f>
        <v>0.16889870096183029</v>
      </c>
    </row>
    <row r="2427" spans="1:12" x14ac:dyDescent="0.25">
      <c r="A2427" t="s">
        <v>1956</v>
      </c>
      <c r="B2427" s="2">
        <v>45005</v>
      </c>
      <c r="C2427" s="2" t="str">
        <f>TEXT(Table3[[#This Row],[Order Date]],"mmmm")</f>
        <v>March</v>
      </c>
      <c r="D2427" t="s">
        <v>3220</v>
      </c>
      <c r="E2427" t="s">
        <v>3222</v>
      </c>
      <c r="F2427" t="s">
        <v>3226</v>
      </c>
      <c r="G2427" s="4">
        <v>34108.339999999997</v>
      </c>
      <c r="H2427" s="4">
        <v>19356.12</v>
      </c>
      <c r="I2427" s="3" t="s">
        <v>3734</v>
      </c>
      <c r="J2427">
        <v>2</v>
      </c>
      <c r="K2427" s="4">
        <f>Table3[[#This Row],[Sales]]-Table3[[#This Row],[Cost]]</f>
        <v>14752.219999999998</v>
      </c>
      <c r="L2427" s="6">
        <f>Table3[[#This Row],[Profit]]/Table3[[#This Row],[Sales]]</f>
        <v>0.43251064109247178</v>
      </c>
    </row>
    <row r="2428" spans="1:12" x14ac:dyDescent="0.25">
      <c r="A2428" t="s">
        <v>2206</v>
      </c>
      <c r="B2428" s="2">
        <v>45102</v>
      </c>
      <c r="C2428" s="2" t="str">
        <f>TEXT(Table3[[#This Row],[Order Date]],"mmmm")</f>
        <v>June</v>
      </c>
      <c r="D2428" t="s">
        <v>3216</v>
      </c>
      <c r="E2428" t="s">
        <v>3222</v>
      </c>
      <c r="F2428" t="s">
        <v>3226</v>
      </c>
      <c r="G2428" s="4">
        <v>13884.13</v>
      </c>
      <c r="H2428" s="4">
        <v>9630.86</v>
      </c>
      <c r="I2428" s="3" t="s">
        <v>3734</v>
      </c>
      <c r="J2428">
        <v>1</v>
      </c>
      <c r="K2428" s="4">
        <f>Table3[[#This Row],[Sales]]-Table3[[#This Row],[Cost]]</f>
        <v>4253.2699999999986</v>
      </c>
      <c r="L2428" s="6">
        <f>Table3[[#This Row],[Profit]]/Table3[[#This Row],[Sales]]</f>
        <v>0.30634040447618965</v>
      </c>
    </row>
    <row r="2429" spans="1:12" x14ac:dyDescent="0.25">
      <c r="A2429" t="s">
        <v>2207</v>
      </c>
      <c r="B2429" s="2" t="s">
        <v>3729</v>
      </c>
      <c r="C2429" s="2" t="str">
        <f>TEXT(Table3[[#This Row],[Order Date]],"mmmm")</f>
        <v>Not Mentioned</v>
      </c>
      <c r="D2429" t="s">
        <v>3220</v>
      </c>
      <c r="E2429" t="s">
        <v>3222</v>
      </c>
      <c r="F2429" t="s">
        <v>3226</v>
      </c>
      <c r="G2429" s="4">
        <v>12857.99</v>
      </c>
      <c r="H2429" s="4">
        <v>10169.24</v>
      </c>
      <c r="I2429" s="3" t="s">
        <v>3734</v>
      </c>
      <c r="J2429">
        <v>1</v>
      </c>
      <c r="K2429" s="4">
        <f>Table3[[#This Row],[Sales]]-Table3[[#This Row],[Cost]]</f>
        <v>2688.75</v>
      </c>
      <c r="L2429" s="6">
        <f>Table3[[#This Row],[Profit]]/Table3[[#This Row],[Sales]]</f>
        <v>0.20911122189393522</v>
      </c>
    </row>
    <row r="2430" spans="1:12" x14ac:dyDescent="0.25">
      <c r="A2430" t="s">
        <v>2208</v>
      </c>
      <c r="B2430" s="2" t="s">
        <v>3729</v>
      </c>
      <c r="C2430" s="2" t="str">
        <f>TEXT(Table3[[#This Row],[Order Date]],"mmmm")</f>
        <v>Not Mentioned</v>
      </c>
      <c r="D2430" t="s">
        <v>3220</v>
      </c>
      <c r="E2430" t="s">
        <v>3223</v>
      </c>
      <c r="F2430" t="s">
        <v>3226</v>
      </c>
      <c r="G2430" s="4">
        <v>9869.75</v>
      </c>
      <c r="H2430" s="4">
        <v>6977.15</v>
      </c>
      <c r="I2430" s="3" t="s">
        <v>3734</v>
      </c>
      <c r="J2430">
        <v>1</v>
      </c>
      <c r="K2430" s="4">
        <f>Table3[[#This Row],[Sales]]-Table3[[#This Row],[Cost]]</f>
        <v>2892.6000000000004</v>
      </c>
      <c r="L2430" s="6">
        <f>Table3[[#This Row],[Profit]]/Table3[[#This Row],[Sales]]</f>
        <v>0.29307733225259003</v>
      </c>
    </row>
    <row r="2431" spans="1:12" x14ac:dyDescent="0.25">
      <c r="A2431" t="s">
        <v>2209</v>
      </c>
      <c r="B2431" s="2" t="s">
        <v>3729</v>
      </c>
      <c r="C2431" s="2" t="str">
        <f>TEXT(Table3[[#This Row],[Order Date]],"mmmm")</f>
        <v>Not Mentioned</v>
      </c>
      <c r="D2431" t="s">
        <v>3730</v>
      </c>
      <c r="E2431" t="s">
        <v>3224</v>
      </c>
      <c r="F2431" t="s">
        <v>3226</v>
      </c>
      <c r="G2431" s="4">
        <v>69718.64</v>
      </c>
      <c r="H2431" s="4">
        <v>55774.912000000004</v>
      </c>
      <c r="I2431" s="3" t="s">
        <v>3735</v>
      </c>
      <c r="J2431" t="s">
        <v>3732</v>
      </c>
      <c r="K2431" s="4">
        <f>Table3[[#This Row],[Sales]]-Table3[[#This Row],[Cost]]</f>
        <v>13943.727999999996</v>
      </c>
      <c r="L2431" s="6">
        <f>Table3[[#This Row],[Profit]]/Table3[[#This Row],[Sales]]</f>
        <v>0.19999999999999993</v>
      </c>
    </row>
    <row r="2432" spans="1:12" x14ac:dyDescent="0.25">
      <c r="A2432" t="s">
        <v>2210</v>
      </c>
      <c r="B2432" s="2">
        <v>44972</v>
      </c>
      <c r="C2432" s="2" t="str">
        <f>TEXT(Table3[[#This Row],[Order Date]],"mmmm")</f>
        <v>February</v>
      </c>
      <c r="D2432" t="s">
        <v>3216</v>
      </c>
      <c r="E2432" t="s">
        <v>3225</v>
      </c>
      <c r="F2432" t="s">
        <v>3226</v>
      </c>
      <c r="G2432" s="4">
        <v>96187.71</v>
      </c>
      <c r="H2432" s="4">
        <v>76950.168000000005</v>
      </c>
      <c r="I2432" s="3" t="s">
        <v>3735</v>
      </c>
      <c r="J2432">
        <v>5</v>
      </c>
      <c r="K2432" s="4">
        <f>Table3[[#This Row],[Sales]]-Table3[[#This Row],[Cost]]</f>
        <v>19237.542000000001</v>
      </c>
      <c r="L2432" s="6">
        <f>Table3[[#This Row],[Profit]]/Table3[[#This Row],[Sales]]</f>
        <v>0.2</v>
      </c>
    </row>
    <row r="2433" spans="1:12" x14ac:dyDescent="0.25">
      <c r="A2433" t="s">
        <v>2211</v>
      </c>
      <c r="B2433" s="2">
        <v>45102</v>
      </c>
      <c r="C2433" s="2" t="str">
        <f>TEXT(Table3[[#This Row],[Order Date]],"mmmm")</f>
        <v>June</v>
      </c>
      <c r="D2433" t="s">
        <v>3730</v>
      </c>
      <c r="E2433" t="s">
        <v>3225</v>
      </c>
      <c r="F2433" t="s">
        <v>3226</v>
      </c>
      <c r="G2433" s="4">
        <v>45406.35</v>
      </c>
      <c r="H2433" s="4">
        <v>24597.09</v>
      </c>
      <c r="I2433" s="3" t="s">
        <v>3734</v>
      </c>
      <c r="J2433">
        <v>2</v>
      </c>
      <c r="K2433" s="4">
        <f>Table3[[#This Row],[Sales]]-Table3[[#This Row],[Cost]]</f>
        <v>20809.259999999998</v>
      </c>
      <c r="L2433" s="6">
        <f>Table3[[#This Row],[Profit]]/Table3[[#This Row],[Sales]]</f>
        <v>0.45828964451007403</v>
      </c>
    </row>
    <row r="2434" spans="1:12" x14ac:dyDescent="0.25">
      <c r="A2434" t="s">
        <v>295</v>
      </c>
      <c r="B2434" s="2">
        <v>45102</v>
      </c>
      <c r="C2434" s="2" t="str">
        <f>TEXT(Table3[[#This Row],[Order Date]],"mmmm")</f>
        <v>June</v>
      </c>
      <c r="D2434" t="s">
        <v>3730</v>
      </c>
      <c r="E2434" t="s">
        <v>3223</v>
      </c>
      <c r="F2434" t="s">
        <v>3226</v>
      </c>
      <c r="G2434" s="4">
        <v>55635.15</v>
      </c>
      <c r="H2434" s="4">
        <v>33778.6</v>
      </c>
      <c r="I2434" s="3" t="s">
        <v>3734</v>
      </c>
      <c r="J2434">
        <v>5</v>
      </c>
      <c r="K2434" s="4">
        <f>Table3[[#This Row],[Sales]]-Table3[[#This Row],[Cost]]</f>
        <v>21856.550000000003</v>
      </c>
      <c r="L2434" s="6">
        <f>Table3[[#This Row],[Profit]]/Table3[[#This Row],[Sales]]</f>
        <v>0.39285505656046588</v>
      </c>
    </row>
    <row r="2435" spans="1:12" x14ac:dyDescent="0.25">
      <c r="A2435" t="s">
        <v>2212</v>
      </c>
      <c r="B2435" s="2">
        <v>45021</v>
      </c>
      <c r="C2435" s="2" t="str">
        <f>TEXT(Table3[[#This Row],[Order Date]],"mmmm")</f>
        <v>April</v>
      </c>
      <c r="D2435" t="s">
        <v>3730</v>
      </c>
      <c r="E2435" t="s">
        <v>3222</v>
      </c>
      <c r="F2435" t="s">
        <v>3226</v>
      </c>
      <c r="G2435" s="4">
        <v>35589.410000000003</v>
      </c>
      <c r="H2435" s="4">
        <v>17370.240000000002</v>
      </c>
      <c r="I2435" s="3" t="s">
        <v>3734</v>
      </c>
      <c r="J2435">
        <v>2</v>
      </c>
      <c r="K2435" s="4">
        <f>Table3[[#This Row],[Sales]]-Table3[[#This Row],[Cost]]</f>
        <v>18219.170000000002</v>
      </c>
      <c r="L2435" s="6">
        <f>Table3[[#This Row],[Profit]]/Table3[[#This Row],[Sales]]</f>
        <v>0.51192672202208467</v>
      </c>
    </row>
    <row r="2436" spans="1:12" x14ac:dyDescent="0.25">
      <c r="A2436" t="s">
        <v>2213</v>
      </c>
      <c r="B2436" s="2" t="s">
        <v>3729</v>
      </c>
      <c r="C2436" s="2" t="str">
        <f>TEXT(Table3[[#This Row],[Order Date]],"mmmm")</f>
        <v>Not Mentioned</v>
      </c>
      <c r="D2436" t="s">
        <v>3730</v>
      </c>
      <c r="E2436" t="s">
        <v>3224</v>
      </c>
      <c r="F2436" t="s">
        <v>3226</v>
      </c>
      <c r="G2436" s="4">
        <v>195411.51</v>
      </c>
      <c r="H2436" s="4">
        <v>144132.6</v>
      </c>
      <c r="I2436" s="3" t="s">
        <v>3734</v>
      </c>
      <c r="J2436">
        <v>3</v>
      </c>
      <c r="K2436" s="4">
        <f>Table3[[#This Row],[Sales]]-Table3[[#This Row],[Cost]]</f>
        <v>51278.91</v>
      </c>
      <c r="L2436" s="6">
        <f>Table3[[#This Row],[Profit]]/Table3[[#This Row],[Sales]]</f>
        <v>0.26241499285277514</v>
      </c>
    </row>
    <row r="2437" spans="1:12" x14ac:dyDescent="0.25">
      <c r="A2437" t="s">
        <v>3287</v>
      </c>
      <c r="B2437" s="2">
        <v>45102</v>
      </c>
      <c r="C2437" s="2" t="str">
        <f>TEXT(Table3[[#This Row],[Order Date]],"mmmm")</f>
        <v>June</v>
      </c>
      <c r="D2437" t="s">
        <v>3220</v>
      </c>
      <c r="E2437" t="s">
        <v>3222</v>
      </c>
      <c r="F2437" t="s">
        <v>3226</v>
      </c>
      <c r="G2437" s="4">
        <v>12904.39</v>
      </c>
      <c r="H2437" s="4">
        <v>8611.24</v>
      </c>
      <c r="I2437" s="3" t="s">
        <v>3734</v>
      </c>
      <c r="J2437">
        <v>1</v>
      </c>
      <c r="K2437" s="4">
        <f>Table3[[#This Row],[Sales]]-Table3[[#This Row],[Cost]]</f>
        <v>4293.1499999999996</v>
      </c>
      <c r="L2437" s="6">
        <f>Table3[[#This Row],[Profit]]/Table3[[#This Row],[Sales]]</f>
        <v>0.3326891081252194</v>
      </c>
    </row>
    <row r="2438" spans="1:12" x14ac:dyDescent="0.25">
      <c r="A2438" t="s">
        <v>2214</v>
      </c>
      <c r="B2438" s="2">
        <v>45005</v>
      </c>
      <c r="C2438" s="2" t="str">
        <f>TEXT(Table3[[#This Row],[Order Date]],"mmmm")</f>
        <v>March</v>
      </c>
      <c r="D2438" t="s">
        <v>3731</v>
      </c>
      <c r="E2438" t="s">
        <v>3224</v>
      </c>
      <c r="F2438" t="s">
        <v>3226</v>
      </c>
      <c r="G2438" s="4">
        <v>52791.14</v>
      </c>
      <c r="H2438" s="4">
        <v>41272.949999999997</v>
      </c>
      <c r="I2438" s="3" t="s">
        <v>3734</v>
      </c>
      <c r="J2438">
        <v>1</v>
      </c>
      <c r="K2438" s="4">
        <f>Table3[[#This Row],[Sales]]-Table3[[#This Row],[Cost]]</f>
        <v>11518.190000000002</v>
      </c>
      <c r="L2438" s="6">
        <f>Table3[[#This Row],[Profit]]/Table3[[#This Row],[Sales]]</f>
        <v>0.21818414984029522</v>
      </c>
    </row>
    <row r="2439" spans="1:12" x14ac:dyDescent="0.25">
      <c r="A2439" t="s">
        <v>2215</v>
      </c>
      <c r="B2439" s="2">
        <v>44972</v>
      </c>
      <c r="C2439" s="2" t="str">
        <f>TEXT(Table3[[#This Row],[Order Date]],"mmmm")</f>
        <v>February</v>
      </c>
      <c r="D2439" t="s">
        <v>3731</v>
      </c>
      <c r="E2439" t="s">
        <v>3224</v>
      </c>
      <c r="F2439" t="s">
        <v>3226</v>
      </c>
      <c r="G2439" s="4">
        <v>117743.02</v>
      </c>
      <c r="H2439" s="4">
        <v>86928.63</v>
      </c>
      <c r="I2439" s="3" t="s">
        <v>3734</v>
      </c>
      <c r="J2439">
        <v>2</v>
      </c>
      <c r="K2439" s="4">
        <f>Table3[[#This Row],[Sales]]-Table3[[#This Row],[Cost]]</f>
        <v>30814.39</v>
      </c>
      <c r="L2439" s="6">
        <f>Table3[[#This Row],[Profit]]/Table3[[#This Row],[Sales]]</f>
        <v>0.2617088469448125</v>
      </c>
    </row>
    <row r="2440" spans="1:12" x14ac:dyDescent="0.25">
      <c r="A2440" t="s">
        <v>2216</v>
      </c>
      <c r="B2440" s="2">
        <v>45005</v>
      </c>
      <c r="C2440" s="2" t="str">
        <f>TEXT(Table3[[#This Row],[Order Date]],"mmmm")</f>
        <v>March</v>
      </c>
      <c r="D2440" t="s">
        <v>3730</v>
      </c>
      <c r="E2440" t="s">
        <v>3225</v>
      </c>
      <c r="F2440" t="s">
        <v>3226</v>
      </c>
      <c r="G2440" s="4">
        <v>46953.93</v>
      </c>
      <c r="H2440" s="4">
        <v>29621.11</v>
      </c>
      <c r="I2440" s="3" t="s">
        <v>3734</v>
      </c>
      <c r="J2440">
        <v>2</v>
      </c>
      <c r="K2440" s="4">
        <f>Table3[[#This Row],[Sales]]-Table3[[#This Row],[Cost]]</f>
        <v>17332.82</v>
      </c>
      <c r="L2440" s="6">
        <f>Table3[[#This Row],[Profit]]/Table3[[#This Row],[Sales]]</f>
        <v>0.36914524513709501</v>
      </c>
    </row>
    <row r="2441" spans="1:12" x14ac:dyDescent="0.25">
      <c r="A2441" t="s">
        <v>2217</v>
      </c>
      <c r="B2441" s="2">
        <v>44941</v>
      </c>
      <c r="C2441" s="2" t="str">
        <f>TEXT(Table3[[#This Row],[Order Date]],"mmmm")</f>
        <v>January</v>
      </c>
      <c r="D2441" t="s">
        <v>3731</v>
      </c>
      <c r="E2441" t="s">
        <v>3222</v>
      </c>
      <c r="F2441" t="s">
        <v>3226</v>
      </c>
      <c r="G2441" s="4">
        <v>51941.87</v>
      </c>
      <c r="H2441" s="4">
        <v>29843.06</v>
      </c>
      <c r="I2441" s="3" t="s">
        <v>3734</v>
      </c>
      <c r="J2441">
        <v>3</v>
      </c>
      <c r="K2441" s="4">
        <f>Table3[[#This Row],[Sales]]-Table3[[#This Row],[Cost]]</f>
        <v>22098.81</v>
      </c>
      <c r="L2441" s="6">
        <f>Table3[[#This Row],[Profit]]/Table3[[#This Row],[Sales]]</f>
        <v>0.4254527224376019</v>
      </c>
    </row>
    <row r="2442" spans="1:12" x14ac:dyDescent="0.25">
      <c r="A2442" t="s">
        <v>3229</v>
      </c>
      <c r="B2442" s="2">
        <v>44941</v>
      </c>
      <c r="C2442" s="2" t="str">
        <f>TEXT(Table3[[#This Row],[Order Date]],"mmmm")</f>
        <v>January</v>
      </c>
      <c r="D2442" t="s">
        <v>3730</v>
      </c>
      <c r="E2442" t="s">
        <v>3224</v>
      </c>
      <c r="F2442" t="s">
        <v>3226</v>
      </c>
      <c r="G2442" s="4">
        <v>131716.15</v>
      </c>
      <c r="H2442" s="4">
        <v>77291.11</v>
      </c>
      <c r="I2442" s="3" t="s">
        <v>3734</v>
      </c>
      <c r="J2442">
        <v>2</v>
      </c>
      <c r="K2442" s="4">
        <f>Table3[[#This Row],[Sales]]-Table3[[#This Row],[Cost]]</f>
        <v>54425.039999999994</v>
      </c>
      <c r="L2442" s="6">
        <f>Table3[[#This Row],[Profit]]/Table3[[#This Row],[Sales]]</f>
        <v>0.41319944441133449</v>
      </c>
    </row>
    <row r="2443" spans="1:12" x14ac:dyDescent="0.25">
      <c r="A2443" t="s">
        <v>3604</v>
      </c>
      <c r="B2443" s="2">
        <v>44941</v>
      </c>
      <c r="C2443" s="2" t="str">
        <f>TEXT(Table3[[#This Row],[Order Date]],"mmmm")</f>
        <v>January</v>
      </c>
      <c r="D2443" t="s">
        <v>3216</v>
      </c>
      <c r="E2443" t="s">
        <v>3223</v>
      </c>
      <c r="F2443" t="s">
        <v>3226</v>
      </c>
      <c r="G2443" s="4">
        <v>17115.72</v>
      </c>
      <c r="H2443" s="4">
        <v>14202.08</v>
      </c>
      <c r="I2443" s="3" t="s">
        <v>3734</v>
      </c>
      <c r="J2443">
        <v>2</v>
      </c>
      <c r="K2443" s="4">
        <f>Table3[[#This Row],[Sales]]-Table3[[#This Row],[Cost]]</f>
        <v>2913.6400000000012</v>
      </c>
      <c r="L2443" s="6">
        <f>Table3[[#This Row],[Profit]]/Table3[[#This Row],[Sales]]</f>
        <v>0.1702318102890209</v>
      </c>
    </row>
    <row r="2444" spans="1:12" x14ac:dyDescent="0.25">
      <c r="A2444" t="s">
        <v>2086</v>
      </c>
      <c r="B2444" s="2">
        <v>44972</v>
      </c>
      <c r="C2444" s="2" t="str">
        <f>TEXT(Table3[[#This Row],[Order Date]],"mmmm")</f>
        <v>February</v>
      </c>
      <c r="D2444" t="s">
        <v>3220</v>
      </c>
      <c r="E2444" t="s">
        <v>3223</v>
      </c>
      <c r="F2444" t="s">
        <v>3226</v>
      </c>
      <c r="G2444" s="4">
        <v>40851.79</v>
      </c>
      <c r="H2444" s="4">
        <v>26124.06</v>
      </c>
      <c r="I2444" s="3" t="s">
        <v>3734</v>
      </c>
      <c r="J2444">
        <v>4</v>
      </c>
      <c r="K2444" s="4">
        <f>Table3[[#This Row],[Sales]]-Table3[[#This Row],[Cost]]</f>
        <v>14727.73</v>
      </c>
      <c r="L2444" s="6">
        <f>Table3[[#This Row],[Profit]]/Table3[[#This Row],[Sales]]</f>
        <v>0.36051614874158511</v>
      </c>
    </row>
    <row r="2445" spans="1:12" x14ac:dyDescent="0.25">
      <c r="A2445" t="s">
        <v>2220</v>
      </c>
      <c r="B2445" s="2" t="s">
        <v>3729</v>
      </c>
      <c r="C2445" s="2" t="str">
        <f>TEXT(Table3[[#This Row],[Order Date]],"mmmm")</f>
        <v>Not Mentioned</v>
      </c>
      <c r="D2445" t="s">
        <v>3730</v>
      </c>
      <c r="E2445" t="s">
        <v>3223</v>
      </c>
      <c r="F2445" t="s">
        <v>3226</v>
      </c>
      <c r="G2445" s="4">
        <v>56139.55</v>
      </c>
      <c r="H2445" s="4">
        <v>30933.37</v>
      </c>
      <c r="I2445" s="3" t="s">
        <v>3734</v>
      </c>
      <c r="J2445">
        <v>5</v>
      </c>
      <c r="K2445" s="4">
        <f>Table3[[#This Row],[Sales]]-Table3[[#This Row],[Cost]]</f>
        <v>25206.180000000004</v>
      </c>
      <c r="L2445" s="6">
        <f>Table3[[#This Row],[Profit]]/Table3[[#This Row],[Sales]]</f>
        <v>0.44899148639417313</v>
      </c>
    </row>
    <row r="2446" spans="1:12" x14ac:dyDescent="0.25">
      <c r="A2446" t="s">
        <v>3369</v>
      </c>
      <c r="B2446" s="2">
        <v>44941</v>
      </c>
      <c r="C2446" s="2" t="str">
        <f>TEXT(Table3[[#This Row],[Order Date]],"mmmm")</f>
        <v>January</v>
      </c>
      <c r="D2446" t="s">
        <v>3220</v>
      </c>
      <c r="E2446" t="s">
        <v>3225</v>
      </c>
      <c r="F2446" t="s">
        <v>3226</v>
      </c>
      <c r="G2446" s="4">
        <v>75447.039999999994</v>
      </c>
      <c r="H2446" s="4">
        <v>47631.83</v>
      </c>
      <c r="I2446" s="3" t="s">
        <v>3734</v>
      </c>
      <c r="J2446">
        <v>4</v>
      </c>
      <c r="K2446" s="4">
        <f>Table3[[#This Row],[Sales]]-Table3[[#This Row],[Cost]]</f>
        <v>27815.209999999992</v>
      </c>
      <c r="L2446" s="6">
        <f>Table3[[#This Row],[Profit]]/Table3[[#This Row],[Sales]]</f>
        <v>0.36867198501094267</v>
      </c>
    </row>
    <row r="2447" spans="1:12" x14ac:dyDescent="0.25">
      <c r="A2447" t="s">
        <v>2061</v>
      </c>
      <c r="B2447" s="2">
        <v>45021</v>
      </c>
      <c r="C2447" s="2" t="str">
        <f>TEXT(Table3[[#This Row],[Order Date]],"mmmm")</f>
        <v>April</v>
      </c>
      <c r="D2447" t="s">
        <v>3731</v>
      </c>
      <c r="E2447" t="s">
        <v>3222</v>
      </c>
      <c r="F2447" t="s">
        <v>3226</v>
      </c>
      <c r="G2447" s="4">
        <v>28044.21</v>
      </c>
      <c r="H2447" s="4">
        <v>20855.22</v>
      </c>
      <c r="I2447" s="3" t="s">
        <v>3734</v>
      </c>
      <c r="J2447" t="s">
        <v>3732</v>
      </c>
      <c r="K2447" s="4">
        <f>Table3[[#This Row],[Sales]]-Table3[[#This Row],[Cost]]</f>
        <v>7188.989999999998</v>
      </c>
      <c r="L2447" s="6">
        <f>Table3[[#This Row],[Profit]]/Table3[[#This Row],[Sales]]</f>
        <v>0.25634489258210513</v>
      </c>
    </row>
    <row r="2448" spans="1:12" x14ac:dyDescent="0.25">
      <c r="A2448" t="s">
        <v>2221</v>
      </c>
      <c r="B2448" s="2">
        <v>45102</v>
      </c>
      <c r="C2448" s="2" t="str">
        <f>TEXT(Table3[[#This Row],[Order Date]],"mmmm")</f>
        <v>June</v>
      </c>
      <c r="D2448" t="s">
        <v>3220</v>
      </c>
      <c r="E2448" t="s">
        <v>3225</v>
      </c>
      <c r="F2448" t="s">
        <v>3226</v>
      </c>
      <c r="G2448" s="4">
        <v>85774.58</v>
      </c>
      <c r="H2448" s="4">
        <v>69911.45</v>
      </c>
      <c r="I2448" s="3" t="s">
        <v>3734</v>
      </c>
      <c r="J2448">
        <v>5</v>
      </c>
      <c r="K2448" s="4">
        <f>Table3[[#This Row],[Sales]]-Table3[[#This Row],[Cost]]</f>
        <v>15863.130000000005</v>
      </c>
      <c r="L2448" s="6">
        <f>Table3[[#This Row],[Profit]]/Table3[[#This Row],[Sales]]</f>
        <v>0.18493975721011988</v>
      </c>
    </row>
    <row r="2449" spans="1:12" x14ac:dyDescent="0.25">
      <c r="A2449" t="s">
        <v>2222</v>
      </c>
      <c r="B2449" s="2">
        <v>44941</v>
      </c>
      <c r="C2449" s="2" t="str">
        <f>TEXT(Table3[[#This Row],[Order Date]],"mmmm")</f>
        <v>January</v>
      </c>
      <c r="D2449" t="s">
        <v>3220</v>
      </c>
      <c r="E2449" t="s">
        <v>3223</v>
      </c>
      <c r="F2449" t="s">
        <v>3226</v>
      </c>
      <c r="G2449" s="4">
        <v>16158.26</v>
      </c>
      <c r="H2449" s="4">
        <v>12592.39</v>
      </c>
      <c r="I2449" s="3" t="s">
        <v>3734</v>
      </c>
      <c r="J2449">
        <v>2</v>
      </c>
      <c r="K2449" s="4">
        <f>Table3[[#This Row],[Sales]]-Table3[[#This Row],[Cost]]</f>
        <v>3565.8700000000008</v>
      </c>
      <c r="L2449" s="6">
        <f>Table3[[#This Row],[Profit]]/Table3[[#This Row],[Sales]]</f>
        <v>0.2206840340482206</v>
      </c>
    </row>
    <row r="2450" spans="1:12" x14ac:dyDescent="0.25">
      <c r="A2450" t="s">
        <v>2223</v>
      </c>
      <c r="B2450" s="2">
        <v>45102</v>
      </c>
      <c r="C2450" s="2" t="str">
        <f>TEXT(Table3[[#This Row],[Order Date]],"mmmm")</f>
        <v>June</v>
      </c>
      <c r="D2450" t="s">
        <v>3220</v>
      </c>
      <c r="E2450" t="s">
        <v>3225</v>
      </c>
      <c r="F2450" t="s">
        <v>3226</v>
      </c>
      <c r="G2450" s="4">
        <v>49510.38</v>
      </c>
      <c r="H2450" s="4">
        <v>41837.35</v>
      </c>
      <c r="I2450" s="3" t="s">
        <v>3734</v>
      </c>
      <c r="J2450">
        <v>3</v>
      </c>
      <c r="K2450" s="4">
        <f>Table3[[#This Row],[Sales]]-Table3[[#This Row],[Cost]]</f>
        <v>7673.0299999999988</v>
      </c>
      <c r="L2450" s="6">
        <f>Table3[[#This Row],[Profit]]/Table3[[#This Row],[Sales]]</f>
        <v>0.15497820860999248</v>
      </c>
    </row>
    <row r="2451" spans="1:12" x14ac:dyDescent="0.25">
      <c r="A2451" t="s">
        <v>2224</v>
      </c>
      <c r="B2451" s="2">
        <v>44941</v>
      </c>
      <c r="C2451" s="2" t="str">
        <f>TEXT(Table3[[#This Row],[Order Date]],"mmmm")</f>
        <v>January</v>
      </c>
      <c r="D2451" t="s">
        <v>3216</v>
      </c>
      <c r="E2451" t="s">
        <v>3223</v>
      </c>
      <c r="F2451" t="s">
        <v>3226</v>
      </c>
      <c r="G2451" s="4">
        <v>36887.480000000003</v>
      </c>
      <c r="H2451" s="4">
        <v>25769.9</v>
      </c>
      <c r="I2451" s="3" t="s">
        <v>3734</v>
      </c>
      <c r="J2451">
        <v>4</v>
      </c>
      <c r="K2451" s="4">
        <f>Table3[[#This Row],[Sales]]-Table3[[#This Row],[Cost]]</f>
        <v>11117.580000000002</v>
      </c>
      <c r="L2451" s="6">
        <f>Table3[[#This Row],[Profit]]/Table3[[#This Row],[Sales]]</f>
        <v>0.30139169170677965</v>
      </c>
    </row>
    <row r="2452" spans="1:12" x14ac:dyDescent="0.25">
      <c r="A2452" t="s">
        <v>2225</v>
      </c>
      <c r="B2452" s="2" t="s">
        <v>3729</v>
      </c>
      <c r="C2452" s="2" t="str">
        <f>TEXT(Table3[[#This Row],[Order Date]],"mmmm")</f>
        <v>Not Mentioned</v>
      </c>
      <c r="D2452" t="s">
        <v>3730</v>
      </c>
      <c r="E2452" t="s">
        <v>3222</v>
      </c>
      <c r="F2452" t="s">
        <v>3226</v>
      </c>
      <c r="G2452" s="4">
        <v>15341.15</v>
      </c>
      <c r="H2452" s="4">
        <v>10390.15</v>
      </c>
      <c r="I2452" s="3" t="s">
        <v>3734</v>
      </c>
      <c r="J2452">
        <v>1</v>
      </c>
      <c r="K2452" s="4">
        <f>Table3[[#This Row],[Sales]]-Table3[[#This Row],[Cost]]</f>
        <v>4951</v>
      </c>
      <c r="L2452" s="6">
        <f>Table3[[#This Row],[Profit]]/Table3[[#This Row],[Sales]]</f>
        <v>0.32272678384606107</v>
      </c>
    </row>
    <row r="2453" spans="1:12" x14ac:dyDescent="0.25">
      <c r="A2453" t="s">
        <v>205</v>
      </c>
      <c r="B2453" s="2">
        <v>45021</v>
      </c>
      <c r="C2453" s="2" t="str">
        <f>TEXT(Table3[[#This Row],[Order Date]],"mmmm")</f>
        <v>April</v>
      </c>
      <c r="D2453" t="s">
        <v>3216</v>
      </c>
      <c r="E2453" t="s">
        <v>3224</v>
      </c>
      <c r="F2453" t="s">
        <v>3226</v>
      </c>
      <c r="G2453" s="4">
        <v>207457.76</v>
      </c>
      <c r="H2453" s="4">
        <v>176988.72</v>
      </c>
      <c r="I2453" s="3" t="s">
        <v>3734</v>
      </c>
      <c r="J2453">
        <v>4</v>
      </c>
      <c r="K2453" s="4">
        <f>Table3[[#This Row],[Sales]]-Table3[[#This Row],[Cost]]</f>
        <v>30469.040000000008</v>
      </c>
      <c r="L2453" s="6">
        <f>Table3[[#This Row],[Profit]]/Table3[[#This Row],[Sales]]</f>
        <v>0.14686864448936501</v>
      </c>
    </row>
    <row r="2454" spans="1:12" x14ac:dyDescent="0.25">
      <c r="A2454" t="s">
        <v>2227</v>
      </c>
      <c r="B2454" s="2">
        <v>45005</v>
      </c>
      <c r="C2454" s="2" t="str">
        <f>TEXT(Table3[[#This Row],[Order Date]],"mmmm")</f>
        <v>March</v>
      </c>
      <c r="D2454" t="s">
        <v>3216</v>
      </c>
      <c r="E2454" t="s">
        <v>3222</v>
      </c>
      <c r="F2454" t="s">
        <v>3226</v>
      </c>
      <c r="G2454" s="4">
        <v>49465.85</v>
      </c>
      <c r="H2454" s="4">
        <v>31799.53</v>
      </c>
      <c r="I2454" s="3" t="s">
        <v>3734</v>
      </c>
      <c r="J2454">
        <v>3</v>
      </c>
      <c r="K2454" s="4">
        <f>Table3[[#This Row],[Sales]]-Table3[[#This Row],[Cost]]</f>
        <v>17666.32</v>
      </c>
      <c r="L2454" s="6">
        <f>Table3[[#This Row],[Profit]]/Table3[[#This Row],[Sales]]</f>
        <v>0.35714174526466241</v>
      </c>
    </row>
    <row r="2455" spans="1:12" x14ac:dyDescent="0.25">
      <c r="A2455" t="s">
        <v>3461</v>
      </c>
      <c r="B2455" s="2">
        <v>44941</v>
      </c>
      <c r="C2455" s="2" t="str">
        <f>TEXT(Table3[[#This Row],[Order Date]],"mmmm")</f>
        <v>January</v>
      </c>
      <c r="D2455" t="s">
        <v>3220</v>
      </c>
      <c r="E2455" t="s">
        <v>3223</v>
      </c>
      <c r="F2455" t="s">
        <v>3226</v>
      </c>
      <c r="G2455" s="4">
        <v>17374.12</v>
      </c>
      <c r="H2455" s="4">
        <v>11935.74</v>
      </c>
      <c r="I2455" s="3" t="s">
        <v>3734</v>
      </c>
      <c r="J2455">
        <v>2</v>
      </c>
      <c r="K2455" s="4">
        <f>Table3[[#This Row],[Sales]]-Table3[[#This Row],[Cost]]</f>
        <v>5438.3799999999992</v>
      </c>
      <c r="L2455" s="6">
        <f>Table3[[#This Row],[Profit]]/Table3[[#This Row],[Sales]]</f>
        <v>0.31301614124916827</v>
      </c>
    </row>
    <row r="2456" spans="1:12" x14ac:dyDescent="0.25">
      <c r="A2456" t="s">
        <v>2228</v>
      </c>
      <c r="B2456" s="2">
        <v>45102</v>
      </c>
      <c r="C2456" s="2" t="str">
        <f>TEXT(Table3[[#This Row],[Order Date]],"mmmm")</f>
        <v>June</v>
      </c>
      <c r="D2456" t="s">
        <v>3730</v>
      </c>
      <c r="E2456" t="s">
        <v>3224</v>
      </c>
      <c r="F2456" t="s">
        <v>3226</v>
      </c>
      <c r="G2456" s="4">
        <v>205317.1</v>
      </c>
      <c r="H2456" s="4">
        <v>139849.04</v>
      </c>
      <c r="I2456" s="3" t="s">
        <v>3734</v>
      </c>
      <c r="J2456">
        <v>3</v>
      </c>
      <c r="K2456" s="4">
        <f>Table3[[#This Row],[Sales]]-Table3[[#This Row],[Cost]]</f>
        <v>65468.06</v>
      </c>
      <c r="L2456" s="6">
        <f>Table3[[#This Row],[Profit]]/Table3[[#This Row],[Sales]]</f>
        <v>0.31886316337022097</v>
      </c>
    </row>
    <row r="2457" spans="1:12" x14ac:dyDescent="0.25">
      <c r="A2457" t="s">
        <v>3562</v>
      </c>
      <c r="B2457" s="2">
        <v>45021</v>
      </c>
      <c r="C2457" s="2" t="str">
        <f>TEXT(Table3[[#This Row],[Order Date]],"mmmm")</f>
        <v>April</v>
      </c>
      <c r="D2457" t="s">
        <v>3730</v>
      </c>
      <c r="E2457" t="s">
        <v>3224</v>
      </c>
      <c r="F2457" t="s">
        <v>3226</v>
      </c>
      <c r="G2457" s="4">
        <v>225197.88</v>
      </c>
      <c r="H2457" s="4">
        <v>175646.61</v>
      </c>
      <c r="I2457" s="3" t="s">
        <v>3734</v>
      </c>
      <c r="J2457">
        <v>4</v>
      </c>
      <c r="K2457" s="4">
        <f>Table3[[#This Row],[Sales]]-Table3[[#This Row],[Cost]]</f>
        <v>49551.270000000019</v>
      </c>
      <c r="L2457" s="6">
        <f>Table3[[#This Row],[Profit]]/Table3[[#This Row],[Sales]]</f>
        <v>0.22003435378698954</v>
      </c>
    </row>
    <row r="2458" spans="1:12" x14ac:dyDescent="0.25">
      <c r="A2458" t="s">
        <v>2229</v>
      </c>
      <c r="B2458" s="2">
        <v>45005</v>
      </c>
      <c r="C2458" s="2" t="str">
        <f>TEXT(Table3[[#This Row],[Order Date]],"mmmm")</f>
        <v>March</v>
      </c>
      <c r="D2458" t="s">
        <v>3220</v>
      </c>
      <c r="E2458" t="s">
        <v>3222</v>
      </c>
      <c r="F2458" t="s">
        <v>3226</v>
      </c>
      <c r="G2458" s="4">
        <v>65749.48</v>
      </c>
      <c r="H2458" s="4">
        <v>50030.559999999998</v>
      </c>
      <c r="I2458" s="3" t="s">
        <v>3734</v>
      </c>
      <c r="J2458">
        <v>5</v>
      </c>
      <c r="K2458" s="4">
        <f>Table3[[#This Row],[Sales]]-Table3[[#This Row],[Cost]]</f>
        <v>15718.919999999998</v>
      </c>
      <c r="L2458" s="6">
        <f>Table3[[#This Row],[Profit]]/Table3[[#This Row],[Sales]]</f>
        <v>0.23907291738276865</v>
      </c>
    </row>
    <row r="2459" spans="1:12" x14ac:dyDescent="0.25">
      <c r="A2459" t="s">
        <v>2230</v>
      </c>
      <c r="B2459" s="2">
        <v>45102</v>
      </c>
      <c r="C2459" s="2" t="str">
        <f>TEXT(Table3[[#This Row],[Order Date]],"mmmm")</f>
        <v>June</v>
      </c>
      <c r="D2459" t="s">
        <v>3216</v>
      </c>
      <c r="E2459" t="s">
        <v>3223</v>
      </c>
      <c r="F2459" t="s">
        <v>3226</v>
      </c>
      <c r="G2459" s="4">
        <v>48198.59</v>
      </c>
      <c r="H2459" s="4">
        <v>36134.36</v>
      </c>
      <c r="I2459" s="3" t="s">
        <v>3734</v>
      </c>
      <c r="J2459">
        <v>5</v>
      </c>
      <c r="K2459" s="4">
        <f>Table3[[#This Row],[Sales]]-Table3[[#This Row],[Cost]]</f>
        <v>12064.229999999996</v>
      </c>
      <c r="L2459" s="6">
        <f>Table3[[#This Row],[Profit]]/Table3[[#This Row],[Sales]]</f>
        <v>0.25030255034431498</v>
      </c>
    </row>
    <row r="2460" spans="1:12" x14ac:dyDescent="0.25">
      <c r="A2460" t="s">
        <v>2231</v>
      </c>
      <c r="B2460" s="2">
        <v>45102</v>
      </c>
      <c r="C2460" s="2" t="str">
        <f>TEXT(Table3[[#This Row],[Order Date]],"mmmm")</f>
        <v>June</v>
      </c>
      <c r="D2460" t="s">
        <v>3731</v>
      </c>
      <c r="E2460" t="s">
        <v>3224</v>
      </c>
      <c r="F2460" t="s">
        <v>3226</v>
      </c>
      <c r="G2460" s="4">
        <v>62075.23</v>
      </c>
      <c r="H2460" s="4">
        <v>48232.08</v>
      </c>
      <c r="I2460" s="3" t="s">
        <v>3734</v>
      </c>
      <c r="J2460">
        <v>1</v>
      </c>
      <c r="K2460" s="4">
        <f>Table3[[#This Row],[Sales]]-Table3[[#This Row],[Cost]]</f>
        <v>13843.150000000001</v>
      </c>
      <c r="L2460" s="6">
        <f>Table3[[#This Row],[Profit]]/Table3[[#This Row],[Sales]]</f>
        <v>0.22300602027572031</v>
      </c>
    </row>
    <row r="2461" spans="1:12" x14ac:dyDescent="0.25">
      <c r="A2461" t="s">
        <v>446</v>
      </c>
      <c r="B2461" s="2">
        <v>45005</v>
      </c>
      <c r="C2461" s="2" t="str">
        <f>TEXT(Table3[[#This Row],[Order Date]],"mmmm")</f>
        <v>March</v>
      </c>
      <c r="D2461" t="s">
        <v>3216</v>
      </c>
      <c r="E2461" t="s">
        <v>3223</v>
      </c>
      <c r="F2461" t="s">
        <v>3226</v>
      </c>
      <c r="G2461" s="4">
        <v>9162.7999999999993</v>
      </c>
      <c r="H2461" s="4">
        <v>6682.61</v>
      </c>
      <c r="I2461" s="3" t="s">
        <v>3734</v>
      </c>
      <c r="J2461">
        <v>1</v>
      </c>
      <c r="K2461" s="4">
        <f>Table3[[#This Row],[Sales]]-Table3[[#This Row],[Cost]]</f>
        <v>2480.1899999999996</v>
      </c>
      <c r="L2461" s="6">
        <f>Table3[[#This Row],[Profit]]/Table3[[#This Row],[Sales]]</f>
        <v>0.2706803597153708</v>
      </c>
    </row>
    <row r="2462" spans="1:12" x14ac:dyDescent="0.25">
      <c r="A2462" t="s">
        <v>2232</v>
      </c>
      <c r="B2462" s="2" t="s">
        <v>3729</v>
      </c>
      <c r="C2462" s="2" t="str">
        <f>TEXT(Table3[[#This Row],[Order Date]],"mmmm")</f>
        <v>Not Mentioned</v>
      </c>
      <c r="D2462" t="s">
        <v>3216</v>
      </c>
      <c r="E2462" t="s">
        <v>3225</v>
      </c>
      <c r="F2462" t="s">
        <v>3226</v>
      </c>
      <c r="G2462" s="4">
        <v>91098.01</v>
      </c>
      <c r="H2462" s="4">
        <v>72878.407999999996</v>
      </c>
      <c r="I2462" s="3" t="s">
        <v>3735</v>
      </c>
      <c r="J2462">
        <v>4</v>
      </c>
      <c r="K2462" s="4">
        <f>Table3[[#This Row],[Sales]]-Table3[[#This Row],[Cost]]</f>
        <v>18219.601999999999</v>
      </c>
      <c r="L2462" s="6">
        <f>Table3[[#This Row],[Profit]]/Table3[[#This Row],[Sales]]</f>
        <v>0.2</v>
      </c>
    </row>
    <row r="2463" spans="1:12" x14ac:dyDescent="0.25">
      <c r="A2463" t="s">
        <v>348</v>
      </c>
      <c r="B2463" s="2">
        <v>44941</v>
      </c>
      <c r="C2463" s="2" t="str">
        <f>TEXT(Table3[[#This Row],[Order Date]],"mmmm")</f>
        <v>January</v>
      </c>
      <c r="D2463" t="s">
        <v>3731</v>
      </c>
      <c r="E2463" t="s">
        <v>3224</v>
      </c>
      <c r="F2463" t="s">
        <v>3226</v>
      </c>
      <c r="G2463" s="4">
        <v>99460.76</v>
      </c>
      <c r="H2463" s="4">
        <v>79568.608000000007</v>
      </c>
      <c r="I2463" s="3" t="s">
        <v>3735</v>
      </c>
      <c r="J2463">
        <v>2</v>
      </c>
      <c r="K2463" s="4">
        <f>Table3[[#This Row],[Sales]]-Table3[[#This Row],[Cost]]</f>
        <v>19892.151999999987</v>
      </c>
      <c r="L2463" s="6">
        <f>Table3[[#This Row],[Profit]]/Table3[[#This Row],[Sales]]</f>
        <v>0.19999999999999987</v>
      </c>
    </row>
    <row r="2464" spans="1:12" x14ac:dyDescent="0.25">
      <c r="A2464" t="s">
        <v>2233</v>
      </c>
      <c r="B2464" s="2">
        <v>44941</v>
      </c>
      <c r="C2464" s="2" t="str">
        <f>TEXT(Table3[[#This Row],[Order Date]],"mmmm")</f>
        <v>January</v>
      </c>
      <c r="D2464" t="s">
        <v>3216</v>
      </c>
      <c r="E2464" t="s">
        <v>3224</v>
      </c>
      <c r="F2464" t="s">
        <v>3226</v>
      </c>
      <c r="G2464" s="4">
        <v>283471.23</v>
      </c>
      <c r="H2464" s="4">
        <v>156888.41</v>
      </c>
      <c r="I2464" s="3" t="s">
        <v>3734</v>
      </c>
      <c r="J2464">
        <v>4</v>
      </c>
      <c r="K2464" s="4">
        <f>Table3[[#This Row],[Sales]]-Table3[[#This Row],[Cost]]</f>
        <v>126582.81999999998</v>
      </c>
      <c r="L2464" s="6">
        <f>Table3[[#This Row],[Profit]]/Table3[[#This Row],[Sales]]</f>
        <v>0.44654556301886433</v>
      </c>
    </row>
    <row r="2465" spans="1:12" x14ac:dyDescent="0.25">
      <c r="A2465" t="s">
        <v>3544</v>
      </c>
      <c r="B2465" s="2" t="s">
        <v>3729</v>
      </c>
      <c r="C2465" s="2" t="str">
        <f>TEXT(Table3[[#This Row],[Order Date]],"mmmm")</f>
        <v>Not Mentioned</v>
      </c>
      <c r="D2465" t="s">
        <v>3730</v>
      </c>
      <c r="E2465" t="s">
        <v>3223</v>
      </c>
      <c r="F2465" t="s">
        <v>3226</v>
      </c>
      <c r="G2465" s="4">
        <v>18154.919999999998</v>
      </c>
      <c r="H2465" s="4">
        <v>13868.22</v>
      </c>
      <c r="I2465" s="3" t="s">
        <v>3734</v>
      </c>
      <c r="J2465">
        <v>2</v>
      </c>
      <c r="K2465" s="4">
        <f>Table3[[#This Row],[Sales]]-Table3[[#This Row],[Cost]]</f>
        <v>4286.6999999999989</v>
      </c>
      <c r="L2465" s="6">
        <f>Table3[[#This Row],[Profit]]/Table3[[#This Row],[Sales]]</f>
        <v>0.23611781269209664</v>
      </c>
    </row>
    <row r="2466" spans="1:12" x14ac:dyDescent="0.25">
      <c r="A2466" t="s">
        <v>2234</v>
      </c>
      <c r="B2466" s="2">
        <v>44972</v>
      </c>
      <c r="C2466" s="2" t="str">
        <f>TEXT(Table3[[#This Row],[Order Date]],"mmmm")</f>
        <v>February</v>
      </c>
      <c r="D2466" t="s">
        <v>3220</v>
      </c>
      <c r="E2466" t="s">
        <v>3225</v>
      </c>
      <c r="F2466" t="s">
        <v>3226</v>
      </c>
      <c r="G2466" s="4">
        <v>88108.66</v>
      </c>
      <c r="H2466" s="4">
        <v>73642.95</v>
      </c>
      <c r="I2466" s="3" t="s">
        <v>3734</v>
      </c>
      <c r="J2466">
        <v>5</v>
      </c>
      <c r="K2466" s="4">
        <f>Table3[[#This Row],[Sales]]-Table3[[#This Row],[Cost]]</f>
        <v>14465.710000000006</v>
      </c>
      <c r="L2466" s="6">
        <f>Table3[[#This Row],[Profit]]/Table3[[#This Row],[Sales]]</f>
        <v>0.16418034277220883</v>
      </c>
    </row>
    <row r="2467" spans="1:12" x14ac:dyDescent="0.25">
      <c r="A2467" t="s">
        <v>2235</v>
      </c>
      <c r="B2467" s="2">
        <v>44941</v>
      </c>
      <c r="C2467" s="2" t="str">
        <f>TEXT(Table3[[#This Row],[Order Date]],"mmmm")</f>
        <v>January</v>
      </c>
      <c r="D2467" t="s">
        <v>3730</v>
      </c>
      <c r="E2467" t="s">
        <v>3222</v>
      </c>
      <c r="F2467" t="s">
        <v>3226</v>
      </c>
      <c r="G2467" s="4">
        <v>66110.55</v>
      </c>
      <c r="H2467" s="4">
        <v>39634.019999999997</v>
      </c>
      <c r="I2467" s="3" t="s">
        <v>3734</v>
      </c>
      <c r="J2467">
        <v>4</v>
      </c>
      <c r="K2467" s="4">
        <f>Table3[[#This Row],[Sales]]-Table3[[#This Row],[Cost]]</f>
        <v>26476.530000000006</v>
      </c>
      <c r="L2467" s="6">
        <f>Table3[[#This Row],[Profit]]/Table3[[#This Row],[Sales]]</f>
        <v>0.40048872683709341</v>
      </c>
    </row>
    <row r="2468" spans="1:12" x14ac:dyDescent="0.25">
      <c r="A2468" t="s">
        <v>2236</v>
      </c>
      <c r="B2468" s="2">
        <v>44941</v>
      </c>
      <c r="C2468" s="2" t="str">
        <f>TEXT(Table3[[#This Row],[Order Date]],"mmmm")</f>
        <v>January</v>
      </c>
      <c r="D2468" t="s">
        <v>3216</v>
      </c>
      <c r="E2468" t="s">
        <v>3223</v>
      </c>
      <c r="F2468" t="s">
        <v>3226</v>
      </c>
      <c r="G2468" s="4">
        <v>59775.07</v>
      </c>
      <c r="H2468" s="4">
        <v>37817.58</v>
      </c>
      <c r="I2468" s="3" t="s">
        <v>3734</v>
      </c>
      <c r="J2468">
        <v>5</v>
      </c>
      <c r="K2468" s="4">
        <f>Table3[[#This Row],[Sales]]-Table3[[#This Row],[Cost]]</f>
        <v>21957.489999999998</v>
      </c>
      <c r="L2468" s="6">
        <f>Table3[[#This Row],[Profit]]/Table3[[#This Row],[Sales]]</f>
        <v>0.3673352452786755</v>
      </c>
    </row>
    <row r="2469" spans="1:12" x14ac:dyDescent="0.25">
      <c r="A2469" t="s">
        <v>3605</v>
      </c>
      <c r="B2469" s="2">
        <v>45102</v>
      </c>
      <c r="C2469" s="2" t="str">
        <f>TEXT(Table3[[#This Row],[Order Date]],"mmmm")</f>
        <v>June</v>
      </c>
      <c r="D2469" t="s">
        <v>3730</v>
      </c>
      <c r="E2469" t="s">
        <v>3225</v>
      </c>
      <c r="F2469" t="s">
        <v>3226</v>
      </c>
      <c r="G2469" s="4">
        <v>85968.23</v>
      </c>
      <c r="H2469" s="4">
        <v>57849.279999999999</v>
      </c>
      <c r="I2469" s="3" t="s">
        <v>3734</v>
      </c>
      <c r="J2469">
        <v>4</v>
      </c>
      <c r="K2469" s="4">
        <f>Table3[[#This Row],[Sales]]-Table3[[#This Row],[Cost]]</f>
        <v>28118.949999999997</v>
      </c>
      <c r="L2469" s="6">
        <f>Table3[[#This Row],[Profit]]/Table3[[#This Row],[Sales]]</f>
        <v>0.32708536630334251</v>
      </c>
    </row>
    <row r="2470" spans="1:12" x14ac:dyDescent="0.25">
      <c r="A2470" t="s">
        <v>2238</v>
      </c>
      <c r="B2470" s="2">
        <v>44972</v>
      </c>
      <c r="C2470" s="2" t="str">
        <f>TEXT(Table3[[#This Row],[Order Date]],"mmmm")</f>
        <v>February</v>
      </c>
      <c r="D2470" t="s">
        <v>3730</v>
      </c>
      <c r="E2470" t="s">
        <v>3225</v>
      </c>
      <c r="F2470" t="s">
        <v>3226</v>
      </c>
      <c r="G2470" s="4">
        <v>23914.28</v>
      </c>
      <c r="H2470" s="4">
        <v>15111.47</v>
      </c>
      <c r="I2470" s="3" t="s">
        <v>3734</v>
      </c>
      <c r="J2470">
        <v>1</v>
      </c>
      <c r="K2470" s="4">
        <f>Table3[[#This Row],[Sales]]-Table3[[#This Row],[Cost]]</f>
        <v>8802.81</v>
      </c>
      <c r="L2470" s="6">
        <f>Table3[[#This Row],[Profit]]/Table3[[#This Row],[Sales]]</f>
        <v>0.36809847505339904</v>
      </c>
    </row>
    <row r="2471" spans="1:12" x14ac:dyDescent="0.25">
      <c r="A2471" t="s">
        <v>2239</v>
      </c>
      <c r="B2471" s="2">
        <v>44972</v>
      </c>
      <c r="C2471" s="2" t="str">
        <f>TEXT(Table3[[#This Row],[Order Date]],"mmmm")</f>
        <v>February</v>
      </c>
      <c r="D2471" t="s">
        <v>3216</v>
      </c>
      <c r="E2471" t="s">
        <v>3224</v>
      </c>
      <c r="F2471" t="s">
        <v>3226</v>
      </c>
      <c r="G2471" s="4">
        <v>352179.91</v>
      </c>
      <c r="H2471" s="4">
        <v>240396.34</v>
      </c>
      <c r="I2471" s="3" t="s">
        <v>3734</v>
      </c>
      <c r="J2471">
        <v>5</v>
      </c>
      <c r="K2471" s="4">
        <f>Table3[[#This Row],[Sales]]-Table3[[#This Row],[Cost]]</f>
        <v>111783.56999999998</v>
      </c>
      <c r="L2471" s="6">
        <f>Table3[[#This Row],[Profit]]/Table3[[#This Row],[Sales]]</f>
        <v>0.31740473214386361</v>
      </c>
    </row>
    <row r="2472" spans="1:12" x14ac:dyDescent="0.25">
      <c r="A2472" t="s">
        <v>2240</v>
      </c>
      <c r="B2472" s="2">
        <v>44972</v>
      </c>
      <c r="C2472" s="2" t="str">
        <f>TEXT(Table3[[#This Row],[Order Date]],"mmmm")</f>
        <v>February</v>
      </c>
      <c r="D2472" t="s">
        <v>3216</v>
      </c>
      <c r="E2472" t="s">
        <v>3223</v>
      </c>
      <c r="F2472" t="s">
        <v>3226</v>
      </c>
      <c r="G2472" s="4">
        <v>34342.129999999997</v>
      </c>
      <c r="H2472" s="4">
        <v>27473.703999999998</v>
      </c>
      <c r="I2472" s="3" t="s">
        <v>3735</v>
      </c>
      <c r="J2472">
        <v>4</v>
      </c>
      <c r="K2472" s="4">
        <f>Table3[[#This Row],[Sales]]-Table3[[#This Row],[Cost]]</f>
        <v>6868.4259999999995</v>
      </c>
      <c r="L2472" s="6">
        <f>Table3[[#This Row],[Profit]]/Table3[[#This Row],[Sales]]</f>
        <v>0.2</v>
      </c>
    </row>
    <row r="2473" spans="1:12" x14ac:dyDescent="0.25">
      <c r="A2473" t="s">
        <v>2241</v>
      </c>
      <c r="B2473" s="2">
        <v>45102</v>
      </c>
      <c r="C2473" s="2" t="str">
        <f>TEXT(Table3[[#This Row],[Order Date]],"mmmm")</f>
        <v>June</v>
      </c>
      <c r="D2473" t="s">
        <v>3731</v>
      </c>
      <c r="E2473" t="s">
        <v>3224</v>
      </c>
      <c r="F2473" t="s">
        <v>3226</v>
      </c>
      <c r="G2473" s="4">
        <v>138119.23000000001</v>
      </c>
      <c r="H2473" s="4">
        <v>79206.490000000005</v>
      </c>
      <c r="I2473" s="3" t="s">
        <v>3734</v>
      </c>
      <c r="J2473">
        <v>2</v>
      </c>
      <c r="K2473" s="4">
        <f>Table3[[#This Row],[Sales]]-Table3[[#This Row],[Cost]]</f>
        <v>58912.740000000005</v>
      </c>
      <c r="L2473" s="6">
        <f>Table3[[#This Row],[Profit]]/Table3[[#This Row],[Sales]]</f>
        <v>0.42653539264590457</v>
      </c>
    </row>
    <row r="2474" spans="1:12" x14ac:dyDescent="0.25">
      <c r="A2474" t="s">
        <v>1735</v>
      </c>
      <c r="B2474" s="2" t="s">
        <v>3729</v>
      </c>
      <c r="C2474" s="2" t="str">
        <f>TEXT(Table3[[#This Row],[Order Date]],"mmmm")</f>
        <v>Not Mentioned</v>
      </c>
      <c r="D2474" t="s">
        <v>3216</v>
      </c>
      <c r="E2474" t="s">
        <v>3222</v>
      </c>
      <c r="F2474" t="s">
        <v>3226</v>
      </c>
      <c r="G2474" s="4">
        <v>24247.040000000001</v>
      </c>
      <c r="H2474" s="4">
        <v>18762.79</v>
      </c>
      <c r="I2474" s="3" t="s">
        <v>3734</v>
      </c>
      <c r="J2474">
        <v>2</v>
      </c>
      <c r="K2474" s="4">
        <f>Table3[[#This Row],[Sales]]-Table3[[#This Row],[Cost]]</f>
        <v>5484.25</v>
      </c>
      <c r="L2474" s="6">
        <f>Table3[[#This Row],[Profit]]/Table3[[#This Row],[Sales]]</f>
        <v>0.22618224740009502</v>
      </c>
    </row>
    <row r="2475" spans="1:12" x14ac:dyDescent="0.25">
      <c r="A2475" t="s">
        <v>3606</v>
      </c>
      <c r="B2475" s="2">
        <v>44941</v>
      </c>
      <c r="C2475" s="2" t="str">
        <f>TEXT(Table3[[#This Row],[Order Date]],"mmmm")</f>
        <v>January</v>
      </c>
      <c r="D2475" t="s">
        <v>3220</v>
      </c>
      <c r="E2475" t="s">
        <v>3224</v>
      </c>
      <c r="F2475" t="s">
        <v>3226</v>
      </c>
      <c r="G2475" s="4">
        <v>65403.82</v>
      </c>
      <c r="H2475" s="4">
        <v>41226.29</v>
      </c>
      <c r="I2475" s="3" t="s">
        <v>3734</v>
      </c>
      <c r="J2475">
        <v>1</v>
      </c>
      <c r="K2475" s="4">
        <f>Table3[[#This Row],[Sales]]-Table3[[#This Row],[Cost]]</f>
        <v>24177.53</v>
      </c>
      <c r="L2475" s="6">
        <f>Table3[[#This Row],[Profit]]/Table3[[#This Row],[Sales]]</f>
        <v>0.36966541098058187</v>
      </c>
    </row>
    <row r="2476" spans="1:12" x14ac:dyDescent="0.25">
      <c r="A2476" t="s">
        <v>2243</v>
      </c>
      <c r="B2476" s="2">
        <v>45005</v>
      </c>
      <c r="C2476" s="2" t="str">
        <f>TEXT(Table3[[#This Row],[Order Date]],"mmmm")</f>
        <v>March</v>
      </c>
      <c r="D2476" t="s">
        <v>3731</v>
      </c>
      <c r="E2476" t="s">
        <v>3223</v>
      </c>
      <c r="F2476" t="s">
        <v>3226</v>
      </c>
      <c r="G2476" s="4">
        <v>56481.75</v>
      </c>
      <c r="H2476" s="4">
        <v>36127.050000000003</v>
      </c>
      <c r="I2476" s="3" t="s">
        <v>3734</v>
      </c>
      <c r="J2476" t="s">
        <v>3732</v>
      </c>
      <c r="K2476" s="4">
        <f>Table3[[#This Row],[Sales]]-Table3[[#This Row],[Cost]]</f>
        <v>20354.699999999997</v>
      </c>
      <c r="L2476" s="6">
        <f>Table3[[#This Row],[Profit]]/Table3[[#This Row],[Sales]]</f>
        <v>0.36037658181625032</v>
      </c>
    </row>
    <row r="2477" spans="1:12" x14ac:dyDescent="0.25">
      <c r="A2477" t="s">
        <v>2244</v>
      </c>
      <c r="B2477" s="2">
        <v>45021</v>
      </c>
      <c r="C2477" s="2" t="str">
        <f>TEXT(Table3[[#This Row],[Order Date]],"mmmm")</f>
        <v>April</v>
      </c>
      <c r="D2477" t="s">
        <v>3216</v>
      </c>
      <c r="E2477" t="s">
        <v>3224</v>
      </c>
      <c r="F2477" t="s">
        <v>3226</v>
      </c>
      <c r="G2477" s="4">
        <v>102227.08</v>
      </c>
      <c r="H2477" s="4">
        <v>80479.45</v>
      </c>
      <c r="I2477" s="3" t="s">
        <v>3734</v>
      </c>
      <c r="J2477">
        <v>2</v>
      </c>
      <c r="K2477" s="4">
        <f>Table3[[#This Row],[Sales]]-Table3[[#This Row],[Cost]]</f>
        <v>21747.630000000005</v>
      </c>
      <c r="L2477" s="6">
        <f>Table3[[#This Row],[Profit]]/Table3[[#This Row],[Sales]]</f>
        <v>0.2127384446469566</v>
      </c>
    </row>
    <row r="2478" spans="1:12" x14ac:dyDescent="0.25">
      <c r="A2478" t="s">
        <v>2245</v>
      </c>
      <c r="B2478" s="2">
        <v>44941</v>
      </c>
      <c r="C2478" s="2" t="str">
        <f>TEXT(Table3[[#This Row],[Order Date]],"mmmm")</f>
        <v>January</v>
      </c>
      <c r="D2478" t="s">
        <v>3220</v>
      </c>
      <c r="E2478" t="s">
        <v>3223</v>
      </c>
      <c r="F2478" t="s">
        <v>3226</v>
      </c>
      <c r="G2478" s="4">
        <v>50521.82</v>
      </c>
      <c r="H2478" s="4">
        <v>35663.730000000003</v>
      </c>
      <c r="I2478" s="3" t="s">
        <v>3734</v>
      </c>
      <c r="J2478">
        <v>5</v>
      </c>
      <c r="K2478" s="4">
        <f>Table3[[#This Row],[Sales]]-Table3[[#This Row],[Cost]]</f>
        <v>14858.089999999997</v>
      </c>
      <c r="L2478" s="6">
        <f>Table3[[#This Row],[Profit]]/Table3[[#This Row],[Sales]]</f>
        <v>0.29409253269181507</v>
      </c>
    </row>
    <row r="2479" spans="1:12" x14ac:dyDescent="0.25">
      <c r="A2479" t="s">
        <v>2246</v>
      </c>
      <c r="B2479" s="2">
        <v>44941</v>
      </c>
      <c r="C2479" s="2" t="str">
        <f>TEXT(Table3[[#This Row],[Order Date]],"mmmm")</f>
        <v>January</v>
      </c>
      <c r="D2479" t="s">
        <v>3220</v>
      </c>
      <c r="E2479" t="s">
        <v>3222</v>
      </c>
      <c r="F2479" t="s">
        <v>3226</v>
      </c>
      <c r="G2479" s="4">
        <v>13734.2</v>
      </c>
      <c r="H2479" s="4">
        <v>10983.59</v>
      </c>
      <c r="I2479" s="3" t="s">
        <v>3734</v>
      </c>
      <c r="J2479">
        <v>1</v>
      </c>
      <c r="K2479" s="4">
        <f>Table3[[#This Row],[Sales]]-Table3[[#This Row],[Cost]]</f>
        <v>2750.6100000000006</v>
      </c>
      <c r="L2479" s="6">
        <f>Table3[[#This Row],[Profit]]/Table3[[#This Row],[Sales]]</f>
        <v>0.20027449724046545</v>
      </c>
    </row>
    <row r="2480" spans="1:12" x14ac:dyDescent="0.25">
      <c r="A2480" t="s">
        <v>2247</v>
      </c>
      <c r="B2480" s="2" t="s">
        <v>3729</v>
      </c>
      <c r="C2480" s="2" t="str">
        <f>TEXT(Table3[[#This Row],[Order Date]],"mmmm")</f>
        <v>Not Mentioned</v>
      </c>
      <c r="D2480" t="s">
        <v>3216</v>
      </c>
      <c r="E2480" t="s">
        <v>3224</v>
      </c>
      <c r="F2480" t="s">
        <v>3226</v>
      </c>
      <c r="G2480" s="4">
        <v>97080.81</v>
      </c>
      <c r="H2480" s="4">
        <v>80139.34</v>
      </c>
      <c r="I2480" s="3" t="s">
        <v>3734</v>
      </c>
      <c r="J2480">
        <v>2</v>
      </c>
      <c r="K2480" s="4">
        <f>Table3[[#This Row],[Sales]]-Table3[[#This Row],[Cost]]</f>
        <v>16941.47</v>
      </c>
      <c r="L2480" s="6">
        <f>Table3[[#This Row],[Profit]]/Table3[[#This Row],[Sales]]</f>
        <v>0.17450894775187806</v>
      </c>
    </row>
    <row r="2481" spans="1:12" x14ac:dyDescent="0.25">
      <c r="A2481" t="s">
        <v>2248</v>
      </c>
      <c r="B2481" s="2" t="s">
        <v>3729</v>
      </c>
      <c r="C2481" s="2" t="str">
        <f>TEXT(Table3[[#This Row],[Order Date]],"mmmm")</f>
        <v>Not Mentioned</v>
      </c>
      <c r="D2481" t="s">
        <v>3730</v>
      </c>
      <c r="E2481" t="s">
        <v>3222</v>
      </c>
      <c r="F2481" t="s">
        <v>3226</v>
      </c>
      <c r="G2481" s="4">
        <v>31764.42</v>
      </c>
      <c r="H2481" s="4">
        <v>20778.84</v>
      </c>
      <c r="I2481" s="3" t="s">
        <v>3734</v>
      </c>
      <c r="J2481">
        <v>2</v>
      </c>
      <c r="K2481" s="4">
        <f>Table3[[#This Row],[Sales]]-Table3[[#This Row],[Cost]]</f>
        <v>10985.579999999998</v>
      </c>
      <c r="L2481" s="6">
        <f>Table3[[#This Row],[Profit]]/Table3[[#This Row],[Sales]]</f>
        <v>0.34584544594234679</v>
      </c>
    </row>
    <row r="2482" spans="1:12" x14ac:dyDescent="0.25">
      <c r="A2482" t="s">
        <v>3607</v>
      </c>
      <c r="B2482" s="2">
        <v>45021</v>
      </c>
      <c r="C2482" s="2" t="str">
        <f>TEXT(Table3[[#This Row],[Order Date]],"mmmm")</f>
        <v>April</v>
      </c>
      <c r="D2482" t="s">
        <v>3731</v>
      </c>
      <c r="E2482" t="s">
        <v>3223</v>
      </c>
      <c r="F2482" t="s">
        <v>3226</v>
      </c>
      <c r="G2482" s="4">
        <v>43771.86</v>
      </c>
      <c r="H2482" s="4">
        <v>35796.639999999999</v>
      </c>
      <c r="I2482" s="3" t="s">
        <v>3734</v>
      </c>
      <c r="J2482">
        <v>5</v>
      </c>
      <c r="K2482" s="4">
        <f>Table3[[#This Row],[Sales]]-Table3[[#This Row],[Cost]]</f>
        <v>7975.2200000000012</v>
      </c>
      <c r="L2482" s="6">
        <f>Table3[[#This Row],[Profit]]/Table3[[#This Row],[Sales]]</f>
        <v>0.18219970547287689</v>
      </c>
    </row>
    <row r="2483" spans="1:12" x14ac:dyDescent="0.25">
      <c r="A2483" t="s">
        <v>3608</v>
      </c>
      <c r="B2483" s="2">
        <v>44941</v>
      </c>
      <c r="C2483" s="2" t="str">
        <f>TEXT(Table3[[#This Row],[Order Date]],"mmmm")</f>
        <v>January</v>
      </c>
      <c r="D2483" t="s">
        <v>3730</v>
      </c>
      <c r="E2483" t="s">
        <v>3225</v>
      </c>
      <c r="F2483" t="s">
        <v>3226</v>
      </c>
      <c r="G2483" s="4">
        <v>43757.68</v>
      </c>
      <c r="H2483" s="4">
        <v>24075.53</v>
      </c>
      <c r="I2483" s="3" t="s">
        <v>3734</v>
      </c>
      <c r="J2483">
        <v>2</v>
      </c>
      <c r="K2483" s="4">
        <f>Table3[[#This Row],[Sales]]-Table3[[#This Row],[Cost]]</f>
        <v>19682.150000000001</v>
      </c>
      <c r="L2483" s="6">
        <f>Table3[[#This Row],[Profit]]/Table3[[#This Row],[Sales]]</f>
        <v>0.44979875532706493</v>
      </c>
    </row>
    <row r="2484" spans="1:12" x14ac:dyDescent="0.25">
      <c r="A2484" t="s">
        <v>2251</v>
      </c>
      <c r="B2484" s="2">
        <v>44941</v>
      </c>
      <c r="C2484" s="2" t="str">
        <f>TEXT(Table3[[#This Row],[Order Date]],"mmmm")</f>
        <v>January</v>
      </c>
      <c r="D2484" t="s">
        <v>3731</v>
      </c>
      <c r="E2484" t="s">
        <v>3224</v>
      </c>
      <c r="F2484" t="s">
        <v>3226</v>
      </c>
      <c r="G2484" s="4">
        <v>57568.92</v>
      </c>
      <c r="H2484" s="4">
        <v>39219.449999999997</v>
      </c>
      <c r="I2484" s="3" t="s">
        <v>3734</v>
      </c>
      <c r="J2484">
        <v>1</v>
      </c>
      <c r="K2484" s="4">
        <f>Table3[[#This Row],[Sales]]-Table3[[#This Row],[Cost]]</f>
        <v>18349.47</v>
      </c>
      <c r="L2484" s="6">
        <f>Table3[[#This Row],[Profit]]/Table3[[#This Row],[Sales]]</f>
        <v>0.31873917384588768</v>
      </c>
    </row>
    <row r="2485" spans="1:12" x14ac:dyDescent="0.25">
      <c r="A2485" t="s">
        <v>2252</v>
      </c>
      <c r="B2485" s="2" t="s">
        <v>3729</v>
      </c>
      <c r="C2485" s="2" t="str">
        <f>TEXT(Table3[[#This Row],[Order Date]],"mmmm")</f>
        <v>Not Mentioned</v>
      </c>
      <c r="D2485" t="s">
        <v>3216</v>
      </c>
      <c r="E2485" t="s">
        <v>3223</v>
      </c>
      <c r="F2485" t="s">
        <v>3226</v>
      </c>
      <c r="G2485" s="4">
        <v>47155.8</v>
      </c>
      <c r="H2485" s="4">
        <v>29033.49</v>
      </c>
      <c r="I2485" s="3" t="s">
        <v>3734</v>
      </c>
      <c r="J2485">
        <v>4</v>
      </c>
      <c r="K2485" s="4">
        <f>Table3[[#This Row],[Sales]]-Table3[[#This Row],[Cost]]</f>
        <v>18122.310000000001</v>
      </c>
      <c r="L2485" s="6">
        <f>Table3[[#This Row],[Profit]]/Table3[[#This Row],[Sales]]</f>
        <v>0.38430712658888194</v>
      </c>
    </row>
    <row r="2486" spans="1:12" x14ac:dyDescent="0.25">
      <c r="A2486" t="s">
        <v>2253</v>
      </c>
      <c r="B2486" s="2">
        <v>45021</v>
      </c>
      <c r="C2486" s="2" t="str">
        <f>TEXT(Table3[[#This Row],[Order Date]],"mmmm")</f>
        <v>April</v>
      </c>
      <c r="D2486" t="s">
        <v>3220</v>
      </c>
      <c r="E2486" t="s">
        <v>3225</v>
      </c>
      <c r="F2486" t="s">
        <v>3226</v>
      </c>
      <c r="G2486" s="4">
        <v>48796.15</v>
      </c>
      <c r="H2486" s="4">
        <v>41657.72</v>
      </c>
      <c r="I2486" s="3" t="s">
        <v>3734</v>
      </c>
      <c r="J2486">
        <v>3</v>
      </c>
      <c r="K2486" s="4">
        <f>Table3[[#This Row],[Sales]]-Table3[[#This Row],[Cost]]</f>
        <v>7138.43</v>
      </c>
      <c r="L2486" s="6">
        <f>Table3[[#This Row],[Profit]]/Table3[[#This Row],[Sales]]</f>
        <v>0.14629084466704853</v>
      </c>
    </row>
    <row r="2487" spans="1:12" x14ac:dyDescent="0.25">
      <c r="A2487" t="s">
        <v>2254</v>
      </c>
      <c r="B2487" s="2">
        <v>45005</v>
      </c>
      <c r="C2487" s="2" t="str">
        <f>TEXT(Table3[[#This Row],[Order Date]],"mmmm")</f>
        <v>March</v>
      </c>
      <c r="D2487" t="s">
        <v>3220</v>
      </c>
      <c r="E2487" t="s">
        <v>3223</v>
      </c>
      <c r="F2487" t="s">
        <v>3226</v>
      </c>
      <c r="G2487" s="4">
        <v>19760.96</v>
      </c>
      <c r="H2487" s="4">
        <v>15272.11</v>
      </c>
      <c r="I2487" s="3" t="s">
        <v>3734</v>
      </c>
      <c r="J2487">
        <v>2</v>
      </c>
      <c r="K2487" s="4">
        <f>Table3[[#This Row],[Sales]]-Table3[[#This Row],[Cost]]</f>
        <v>4488.8499999999985</v>
      </c>
      <c r="L2487" s="6">
        <f>Table3[[#This Row],[Profit]]/Table3[[#This Row],[Sales]]</f>
        <v>0.22715748627597032</v>
      </c>
    </row>
    <row r="2488" spans="1:12" x14ac:dyDescent="0.25">
      <c r="A2488" t="s">
        <v>2255</v>
      </c>
      <c r="B2488" s="2">
        <v>44972</v>
      </c>
      <c r="C2488" s="2" t="str">
        <f>TEXT(Table3[[#This Row],[Order Date]],"mmmm")</f>
        <v>February</v>
      </c>
      <c r="D2488" t="s">
        <v>3216</v>
      </c>
      <c r="E2488" t="s">
        <v>3224</v>
      </c>
      <c r="F2488" t="s">
        <v>3226</v>
      </c>
      <c r="G2488" s="4">
        <v>54184.09</v>
      </c>
      <c r="H2488" s="4">
        <v>43347.271999999997</v>
      </c>
      <c r="I2488" s="3" t="s">
        <v>3735</v>
      </c>
      <c r="J2488">
        <v>1</v>
      </c>
      <c r="K2488" s="4">
        <f>Table3[[#This Row],[Sales]]-Table3[[#This Row],[Cost]]</f>
        <v>10836.817999999999</v>
      </c>
      <c r="L2488" s="6">
        <f>Table3[[#This Row],[Profit]]/Table3[[#This Row],[Sales]]</f>
        <v>0.2</v>
      </c>
    </row>
    <row r="2489" spans="1:12" x14ac:dyDescent="0.25">
      <c r="A2489" t="s">
        <v>2256</v>
      </c>
      <c r="B2489" s="2">
        <v>45021</v>
      </c>
      <c r="C2489" s="2" t="str">
        <f>TEXT(Table3[[#This Row],[Order Date]],"mmmm")</f>
        <v>April</v>
      </c>
      <c r="D2489" t="s">
        <v>3220</v>
      </c>
      <c r="E2489" t="s">
        <v>3224</v>
      </c>
      <c r="F2489" t="s">
        <v>3226</v>
      </c>
      <c r="G2489" s="4">
        <v>287300.39</v>
      </c>
      <c r="H2489" s="4">
        <v>244467.55</v>
      </c>
      <c r="I2489" s="3" t="s">
        <v>3734</v>
      </c>
      <c r="J2489">
        <v>5</v>
      </c>
      <c r="K2489" s="4">
        <f>Table3[[#This Row],[Sales]]-Table3[[#This Row],[Cost]]</f>
        <v>42832.840000000026</v>
      </c>
      <c r="L2489" s="6">
        <f>Table3[[#This Row],[Profit]]/Table3[[#This Row],[Sales]]</f>
        <v>0.14908730196989994</v>
      </c>
    </row>
    <row r="2490" spans="1:12" x14ac:dyDescent="0.25">
      <c r="A2490" t="s">
        <v>2257</v>
      </c>
      <c r="B2490" s="2">
        <v>44941</v>
      </c>
      <c r="C2490" s="2" t="str">
        <f>TEXT(Table3[[#This Row],[Order Date]],"mmmm")</f>
        <v>January</v>
      </c>
      <c r="D2490" t="s">
        <v>3220</v>
      </c>
      <c r="E2490" t="s">
        <v>3222</v>
      </c>
      <c r="F2490" t="s">
        <v>3226</v>
      </c>
      <c r="G2490" s="4">
        <v>12740.66</v>
      </c>
      <c r="H2490" s="4">
        <v>9114.1</v>
      </c>
      <c r="I2490" s="3" t="s">
        <v>3734</v>
      </c>
      <c r="J2490">
        <v>1</v>
      </c>
      <c r="K2490" s="4">
        <f>Table3[[#This Row],[Sales]]-Table3[[#This Row],[Cost]]</f>
        <v>3626.5599999999995</v>
      </c>
      <c r="L2490" s="6">
        <f>Table3[[#This Row],[Profit]]/Table3[[#This Row],[Sales]]</f>
        <v>0.28464459455004681</v>
      </c>
    </row>
    <row r="2491" spans="1:12" x14ac:dyDescent="0.25">
      <c r="A2491" t="s">
        <v>2258</v>
      </c>
      <c r="B2491" s="2" t="s">
        <v>3729</v>
      </c>
      <c r="C2491" s="2" t="str">
        <f>TEXT(Table3[[#This Row],[Order Date]],"mmmm")</f>
        <v>Not Mentioned</v>
      </c>
      <c r="D2491" t="s">
        <v>3730</v>
      </c>
      <c r="E2491" t="s">
        <v>3223</v>
      </c>
      <c r="F2491" t="s">
        <v>3226</v>
      </c>
      <c r="G2491" s="4">
        <v>21646.62</v>
      </c>
      <c r="H2491" s="4">
        <v>15119.44</v>
      </c>
      <c r="I2491" s="3" t="s">
        <v>3734</v>
      </c>
      <c r="J2491">
        <v>2</v>
      </c>
      <c r="K2491" s="4">
        <f>Table3[[#This Row],[Sales]]-Table3[[#This Row],[Cost]]</f>
        <v>6527.1799999999985</v>
      </c>
      <c r="L2491" s="6">
        <f>Table3[[#This Row],[Profit]]/Table3[[#This Row],[Sales]]</f>
        <v>0.30153344956395034</v>
      </c>
    </row>
    <row r="2492" spans="1:12" x14ac:dyDescent="0.25">
      <c r="A2492" t="s">
        <v>3609</v>
      </c>
      <c r="B2492" s="2" t="s">
        <v>3729</v>
      </c>
      <c r="C2492" s="2" t="str">
        <f>TEXT(Table3[[#This Row],[Order Date]],"mmmm")</f>
        <v>Not Mentioned</v>
      </c>
      <c r="D2492" t="s">
        <v>3730</v>
      </c>
      <c r="E2492" t="s">
        <v>3222</v>
      </c>
      <c r="F2492" t="s">
        <v>3226</v>
      </c>
      <c r="G2492" s="4">
        <v>13340.43</v>
      </c>
      <c r="H2492" s="4">
        <v>9599.7800000000007</v>
      </c>
      <c r="I2492" s="3" t="s">
        <v>3734</v>
      </c>
      <c r="J2492">
        <v>1</v>
      </c>
      <c r="K2492" s="4">
        <f>Table3[[#This Row],[Sales]]-Table3[[#This Row],[Cost]]</f>
        <v>3740.6499999999996</v>
      </c>
      <c r="L2492" s="6">
        <f>Table3[[#This Row],[Profit]]/Table3[[#This Row],[Sales]]</f>
        <v>0.28039950736220642</v>
      </c>
    </row>
    <row r="2493" spans="1:12" x14ac:dyDescent="0.25">
      <c r="A2493" t="s">
        <v>2260</v>
      </c>
      <c r="B2493" s="2">
        <v>45021</v>
      </c>
      <c r="C2493" s="2" t="str">
        <f>TEXT(Table3[[#This Row],[Order Date]],"mmmm")</f>
        <v>April</v>
      </c>
      <c r="D2493" t="s">
        <v>3731</v>
      </c>
      <c r="E2493" t="s">
        <v>3223</v>
      </c>
      <c r="F2493" t="s">
        <v>3226</v>
      </c>
      <c r="G2493" s="4">
        <v>30449.55</v>
      </c>
      <c r="H2493" s="4">
        <v>21223.51</v>
      </c>
      <c r="I2493" s="3" t="s">
        <v>3734</v>
      </c>
      <c r="J2493">
        <v>3</v>
      </c>
      <c r="K2493" s="4">
        <f>Table3[[#This Row],[Sales]]-Table3[[#This Row],[Cost]]</f>
        <v>9226.0400000000009</v>
      </c>
      <c r="L2493" s="6">
        <f>Table3[[#This Row],[Profit]]/Table3[[#This Row],[Sales]]</f>
        <v>0.30299429712425968</v>
      </c>
    </row>
    <row r="2494" spans="1:12" x14ac:dyDescent="0.25">
      <c r="A2494" t="s">
        <v>2261</v>
      </c>
      <c r="B2494" s="2">
        <v>45005</v>
      </c>
      <c r="C2494" s="2" t="str">
        <f>TEXT(Table3[[#This Row],[Order Date]],"mmmm")</f>
        <v>March</v>
      </c>
      <c r="D2494" t="s">
        <v>3220</v>
      </c>
      <c r="E2494" t="s">
        <v>3222</v>
      </c>
      <c r="F2494" t="s">
        <v>3226</v>
      </c>
      <c r="G2494" s="4">
        <v>50553.57</v>
      </c>
      <c r="H2494" s="4">
        <v>28350.7</v>
      </c>
      <c r="I2494" s="3" t="s">
        <v>3734</v>
      </c>
      <c r="J2494">
        <v>3</v>
      </c>
      <c r="K2494" s="4">
        <f>Table3[[#This Row],[Sales]]-Table3[[#This Row],[Cost]]</f>
        <v>22202.87</v>
      </c>
      <c r="L2494" s="6">
        <f>Table3[[#This Row],[Profit]]/Table3[[#This Row],[Sales]]</f>
        <v>0.43919489761059405</v>
      </c>
    </row>
    <row r="2495" spans="1:12" x14ac:dyDescent="0.25">
      <c r="A2495" t="s">
        <v>3610</v>
      </c>
      <c r="B2495" s="2">
        <v>45102</v>
      </c>
      <c r="C2495" s="2" t="str">
        <f>TEXT(Table3[[#This Row],[Order Date]],"mmmm")</f>
        <v>June</v>
      </c>
      <c r="D2495" t="s">
        <v>3216</v>
      </c>
      <c r="E2495" t="s">
        <v>3224</v>
      </c>
      <c r="F2495" t="s">
        <v>3226</v>
      </c>
      <c r="G2495" s="4">
        <v>64294.29</v>
      </c>
      <c r="H2495" s="4">
        <v>48255.62</v>
      </c>
      <c r="I2495" s="3" t="s">
        <v>3734</v>
      </c>
      <c r="J2495">
        <v>1</v>
      </c>
      <c r="K2495" s="4">
        <f>Table3[[#This Row],[Sales]]-Table3[[#This Row],[Cost]]</f>
        <v>16038.669999999998</v>
      </c>
      <c r="L2495" s="6">
        <f>Table3[[#This Row],[Profit]]/Table3[[#This Row],[Sales]]</f>
        <v>0.24945714463912733</v>
      </c>
    </row>
    <row r="2496" spans="1:12" x14ac:dyDescent="0.25">
      <c r="A2496" t="s">
        <v>1664</v>
      </c>
      <c r="B2496" s="2">
        <v>44972</v>
      </c>
      <c r="C2496" s="2" t="str">
        <f>TEXT(Table3[[#This Row],[Order Date]],"mmmm")</f>
        <v>February</v>
      </c>
      <c r="D2496" t="s">
        <v>3216</v>
      </c>
      <c r="E2496" t="s">
        <v>3225</v>
      </c>
      <c r="F2496" t="s">
        <v>3226</v>
      </c>
      <c r="G2496" s="4">
        <v>21331.97</v>
      </c>
      <c r="H2496" s="4">
        <v>13247.47</v>
      </c>
      <c r="I2496" s="3" t="s">
        <v>3734</v>
      </c>
      <c r="J2496">
        <v>1</v>
      </c>
      <c r="K2496" s="4">
        <f>Table3[[#This Row],[Sales]]-Table3[[#This Row],[Cost]]</f>
        <v>8084.5000000000018</v>
      </c>
      <c r="L2496" s="6">
        <f>Table3[[#This Row],[Profit]]/Table3[[#This Row],[Sales]]</f>
        <v>0.37898515702019087</v>
      </c>
    </row>
    <row r="2497" spans="1:12" x14ac:dyDescent="0.25">
      <c r="A2497" t="s">
        <v>2263</v>
      </c>
      <c r="B2497" s="2">
        <v>45021</v>
      </c>
      <c r="C2497" s="2" t="str">
        <f>TEXT(Table3[[#This Row],[Order Date]],"mmmm")</f>
        <v>April</v>
      </c>
      <c r="D2497" t="s">
        <v>3730</v>
      </c>
      <c r="E2497" t="s">
        <v>3225</v>
      </c>
      <c r="F2497" t="s">
        <v>3226</v>
      </c>
      <c r="G2497" s="4">
        <v>68169.87</v>
      </c>
      <c r="H2497" s="4">
        <v>39157.269999999997</v>
      </c>
      <c r="I2497" s="3" t="s">
        <v>3734</v>
      </c>
      <c r="J2497">
        <v>3</v>
      </c>
      <c r="K2497" s="4">
        <f>Table3[[#This Row],[Sales]]-Table3[[#This Row],[Cost]]</f>
        <v>29012.6</v>
      </c>
      <c r="L2497" s="6">
        <f>Table3[[#This Row],[Profit]]/Table3[[#This Row],[Sales]]</f>
        <v>0.42559271420056982</v>
      </c>
    </row>
    <row r="2498" spans="1:12" x14ac:dyDescent="0.25">
      <c r="A2498" t="s">
        <v>2264</v>
      </c>
      <c r="B2498" s="2">
        <v>45005</v>
      </c>
      <c r="C2498" s="2" t="str">
        <f>TEXT(Table3[[#This Row],[Order Date]],"mmmm")</f>
        <v>March</v>
      </c>
      <c r="D2498" t="s">
        <v>3216</v>
      </c>
      <c r="E2498" t="s">
        <v>3225</v>
      </c>
      <c r="F2498" t="s">
        <v>3226</v>
      </c>
      <c r="G2498" s="4">
        <v>95620.6</v>
      </c>
      <c r="H2498" s="4">
        <v>74921.3</v>
      </c>
      <c r="I2498" s="3" t="s">
        <v>3734</v>
      </c>
      <c r="J2498">
        <v>5</v>
      </c>
      <c r="K2498" s="4">
        <f>Table3[[#This Row],[Sales]]-Table3[[#This Row],[Cost]]</f>
        <v>20699.300000000003</v>
      </c>
      <c r="L2498" s="6">
        <f>Table3[[#This Row],[Profit]]/Table3[[#This Row],[Sales]]</f>
        <v>0.21647322857208595</v>
      </c>
    </row>
    <row r="2499" spans="1:12" x14ac:dyDescent="0.25">
      <c r="A2499" t="s">
        <v>2265</v>
      </c>
      <c r="B2499" s="2">
        <v>44972</v>
      </c>
      <c r="C2499" s="2" t="str">
        <f>TEXT(Table3[[#This Row],[Order Date]],"mmmm")</f>
        <v>February</v>
      </c>
      <c r="D2499" t="s">
        <v>3220</v>
      </c>
      <c r="E2499" t="s">
        <v>3225</v>
      </c>
      <c r="F2499" t="s">
        <v>3226</v>
      </c>
      <c r="G2499" s="4">
        <v>70257.820000000007</v>
      </c>
      <c r="H2499" s="4">
        <v>52212.06</v>
      </c>
      <c r="I2499" s="3" t="s">
        <v>3734</v>
      </c>
      <c r="J2499">
        <v>4</v>
      </c>
      <c r="K2499" s="4">
        <f>Table3[[#This Row],[Sales]]-Table3[[#This Row],[Cost]]</f>
        <v>18045.760000000009</v>
      </c>
      <c r="L2499" s="6">
        <f>Table3[[#This Row],[Profit]]/Table3[[#This Row],[Sales]]</f>
        <v>0.25685055414472024</v>
      </c>
    </row>
    <row r="2500" spans="1:12" x14ac:dyDescent="0.25">
      <c r="A2500" t="s">
        <v>2266</v>
      </c>
      <c r="B2500" s="2">
        <v>44972</v>
      </c>
      <c r="C2500" s="2" t="str">
        <f>TEXT(Table3[[#This Row],[Order Date]],"mmmm")</f>
        <v>February</v>
      </c>
      <c r="D2500" t="s">
        <v>3730</v>
      </c>
      <c r="E2500" t="s">
        <v>3224</v>
      </c>
      <c r="F2500" t="s">
        <v>3226</v>
      </c>
      <c r="G2500" s="4">
        <v>284102.18</v>
      </c>
      <c r="H2500" s="4">
        <v>188909.56</v>
      </c>
      <c r="I2500" s="3" t="s">
        <v>3734</v>
      </c>
      <c r="J2500">
        <v>4</v>
      </c>
      <c r="K2500" s="4">
        <f>Table3[[#This Row],[Sales]]-Table3[[#This Row],[Cost]]</f>
        <v>95192.62</v>
      </c>
      <c r="L2500" s="6">
        <f>Table3[[#This Row],[Profit]]/Table3[[#This Row],[Sales]]</f>
        <v>0.33506472917596053</v>
      </c>
    </row>
    <row r="2501" spans="1:12" x14ac:dyDescent="0.25">
      <c r="A2501" t="s">
        <v>2267</v>
      </c>
      <c r="B2501" s="2">
        <v>45021</v>
      </c>
      <c r="C2501" s="2" t="str">
        <f>TEXT(Table3[[#This Row],[Order Date]],"mmmm")</f>
        <v>April</v>
      </c>
      <c r="D2501" t="s">
        <v>3220</v>
      </c>
      <c r="E2501" t="s">
        <v>3224</v>
      </c>
      <c r="F2501" t="s">
        <v>3226</v>
      </c>
      <c r="G2501" s="4">
        <v>232963.67</v>
      </c>
      <c r="H2501" s="4">
        <v>186370.93600000002</v>
      </c>
      <c r="I2501" s="3" t="s">
        <v>3735</v>
      </c>
      <c r="J2501">
        <v>4</v>
      </c>
      <c r="K2501" s="4">
        <f>Table3[[#This Row],[Sales]]-Table3[[#This Row],[Cost]]</f>
        <v>46592.733999999997</v>
      </c>
      <c r="L2501" s="6">
        <f>Table3[[#This Row],[Profit]]/Table3[[#This Row],[Sales]]</f>
        <v>0.19999999999999998</v>
      </c>
    </row>
    <row r="2502" spans="1:12" x14ac:dyDescent="0.25">
      <c r="A2502" t="s">
        <v>3611</v>
      </c>
      <c r="B2502" s="2">
        <v>44941</v>
      </c>
      <c r="C2502" s="2" t="str">
        <f>TEXT(Table3[[#This Row],[Order Date]],"mmmm")</f>
        <v>January</v>
      </c>
      <c r="D2502" t="s">
        <v>3220</v>
      </c>
      <c r="E2502" t="s">
        <v>3224</v>
      </c>
      <c r="F2502" t="s">
        <v>3226</v>
      </c>
      <c r="G2502" s="4">
        <v>281053.21999999997</v>
      </c>
      <c r="H2502" s="4">
        <v>178490.33</v>
      </c>
      <c r="I2502" s="3" t="s">
        <v>3734</v>
      </c>
      <c r="J2502">
        <v>4</v>
      </c>
      <c r="K2502" s="4">
        <f>Table3[[#This Row],[Sales]]-Table3[[#This Row],[Cost]]</f>
        <v>102562.88999999998</v>
      </c>
      <c r="L2502" s="6">
        <f>Table3[[#This Row],[Profit]]/Table3[[#This Row],[Sales]]</f>
        <v>0.36492337643382983</v>
      </c>
    </row>
    <row r="2503" spans="1:12" x14ac:dyDescent="0.25">
      <c r="A2503" t="s">
        <v>1522</v>
      </c>
      <c r="B2503" s="2">
        <v>45005</v>
      </c>
      <c r="C2503" s="2" t="str">
        <f>TEXT(Table3[[#This Row],[Order Date]],"mmmm")</f>
        <v>March</v>
      </c>
      <c r="D2503" t="s">
        <v>3220</v>
      </c>
      <c r="E2503" t="s">
        <v>3222</v>
      </c>
      <c r="F2503" t="s">
        <v>3226</v>
      </c>
      <c r="G2503" s="4">
        <v>67678.17</v>
      </c>
      <c r="H2503" s="4">
        <v>46296.75</v>
      </c>
      <c r="I2503" s="3" t="s">
        <v>3734</v>
      </c>
      <c r="J2503">
        <v>5</v>
      </c>
      <c r="K2503" s="4">
        <f>Table3[[#This Row],[Sales]]-Table3[[#This Row],[Cost]]</f>
        <v>21381.42</v>
      </c>
      <c r="L2503" s="6">
        <f>Table3[[#This Row],[Profit]]/Table3[[#This Row],[Sales]]</f>
        <v>0.31592786861701488</v>
      </c>
    </row>
    <row r="2504" spans="1:12" x14ac:dyDescent="0.25">
      <c r="A2504" t="s">
        <v>2270</v>
      </c>
      <c r="B2504" s="2">
        <v>45005</v>
      </c>
      <c r="C2504" s="2" t="str">
        <f>TEXT(Table3[[#This Row],[Order Date]],"mmmm")</f>
        <v>March</v>
      </c>
      <c r="D2504" t="s">
        <v>3731</v>
      </c>
      <c r="E2504" t="s">
        <v>3223</v>
      </c>
      <c r="F2504" t="s">
        <v>3226</v>
      </c>
      <c r="G2504" s="4">
        <v>47346.21</v>
      </c>
      <c r="H2504" s="4">
        <v>38358.93</v>
      </c>
      <c r="I2504" s="3" t="s">
        <v>3734</v>
      </c>
      <c r="J2504">
        <v>5</v>
      </c>
      <c r="K2504" s="4">
        <f>Table3[[#This Row],[Sales]]-Table3[[#This Row],[Cost]]</f>
        <v>8987.2799999999988</v>
      </c>
      <c r="L2504" s="6">
        <f>Table3[[#This Row],[Profit]]/Table3[[#This Row],[Sales]]</f>
        <v>0.18982047348668454</v>
      </c>
    </row>
    <row r="2505" spans="1:12" x14ac:dyDescent="0.25">
      <c r="A2505" t="s">
        <v>3612</v>
      </c>
      <c r="B2505" s="2">
        <v>44972</v>
      </c>
      <c r="C2505" s="2" t="str">
        <f>TEXT(Table3[[#This Row],[Order Date]],"mmmm")</f>
        <v>February</v>
      </c>
      <c r="D2505" t="s">
        <v>3730</v>
      </c>
      <c r="E2505" t="s">
        <v>3222</v>
      </c>
      <c r="F2505" t="s">
        <v>3226</v>
      </c>
      <c r="G2505" s="4">
        <v>61064.5</v>
      </c>
      <c r="H2505" s="4">
        <v>52950.27</v>
      </c>
      <c r="I2505" s="3" t="s">
        <v>3734</v>
      </c>
      <c r="J2505">
        <v>5</v>
      </c>
      <c r="K2505" s="4">
        <f>Table3[[#This Row],[Sales]]-Table3[[#This Row],[Cost]]</f>
        <v>8114.2300000000032</v>
      </c>
      <c r="L2505" s="6">
        <f>Table3[[#This Row],[Profit]]/Table3[[#This Row],[Sales]]</f>
        <v>0.13287966003160598</v>
      </c>
    </row>
    <row r="2506" spans="1:12" x14ac:dyDescent="0.25">
      <c r="A2506" t="s">
        <v>2272</v>
      </c>
      <c r="B2506" s="2">
        <v>45102</v>
      </c>
      <c r="C2506" s="2" t="str">
        <f>TEXT(Table3[[#This Row],[Order Date]],"mmmm")</f>
        <v>June</v>
      </c>
      <c r="D2506" t="s">
        <v>3730</v>
      </c>
      <c r="E2506" t="s">
        <v>3224</v>
      </c>
      <c r="F2506" t="s">
        <v>3226</v>
      </c>
      <c r="G2506" s="4">
        <v>68103.86</v>
      </c>
      <c r="H2506" s="4">
        <v>39316.22</v>
      </c>
      <c r="I2506" s="3" t="s">
        <v>3734</v>
      </c>
      <c r="J2506">
        <v>1</v>
      </c>
      <c r="K2506" s="4">
        <f>Table3[[#This Row],[Sales]]-Table3[[#This Row],[Cost]]</f>
        <v>28787.64</v>
      </c>
      <c r="L2506" s="6">
        <f>Table3[[#This Row],[Profit]]/Table3[[#This Row],[Sales]]</f>
        <v>0.42270203186720984</v>
      </c>
    </row>
    <row r="2507" spans="1:12" x14ac:dyDescent="0.25">
      <c r="A2507" t="s">
        <v>3613</v>
      </c>
      <c r="B2507" s="2">
        <v>45021</v>
      </c>
      <c r="C2507" s="2" t="str">
        <f>TEXT(Table3[[#This Row],[Order Date]],"mmmm")</f>
        <v>April</v>
      </c>
      <c r="D2507" t="s">
        <v>3730</v>
      </c>
      <c r="E2507" t="s">
        <v>3223</v>
      </c>
      <c r="F2507" t="s">
        <v>3226</v>
      </c>
      <c r="G2507" s="4">
        <v>9700.4699999999993</v>
      </c>
      <c r="H2507" s="4">
        <v>7760.3760000000002</v>
      </c>
      <c r="I2507" s="3" t="s">
        <v>3735</v>
      </c>
      <c r="J2507">
        <v>1</v>
      </c>
      <c r="K2507" s="4">
        <f>Table3[[#This Row],[Sales]]-Table3[[#This Row],[Cost]]</f>
        <v>1940.0939999999991</v>
      </c>
      <c r="L2507" s="6">
        <f>Table3[[#This Row],[Profit]]/Table3[[#This Row],[Sales]]</f>
        <v>0.19999999999999993</v>
      </c>
    </row>
    <row r="2508" spans="1:12" x14ac:dyDescent="0.25">
      <c r="A2508" t="s">
        <v>2274</v>
      </c>
      <c r="B2508" s="2" t="s">
        <v>3729</v>
      </c>
      <c r="C2508" s="2" t="str">
        <f>TEXT(Table3[[#This Row],[Order Date]],"mmmm")</f>
        <v>Not Mentioned</v>
      </c>
      <c r="D2508" t="s">
        <v>3216</v>
      </c>
      <c r="E2508" t="s">
        <v>3223</v>
      </c>
      <c r="F2508" t="s">
        <v>3226</v>
      </c>
      <c r="G2508" s="4">
        <v>35423.620000000003</v>
      </c>
      <c r="H2508" s="4">
        <v>30343.200000000001</v>
      </c>
      <c r="I2508" s="3" t="s">
        <v>3734</v>
      </c>
      <c r="J2508">
        <v>4</v>
      </c>
      <c r="K2508" s="4">
        <f>Table3[[#This Row],[Sales]]-Table3[[#This Row],[Cost]]</f>
        <v>5080.4200000000019</v>
      </c>
      <c r="L2508" s="6">
        <f>Table3[[#This Row],[Profit]]/Table3[[#This Row],[Sales]]</f>
        <v>0.14341899557413956</v>
      </c>
    </row>
    <row r="2509" spans="1:12" x14ac:dyDescent="0.25">
      <c r="A2509" t="s">
        <v>2275</v>
      </c>
      <c r="B2509" s="2">
        <v>45021</v>
      </c>
      <c r="C2509" s="2" t="str">
        <f>TEXT(Table3[[#This Row],[Order Date]],"mmmm")</f>
        <v>April</v>
      </c>
      <c r="D2509" t="s">
        <v>3220</v>
      </c>
      <c r="E2509" t="s">
        <v>3224</v>
      </c>
      <c r="F2509" t="s">
        <v>3226</v>
      </c>
      <c r="G2509" s="4">
        <v>50938.22</v>
      </c>
      <c r="H2509" s="4">
        <v>44660.95</v>
      </c>
      <c r="I2509" s="3" t="s">
        <v>3734</v>
      </c>
      <c r="J2509">
        <v>1</v>
      </c>
      <c r="K2509" s="4">
        <f>Table3[[#This Row],[Sales]]-Table3[[#This Row],[Cost]]</f>
        <v>6277.2700000000041</v>
      </c>
      <c r="L2509" s="6">
        <f>Table3[[#This Row],[Profit]]/Table3[[#This Row],[Sales]]</f>
        <v>0.12323300657149001</v>
      </c>
    </row>
    <row r="2510" spans="1:12" x14ac:dyDescent="0.25">
      <c r="A2510" t="s">
        <v>1007</v>
      </c>
      <c r="B2510" s="2">
        <v>44972</v>
      </c>
      <c r="C2510" s="2" t="str">
        <f>TEXT(Table3[[#This Row],[Order Date]],"mmmm")</f>
        <v>February</v>
      </c>
      <c r="D2510" t="s">
        <v>3216</v>
      </c>
      <c r="E2510" t="s">
        <v>3224</v>
      </c>
      <c r="F2510" t="s">
        <v>3226</v>
      </c>
      <c r="G2510" s="4">
        <v>49503.77</v>
      </c>
      <c r="H2510" s="4">
        <v>46658.74</v>
      </c>
      <c r="I2510" s="3" t="s">
        <v>3734</v>
      </c>
      <c r="J2510">
        <v>1</v>
      </c>
      <c r="K2510" s="4">
        <f>Table3[[#This Row],[Sales]]-Table3[[#This Row],[Cost]]</f>
        <v>2845.0299999999988</v>
      </c>
      <c r="L2510" s="6">
        <f>Table3[[#This Row],[Profit]]/Table3[[#This Row],[Sales]]</f>
        <v>5.7470976452904478E-2</v>
      </c>
    </row>
    <row r="2511" spans="1:12" x14ac:dyDescent="0.25">
      <c r="A2511" t="s">
        <v>976</v>
      </c>
      <c r="B2511" s="2" t="s">
        <v>3729</v>
      </c>
      <c r="C2511" s="2" t="str">
        <f>TEXT(Table3[[#This Row],[Order Date]],"mmmm")</f>
        <v>Not Mentioned</v>
      </c>
      <c r="D2511" t="s">
        <v>3220</v>
      </c>
      <c r="E2511" t="s">
        <v>3225</v>
      </c>
      <c r="F2511" t="s">
        <v>3226</v>
      </c>
      <c r="G2511" s="4">
        <v>52450.35</v>
      </c>
      <c r="H2511" s="4">
        <v>45760.58</v>
      </c>
      <c r="I2511" s="3" t="s">
        <v>3734</v>
      </c>
      <c r="J2511">
        <v>3</v>
      </c>
      <c r="K2511" s="4">
        <f>Table3[[#This Row],[Sales]]-Table3[[#This Row],[Cost]]</f>
        <v>6689.7699999999968</v>
      </c>
      <c r="L2511" s="6">
        <f>Table3[[#This Row],[Profit]]/Table3[[#This Row],[Sales]]</f>
        <v>0.12754481142642513</v>
      </c>
    </row>
    <row r="2512" spans="1:12" x14ac:dyDescent="0.25">
      <c r="A2512" t="s">
        <v>716</v>
      </c>
      <c r="B2512" s="2">
        <v>45102</v>
      </c>
      <c r="C2512" s="2" t="str">
        <f>TEXT(Table3[[#This Row],[Order Date]],"mmmm")</f>
        <v>June</v>
      </c>
      <c r="D2512" t="s">
        <v>3216</v>
      </c>
      <c r="E2512" t="s">
        <v>3225</v>
      </c>
      <c r="F2512" t="s">
        <v>3226</v>
      </c>
      <c r="G2512" s="4">
        <v>32656.97</v>
      </c>
      <c r="H2512" s="4">
        <v>28564.81</v>
      </c>
      <c r="I2512" s="3" t="s">
        <v>3734</v>
      </c>
      <c r="J2512">
        <v>2</v>
      </c>
      <c r="K2512" s="4">
        <f>Table3[[#This Row],[Sales]]-Table3[[#This Row],[Cost]]</f>
        <v>4092.16</v>
      </c>
      <c r="L2512" s="6">
        <f>Table3[[#This Row],[Profit]]/Table3[[#This Row],[Sales]]</f>
        <v>0.12530739992105819</v>
      </c>
    </row>
    <row r="2513" spans="1:12" x14ac:dyDescent="0.25">
      <c r="A2513" t="s">
        <v>44</v>
      </c>
      <c r="B2513" s="2">
        <v>44972</v>
      </c>
      <c r="C2513" s="2" t="str">
        <f>TEXT(Table3[[#This Row],[Order Date]],"mmmm")</f>
        <v>February</v>
      </c>
      <c r="D2513" t="s">
        <v>3220</v>
      </c>
      <c r="E2513" t="s">
        <v>3223</v>
      </c>
      <c r="F2513" t="s">
        <v>3226</v>
      </c>
      <c r="G2513" s="4">
        <v>21124.57</v>
      </c>
      <c r="H2513" s="4">
        <v>16899.655999999999</v>
      </c>
      <c r="I2513" s="3" t="s">
        <v>3735</v>
      </c>
      <c r="J2513">
        <v>2</v>
      </c>
      <c r="K2513" s="4">
        <f>Table3[[#This Row],[Sales]]-Table3[[#This Row],[Cost]]</f>
        <v>4224.9140000000007</v>
      </c>
      <c r="L2513" s="6">
        <f>Table3[[#This Row],[Profit]]/Table3[[#This Row],[Sales]]</f>
        <v>0.20000000000000004</v>
      </c>
    </row>
    <row r="2514" spans="1:12" x14ac:dyDescent="0.25">
      <c r="A2514" t="s">
        <v>2276</v>
      </c>
      <c r="B2514" s="2">
        <v>44972</v>
      </c>
      <c r="C2514" s="2" t="str">
        <f>TEXT(Table3[[#This Row],[Order Date]],"mmmm")</f>
        <v>February</v>
      </c>
      <c r="D2514" t="s">
        <v>3730</v>
      </c>
      <c r="E2514" t="s">
        <v>3223</v>
      </c>
      <c r="F2514" t="s">
        <v>3226</v>
      </c>
      <c r="G2514" s="4">
        <v>25870.07</v>
      </c>
      <c r="H2514" s="4">
        <v>18955.740000000002</v>
      </c>
      <c r="I2514" s="3" t="s">
        <v>3734</v>
      </c>
      <c r="J2514">
        <v>3</v>
      </c>
      <c r="K2514" s="4">
        <f>Table3[[#This Row],[Sales]]-Table3[[#This Row],[Cost]]</f>
        <v>6914.3299999999981</v>
      </c>
      <c r="L2514" s="6">
        <f>Table3[[#This Row],[Profit]]/Table3[[#This Row],[Sales]]</f>
        <v>0.26727140668734173</v>
      </c>
    </row>
    <row r="2515" spans="1:12" x14ac:dyDescent="0.25">
      <c r="A2515" t="s">
        <v>2277</v>
      </c>
      <c r="B2515" s="2">
        <v>45021</v>
      </c>
      <c r="C2515" s="2" t="str">
        <f>TEXT(Table3[[#This Row],[Order Date]],"mmmm")</f>
        <v>April</v>
      </c>
      <c r="D2515" t="s">
        <v>3730</v>
      </c>
      <c r="E2515" t="s">
        <v>3225</v>
      </c>
      <c r="F2515" t="s">
        <v>3226</v>
      </c>
      <c r="G2515" s="4">
        <v>18831.060000000001</v>
      </c>
      <c r="H2515" s="4">
        <v>14165.22</v>
      </c>
      <c r="I2515" s="3" t="s">
        <v>3734</v>
      </c>
      <c r="J2515">
        <v>1</v>
      </c>
      <c r="K2515" s="4">
        <f>Table3[[#This Row],[Sales]]-Table3[[#This Row],[Cost]]</f>
        <v>4665.840000000002</v>
      </c>
      <c r="L2515" s="6">
        <f>Table3[[#This Row],[Profit]]/Table3[[#This Row],[Sales]]</f>
        <v>0.24777362506412287</v>
      </c>
    </row>
    <row r="2516" spans="1:12" x14ac:dyDescent="0.25">
      <c r="A2516" t="s">
        <v>2278</v>
      </c>
      <c r="B2516" s="2">
        <v>45005</v>
      </c>
      <c r="C2516" s="2" t="str">
        <f>TEXT(Table3[[#This Row],[Order Date]],"mmmm")</f>
        <v>March</v>
      </c>
      <c r="D2516" t="s">
        <v>3220</v>
      </c>
      <c r="E2516" t="s">
        <v>3222</v>
      </c>
      <c r="F2516" t="s">
        <v>3226</v>
      </c>
      <c r="G2516" s="4">
        <v>41935.56</v>
      </c>
      <c r="H2516" s="4">
        <v>29268.6</v>
      </c>
      <c r="I2516" s="3" t="s">
        <v>3734</v>
      </c>
      <c r="J2516">
        <v>3</v>
      </c>
      <c r="K2516" s="4">
        <f>Table3[[#This Row],[Sales]]-Table3[[#This Row],[Cost]]</f>
        <v>12666.96</v>
      </c>
      <c r="L2516" s="6">
        <f>Table3[[#This Row],[Profit]]/Table3[[#This Row],[Sales]]</f>
        <v>0.30205772857212349</v>
      </c>
    </row>
    <row r="2517" spans="1:12" x14ac:dyDescent="0.25">
      <c r="A2517" t="s">
        <v>2279</v>
      </c>
      <c r="B2517" s="2" t="s">
        <v>3729</v>
      </c>
      <c r="C2517" s="2" t="str">
        <f>TEXT(Table3[[#This Row],[Order Date]],"mmmm")</f>
        <v>Not Mentioned</v>
      </c>
      <c r="D2517" t="s">
        <v>3216</v>
      </c>
      <c r="E2517" t="s">
        <v>3222</v>
      </c>
      <c r="F2517" t="s">
        <v>3226</v>
      </c>
      <c r="G2517" s="4">
        <v>67611.960000000006</v>
      </c>
      <c r="H2517" s="4">
        <v>34892.550000000003</v>
      </c>
      <c r="I2517" s="3" t="s">
        <v>3734</v>
      </c>
      <c r="J2517">
        <v>4</v>
      </c>
      <c r="K2517" s="4">
        <f>Table3[[#This Row],[Sales]]-Table3[[#This Row],[Cost]]</f>
        <v>32719.410000000003</v>
      </c>
      <c r="L2517" s="6">
        <f>Table3[[#This Row],[Profit]]/Table3[[#This Row],[Sales]]</f>
        <v>0.48392932256364113</v>
      </c>
    </row>
    <row r="2518" spans="1:12" x14ac:dyDescent="0.25">
      <c r="A2518" t="s">
        <v>3525</v>
      </c>
      <c r="B2518" s="2" t="s">
        <v>3729</v>
      </c>
      <c r="C2518" s="2" t="str">
        <f>TEXT(Table3[[#This Row],[Order Date]],"mmmm")</f>
        <v>Not Mentioned</v>
      </c>
      <c r="D2518" t="s">
        <v>3220</v>
      </c>
      <c r="E2518" t="s">
        <v>3222</v>
      </c>
      <c r="F2518" t="s">
        <v>3226</v>
      </c>
      <c r="G2518" s="4">
        <v>25425.79</v>
      </c>
      <c r="H2518" s="4">
        <v>20349.57</v>
      </c>
      <c r="I2518" s="3" t="s">
        <v>3734</v>
      </c>
      <c r="J2518">
        <v>2</v>
      </c>
      <c r="K2518" s="4">
        <f>Table3[[#This Row],[Sales]]-Table3[[#This Row],[Cost]]</f>
        <v>5076.2200000000012</v>
      </c>
      <c r="L2518" s="6">
        <f>Table3[[#This Row],[Profit]]/Table3[[#This Row],[Sales]]</f>
        <v>0.19964846716660528</v>
      </c>
    </row>
    <row r="2519" spans="1:12" x14ac:dyDescent="0.25">
      <c r="A2519" t="s">
        <v>3364</v>
      </c>
      <c r="B2519" s="2">
        <v>45005</v>
      </c>
      <c r="C2519" s="2" t="str">
        <f>TEXT(Table3[[#This Row],[Order Date]],"mmmm")</f>
        <v>March</v>
      </c>
      <c r="D2519" t="s">
        <v>3216</v>
      </c>
      <c r="E2519" t="s">
        <v>3224</v>
      </c>
      <c r="F2519" t="s">
        <v>3226</v>
      </c>
      <c r="G2519" s="4">
        <v>65349.599999999999</v>
      </c>
      <c r="H2519" s="4">
        <v>44246.559999999998</v>
      </c>
      <c r="I2519" s="3" t="s">
        <v>3734</v>
      </c>
      <c r="J2519">
        <v>1</v>
      </c>
      <c r="K2519" s="4">
        <f>Table3[[#This Row],[Sales]]-Table3[[#This Row],[Cost]]</f>
        <v>21103.040000000001</v>
      </c>
      <c r="L2519" s="6">
        <f>Table3[[#This Row],[Profit]]/Table3[[#This Row],[Sales]]</f>
        <v>0.32292531247322098</v>
      </c>
    </row>
    <row r="2520" spans="1:12" x14ac:dyDescent="0.25">
      <c r="A2520" t="s">
        <v>3306</v>
      </c>
      <c r="B2520" s="2">
        <v>45021</v>
      </c>
      <c r="C2520" s="2" t="str">
        <f>TEXT(Table3[[#This Row],[Order Date]],"mmmm")</f>
        <v>April</v>
      </c>
      <c r="D2520" t="s">
        <v>3730</v>
      </c>
      <c r="E2520" t="s">
        <v>3223</v>
      </c>
      <c r="F2520" t="s">
        <v>3226</v>
      </c>
      <c r="G2520" s="4">
        <v>58145.55</v>
      </c>
      <c r="H2520" s="4">
        <v>30506.58</v>
      </c>
      <c r="I2520" s="3" t="s">
        <v>3734</v>
      </c>
      <c r="J2520">
        <v>5</v>
      </c>
      <c r="K2520" s="4">
        <f>Table3[[#This Row],[Sales]]-Table3[[#This Row],[Cost]]</f>
        <v>27638.97</v>
      </c>
      <c r="L2520" s="6">
        <f>Table3[[#This Row],[Profit]]/Table3[[#This Row],[Sales]]</f>
        <v>0.47534110520925504</v>
      </c>
    </row>
    <row r="2521" spans="1:12" x14ac:dyDescent="0.25">
      <c r="A2521" t="s">
        <v>2280</v>
      </c>
      <c r="B2521" s="2">
        <v>44972</v>
      </c>
      <c r="C2521" s="2" t="str">
        <f>TEXT(Table3[[#This Row],[Order Date]],"mmmm")</f>
        <v>February</v>
      </c>
      <c r="D2521" t="s">
        <v>3220</v>
      </c>
      <c r="E2521" t="s">
        <v>3222</v>
      </c>
      <c r="F2521" t="s">
        <v>3226</v>
      </c>
      <c r="G2521" s="4">
        <v>74354.47</v>
      </c>
      <c r="H2521" s="4">
        <v>42737.99</v>
      </c>
      <c r="I2521" s="3" t="s">
        <v>3734</v>
      </c>
      <c r="J2521">
        <v>5</v>
      </c>
      <c r="K2521" s="4">
        <f>Table3[[#This Row],[Sales]]-Table3[[#This Row],[Cost]]</f>
        <v>31616.480000000003</v>
      </c>
      <c r="L2521" s="6">
        <f>Table3[[#This Row],[Profit]]/Table3[[#This Row],[Sales]]</f>
        <v>0.42521290246571597</v>
      </c>
    </row>
    <row r="2522" spans="1:12" x14ac:dyDescent="0.25">
      <c r="A2522" t="s">
        <v>2281</v>
      </c>
      <c r="B2522" s="2">
        <v>45005</v>
      </c>
      <c r="C2522" s="2" t="str">
        <f>TEXT(Table3[[#This Row],[Order Date]],"mmmm")</f>
        <v>March</v>
      </c>
      <c r="D2522" t="s">
        <v>3216</v>
      </c>
      <c r="E2522" t="s">
        <v>3225</v>
      </c>
      <c r="F2522" t="s">
        <v>3226</v>
      </c>
      <c r="G2522" s="4">
        <v>101852.56</v>
      </c>
      <c r="H2522" s="4">
        <v>67808.11</v>
      </c>
      <c r="I2522" s="3" t="s">
        <v>3734</v>
      </c>
      <c r="J2522">
        <v>5</v>
      </c>
      <c r="K2522" s="4">
        <f>Table3[[#This Row],[Sales]]-Table3[[#This Row],[Cost]]</f>
        <v>34044.449999999997</v>
      </c>
      <c r="L2522" s="6">
        <f>Table3[[#This Row],[Profit]]/Table3[[#This Row],[Sales]]</f>
        <v>0.33425227603508439</v>
      </c>
    </row>
    <row r="2523" spans="1:12" x14ac:dyDescent="0.25">
      <c r="A2523" t="s">
        <v>2282</v>
      </c>
      <c r="B2523" s="2">
        <v>45021</v>
      </c>
      <c r="C2523" s="2" t="str">
        <f>TEXT(Table3[[#This Row],[Order Date]],"mmmm")</f>
        <v>April</v>
      </c>
      <c r="D2523" t="s">
        <v>3730</v>
      </c>
      <c r="E2523" t="s">
        <v>3222</v>
      </c>
      <c r="F2523" t="s">
        <v>3226</v>
      </c>
      <c r="G2523" s="4">
        <v>58656.4</v>
      </c>
      <c r="H2523" s="4">
        <v>38238.74</v>
      </c>
      <c r="I2523" s="3" t="s">
        <v>3734</v>
      </c>
      <c r="J2523">
        <v>4</v>
      </c>
      <c r="K2523" s="4">
        <f>Table3[[#This Row],[Sales]]-Table3[[#This Row],[Cost]]</f>
        <v>20417.660000000003</v>
      </c>
      <c r="L2523" s="6">
        <f>Table3[[#This Row],[Profit]]/Table3[[#This Row],[Sales]]</f>
        <v>0.34808921106648216</v>
      </c>
    </row>
    <row r="2524" spans="1:12" x14ac:dyDescent="0.25">
      <c r="A2524" t="s">
        <v>2283</v>
      </c>
      <c r="B2524" s="2">
        <v>44972</v>
      </c>
      <c r="C2524" s="2" t="str">
        <f>TEXT(Table3[[#This Row],[Order Date]],"mmmm")</f>
        <v>February</v>
      </c>
      <c r="D2524" t="s">
        <v>3731</v>
      </c>
      <c r="E2524" t="s">
        <v>3223</v>
      </c>
      <c r="F2524" t="s">
        <v>3226</v>
      </c>
      <c r="G2524" s="4">
        <v>50016.63</v>
      </c>
      <c r="H2524" s="4">
        <v>37652.86</v>
      </c>
      <c r="I2524" s="3" t="s">
        <v>3734</v>
      </c>
      <c r="J2524">
        <v>5</v>
      </c>
      <c r="K2524" s="4">
        <f>Table3[[#This Row],[Sales]]-Table3[[#This Row],[Cost]]</f>
        <v>12363.769999999997</v>
      </c>
      <c r="L2524" s="6">
        <f>Table3[[#This Row],[Profit]]/Table3[[#This Row],[Sales]]</f>
        <v>0.24719318354715217</v>
      </c>
    </row>
    <row r="2525" spans="1:12" x14ac:dyDescent="0.25">
      <c r="A2525" t="s">
        <v>2285</v>
      </c>
      <c r="B2525" s="2">
        <v>45021</v>
      </c>
      <c r="C2525" s="2" t="str">
        <f>TEXT(Table3[[#This Row],[Order Date]],"mmmm")</f>
        <v>April</v>
      </c>
      <c r="D2525" t="s">
        <v>3730</v>
      </c>
      <c r="E2525" t="s">
        <v>3222</v>
      </c>
      <c r="F2525" t="s">
        <v>3226</v>
      </c>
      <c r="G2525" s="4">
        <v>27562.41</v>
      </c>
      <c r="H2525" s="4">
        <v>21879.43</v>
      </c>
      <c r="I2525" s="3" t="s">
        <v>3734</v>
      </c>
      <c r="J2525">
        <v>2</v>
      </c>
      <c r="K2525" s="4">
        <f>Table3[[#This Row],[Sales]]-Table3[[#This Row],[Cost]]</f>
        <v>5682.98</v>
      </c>
      <c r="L2525" s="6">
        <f>Table3[[#This Row],[Profit]]/Table3[[#This Row],[Sales]]</f>
        <v>0.20618588867954579</v>
      </c>
    </row>
    <row r="2526" spans="1:12" x14ac:dyDescent="0.25">
      <c r="A2526" t="s">
        <v>2286</v>
      </c>
      <c r="B2526" s="2">
        <v>45102</v>
      </c>
      <c r="C2526" s="2" t="str">
        <f>TEXT(Table3[[#This Row],[Order Date]],"mmmm")</f>
        <v>June</v>
      </c>
      <c r="D2526" t="s">
        <v>3220</v>
      </c>
      <c r="E2526" t="s">
        <v>3222</v>
      </c>
      <c r="F2526" t="s">
        <v>3226</v>
      </c>
      <c r="G2526" s="4">
        <v>80589.03</v>
      </c>
      <c r="H2526" s="4">
        <v>48589.9</v>
      </c>
      <c r="I2526" s="3" t="s">
        <v>3734</v>
      </c>
      <c r="J2526">
        <v>5</v>
      </c>
      <c r="K2526" s="4">
        <f>Table3[[#This Row],[Sales]]-Table3[[#This Row],[Cost]]</f>
        <v>31999.129999999997</v>
      </c>
      <c r="L2526" s="6">
        <f>Table3[[#This Row],[Profit]]/Table3[[#This Row],[Sales]]</f>
        <v>0.39706558076204662</v>
      </c>
    </row>
    <row r="2527" spans="1:12" x14ac:dyDescent="0.25">
      <c r="A2527" t="s">
        <v>2287</v>
      </c>
      <c r="B2527" s="2">
        <v>44972</v>
      </c>
      <c r="C2527" s="2" t="str">
        <f>TEXT(Table3[[#This Row],[Order Date]],"mmmm")</f>
        <v>February</v>
      </c>
      <c r="D2527" t="s">
        <v>3730</v>
      </c>
      <c r="E2527" t="s">
        <v>3222</v>
      </c>
      <c r="F2527" t="s">
        <v>3226</v>
      </c>
      <c r="G2527" s="4">
        <v>64700.160000000003</v>
      </c>
      <c r="H2527" s="4">
        <v>46093.07</v>
      </c>
      <c r="I2527" s="3" t="s">
        <v>3734</v>
      </c>
      <c r="J2527">
        <v>5</v>
      </c>
      <c r="K2527" s="4">
        <f>Table3[[#This Row],[Sales]]-Table3[[#This Row],[Cost]]</f>
        <v>18607.090000000004</v>
      </c>
      <c r="L2527" s="6">
        <f>Table3[[#This Row],[Profit]]/Table3[[#This Row],[Sales]]</f>
        <v>0.28758955155597765</v>
      </c>
    </row>
    <row r="2528" spans="1:12" x14ac:dyDescent="0.25">
      <c r="A2528" t="s">
        <v>2071</v>
      </c>
      <c r="B2528" s="2">
        <v>45005</v>
      </c>
      <c r="C2528" s="2" t="str">
        <f>TEXT(Table3[[#This Row],[Order Date]],"mmmm")</f>
        <v>March</v>
      </c>
      <c r="D2528" t="s">
        <v>3220</v>
      </c>
      <c r="E2528" t="s">
        <v>3223</v>
      </c>
      <c r="F2528" t="s">
        <v>3226</v>
      </c>
      <c r="G2528" s="4">
        <v>49967.03</v>
      </c>
      <c r="H2528" s="4">
        <v>38191.86</v>
      </c>
      <c r="I2528" s="3" t="s">
        <v>3734</v>
      </c>
      <c r="J2528">
        <v>5</v>
      </c>
      <c r="K2528" s="4">
        <f>Table3[[#This Row],[Sales]]-Table3[[#This Row],[Cost]]</f>
        <v>11775.169999999998</v>
      </c>
      <c r="L2528" s="6">
        <f>Table3[[#This Row],[Profit]]/Table3[[#This Row],[Sales]]</f>
        <v>0.23565879340837345</v>
      </c>
    </row>
    <row r="2529" spans="1:12" x14ac:dyDescent="0.25">
      <c r="A2529" t="s">
        <v>3614</v>
      </c>
      <c r="B2529" s="2">
        <v>45102</v>
      </c>
      <c r="C2529" s="2" t="str">
        <f>TEXT(Table3[[#This Row],[Order Date]],"mmmm")</f>
        <v>June</v>
      </c>
      <c r="D2529" t="s">
        <v>3220</v>
      </c>
      <c r="E2529" t="s">
        <v>3222</v>
      </c>
      <c r="F2529" t="s">
        <v>3226</v>
      </c>
      <c r="G2529" s="4">
        <v>81777.100000000006</v>
      </c>
      <c r="H2529" s="4">
        <v>43042.04</v>
      </c>
      <c r="I2529" s="3" t="s">
        <v>3734</v>
      </c>
      <c r="J2529">
        <v>5</v>
      </c>
      <c r="K2529" s="4">
        <f>Table3[[#This Row],[Sales]]-Table3[[#This Row],[Cost]]</f>
        <v>38735.060000000005</v>
      </c>
      <c r="L2529" s="6">
        <f>Table3[[#This Row],[Profit]]/Table3[[#This Row],[Sales]]</f>
        <v>0.47366634424551618</v>
      </c>
    </row>
    <row r="2530" spans="1:12" x14ac:dyDescent="0.25">
      <c r="A2530" t="s">
        <v>2289</v>
      </c>
      <c r="B2530" s="2">
        <v>45102</v>
      </c>
      <c r="C2530" s="2" t="str">
        <f>TEXT(Table3[[#This Row],[Order Date]],"mmmm")</f>
        <v>June</v>
      </c>
      <c r="D2530" t="s">
        <v>3220</v>
      </c>
      <c r="E2530" t="s">
        <v>3222</v>
      </c>
      <c r="F2530" t="s">
        <v>3226</v>
      </c>
      <c r="G2530" s="4">
        <v>42040.55</v>
      </c>
      <c r="H2530" s="4">
        <v>33632.44</v>
      </c>
      <c r="I2530" s="3" t="s">
        <v>3735</v>
      </c>
      <c r="J2530">
        <v>3</v>
      </c>
      <c r="K2530" s="4">
        <f>Table3[[#This Row],[Sales]]-Table3[[#This Row],[Cost]]</f>
        <v>8408.11</v>
      </c>
      <c r="L2530" s="6">
        <f>Table3[[#This Row],[Profit]]/Table3[[#This Row],[Sales]]</f>
        <v>0.2</v>
      </c>
    </row>
    <row r="2531" spans="1:12" x14ac:dyDescent="0.25">
      <c r="A2531" t="s">
        <v>2290</v>
      </c>
      <c r="B2531" s="2">
        <v>45102</v>
      </c>
      <c r="C2531" s="2" t="str">
        <f>TEXT(Table3[[#This Row],[Order Date]],"mmmm")</f>
        <v>June</v>
      </c>
      <c r="D2531" t="s">
        <v>3731</v>
      </c>
      <c r="E2531" t="s">
        <v>3223</v>
      </c>
      <c r="F2531" t="s">
        <v>3226</v>
      </c>
      <c r="G2531" s="4">
        <v>32802.019999999997</v>
      </c>
      <c r="H2531" s="4">
        <v>25175.8</v>
      </c>
      <c r="I2531" s="3" t="s">
        <v>3734</v>
      </c>
      <c r="J2531">
        <v>4</v>
      </c>
      <c r="K2531" s="4">
        <f>Table3[[#This Row],[Sales]]-Table3[[#This Row],[Cost]]</f>
        <v>7626.2199999999975</v>
      </c>
      <c r="L2531" s="6">
        <f>Table3[[#This Row],[Profit]]/Table3[[#This Row],[Sales]]</f>
        <v>0.23249238918822676</v>
      </c>
    </row>
    <row r="2532" spans="1:12" x14ac:dyDescent="0.25">
      <c r="A2532" t="s">
        <v>531</v>
      </c>
      <c r="B2532" s="2">
        <v>45021</v>
      </c>
      <c r="C2532" s="2" t="str">
        <f>TEXT(Table3[[#This Row],[Order Date]],"mmmm")</f>
        <v>April</v>
      </c>
      <c r="D2532" t="s">
        <v>3731</v>
      </c>
      <c r="E2532" t="s">
        <v>3224</v>
      </c>
      <c r="F2532" t="s">
        <v>3226</v>
      </c>
      <c r="G2532" s="4">
        <v>160757.29</v>
      </c>
      <c r="H2532" s="4">
        <v>136867.68</v>
      </c>
      <c r="I2532" s="3" t="s">
        <v>3734</v>
      </c>
      <c r="J2532">
        <v>3</v>
      </c>
      <c r="K2532" s="4">
        <f>Table3[[#This Row],[Sales]]-Table3[[#This Row],[Cost]]</f>
        <v>23889.610000000015</v>
      </c>
      <c r="L2532" s="6">
        <f>Table3[[#This Row],[Profit]]/Table3[[#This Row],[Sales]]</f>
        <v>0.14860669771181148</v>
      </c>
    </row>
    <row r="2533" spans="1:12" x14ac:dyDescent="0.25">
      <c r="A2533" t="s">
        <v>2291</v>
      </c>
      <c r="B2533" s="2">
        <v>45005</v>
      </c>
      <c r="C2533" s="2" t="str">
        <f>TEXT(Table3[[#This Row],[Order Date]],"mmmm")</f>
        <v>March</v>
      </c>
      <c r="D2533" t="s">
        <v>3216</v>
      </c>
      <c r="E2533" t="s">
        <v>3225</v>
      </c>
      <c r="F2533" t="s">
        <v>3226</v>
      </c>
      <c r="G2533" s="4">
        <v>62813.32</v>
      </c>
      <c r="H2533" s="4">
        <v>44648.47</v>
      </c>
      <c r="I2533" s="3" t="s">
        <v>3734</v>
      </c>
      <c r="J2533">
        <v>3</v>
      </c>
      <c r="K2533" s="4">
        <f>Table3[[#This Row],[Sales]]-Table3[[#This Row],[Cost]]</f>
        <v>18164.849999999999</v>
      </c>
      <c r="L2533" s="6">
        <f>Table3[[#This Row],[Profit]]/Table3[[#This Row],[Sales]]</f>
        <v>0.28918786652257833</v>
      </c>
    </row>
    <row r="2534" spans="1:12" x14ac:dyDescent="0.25">
      <c r="A2534" t="s">
        <v>2292</v>
      </c>
      <c r="B2534" s="2" t="s">
        <v>3729</v>
      </c>
      <c r="C2534" s="2" t="str">
        <f>TEXT(Table3[[#This Row],[Order Date]],"mmmm")</f>
        <v>Not Mentioned</v>
      </c>
      <c r="D2534" t="s">
        <v>3730</v>
      </c>
      <c r="E2534" t="s">
        <v>3224</v>
      </c>
      <c r="F2534" t="s">
        <v>3226</v>
      </c>
      <c r="G2534" s="4">
        <v>329962.34000000003</v>
      </c>
      <c r="H2534" s="4">
        <v>263969.87200000003</v>
      </c>
      <c r="I2534" s="3" t="s">
        <v>3735</v>
      </c>
      <c r="J2534" t="s">
        <v>3732</v>
      </c>
      <c r="K2534" s="4">
        <f>Table3[[#This Row],[Sales]]-Table3[[#This Row],[Cost]]</f>
        <v>65992.467999999993</v>
      </c>
      <c r="L2534" s="6">
        <f>Table3[[#This Row],[Profit]]/Table3[[#This Row],[Sales]]</f>
        <v>0.19999999999999996</v>
      </c>
    </row>
    <row r="2535" spans="1:12" x14ac:dyDescent="0.25">
      <c r="A2535" t="s">
        <v>2293</v>
      </c>
      <c r="B2535" s="2">
        <v>45021</v>
      </c>
      <c r="C2535" s="2" t="str">
        <f>TEXT(Table3[[#This Row],[Order Date]],"mmmm")</f>
        <v>April</v>
      </c>
      <c r="D2535" t="s">
        <v>3220</v>
      </c>
      <c r="E2535" t="s">
        <v>3222</v>
      </c>
      <c r="F2535" t="s">
        <v>3226</v>
      </c>
      <c r="G2535" s="4">
        <v>34598.36</v>
      </c>
      <c r="H2535" s="4">
        <v>20370.8</v>
      </c>
      <c r="I2535" s="3" t="s">
        <v>3734</v>
      </c>
      <c r="J2535">
        <v>2</v>
      </c>
      <c r="K2535" s="4">
        <f>Table3[[#This Row],[Sales]]-Table3[[#This Row],[Cost]]</f>
        <v>14227.560000000001</v>
      </c>
      <c r="L2535" s="6">
        <f>Table3[[#This Row],[Profit]]/Table3[[#This Row],[Sales]]</f>
        <v>0.41122064745265385</v>
      </c>
    </row>
    <row r="2536" spans="1:12" x14ac:dyDescent="0.25">
      <c r="A2536" t="s">
        <v>2294</v>
      </c>
      <c r="B2536" s="2">
        <v>44972</v>
      </c>
      <c r="C2536" s="2" t="str">
        <f>TEXT(Table3[[#This Row],[Order Date]],"mmmm")</f>
        <v>February</v>
      </c>
      <c r="D2536" t="s">
        <v>3216</v>
      </c>
      <c r="E2536" t="s">
        <v>3224</v>
      </c>
      <c r="F2536" t="s">
        <v>3226</v>
      </c>
      <c r="G2536" s="4">
        <v>280671.26</v>
      </c>
      <c r="H2536" s="4">
        <v>196291.84</v>
      </c>
      <c r="I2536" s="3" t="s">
        <v>3734</v>
      </c>
      <c r="J2536">
        <v>5</v>
      </c>
      <c r="K2536" s="4">
        <f>Table3[[#This Row],[Sales]]-Table3[[#This Row],[Cost]]</f>
        <v>84379.420000000013</v>
      </c>
      <c r="L2536" s="6">
        <f>Table3[[#This Row],[Profit]]/Table3[[#This Row],[Sales]]</f>
        <v>0.30063434353770319</v>
      </c>
    </row>
    <row r="2537" spans="1:12" x14ac:dyDescent="0.25">
      <c r="A2537" t="s">
        <v>2295</v>
      </c>
      <c r="B2537" s="2">
        <v>44941</v>
      </c>
      <c r="C2537" s="2" t="str">
        <f>TEXT(Table3[[#This Row],[Order Date]],"mmmm")</f>
        <v>January</v>
      </c>
      <c r="D2537" t="s">
        <v>3730</v>
      </c>
      <c r="E2537" t="s">
        <v>3223</v>
      </c>
      <c r="F2537" t="s">
        <v>3226</v>
      </c>
      <c r="G2537" s="4">
        <v>34569.18</v>
      </c>
      <c r="H2537" s="4">
        <v>18033.3</v>
      </c>
      <c r="I2537" s="3" t="s">
        <v>3734</v>
      </c>
      <c r="J2537">
        <v>3</v>
      </c>
      <c r="K2537" s="4">
        <f>Table3[[#This Row],[Sales]]-Table3[[#This Row],[Cost]]</f>
        <v>16535.88</v>
      </c>
      <c r="L2537" s="6">
        <f>Table3[[#This Row],[Profit]]/Table3[[#This Row],[Sales]]</f>
        <v>0.47834169048846403</v>
      </c>
    </row>
    <row r="2538" spans="1:12" x14ac:dyDescent="0.25">
      <c r="A2538" t="s">
        <v>2296</v>
      </c>
      <c r="B2538" s="2">
        <v>45005</v>
      </c>
      <c r="C2538" s="2" t="str">
        <f>TEXT(Table3[[#This Row],[Order Date]],"mmmm")</f>
        <v>March</v>
      </c>
      <c r="D2538" t="s">
        <v>3731</v>
      </c>
      <c r="E2538" t="s">
        <v>3224</v>
      </c>
      <c r="F2538" t="s">
        <v>3226</v>
      </c>
      <c r="G2538" s="4">
        <v>241964.13</v>
      </c>
      <c r="H2538" s="4">
        <v>237605.59</v>
      </c>
      <c r="I2538" s="3" t="s">
        <v>3734</v>
      </c>
      <c r="J2538">
        <v>5</v>
      </c>
      <c r="K2538" s="4">
        <f>Table3[[#This Row],[Sales]]-Table3[[#This Row],[Cost]]</f>
        <v>4358.5400000000081</v>
      </c>
      <c r="L2538" s="6">
        <f>Table3[[#This Row],[Profit]]/Table3[[#This Row],[Sales]]</f>
        <v>1.8013165835779079E-2</v>
      </c>
    </row>
    <row r="2539" spans="1:12" x14ac:dyDescent="0.25">
      <c r="A2539" t="s">
        <v>2297</v>
      </c>
      <c r="B2539" s="2">
        <v>45021</v>
      </c>
      <c r="C2539" s="2" t="str">
        <f>TEXT(Table3[[#This Row],[Order Date]],"mmmm")</f>
        <v>April</v>
      </c>
      <c r="D2539" t="s">
        <v>3730</v>
      </c>
      <c r="E2539" t="s">
        <v>3224</v>
      </c>
      <c r="F2539" t="s">
        <v>3226</v>
      </c>
      <c r="G2539" s="4">
        <v>110802.74</v>
      </c>
      <c r="H2539" s="4">
        <v>95553.81</v>
      </c>
      <c r="I2539" s="3" t="s">
        <v>3734</v>
      </c>
      <c r="J2539">
        <v>2</v>
      </c>
      <c r="K2539" s="4">
        <f>Table3[[#This Row],[Sales]]-Table3[[#This Row],[Cost]]</f>
        <v>15248.930000000008</v>
      </c>
      <c r="L2539" s="6">
        <f>Table3[[#This Row],[Profit]]/Table3[[#This Row],[Sales]]</f>
        <v>0.13762231872605324</v>
      </c>
    </row>
    <row r="2540" spans="1:12" x14ac:dyDescent="0.25">
      <c r="A2540" t="s">
        <v>2298</v>
      </c>
      <c r="B2540" s="2">
        <v>45102</v>
      </c>
      <c r="C2540" s="2" t="str">
        <f>TEXT(Table3[[#This Row],[Order Date]],"mmmm")</f>
        <v>June</v>
      </c>
      <c r="D2540" t="s">
        <v>3216</v>
      </c>
      <c r="E2540" t="s">
        <v>3225</v>
      </c>
      <c r="F2540" t="s">
        <v>3226</v>
      </c>
      <c r="G2540" s="4">
        <v>20213.240000000002</v>
      </c>
      <c r="H2540" s="4">
        <v>14336.27</v>
      </c>
      <c r="I2540" s="3" t="s">
        <v>3734</v>
      </c>
      <c r="J2540">
        <v>1</v>
      </c>
      <c r="K2540" s="4">
        <f>Table3[[#This Row],[Sales]]-Table3[[#This Row],[Cost]]</f>
        <v>5876.9700000000012</v>
      </c>
      <c r="L2540" s="6">
        <f>Table3[[#This Row],[Profit]]/Table3[[#This Row],[Sales]]</f>
        <v>0.29074853907636783</v>
      </c>
    </row>
    <row r="2541" spans="1:12" x14ac:dyDescent="0.25">
      <c r="A2541" t="s">
        <v>3260</v>
      </c>
      <c r="B2541" s="2">
        <v>44972</v>
      </c>
      <c r="C2541" s="2" t="str">
        <f>TEXT(Table3[[#This Row],[Order Date]],"mmmm")</f>
        <v>February</v>
      </c>
      <c r="D2541" t="s">
        <v>3731</v>
      </c>
      <c r="E2541" t="s">
        <v>3223</v>
      </c>
      <c r="F2541" t="s">
        <v>3226</v>
      </c>
      <c r="G2541" s="4">
        <v>34571.08</v>
      </c>
      <c r="H2541" s="4">
        <v>19615.759999999998</v>
      </c>
      <c r="I2541" s="3" t="s">
        <v>3734</v>
      </c>
      <c r="J2541">
        <v>3</v>
      </c>
      <c r="K2541" s="4">
        <f>Table3[[#This Row],[Sales]]-Table3[[#This Row],[Cost]]</f>
        <v>14955.320000000003</v>
      </c>
      <c r="L2541" s="6">
        <f>Table3[[#This Row],[Profit]]/Table3[[#This Row],[Sales]]</f>
        <v>0.432596262540829</v>
      </c>
    </row>
    <row r="2542" spans="1:12" x14ac:dyDescent="0.25">
      <c r="A2542" t="s">
        <v>2299</v>
      </c>
      <c r="B2542" s="2">
        <v>44941</v>
      </c>
      <c r="C2542" s="2" t="str">
        <f>TEXT(Table3[[#This Row],[Order Date]],"mmmm")</f>
        <v>January</v>
      </c>
      <c r="D2542" t="s">
        <v>3220</v>
      </c>
      <c r="E2542" t="s">
        <v>3223</v>
      </c>
      <c r="F2542" t="s">
        <v>3226</v>
      </c>
      <c r="G2542" s="4">
        <v>40462.720000000001</v>
      </c>
      <c r="H2542" s="4">
        <v>32370.176000000003</v>
      </c>
      <c r="I2542" s="3" t="s">
        <v>3735</v>
      </c>
      <c r="J2542">
        <v>5</v>
      </c>
      <c r="K2542" s="4">
        <f>Table3[[#This Row],[Sales]]-Table3[[#This Row],[Cost]]</f>
        <v>8092.5439999999981</v>
      </c>
      <c r="L2542" s="6">
        <f>Table3[[#This Row],[Profit]]/Table3[[#This Row],[Sales]]</f>
        <v>0.19999999999999996</v>
      </c>
    </row>
    <row r="2543" spans="1:12" x14ac:dyDescent="0.25">
      <c r="A2543" t="s">
        <v>2300</v>
      </c>
      <c r="B2543" s="2">
        <v>44972</v>
      </c>
      <c r="C2543" s="2" t="str">
        <f>TEXT(Table3[[#This Row],[Order Date]],"mmmm")</f>
        <v>February</v>
      </c>
      <c r="D2543" t="s">
        <v>3730</v>
      </c>
      <c r="E2543" t="s">
        <v>3222</v>
      </c>
      <c r="F2543" t="s">
        <v>3226</v>
      </c>
      <c r="G2543" s="4">
        <v>48170.69</v>
      </c>
      <c r="H2543" s="4">
        <v>32466.34</v>
      </c>
      <c r="I2543" s="3" t="s">
        <v>3734</v>
      </c>
      <c r="J2543">
        <v>3</v>
      </c>
      <c r="K2543" s="4">
        <f>Table3[[#This Row],[Sales]]-Table3[[#This Row],[Cost]]</f>
        <v>15704.350000000002</v>
      </c>
      <c r="L2543" s="6">
        <f>Table3[[#This Row],[Profit]]/Table3[[#This Row],[Sales]]</f>
        <v>0.32601463670128039</v>
      </c>
    </row>
    <row r="2544" spans="1:12" x14ac:dyDescent="0.25">
      <c r="A2544" t="s">
        <v>1633</v>
      </c>
      <c r="B2544" s="2">
        <v>44972</v>
      </c>
      <c r="C2544" s="2" t="str">
        <f>TEXT(Table3[[#This Row],[Order Date]],"mmmm")</f>
        <v>February</v>
      </c>
      <c r="D2544" t="s">
        <v>3730</v>
      </c>
      <c r="E2544" t="s">
        <v>3222</v>
      </c>
      <c r="F2544" t="s">
        <v>3226</v>
      </c>
      <c r="G2544" s="4">
        <v>30724.39</v>
      </c>
      <c r="H2544" s="4">
        <v>21263.919999999998</v>
      </c>
      <c r="I2544" s="3" t="s">
        <v>3734</v>
      </c>
      <c r="J2544">
        <v>2</v>
      </c>
      <c r="K2544" s="4">
        <f>Table3[[#This Row],[Sales]]-Table3[[#This Row],[Cost]]</f>
        <v>9460.4700000000012</v>
      </c>
      <c r="L2544" s="6">
        <f>Table3[[#This Row],[Profit]]/Table3[[#This Row],[Sales]]</f>
        <v>0.30791400577847117</v>
      </c>
    </row>
    <row r="2545" spans="1:12" x14ac:dyDescent="0.25">
      <c r="A2545" t="s">
        <v>2301</v>
      </c>
      <c r="B2545" s="2">
        <v>44972</v>
      </c>
      <c r="C2545" s="2" t="str">
        <f>TEXT(Table3[[#This Row],[Order Date]],"mmmm")</f>
        <v>February</v>
      </c>
      <c r="D2545" t="s">
        <v>3216</v>
      </c>
      <c r="E2545" t="s">
        <v>3224</v>
      </c>
      <c r="F2545" t="s">
        <v>3226</v>
      </c>
      <c r="G2545" s="4">
        <v>54092.12</v>
      </c>
      <c r="H2545" s="4">
        <v>40832.28</v>
      </c>
      <c r="I2545" s="3" t="s">
        <v>3734</v>
      </c>
      <c r="J2545">
        <v>1</v>
      </c>
      <c r="K2545" s="4">
        <f>Table3[[#This Row],[Sales]]-Table3[[#This Row],[Cost]]</f>
        <v>13259.840000000004</v>
      </c>
      <c r="L2545" s="6">
        <f>Table3[[#This Row],[Profit]]/Table3[[#This Row],[Sales]]</f>
        <v>0.24513441144477241</v>
      </c>
    </row>
    <row r="2546" spans="1:12" x14ac:dyDescent="0.25">
      <c r="A2546" t="s">
        <v>2303</v>
      </c>
      <c r="B2546" s="2">
        <v>44972</v>
      </c>
      <c r="C2546" s="2" t="str">
        <f>TEXT(Table3[[#This Row],[Order Date]],"mmmm")</f>
        <v>February</v>
      </c>
      <c r="D2546" t="s">
        <v>3730</v>
      </c>
      <c r="E2546" t="s">
        <v>3222</v>
      </c>
      <c r="F2546" t="s">
        <v>3226</v>
      </c>
      <c r="G2546" s="4">
        <v>84086.33</v>
      </c>
      <c r="H2546" s="4">
        <v>49743.77</v>
      </c>
      <c r="I2546" s="3" t="s">
        <v>3734</v>
      </c>
      <c r="J2546">
        <v>5</v>
      </c>
      <c r="K2546" s="4">
        <f>Table3[[#This Row],[Sales]]-Table3[[#This Row],[Cost]]</f>
        <v>34342.560000000005</v>
      </c>
      <c r="L2546" s="6">
        <f>Table3[[#This Row],[Profit]]/Table3[[#This Row],[Sales]]</f>
        <v>0.40842025094923284</v>
      </c>
    </row>
    <row r="2547" spans="1:12" x14ac:dyDescent="0.25">
      <c r="A2547" t="s">
        <v>3615</v>
      </c>
      <c r="B2547" s="2" t="s">
        <v>3729</v>
      </c>
      <c r="C2547" s="2" t="str">
        <f>TEXT(Table3[[#This Row],[Order Date]],"mmmm")</f>
        <v>Not Mentioned</v>
      </c>
      <c r="D2547" t="s">
        <v>3731</v>
      </c>
      <c r="E2547" t="s">
        <v>3225</v>
      </c>
      <c r="F2547" t="s">
        <v>3226</v>
      </c>
      <c r="G2547" s="4">
        <v>80977.179999999993</v>
      </c>
      <c r="H2547" s="4">
        <v>56128.26</v>
      </c>
      <c r="I2547" s="3" t="s">
        <v>3734</v>
      </c>
      <c r="J2547">
        <v>4</v>
      </c>
      <c r="K2547" s="4">
        <f>Table3[[#This Row],[Sales]]-Table3[[#This Row],[Cost]]</f>
        <v>24848.919999999991</v>
      </c>
      <c r="L2547" s="6">
        <f>Table3[[#This Row],[Profit]]/Table3[[#This Row],[Sales]]</f>
        <v>0.30686324221218858</v>
      </c>
    </row>
    <row r="2548" spans="1:12" x14ac:dyDescent="0.25">
      <c r="A2548" t="s">
        <v>2305</v>
      </c>
      <c r="B2548" s="2">
        <v>44972</v>
      </c>
      <c r="C2548" s="2" t="str">
        <f>TEXT(Table3[[#This Row],[Order Date]],"mmmm")</f>
        <v>February</v>
      </c>
      <c r="D2548" t="s">
        <v>3220</v>
      </c>
      <c r="E2548" t="s">
        <v>3222</v>
      </c>
      <c r="F2548" t="s">
        <v>3226</v>
      </c>
      <c r="G2548" s="4">
        <v>12747.41</v>
      </c>
      <c r="H2548" s="4">
        <v>9546.5400000000009</v>
      </c>
      <c r="I2548" s="3" t="s">
        <v>3734</v>
      </c>
      <c r="J2548">
        <v>1</v>
      </c>
      <c r="K2548" s="4">
        <f>Table3[[#This Row],[Sales]]-Table3[[#This Row],[Cost]]</f>
        <v>3200.869999999999</v>
      </c>
      <c r="L2548" s="6">
        <f>Table3[[#This Row],[Profit]]/Table3[[#This Row],[Sales]]</f>
        <v>0.25109963514156985</v>
      </c>
    </row>
    <row r="2549" spans="1:12" x14ac:dyDescent="0.25">
      <c r="A2549" t="s">
        <v>2306</v>
      </c>
      <c r="B2549" s="2">
        <v>45021</v>
      </c>
      <c r="C2549" s="2" t="str">
        <f>TEXT(Table3[[#This Row],[Order Date]],"mmmm")</f>
        <v>April</v>
      </c>
      <c r="D2549" t="s">
        <v>3730</v>
      </c>
      <c r="E2549" t="s">
        <v>3224</v>
      </c>
      <c r="F2549" t="s">
        <v>3226</v>
      </c>
      <c r="G2549" s="4">
        <v>101031.66</v>
      </c>
      <c r="H2549" s="4">
        <v>82989.16</v>
      </c>
      <c r="I2549" s="3" t="s">
        <v>3734</v>
      </c>
      <c r="J2549">
        <v>2</v>
      </c>
      <c r="K2549" s="4">
        <f>Table3[[#This Row],[Sales]]-Table3[[#This Row],[Cost]]</f>
        <v>18042.5</v>
      </c>
      <c r="L2549" s="6">
        <f>Table3[[#This Row],[Profit]]/Table3[[#This Row],[Sales]]</f>
        <v>0.17858263439401073</v>
      </c>
    </row>
    <row r="2550" spans="1:12" x14ac:dyDescent="0.25">
      <c r="A2550" t="s">
        <v>3585</v>
      </c>
      <c r="B2550" s="2" t="s">
        <v>3729</v>
      </c>
      <c r="C2550" s="2" t="str">
        <f>TEXT(Table3[[#This Row],[Order Date]],"mmmm")</f>
        <v>Not Mentioned</v>
      </c>
      <c r="D2550" t="s">
        <v>3220</v>
      </c>
      <c r="E2550" t="s">
        <v>3222</v>
      </c>
      <c r="F2550" t="s">
        <v>3226</v>
      </c>
      <c r="G2550" s="4">
        <v>83357.2</v>
      </c>
      <c r="H2550" s="4">
        <v>48749.01</v>
      </c>
      <c r="I2550" s="3" t="s">
        <v>3734</v>
      </c>
      <c r="J2550">
        <v>5</v>
      </c>
      <c r="K2550" s="4">
        <f>Table3[[#This Row],[Sales]]-Table3[[#This Row],[Cost]]</f>
        <v>34608.189999999995</v>
      </c>
      <c r="L2550" s="6">
        <f>Table3[[#This Row],[Profit]]/Table3[[#This Row],[Sales]]</f>
        <v>0.4151793726276794</v>
      </c>
    </row>
    <row r="2551" spans="1:12" x14ac:dyDescent="0.25">
      <c r="A2551" t="s">
        <v>3412</v>
      </c>
      <c r="B2551" s="2">
        <v>45102</v>
      </c>
      <c r="C2551" s="2" t="str">
        <f>TEXT(Table3[[#This Row],[Order Date]],"mmmm")</f>
        <v>June</v>
      </c>
      <c r="D2551" t="s">
        <v>3220</v>
      </c>
      <c r="E2551" t="s">
        <v>3222</v>
      </c>
      <c r="F2551" t="s">
        <v>3226</v>
      </c>
      <c r="G2551" s="4">
        <v>61137.53</v>
      </c>
      <c r="H2551" s="4">
        <v>38201.17</v>
      </c>
      <c r="I2551" s="3" t="s">
        <v>3734</v>
      </c>
      <c r="J2551">
        <v>4</v>
      </c>
      <c r="K2551" s="4">
        <f>Table3[[#This Row],[Sales]]-Table3[[#This Row],[Cost]]</f>
        <v>22936.36</v>
      </c>
      <c r="L2551" s="6">
        <f>Table3[[#This Row],[Profit]]/Table3[[#This Row],[Sales]]</f>
        <v>0.3751600694368909</v>
      </c>
    </row>
    <row r="2552" spans="1:12" x14ac:dyDescent="0.25">
      <c r="A2552" t="s">
        <v>2307</v>
      </c>
      <c r="B2552" s="2">
        <v>44972</v>
      </c>
      <c r="C2552" s="2" t="str">
        <f>TEXT(Table3[[#This Row],[Order Date]],"mmmm")</f>
        <v>February</v>
      </c>
      <c r="D2552" t="s">
        <v>3731</v>
      </c>
      <c r="E2552" t="s">
        <v>3224</v>
      </c>
      <c r="F2552" t="s">
        <v>3226</v>
      </c>
      <c r="G2552" s="4">
        <v>136094.6</v>
      </c>
      <c r="H2552" s="4">
        <v>108875.68000000001</v>
      </c>
      <c r="I2552" s="3" t="s">
        <v>3735</v>
      </c>
      <c r="J2552">
        <v>2</v>
      </c>
      <c r="K2552" s="4">
        <f>Table3[[#This Row],[Sales]]-Table3[[#This Row],[Cost]]</f>
        <v>27218.92</v>
      </c>
      <c r="L2552" s="6">
        <f>Table3[[#This Row],[Profit]]/Table3[[#This Row],[Sales]]</f>
        <v>0.19999999999999998</v>
      </c>
    </row>
    <row r="2553" spans="1:12" x14ac:dyDescent="0.25">
      <c r="A2553" t="s">
        <v>2308</v>
      </c>
      <c r="B2553" s="2">
        <v>45005</v>
      </c>
      <c r="C2553" s="2" t="str">
        <f>TEXT(Table3[[#This Row],[Order Date]],"mmmm")</f>
        <v>March</v>
      </c>
      <c r="D2553" t="s">
        <v>3731</v>
      </c>
      <c r="E2553" t="s">
        <v>3222</v>
      </c>
      <c r="F2553" t="s">
        <v>3226</v>
      </c>
      <c r="G2553" s="4">
        <v>39081.339999999997</v>
      </c>
      <c r="H2553" s="4">
        <v>28542.61</v>
      </c>
      <c r="I2553" s="3" t="s">
        <v>3734</v>
      </c>
      <c r="J2553">
        <v>3</v>
      </c>
      <c r="K2553" s="4">
        <f>Table3[[#This Row],[Sales]]-Table3[[#This Row],[Cost]]</f>
        <v>10538.729999999996</v>
      </c>
      <c r="L2553" s="6">
        <f>Table3[[#This Row],[Profit]]/Table3[[#This Row],[Sales]]</f>
        <v>0.26966142921404429</v>
      </c>
    </row>
    <row r="2554" spans="1:12" x14ac:dyDescent="0.25">
      <c r="A2554" t="s">
        <v>2309</v>
      </c>
      <c r="B2554" s="2">
        <v>45021</v>
      </c>
      <c r="C2554" s="2" t="str">
        <f>TEXT(Table3[[#This Row],[Order Date]],"mmmm")</f>
        <v>April</v>
      </c>
      <c r="D2554" t="s">
        <v>3220</v>
      </c>
      <c r="E2554" t="s">
        <v>3222</v>
      </c>
      <c r="F2554" t="s">
        <v>3226</v>
      </c>
      <c r="G2554" s="4">
        <v>14552.27</v>
      </c>
      <c r="H2554" s="4">
        <v>10007.85</v>
      </c>
      <c r="I2554" s="3" t="s">
        <v>3734</v>
      </c>
      <c r="J2554">
        <v>1</v>
      </c>
      <c r="K2554" s="4">
        <f>Table3[[#This Row],[Sales]]-Table3[[#This Row],[Cost]]</f>
        <v>4544.42</v>
      </c>
      <c r="L2554" s="6">
        <f>Table3[[#This Row],[Profit]]/Table3[[#This Row],[Sales]]</f>
        <v>0.31228255110714687</v>
      </c>
    </row>
    <row r="2555" spans="1:12" x14ac:dyDescent="0.25">
      <c r="A2555" t="s">
        <v>3616</v>
      </c>
      <c r="B2555" s="2">
        <v>44941</v>
      </c>
      <c r="C2555" s="2" t="str">
        <f>TEXT(Table3[[#This Row],[Order Date]],"mmmm")</f>
        <v>January</v>
      </c>
      <c r="D2555" t="s">
        <v>3220</v>
      </c>
      <c r="E2555" t="s">
        <v>3223</v>
      </c>
      <c r="F2555" t="s">
        <v>3226</v>
      </c>
      <c r="G2555" s="4">
        <v>47562.17</v>
      </c>
      <c r="H2555" s="4">
        <v>38051.83</v>
      </c>
      <c r="I2555" s="3" t="s">
        <v>3734</v>
      </c>
      <c r="J2555">
        <v>5</v>
      </c>
      <c r="K2555" s="4">
        <f>Table3[[#This Row],[Sales]]-Table3[[#This Row],[Cost]]</f>
        <v>9510.3399999999965</v>
      </c>
      <c r="L2555" s="6">
        <f>Table3[[#This Row],[Profit]]/Table3[[#This Row],[Sales]]</f>
        <v>0.19995597341332402</v>
      </c>
    </row>
    <row r="2556" spans="1:12" x14ac:dyDescent="0.25">
      <c r="A2556" t="s">
        <v>3255</v>
      </c>
      <c r="B2556" s="2">
        <v>45005</v>
      </c>
      <c r="C2556" s="2" t="str">
        <f>TEXT(Table3[[#This Row],[Order Date]],"mmmm")</f>
        <v>March</v>
      </c>
      <c r="D2556" t="s">
        <v>3216</v>
      </c>
      <c r="E2556" t="s">
        <v>3224</v>
      </c>
      <c r="F2556" t="s">
        <v>3226</v>
      </c>
      <c r="G2556" s="4">
        <v>211414.22</v>
      </c>
      <c r="H2556" s="4">
        <v>141285.93</v>
      </c>
      <c r="I2556" s="3" t="s">
        <v>3734</v>
      </c>
      <c r="J2556">
        <v>3</v>
      </c>
      <c r="K2556" s="4">
        <f>Table3[[#This Row],[Sales]]-Table3[[#This Row],[Cost]]</f>
        <v>70128.290000000008</v>
      </c>
      <c r="L2556" s="6">
        <f>Table3[[#This Row],[Profit]]/Table3[[#This Row],[Sales]]</f>
        <v>0.33171037407039133</v>
      </c>
    </row>
    <row r="2557" spans="1:12" x14ac:dyDescent="0.25">
      <c r="A2557" t="s">
        <v>3617</v>
      </c>
      <c r="B2557" s="2">
        <v>45005</v>
      </c>
      <c r="C2557" s="2" t="str">
        <f>TEXT(Table3[[#This Row],[Order Date]],"mmmm")</f>
        <v>March</v>
      </c>
      <c r="D2557" t="s">
        <v>3216</v>
      </c>
      <c r="E2557" t="s">
        <v>3224</v>
      </c>
      <c r="F2557" t="s">
        <v>3226</v>
      </c>
      <c r="G2557" s="4">
        <v>328039.11</v>
      </c>
      <c r="H2557" s="4">
        <v>239446.43</v>
      </c>
      <c r="I2557" s="3" t="s">
        <v>3734</v>
      </c>
      <c r="J2557">
        <v>5</v>
      </c>
      <c r="K2557" s="4">
        <f>Table3[[#This Row],[Sales]]-Table3[[#This Row],[Cost]]</f>
        <v>88592.68</v>
      </c>
      <c r="L2557" s="6">
        <f>Table3[[#This Row],[Profit]]/Table3[[#This Row],[Sales]]</f>
        <v>0.27006743189859284</v>
      </c>
    </row>
    <row r="2558" spans="1:12" x14ac:dyDescent="0.25">
      <c r="A2558" t="s">
        <v>216</v>
      </c>
      <c r="B2558" s="2">
        <v>45021</v>
      </c>
      <c r="C2558" s="2" t="str">
        <f>TEXT(Table3[[#This Row],[Order Date]],"mmmm")</f>
        <v>April</v>
      </c>
      <c r="D2558" t="s">
        <v>3220</v>
      </c>
      <c r="E2558" t="s">
        <v>3225</v>
      </c>
      <c r="F2558" t="s">
        <v>3226</v>
      </c>
      <c r="G2558" s="4">
        <v>79441.36</v>
      </c>
      <c r="H2558" s="4">
        <v>55081.66</v>
      </c>
      <c r="I2558" s="3" t="s">
        <v>3734</v>
      </c>
      <c r="J2558">
        <v>4</v>
      </c>
      <c r="K2558" s="4">
        <f>Table3[[#This Row],[Sales]]-Table3[[#This Row],[Cost]]</f>
        <v>24359.699999999997</v>
      </c>
      <c r="L2558" s="6">
        <f>Table3[[#This Row],[Profit]]/Table3[[#This Row],[Sales]]</f>
        <v>0.3066374996601266</v>
      </c>
    </row>
    <row r="2559" spans="1:12" x14ac:dyDescent="0.25">
      <c r="A2559" t="s">
        <v>2314</v>
      </c>
      <c r="B2559" s="2">
        <v>44941</v>
      </c>
      <c r="C2559" s="2" t="str">
        <f>TEXT(Table3[[#This Row],[Order Date]],"mmmm")</f>
        <v>January</v>
      </c>
      <c r="D2559" t="s">
        <v>3730</v>
      </c>
      <c r="E2559" t="s">
        <v>3223</v>
      </c>
      <c r="F2559" t="s">
        <v>3226</v>
      </c>
      <c r="G2559" s="4">
        <v>8918.1299999999992</v>
      </c>
      <c r="H2559" s="4">
        <v>6846.58</v>
      </c>
      <c r="I2559" s="3" t="s">
        <v>3734</v>
      </c>
      <c r="J2559">
        <v>1</v>
      </c>
      <c r="K2559" s="4">
        <f>Table3[[#This Row],[Sales]]-Table3[[#This Row],[Cost]]</f>
        <v>2071.5499999999993</v>
      </c>
      <c r="L2559" s="6">
        <f>Table3[[#This Row],[Profit]]/Table3[[#This Row],[Sales]]</f>
        <v>0.23228524365534023</v>
      </c>
    </row>
    <row r="2560" spans="1:12" x14ac:dyDescent="0.25">
      <c r="A2560" t="s">
        <v>2286</v>
      </c>
      <c r="B2560" s="2">
        <v>45102</v>
      </c>
      <c r="C2560" s="2" t="str">
        <f>TEXT(Table3[[#This Row],[Order Date]],"mmmm")</f>
        <v>June</v>
      </c>
      <c r="D2560" t="s">
        <v>3731</v>
      </c>
      <c r="E2560" t="s">
        <v>3225</v>
      </c>
      <c r="F2560" t="s">
        <v>3226</v>
      </c>
      <c r="G2560" s="4">
        <v>35495.32</v>
      </c>
      <c r="H2560" s="4">
        <v>29101.68</v>
      </c>
      <c r="I2560" s="3" t="s">
        <v>3734</v>
      </c>
      <c r="J2560">
        <v>2</v>
      </c>
      <c r="K2560" s="4">
        <f>Table3[[#This Row],[Sales]]-Table3[[#This Row],[Cost]]</f>
        <v>6393.6399999999994</v>
      </c>
      <c r="L2560" s="6">
        <f>Table3[[#This Row],[Profit]]/Table3[[#This Row],[Sales]]</f>
        <v>0.18012628143653867</v>
      </c>
    </row>
    <row r="2561" spans="1:12" x14ac:dyDescent="0.25">
      <c r="A2561" t="s">
        <v>3592</v>
      </c>
      <c r="B2561" s="2">
        <v>44941</v>
      </c>
      <c r="C2561" s="2" t="str">
        <f>TEXT(Table3[[#This Row],[Order Date]],"mmmm")</f>
        <v>January</v>
      </c>
      <c r="D2561" t="s">
        <v>3216</v>
      </c>
      <c r="E2561" t="s">
        <v>3224</v>
      </c>
      <c r="F2561" t="s">
        <v>3226</v>
      </c>
      <c r="G2561" s="4">
        <v>338643.91</v>
      </c>
      <c r="H2561" s="4">
        <v>270915.12799999997</v>
      </c>
      <c r="I2561" s="3" t="s">
        <v>3735</v>
      </c>
      <c r="J2561">
        <v>5</v>
      </c>
      <c r="K2561" s="4">
        <f>Table3[[#This Row],[Sales]]-Table3[[#This Row],[Cost]]</f>
        <v>67728.782000000007</v>
      </c>
      <c r="L2561" s="6">
        <f>Table3[[#This Row],[Profit]]/Table3[[#This Row],[Sales]]</f>
        <v>0.20000000000000004</v>
      </c>
    </row>
    <row r="2562" spans="1:12" x14ac:dyDescent="0.25">
      <c r="A2562" t="s">
        <v>2106</v>
      </c>
      <c r="B2562" s="2">
        <v>45102</v>
      </c>
      <c r="C2562" s="2" t="str">
        <f>TEXT(Table3[[#This Row],[Order Date]],"mmmm")</f>
        <v>June</v>
      </c>
      <c r="D2562" t="s">
        <v>3730</v>
      </c>
      <c r="E2562" t="s">
        <v>3224</v>
      </c>
      <c r="F2562" t="s">
        <v>3226</v>
      </c>
      <c r="G2562" s="4">
        <v>126109.41</v>
      </c>
      <c r="H2562" s="4">
        <v>83348.2</v>
      </c>
      <c r="I2562" s="3" t="s">
        <v>3734</v>
      </c>
      <c r="J2562">
        <v>2</v>
      </c>
      <c r="K2562" s="4">
        <f>Table3[[#This Row],[Sales]]-Table3[[#This Row],[Cost]]</f>
        <v>42761.210000000006</v>
      </c>
      <c r="L2562" s="6">
        <f>Table3[[#This Row],[Profit]]/Table3[[#This Row],[Sales]]</f>
        <v>0.33908024785779273</v>
      </c>
    </row>
    <row r="2563" spans="1:12" x14ac:dyDescent="0.25">
      <c r="A2563" t="s">
        <v>2301</v>
      </c>
      <c r="B2563" s="2">
        <v>45005</v>
      </c>
      <c r="C2563" s="2" t="str">
        <f>TEXT(Table3[[#This Row],[Order Date]],"mmmm")</f>
        <v>March</v>
      </c>
      <c r="D2563" t="s">
        <v>3220</v>
      </c>
      <c r="E2563" t="s">
        <v>3224</v>
      </c>
      <c r="F2563" t="s">
        <v>3226</v>
      </c>
      <c r="G2563" s="4">
        <v>336936.97</v>
      </c>
      <c r="H2563" s="4">
        <v>230916.12</v>
      </c>
      <c r="I2563" s="3" t="s">
        <v>3734</v>
      </c>
      <c r="J2563">
        <v>5</v>
      </c>
      <c r="K2563" s="4">
        <f>Table3[[#This Row],[Sales]]-Table3[[#This Row],[Cost]]</f>
        <v>106020.84999999998</v>
      </c>
      <c r="L2563" s="6">
        <f>Table3[[#This Row],[Profit]]/Table3[[#This Row],[Sales]]</f>
        <v>0.31466078062018538</v>
      </c>
    </row>
    <row r="2564" spans="1:12" x14ac:dyDescent="0.25">
      <c r="A2564" t="s">
        <v>2315</v>
      </c>
      <c r="B2564" s="2">
        <v>45102</v>
      </c>
      <c r="C2564" s="2" t="str">
        <f>TEXT(Table3[[#This Row],[Order Date]],"mmmm")</f>
        <v>June</v>
      </c>
      <c r="D2564" t="s">
        <v>3730</v>
      </c>
      <c r="E2564" t="s">
        <v>3223</v>
      </c>
      <c r="F2564" t="s">
        <v>3226</v>
      </c>
      <c r="G2564" s="4">
        <v>25762.89</v>
      </c>
      <c r="H2564" s="4">
        <v>20610.312000000002</v>
      </c>
      <c r="I2564" s="3" t="s">
        <v>3735</v>
      </c>
      <c r="J2564">
        <v>3</v>
      </c>
      <c r="K2564" s="4">
        <f>Table3[[#This Row],[Sales]]-Table3[[#This Row],[Cost]]</f>
        <v>5152.5779999999977</v>
      </c>
      <c r="L2564" s="6">
        <f>Table3[[#This Row],[Profit]]/Table3[[#This Row],[Sales]]</f>
        <v>0.19999999999999993</v>
      </c>
    </row>
    <row r="2565" spans="1:12" x14ac:dyDescent="0.25">
      <c r="A2565" t="s">
        <v>1632</v>
      </c>
      <c r="B2565" s="2" t="s">
        <v>3729</v>
      </c>
      <c r="C2565" s="2" t="str">
        <f>TEXT(Table3[[#This Row],[Order Date]],"mmmm")</f>
        <v>Not Mentioned</v>
      </c>
      <c r="D2565" t="s">
        <v>3731</v>
      </c>
      <c r="E2565" t="s">
        <v>3222</v>
      </c>
      <c r="F2565" t="s">
        <v>3226</v>
      </c>
      <c r="G2565" s="4">
        <v>71812.33</v>
      </c>
      <c r="H2565" s="4">
        <v>46342.31</v>
      </c>
      <c r="I2565" s="3" t="s">
        <v>3734</v>
      </c>
      <c r="J2565">
        <v>5</v>
      </c>
      <c r="K2565" s="4">
        <f>Table3[[#This Row],[Sales]]-Table3[[#This Row],[Cost]]</f>
        <v>25470.020000000004</v>
      </c>
      <c r="L2565" s="6">
        <f>Table3[[#This Row],[Profit]]/Table3[[#This Row],[Sales]]</f>
        <v>0.35467474735884497</v>
      </c>
    </row>
    <row r="2566" spans="1:12" x14ac:dyDescent="0.25">
      <c r="A2566" t="s">
        <v>2316</v>
      </c>
      <c r="B2566" s="2">
        <v>45005</v>
      </c>
      <c r="C2566" s="2" t="str">
        <f>TEXT(Table3[[#This Row],[Order Date]],"mmmm")</f>
        <v>March</v>
      </c>
      <c r="D2566" t="s">
        <v>3730</v>
      </c>
      <c r="E2566" t="s">
        <v>3223</v>
      </c>
      <c r="F2566" t="s">
        <v>3226</v>
      </c>
      <c r="G2566" s="4">
        <v>8527.11</v>
      </c>
      <c r="H2566" s="4">
        <v>6844.72</v>
      </c>
      <c r="I2566" s="3" t="s">
        <v>3734</v>
      </c>
      <c r="J2566">
        <v>1</v>
      </c>
      <c r="K2566" s="4">
        <f>Table3[[#This Row],[Sales]]-Table3[[#This Row],[Cost]]</f>
        <v>1682.3900000000003</v>
      </c>
      <c r="L2566" s="6">
        <f>Table3[[#This Row],[Profit]]/Table3[[#This Row],[Sales]]</f>
        <v>0.19729896764554464</v>
      </c>
    </row>
    <row r="2567" spans="1:12" x14ac:dyDescent="0.25">
      <c r="A2567" t="s">
        <v>2317</v>
      </c>
      <c r="B2567" s="2">
        <v>44972</v>
      </c>
      <c r="C2567" s="2" t="str">
        <f>TEXT(Table3[[#This Row],[Order Date]],"mmmm")</f>
        <v>February</v>
      </c>
      <c r="D2567" t="s">
        <v>3220</v>
      </c>
      <c r="E2567" t="s">
        <v>3222</v>
      </c>
      <c r="F2567" t="s">
        <v>3226</v>
      </c>
      <c r="G2567" s="4">
        <v>14479.44</v>
      </c>
      <c r="H2567" s="4">
        <v>9959.64</v>
      </c>
      <c r="I2567" s="3" t="s">
        <v>3734</v>
      </c>
      <c r="J2567">
        <v>1</v>
      </c>
      <c r="K2567" s="4">
        <f>Table3[[#This Row],[Sales]]-Table3[[#This Row],[Cost]]</f>
        <v>4519.8000000000011</v>
      </c>
      <c r="L2567" s="6">
        <f>Table3[[#This Row],[Profit]]/Table3[[#This Row],[Sales]]</f>
        <v>0.31215295619167599</v>
      </c>
    </row>
    <row r="2568" spans="1:12" x14ac:dyDescent="0.25">
      <c r="A2568" t="s">
        <v>2318</v>
      </c>
      <c r="B2568" s="2">
        <v>44972</v>
      </c>
      <c r="C2568" s="2" t="str">
        <f>TEXT(Table3[[#This Row],[Order Date]],"mmmm")</f>
        <v>February</v>
      </c>
      <c r="D2568" t="s">
        <v>3216</v>
      </c>
      <c r="E2568" t="s">
        <v>3223</v>
      </c>
      <c r="F2568" t="s">
        <v>3226</v>
      </c>
      <c r="G2568" s="4">
        <v>55138.78</v>
      </c>
      <c r="H2568" s="4">
        <v>30943.08</v>
      </c>
      <c r="I2568" s="3" t="s">
        <v>3734</v>
      </c>
      <c r="J2568">
        <v>5</v>
      </c>
      <c r="K2568" s="4">
        <f>Table3[[#This Row],[Sales]]-Table3[[#This Row],[Cost]]</f>
        <v>24195.699999999997</v>
      </c>
      <c r="L2568" s="6">
        <f>Table3[[#This Row],[Profit]]/Table3[[#This Row],[Sales]]</f>
        <v>0.4388145693466558</v>
      </c>
    </row>
    <row r="2569" spans="1:12" x14ac:dyDescent="0.25">
      <c r="A2569" t="s">
        <v>2293</v>
      </c>
      <c r="B2569" s="2">
        <v>45102</v>
      </c>
      <c r="C2569" s="2" t="str">
        <f>TEXT(Table3[[#This Row],[Order Date]],"mmmm")</f>
        <v>June</v>
      </c>
      <c r="D2569" t="s">
        <v>3216</v>
      </c>
      <c r="E2569" t="s">
        <v>3222</v>
      </c>
      <c r="F2569" t="s">
        <v>3226</v>
      </c>
      <c r="G2569" s="4">
        <v>88300.32</v>
      </c>
      <c r="H2569" s="4">
        <v>44523.18</v>
      </c>
      <c r="I2569" s="3" t="s">
        <v>3734</v>
      </c>
      <c r="J2569">
        <v>5</v>
      </c>
      <c r="K2569" s="4">
        <f>Table3[[#This Row],[Sales]]-Table3[[#This Row],[Cost]]</f>
        <v>43777.140000000007</v>
      </c>
      <c r="L2569" s="6">
        <f>Table3[[#This Row],[Profit]]/Table3[[#This Row],[Sales]]</f>
        <v>0.49577555324827821</v>
      </c>
    </row>
    <row r="2570" spans="1:12" x14ac:dyDescent="0.25">
      <c r="A2570" t="s">
        <v>2319</v>
      </c>
      <c r="B2570" s="2">
        <v>44941</v>
      </c>
      <c r="C2570" s="2" t="str">
        <f>TEXT(Table3[[#This Row],[Order Date]],"mmmm")</f>
        <v>January</v>
      </c>
      <c r="D2570" t="s">
        <v>3216</v>
      </c>
      <c r="E2570" t="s">
        <v>3224</v>
      </c>
      <c r="F2570" t="s">
        <v>3226</v>
      </c>
      <c r="G2570" s="4">
        <v>350247.39</v>
      </c>
      <c r="H2570" s="4">
        <v>224017.64</v>
      </c>
      <c r="I2570" s="3" t="s">
        <v>3734</v>
      </c>
      <c r="J2570">
        <v>5</v>
      </c>
      <c r="K2570" s="4">
        <f>Table3[[#This Row],[Sales]]-Table3[[#This Row],[Cost]]</f>
        <v>126229.75</v>
      </c>
      <c r="L2570" s="6">
        <f>Table3[[#This Row],[Profit]]/Table3[[#This Row],[Sales]]</f>
        <v>0.36040168636231662</v>
      </c>
    </row>
    <row r="2571" spans="1:12" x14ac:dyDescent="0.25">
      <c r="A2571" t="s">
        <v>2320</v>
      </c>
      <c r="B2571" s="2">
        <v>45005</v>
      </c>
      <c r="C2571" s="2" t="str">
        <f>TEXT(Table3[[#This Row],[Order Date]],"mmmm")</f>
        <v>March</v>
      </c>
      <c r="D2571" t="s">
        <v>3220</v>
      </c>
      <c r="E2571" t="s">
        <v>3224</v>
      </c>
      <c r="F2571" t="s">
        <v>3226</v>
      </c>
      <c r="G2571" s="4">
        <v>49496</v>
      </c>
      <c r="H2571" s="4">
        <v>40137.93</v>
      </c>
      <c r="I2571" s="3" t="s">
        <v>3734</v>
      </c>
      <c r="J2571">
        <v>1</v>
      </c>
      <c r="K2571" s="4">
        <f>Table3[[#This Row],[Sales]]-Table3[[#This Row],[Cost]]</f>
        <v>9358.07</v>
      </c>
      <c r="L2571" s="6">
        <f>Table3[[#This Row],[Profit]]/Table3[[#This Row],[Sales]]</f>
        <v>0.18906719734928074</v>
      </c>
    </row>
    <row r="2572" spans="1:12" x14ac:dyDescent="0.25">
      <c r="A2572" t="s">
        <v>1617</v>
      </c>
      <c r="B2572" s="2">
        <v>44972</v>
      </c>
      <c r="C2572" s="2" t="str">
        <f>TEXT(Table3[[#This Row],[Order Date]],"mmmm")</f>
        <v>February</v>
      </c>
      <c r="D2572" t="s">
        <v>3216</v>
      </c>
      <c r="E2572" t="s">
        <v>3222</v>
      </c>
      <c r="F2572" t="s">
        <v>3226</v>
      </c>
      <c r="G2572" s="4">
        <v>32723.040000000001</v>
      </c>
      <c r="H2572" s="4">
        <v>21681.17</v>
      </c>
      <c r="I2572" s="3" t="s">
        <v>3734</v>
      </c>
      <c r="J2572">
        <v>2</v>
      </c>
      <c r="K2572" s="4">
        <f>Table3[[#This Row],[Sales]]-Table3[[#This Row],[Cost]]</f>
        <v>11041.870000000003</v>
      </c>
      <c r="L2572" s="6">
        <f>Table3[[#This Row],[Profit]]/Table3[[#This Row],[Sales]]</f>
        <v>0.33743411370092763</v>
      </c>
    </row>
    <row r="2573" spans="1:12" x14ac:dyDescent="0.25">
      <c r="A2573" t="s">
        <v>2321</v>
      </c>
      <c r="B2573" s="2">
        <v>45021</v>
      </c>
      <c r="C2573" s="2" t="str">
        <f>TEXT(Table3[[#This Row],[Order Date]],"mmmm")</f>
        <v>April</v>
      </c>
      <c r="D2573" t="s">
        <v>3731</v>
      </c>
      <c r="E2573" t="s">
        <v>3225</v>
      </c>
      <c r="F2573" t="s">
        <v>3226</v>
      </c>
      <c r="G2573" s="4">
        <v>17334.41</v>
      </c>
      <c r="H2573" s="4">
        <v>12505.64</v>
      </c>
      <c r="I2573" s="3" t="s">
        <v>3734</v>
      </c>
      <c r="J2573">
        <v>1</v>
      </c>
      <c r="K2573" s="4">
        <f>Table3[[#This Row],[Sales]]-Table3[[#This Row],[Cost]]</f>
        <v>4828.7700000000004</v>
      </c>
      <c r="L2573" s="6">
        <f>Table3[[#This Row],[Profit]]/Table3[[#This Row],[Sales]]</f>
        <v>0.27856558140715493</v>
      </c>
    </row>
    <row r="2574" spans="1:12" x14ac:dyDescent="0.25">
      <c r="A2574" t="s">
        <v>2323</v>
      </c>
      <c r="B2574" s="2">
        <v>44972</v>
      </c>
      <c r="C2574" s="2" t="str">
        <f>TEXT(Table3[[#This Row],[Order Date]],"mmmm")</f>
        <v>February</v>
      </c>
      <c r="D2574" t="s">
        <v>3216</v>
      </c>
      <c r="E2574" t="s">
        <v>3224</v>
      </c>
      <c r="F2574" t="s">
        <v>3226</v>
      </c>
      <c r="G2574" s="4">
        <v>50068.29</v>
      </c>
      <c r="H2574" s="4">
        <v>40341.760000000002</v>
      </c>
      <c r="I2574" s="3" t="s">
        <v>3734</v>
      </c>
      <c r="J2574">
        <v>1</v>
      </c>
      <c r="K2574" s="4">
        <f>Table3[[#This Row],[Sales]]-Table3[[#This Row],[Cost]]</f>
        <v>9726.5299999999988</v>
      </c>
      <c r="L2574" s="6">
        <f>Table3[[#This Row],[Profit]]/Table3[[#This Row],[Sales]]</f>
        <v>0.194265272490832</v>
      </c>
    </row>
    <row r="2575" spans="1:12" x14ac:dyDescent="0.25">
      <c r="A2575" t="s">
        <v>661</v>
      </c>
      <c r="B2575" s="2">
        <v>45102</v>
      </c>
      <c r="C2575" s="2" t="str">
        <f>TEXT(Table3[[#This Row],[Order Date]],"mmmm")</f>
        <v>June</v>
      </c>
      <c r="D2575" t="s">
        <v>3730</v>
      </c>
      <c r="E2575" t="s">
        <v>3222</v>
      </c>
      <c r="F2575" t="s">
        <v>3226</v>
      </c>
      <c r="G2575" s="4">
        <v>72833.16</v>
      </c>
      <c r="H2575" s="4">
        <v>53942.37</v>
      </c>
      <c r="I2575" s="3" t="s">
        <v>3734</v>
      </c>
      <c r="J2575">
        <v>5</v>
      </c>
      <c r="K2575" s="4">
        <f>Table3[[#This Row],[Sales]]-Table3[[#This Row],[Cost]]</f>
        <v>18890.79</v>
      </c>
      <c r="L2575" s="6">
        <f>Table3[[#This Row],[Profit]]/Table3[[#This Row],[Sales]]</f>
        <v>0.25937073168320585</v>
      </c>
    </row>
    <row r="2576" spans="1:12" x14ac:dyDescent="0.25">
      <c r="A2576" t="s">
        <v>2324</v>
      </c>
      <c r="B2576" s="2">
        <v>45005</v>
      </c>
      <c r="C2576" s="2" t="str">
        <f>TEXT(Table3[[#This Row],[Order Date]],"mmmm")</f>
        <v>March</v>
      </c>
      <c r="D2576" t="s">
        <v>3216</v>
      </c>
      <c r="E2576" t="s">
        <v>3222</v>
      </c>
      <c r="F2576" t="s">
        <v>3226</v>
      </c>
      <c r="G2576" s="4">
        <v>50293.48</v>
      </c>
      <c r="H2576" s="4">
        <v>32214.86</v>
      </c>
      <c r="I2576" s="3" t="s">
        <v>3734</v>
      </c>
      <c r="J2576">
        <v>3</v>
      </c>
      <c r="K2576" s="4">
        <f>Table3[[#This Row],[Sales]]-Table3[[#This Row],[Cost]]</f>
        <v>18078.620000000003</v>
      </c>
      <c r="L2576" s="6">
        <f>Table3[[#This Row],[Profit]]/Table3[[#This Row],[Sales]]</f>
        <v>0.35946249891636056</v>
      </c>
    </row>
    <row r="2577" spans="1:12" x14ac:dyDescent="0.25">
      <c r="A2577" t="s">
        <v>2325</v>
      </c>
      <c r="B2577" s="2">
        <v>44941</v>
      </c>
      <c r="C2577" s="2" t="str">
        <f>TEXT(Table3[[#This Row],[Order Date]],"mmmm")</f>
        <v>January</v>
      </c>
      <c r="D2577" t="s">
        <v>3730</v>
      </c>
      <c r="E2577" t="s">
        <v>3225</v>
      </c>
      <c r="F2577" t="s">
        <v>3226</v>
      </c>
      <c r="G2577" s="4">
        <v>82247.210000000006</v>
      </c>
      <c r="H2577" s="4">
        <v>73696</v>
      </c>
      <c r="I2577" s="3" t="s">
        <v>3734</v>
      </c>
      <c r="J2577">
        <v>5</v>
      </c>
      <c r="K2577" s="4">
        <f>Table3[[#This Row],[Sales]]-Table3[[#This Row],[Cost]]</f>
        <v>8551.2100000000064</v>
      </c>
      <c r="L2577" s="6">
        <f>Table3[[#This Row],[Profit]]/Table3[[#This Row],[Sales]]</f>
        <v>0.10396960577750912</v>
      </c>
    </row>
    <row r="2578" spans="1:12" x14ac:dyDescent="0.25">
      <c r="A2578" t="s">
        <v>3373</v>
      </c>
      <c r="B2578" s="2">
        <v>45005</v>
      </c>
      <c r="C2578" s="2" t="str">
        <f>TEXT(Table3[[#This Row],[Order Date]],"mmmm")</f>
        <v>March</v>
      </c>
      <c r="D2578" t="s">
        <v>3730</v>
      </c>
      <c r="E2578" t="s">
        <v>3222</v>
      </c>
      <c r="F2578" t="s">
        <v>3226</v>
      </c>
      <c r="G2578" s="4">
        <v>50550.49</v>
      </c>
      <c r="H2578" s="4">
        <v>43342.54</v>
      </c>
      <c r="I2578" s="3" t="s">
        <v>3734</v>
      </c>
      <c r="J2578">
        <v>4</v>
      </c>
      <c r="K2578" s="4">
        <f>Table3[[#This Row],[Sales]]-Table3[[#This Row],[Cost]]</f>
        <v>7207.9499999999971</v>
      </c>
      <c r="L2578" s="6">
        <f>Table3[[#This Row],[Profit]]/Table3[[#This Row],[Sales]]</f>
        <v>0.14258912228150503</v>
      </c>
    </row>
    <row r="2579" spans="1:12" x14ac:dyDescent="0.25">
      <c r="A2579" t="s">
        <v>2326</v>
      </c>
      <c r="B2579" s="2">
        <v>45005</v>
      </c>
      <c r="C2579" s="2" t="str">
        <f>TEXT(Table3[[#This Row],[Order Date]],"mmmm")</f>
        <v>March</v>
      </c>
      <c r="D2579" t="s">
        <v>3220</v>
      </c>
      <c r="E2579" t="s">
        <v>3222</v>
      </c>
      <c r="F2579" t="s">
        <v>3226</v>
      </c>
      <c r="G2579" s="4">
        <v>32429.99</v>
      </c>
      <c r="H2579" s="4">
        <v>20859.32</v>
      </c>
      <c r="I2579" s="3" t="s">
        <v>3734</v>
      </c>
      <c r="J2579">
        <v>2</v>
      </c>
      <c r="K2579" s="4">
        <f>Table3[[#This Row],[Sales]]-Table3[[#This Row],[Cost]]</f>
        <v>11570.670000000002</v>
      </c>
      <c r="L2579" s="6">
        <f>Table3[[#This Row],[Profit]]/Table3[[#This Row],[Sales]]</f>
        <v>0.35678919419956656</v>
      </c>
    </row>
    <row r="2580" spans="1:12" x14ac:dyDescent="0.25">
      <c r="A2580" t="s">
        <v>2327</v>
      </c>
      <c r="B2580" s="2" t="s">
        <v>3729</v>
      </c>
      <c r="C2580" s="2" t="str">
        <f>TEXT(Table3[[#This Row],[Order Date]],"mmmm")</f>
        <v>Not Mentioned</v>
      </c>
      <c r="D2580" t="s">
        <v>3216</v>
      </c>
      <c r="E2580" t="s">
        <v>3222</v>
      </c>
      <c r="F2580" t="s">
        <v>3226</v>
      </c>
      <c r="G2580" s="4">
        <v>15435.16</v>
      </c>
      <c r="H2580" s="4">
        <v>10413.09</v>
      </c>
      <c r="I2580" s="3" t="s">
        <v>3734</v>
      </c>
      <c r="J2580">
        <v>1</v>
      </c>
      <c r="K2580" s="4">
        <f>Table3[[#This Row],[Sales]]-Table3[[#This Row],[Cost]]</f>
        <v>5022.07</v>
      </c>
      <c r="L2580" s="6">
        <f>Table3[[#This Row],[Profit]]/Table3[[#This Row],[Sales]]</f>
        <v>0.32536559387787362</v>
      </c>
    </row>
    <row r="2581" spans="1:12" x14ac:dyDescent="0.25">
      <c r="A2581" t="s">
        <v>3618</v>
      </c>
      <c r="B2581" s="2">
        <v>45005</v>
      </c>
      <c r="C2581" s="2" t="str">
        <f>TEXT(Table3[[#This Row],[Order Date]],"mmmm")</f>
        <v>March</v>
      </c>
      <c r="D2581" t="s">
        <v>3730</v>
      </c>
      <c r="E2581" t="s">
        <v>3222</v>
      </c>
      <c r="F2581" t="s">
        <v>3226</v>
      </c>
      <c r="G2581" s="4">
        <v>26644.43</v>
      </c>
      <c r="H2581" s="4">
        <v>20822.13</v>
      </c>
      <c r="I2581" s="3" t="s">
        <v>3734</v>
      </c>
      <c r="J2581">
        <v>2</v>
      </c>
      <c r="K2581" s="4">
        <f>Table3[[#This Row],[Sales]]-Table3[[#This Row],[Cost]]</f>
        <v>5822.2999999999993</v>
      </c>
      <c r="L2581" s="6">
        <f>Table3[[#This Row],[Profit]]/Table3[[#This Row],[Sales]]</f>
        <v>0.21851846708674194</v>
      </c>
    </row>
    <row r="2582" spans="1:12" x14ac:dyDescent="0.25">
      <c r="A2582" t="s">
        <v>2329</v>
      </c>
      <c r="B2582" s="2">
        <v>45102</v>
      </c>
      <c r="C2582" s="2" t="str">
        <f>TEXT(Table3[[#This Row],[Order Date]],"mmmm")</f>
        <v>June</v>
      </c>
      <c r="D2582" t="s">
        <v>3730</v>
      </c>
      <c r="E2582" t="s">
        <v>3224</v>
      </c>
      <c r="F2582" t="s">
        <v>3226</v>
      </c>
      <c r="G2582" s="4">
        <v>147116.34</v>
      </c>
      <c r="H2582" s="4">
        <v>117693.072</v>
      </c>
      <c r="I2582" s="3" t="s">
        <v>3735</v>
      </c>
      <c r="J2582">
        <v>3</v>
      </c>
      <c r="K2582" s="4">
        <f>Table3[[#This Row],[Sales]]-Table3[[#This Row],[Cost]]</f>
        <v>29423.267999999996</v>
      </c>
      <c r="L2582" s="6">
        <f>Table3[[#This Row],[Profit]]/Table3[[#This Row],[Sales]]</f>
        <v>0.19999999999999998</v>
      </c>
    </row>
    <row r="2583" spans="1:12" x14ac:dyDescent="0.25">
      <c r="A2583" t="s">
        <v>2330</v>
      </c>
      <c r="B2583" s="2">
        <v>44972</v>
      </c>
      <c r="C2583" s="2" t="str">
        <f>TEXT(Table3[[#This Row],[Order Date]],"mmmm")</f>
        <v>February</v>
      </c>
      <c r="D2583" t="s">
        <v>3730</v>
      </c>
      <c r="E2583" t="s">
        <v>3223</v>
      </c>
      <c r="F2583" t="s">
        <v>3226</v>
      </c>
      <c r="G2583" s="4">
        <v>44293.04</v>
      </c>
      <c r="H2583" s="4">
        <v>29871.72</v>
      </c>
      <c r="I2583" s="3" t="s">
        <v>3734</v>
      </c>
      <c r="J2583">
        <v>4</v>
      </c>
      <c r="K2583" s="4">
        <f>Table3[[#This Row],[Sales]]-Table3[[#This Row],[Cost]]</f>
        <v>14421.32</v>
      </c>
      <c r="L2583" s="6">
        <f>Table3[[#This Row],[Profit]]/Table3[[#This Row],[Sales]]</f>
        <v>0.3255888509797476</v>
      </c>
    </row>
    <row r="2584" spans="1:12" x14ac:dyDescent="0.25">
      <c r="A2584" t="s">
        <v>2331</v>
      </c>
      <c r="B2584" s="2">
        <v>45102</v>
      </c>
      <c r="C2584" s="2" t="str">
        <f>TEXT(Table3[[#This Row],[Order Date]],"mmmm")</f>
        <v>June</v>
      </c>
      <c r="D2584" t="s">
        <v>3731</v>
      </c>
      <c r="E2584" t="s">
        <v>3225</v>
      </c>
      <c r="F2584" t="s">
        <v>3226</v>
      </c>
      <c r="G2584" s="4">
        <v>68665.36</v>
      </c>
      <c r="H2584" s="4">
        <v>57938.77</v>
      </c>
      <c r="I2584" s="3" t="s">
        <v>3734</v>
      </c>
      <c r="J2584">
        <v>4</v>
      </c>
      <c r="K2584" s="4">
        <f>Table3[[#This Row],[Sales]]-Table3[[#This Row],[Cost]]</f>
        <v>10726.590000000004</v>
      </c>
      <c r="L2584" s="6">
        <f>Table3[[#This Row],[Profit]]/Table3[[#This Row],[Sales]]</f>
        <v>0.15621544837163898</v>
      </c>
    </row>
    <row r="2585" spans="1:12" x14ac:dyDescent="0.25">
      <c r="A2585" t="s">
        <v>2332</v>
      </c>
      <c r="B2585" s="2">
        <v>45021</v>
      </c>
      <c r="C2585" s="2" t="str">
        <f>TEXT(Table3[[#This Row],[Order Date]],"mmmm")</f>
        <v>April</v>
      </c>
      <c r="D2585" t="s">
        <v>3730</v>
      </c>
      <c r="E2585" t="s">
        <v>3223</v>
      </c>
      <c r="F2585" t="s">
        <v>3226</v>
      </c>
      <c r="G2585" s="4">
        <v>11014.23</v>
      </c>
      <c r="H2585" s="4">
        <v>6264.04</v>
      </c>
      <c r="I2585" s="3" t="s">
        <v>3734</v>
      </c>
      <c r="J2585">
        <v>1</v>
      </c>
      <c r="K2585" s="4">
        <f>Table3[[#This Row],[Sales]]-Table3[[#This Row],[Cost]]</f>
        <v>4750.1899999999996</v>
      </c>
      <c r="L2585" s="6">
        <f>Table3[[#This Row],[Profit]]/Table3[[#This Row],[Sales]]</f>
        <v>0.43127753823916876</v>
      </c>
    </row>
    <row r="2586" spans="1:12" x14ac:dyDescent="0.25">
      <c r="A2586" t="s">
        <v>2333</v>
      </c>
      <c r="B2586" s="2">
        <v>45102</v>
      </c>
      <c r="C2586" s="2" t="str">
        <f>TEXT(Table3[[#This Row],[Order Date]],"mmmm")</f>
        <v>June</v>
      </c>
      <c r="D2586" t="s">
        <v>3730</v>
      </c>
      <c r="E2586" t="s">
        <v>3223</v>
      </c>
      <c r="F2586" t="s">
        <v>3226</v>
      </c>
      <c r="G2586" s="4">
        <v>51571.93</v>
      </c>
      <c r="H2586" s="4">
        <v>31850.29</v>
      </c>
      <c r="I2586" s="3" t="s">
        <v>3734</v>
      </c>
      <c r="J2586">
        <v>5</v>
      </c>
      <c r="K2586" s="4">
        <f>Table3[[#This Row],[Sales]]-Table3[[#This Row],[Cost]]</f>
        <v>19721.64</v>
      </c>
      <c r="L2586" s="6">
        <f>Table3[[#This Row],[Profit]]/Table3[[#This Row],[Sales]]</f>
        <v>0.38241035384946809</v>
      </c>
    </row>
    <row r="2587" spans="1:12" x14ac:dyDescent="0.25">
      <c r="A2587" t="s">
        <v>3498</v>
      </c>
      <c r="B2587" s="2">
        <v>45005</v>
      </c>
      <c r="C2587" s="2" t="str">
        <f>TEXT(Table3[[#This Row],[Order Date]],"mmmm")</f>
        <v>March</v>
      </c>
      <c r="D2587" t="s">
        <v>3730</v>
      </c>
      <c r="E2587" t="s">
        <v>3225</v>
      </c>
      <c r="F2587" t="s">
        <v>3226</v>
      </c>
      <c r="G2587" s="4">
        <v>19123.62</v>
      </c>
      <c r="H2587" s="4">
        <v>12978.92</v>
      </c>
      <c r="I2587" s="3" t="s">
        <v>3734</v>
      </c>
      <c r="J2587" t="s">
        <v>3732</v>
      </c>
      <c r="K2587" s="4">
        <f>Table3[[#This Row],[Sales]]-Table3[[#This Row],[Cost]]</f>
        <v>6144.6999999999989</v>
      </c>
      <c r="L2587" s="6">
        <f>Table3[[#This Row],[Profit]]/Table3[[#This Row],[Sales]]</f>
        <v>0.32131468832783749</v>
      </c>
    </row>
    <row r="2588" spans="1:12" x14ac:dyDescent="0.25">
      <c r="A2588" t="s">
        <v>2334</v>
      </c>
      <c r="B2588" s="2">
        <v>45102</v>
      </c>
      <c r="C2588" s="2" t="str">
        <f>TEXT(Table3[[#This Row],[Order Date]],"mmmm")</f>
        <v>June</v>
      </c>
      <c r="D2588" t="s">
        <v>3730</v>
      </c>
      <c r="E2588" t="s">
        <v>3225</v>
      </c>
      <c r="F2588" t="s">
        <v>3226</v>
      </c>
      <c r="G2588" s="4">
        <v>20131.28</v>
      </c>
      <c r="H2588" s="4">
        <v>14235.34</v>
      </c>
      <c r="I2588" s="3" t="s">
        <v>3734</v>
      </c>
      <c r="J2588">
        <v>1</v>
      </c>
      <c r="K2588" s="4">
        <f>Table3[[#This Row],[Sales]]-Table3[[#This Row],[Cost]]</f>
        <v>5895.9399999999987</v>
      </c>
      <c r="L2588" s="6">
        <f>Table3[[#This Row],[Profit]]/Table3[[#This Row],[Sales]]</f>
        <v>0.29287457131389555</v>
      </c>
    </row>
    <row r="2589" spans="1:12" x14ac:dyDescent="0.25">
      <c r="A2589" t="s">
        <v>2335</v>
      </c>
      <c r="B2589" s="2">
        <v>45021</v>
      </c>
      <c r="C2589" s="2" t="str">
        <f>TEXT(Table3[[#This Row],[Order Date]],"mmmm")</f>
        <v>April</v>
      </c>
      <c r="D2589" t="s">
        <v>3731</v>
      </c>
      <c r="E2589" t="s">
        <v>3225</v>
      </c>
      <c r="F2589" t="s">
        <v>3226</v>
      </c>
      <c r="G2589" s="4">
        <v>103728.35</v>
      </c>
      <c r="H2589" s="4">
        <v>72452.639999999999</v>
      </c>
      <c r="I2589" s="3" t="s">
        <v>3734</v>
      </c>
      <c r="J2589">
        <v>5</v>
      </c>
      <c r="K2589" s="4">
        <f>Table3[[#This Row],[Sales]]-Table3[[#This Row],[Cost]]</f>
        <v>31275.710000000006</v>
      </c>
      <c r="L2589" s="6">
        <f>Table3[[#This Row],[Profit]]/Table3[[#This Row],[Sales]]</f>
        <v>0.3015155451715949</v>
      </c>
    </row>
    <row r="2590" spans="1:12" x14ac:dyDescent="0.25">
      <c r="A2590" t="s">
        <v>1371</v>
      </c>
      <c r="B2590" s="2">
        <v>45102</v>
      </c>
      <c r="C2590" s="2" t="str">
        <f>TEXT(Table3[[#This Row],[Order Date]],"mmmm")</f>
        <v>June</v>
      </c>
      <c r="D2590" t="s">
        <v>3220</v>
      </c>
      <c r="E2590" t="s">
        <v>3222</v>
      </c>
      <c r="F2590" t="s">
        <v>3226</v>
      </c>
      <c r="G2590" s="4">
        <v>83931.71</v>
      </c>
      <c r="H2590" s="4">
        <v>45193.41</v>
      </c>
      <c r="I2590" s="3" t="s">
        <v>3734</v>
      </c>
      <c r="J2590">
        <v>5</v>
      </c>
      <c r="K2590" s="4">
        <f>Table3[[#This Row],[Sales]]-Table3[[#This Row],[Cost]]</f>
        <v>38738.300000000003</v>
      </c>
      <c r="L2590" s="6">
        <f>Table3[[#This Row],[Profit]]/Table3[[#This Row],[Sales]]</f>
        <v>0.46154546356794113</v>
      </c>
    </row>
    <row r="2591" spans="1:12" x14ac:dyDescent="0.25">
      <c r="A2591" t="s">
        <v>2336</v>
      </c>
      <c r="B2591" s="2">
        <v>44941</v>
      </c>
      <c r="C2591" s="2" t="str">
        <f>TEXT(Table3[[#This Row],[Order Date]],"mmmm")</f>
        <v>January</v>
      </c>
      <c r="D2591" t="s">
        <v>3216</v>
      </c>
      <c r="E2591" t="s">
        <v>3225</v>
      </c>
      <c r="F2591" t="s">
        <v>3226</v>
      </c>
      <c r="G2591" s="4">
        <v>80664.78</v>
      </c>
      <c r="H2591" s="4">
        <v>59032.53</v>
      </c>
      <c r="I2591" s="3" t="s">
        <v>3734</v>
      </c>
      <c r="J2591">
        <v>4</v>
      </c>
      <c r="K2591" s="4">
        <f>Table3[[#This Row],[Sales]]-Table3[[#This Row],[Cost]]</f>
        <v>21632.25</v>
      </c>
      <c r="L2591" s="6">
        <f>Table3[[#This Row],[Profit]]/Table3[[#This Row],[Sales]]</f>
        <v>0.26817466061396311</v>
      </c>
    </row>
    <row r="2592" spans="1:12" x14ac:dyDescent="0.25">
      <c r="A2592" t="s">
        <v>2337</v>
      </c>
      <c r="B2592" s="2">
        <v>44941</v>
      </c>
      <c r="C2592" s="2" t="str">
        <f>TEXT(Table3[[#This Row],[Order Date]],"mmmm")</f>
        <v>January</v>
      </c>
      <c r="D2592" t="s">
        <v>3216</v>
      </c>
      <c r="E2592" t="s">
        <v>3223</v>
      </c>
      <c r="F2592" t="s">
        <v>3226</v>
      </c>
      <c r="G2592" s="4">
        <v>41800.81</v>
      </c>
      <c r="H2592" s="4">
        <v>29619.360000000001</v>
      </c>
      <c r="I2592" s="3" t="s">
        <v>3734</v>
      </c>
      <c r="J2592">
        <v>4</v>
      </c>
      <c r="K2592" s="4">
        <f>Table3[[#This Row],[Sales]]-Table3[[#This Row],[Cost]]</f>
        <v>12181.449999999997</v>
      </c>
      <c r="L2592" s="6">
        <f>Table3[[#This Row],[Profit]]/Table3[[#This Row],[Sales]]</f>
        <v>0.29141660173570794</v>
      </c>
    </row>
    <row r="2593" spans="1:12" x14ac:dyDescent="0.25">
      <c r="A2593" t="s">
        <v>2338</v>
      </c>
      <c r="B2593" s="2">
        <v>44972</v>
      </c>
      <c r="C2593" s="2" t="str">
        <f>TEXT(Table3[[#This Row],[Order Date]],"mmmm")</f>
        <v>February</v>
      </c>
      <c r="D2593" t="s">
        <v>3216</v>
      </c>
      <c r="E2593" t="s">
        <v>3222</v>
      </c>
      <c r="F2593" t="s">
        <v>3226</v>
      </c>
      <c r="G2593" s="4">
        <v>48452.160000000003</v>
      </c>
      <c r="H2593" s="4">
        <v>26402.75</v>
      </c>
      <c r="I2593" s="3" t="s">
        <v>3734</v>
      </c>
      <c r="J2593">
        <v>3</v>
      </c>
      <c r="K2593" s="4">
        <f>Table3[[#This Row],[Sales]]-Table3[[#This Row],[Cost]]</f>
        <v>22049.410000000003</v>
      </c>
      <c r="L2593" s="6">
        <f>Table3[[#This Row],[Profit]]/Table3[[#This Row],[Sales]]</f>
        <v>0.455075893417342</v>
      </c>
    </row>
    <row r="2594" spans="1:12" x14ac:dyDescent="0.25">
      <c r="A2594" t="s">
        <v>2339</v>
      </c>
      <c r="B2594" s="2" t="s">
        <v>3729</v>
      </c>
      <c r="C2594" s="2" t="str">
        <f>TEXT(Table3[[#This Row],[Order Date]],"mmmm")</f>
        <v>Not Mentioned</v>
      </c>
      <c r="D2594" t="s">
        <v>3731</v>
      </c>
      <c r="E2594" t="s">
        <v>3222</v>
      </c>
      <c r="F2594" t="s">
        <v>3226</v>
      </c>
      <c r="G2594" s="4">
        <v>81079.600000000006</v>
      </c>
      <c r="H2594" s="4">
        <v>47319.81</v>
      </c>
      <c r="I2594" s="3" t="s">
        <v>3734</v>
      </c>
      <c r="J2594">
        <v>5</v>
      </c>
      <c r="K2594" s="4">
        <f>Table3[[#This Row],[Sales]]-Table3[[#This Row],[Cost]]</f>
        <v>33759.790000000008</v>
      </c>
      <c r="L2594" s="6">
        <f>Table3[[#This Row],[Profit]]/Table3[[#This Row],[Sales]]</f>
        <v>0.41637834917784505</v>
      </c>
    </row>
    <row r="2595" spans="1:12" x14ac:dyDescent="0.25">
      <c r="A2595" t="s">
        <v>2340</v>
      </c>
      <c r="B2595" s="2">
        <v>45005</v>
      </c>
      <c r="C2595" s="2" t="str">
        <f>TEXT(Table3[[#This Row],[Order Date]],"mmmm")</f>
        <v>March</v>
      </c>
      <c r="D2595" t="s">
        <v>3730</v>
      </c>
      <c r="E2595" t="s">
        <v>3222</v>
      </c>
      <c r="F2595" t="s">
        <v>3226</v>
      </c>
      <c r="G2595" s="4">
        <v>58760.4</v>
      </c>
      <c r="H2595" s="4">
        <v>35870.720000000001</v>
      </c>
      <c r="I2595" s="3" t="s">
        <v>3734</v>
      </c>
      <c r="J2595">
        <v>4</v>
      </c>
      <c r="K2595" s="4">
        <f>Table3[[#This Row],[Sales]]-Table3[[#This Row],[Cost]]</f>
        <v>22889.68</v>
      </c>
      <c r="L2595" s="6">
        <f>Table3[[#This Row],[Profit]]/Table3[[#This Row],[Sales]]</f>
        <v>0.38954261713671112</v>
      </c>
    </row>
    <row r="2596" spans="1:12" x14ac:dyDescent="0.25">
      <c r="A2596" t="s">
        <v>2341</v>
      </c>
      <c r="B2596" s="2">
        <v>44972</v>
      </c>
      <c r="C2596" s="2" t="str">
        <f>TEXT(Table3[[#This Row],[Order Date]],"mmmm")</f>
        <v>February</v>
      </c>
      <c r="D2596" t="s">
        <v>3731</v>
      </c>
      <c r="E2596" t="s">
        <v>3223</v>
      </c>
      <c r="F2596" t="s">
        <v>3226</v>
      </c>
      <c r="G2596" s="4">
        <v>54717.08</v>
      </c>
      <c r="H2596" s="4">
        <v>43773.664000000004</v>
      </c>
      <c r="I2596" s="3" t="s">
        <v>3735</v>
      </c>
      <c r="J2596">
        <v>5</v>
      </c>
      <c r="K2596" s="4">
        <f>Table3[[#This Row],[Sales]]-Table3[[#This Row],[Cost]]</f>
        <v>10943.415999999997</v>
      </c>
      <c r="L2596" s="6">
        <f>Table3[[#This Row],[Profit]]/Table3[[#This Row],[Sales]]</f>
        <v>0.19999999999999996</v>
      </c>
    </row>
    <row r="2597" spans="1:12" x14ac:dyDescent="0.25">
      <c r="A2597" t="s">
        <v>2342</v>
      </c>
      <c r="B2597" s="2">
        <v>45005</v>
      </c>
      <c r="C2597" s="2" t="str">
        <f>TEXT(Table3[[#This Row],[Order Date]],"mmmm")</f>
        <v>March</v>
      </c>
      <c r="D2597" t="s">
        <v>3220</v>
      </c>
      <c r="E2597" t="s">
        <v>3223</v>
      </c>
      <c r="F2597" t="s">
        <v>3226</v>
      </c>
      <c r="G2597" s="4">
        <v>8430.35</v>
      </c>
      <c r="H2597" s="4">
        <v>7674.76</v>
      </c>
      <c r="I2597" s="3" t="s">
        <v>3734</v>
      </c>
      <c r="J2597">
        <v>1</v>
      </c>
      <c r="K2597" s="4">
        <f>Table3[[#This Row],[Sales]]-Table3[[#This Row],[Cost]]</f>
        <v>755.59000000000015</v>
      </c>
      <c r="L2597" s="6">
        <f>Table3[[#This Row],[Profit]]/Table3[[#This Row],[Sales]]</f>
        <v>8.9627358294732729E-2</v>
      </c>
    </row>
    <row r="2598" spans="1:12" x14ac:dyDescent="0.25">
      <c r="A2598" t="s">
        <v>3619</v>
      </c>
      <c r="B2598" s="2">
        <v>45102</v>
      </c>
      <c r="C2598" s="2" t="str">
        <f>TEXT(Table3[[#This Row],[Order Date]],"mmmm")</f>
        <v>June</v>
      </c>
      <c r="D2598" t="s">
        <v>3731</v>
      </c>
      <c r="E2598" t="s">
        <v>3222</v>
      </c>
      <c r="F2598" t="s">
        <v>3226</v>
      </c>
      <c r="G2598" s="4">
        <v>61029.48</v>
      </c>
      <c r="H2598" s="4">
        <v>38729.870000000003</v>
      </c>
      <c r="I2598" s="3" t="s">
        <v>3734</v>
      </c>
      <c r="J2598">
        <v>4</v>
      </c>
      <c r="K2598" s="4">
        <f>Table3[[#This Row],[Sales]]-Table3[[#This Row],[Cost]]</f>
        <v>22299.61</v>
      </c>
      <c r="L2598" s="6">
        <f>Table3[[#This Row],[Profit]]/Table3[[#This Row],[Sales]]</f>
        <v>0.36539079146668135</v>
      </c>
    </row>
    <row r="2599" spans="1:12" x14ac:dyDescent="0.25">
      <c r="A2599" t="s">
        <v>2344</v>
      </c>
      <c r="B2599" s="2">
        <v>44972</v>
      </c>
      <c r="C2599" s="2" t="str">
        <f>TEXT(Table3[[#This Row],[Order Date]],"mmmm")</f>
        <v>February</v>
      </c>
      <c r="D2599" t="s">
        <v>3220</v>
      </c>
      <c r="E2599" t="s">
        <v>3224</v>
      </c>
      <c r="F2599" t="s">
        <v>3226</v>
      </c>
      <c r="G2599" s="4">
        <v>130927.92</v>
      </c>
      <c r="H2599" s="4">
        <v>85442.240000000005</v>
      </c>
      <c r="I2599" s="3" t="s">
        <v>3734</v>
      </c>
      <c r="J2599">
        <v>2</v>
      </c>
      <c r="K2599" s="4">
        <f>Table3[[#This Row],[Sales]]-Table3[[#This Row],[Cost]]</f>
        <v>45485.679999999993</v>
      </c>
      <c r="L2599" s="6">
        <f>Table3[[#This Row],[Profit]]/Table3[[#This Row],[Sales]]</f>
        <v>0.34741008640479426</v>
      </c>
    </row>
    <row r="2600" spans="1:12" x14ac:dyDescent="0.25">
      <c r="A2600" t="s">
        <v>2345</v>
      </c>
      <c r="B2600" s="2" t="s">
        <v>3729</v>
      </c>
      <c r="C2600" s="2" t="str">
        <f>TEXT(Table3[[#This Row],[Order Date]],"mmmm")</f>
        <v>Not Mentioned</v>
      </c>
      <c r="D2600" t="s">
        <v>3730</v>
      </c>
      <c r="E2600" t="s">
        <v>3224</v>
      </c>
      <c r="F2600" t="s">
        <v>3226</v>
      </c>
      <c r="G2600" s="4">
        <v>230598.76</v>
      </c>
      <c r="H2600" s="4">
        <v>163832.17000000001</v>
      </c>
      <c r="I2600" s="3" t="s">
        <v>3734</v>
      </c>
      <c r="J2600">
        <v>4</v>
      </c>
      <c r="K2600" s="4">
        <f>Table3[[#This Row],[Sales]]-Table3[[#This Row],[Cost]]</f>
        <v>66766.59</v>
      </c>
      <c r="L2600" s="6">
        <f>Table3[[#This Row],[Profit]]/Table3[[#This Row],[Sales]]</f>
        <v>0.28953577200501857</v>
      </c>
    </row>
    <row r="2601" spans="1:12" x14ac:dyDescent="0.25">
      <c r="A2601" t="s">
        <v>3387</v>
      </c>
      <c r="B2601" s="2">
        <v>45005</v>
      </c>
      <c r="C2601" s="2" t="str">
        <f>TEXT(Table3[[#This Row],[Order Date]],"mmmm")</f>
        <v>March</v>
      </c>
      <c r="D2601" t="s">
        <v>3220</v>
      </c>
      <c r="E2601" t="s">
        <v>3223</v>
      </c>
      <c r="F2601" t="s">
        <v>3226</v>
      </c>
      <c r="G2601" s="4">
        <v>11168.79</v>
      </c>
      <c r="H2601" s="4">
        <v>6734.55</v>
      </c>
      <c r="I2601" s="3" t="s">
        <v>3734</v>
      </c>
      <c r="J2601">
        <v>1</v>
      </c>
      <c r="K2601" s="4">
        <f>Table3[[#This Row],[Sales]]-Table3[[#This Row],[Cost]]</f>
        <v>4434.2400000000007</v>
      </c>
      <c r="L2601" s="6">
        <f>Table3[[#This Row],[Profit]]/Table3[[#This Row],[Sales]]</f>
        <v>0.39702062622719203</v>
      </c>
    </row>
    <row r="2602" spans="1:12" x14ac:dyDescent="0.25">
      <c r="A2602" t="s">
        <v>2346</v>
      </c>
      <c r="B2602" s="2">
        <v>44941</v>
      </c>
      <c r="C2602" s="2" t="str">
        <f>TEXT(Table3[[#This Row],[Order Date]],"mmmm")</f>
        <v>January</v>
      </c>
      <c r="D2602" t="s">
        <v>3730</v>
      </c>
      <c r="E2602" t="s">
        <v>3222</v>
      </c>
      <c r="F2602" t="s">
        <v>3226</v>
      </c>
      <c r="G2602" s="4">
        <v>77985.289999999994</v>
      </c>
      <c r="H2602" s="4">
        <v>51260.68</v>
      </c>
      <c r="I2602" s="3" t="s">
        <v>3734</v>
      </c>
      <c r="J2602">
        <v>5</v>
      </c>
      <c r="K2602" s="4">
        <f>Table3[[#This Row],[Sales]]-Table3[[#This Row],[Cost]]</f>
        <v>26724.609999999993</v>
      </c>
      <c r="L2602" s="6">
        <f>Table3[[#This Row],[Profit]]/Table3[[#This Row],[Sales]]</f>
        <v>0.34268783253867485</v>
      </c>
    </row>
    <row r="2603" spans="1:12" x14ac:dyDescent="0.25">
      <c r="A2603" t="s">
        <v>3620</v>
      </c>
      <c r="B2603" s="2">
        <v>44972</v>
      </c>
      <c r="C2603" s="2" t="str">
        <f>TEXT(Table3[[#This Row],[Order Date]],"mmmm")</f>
        <v>February</v>
      </c>
      <c r="D2603" t="s">
        <v>3730</v>
      </c>
      <c r="E2603" t="s">
        <v>3225</v>
      </c>
      <c r="F2603" t="s">
        <v>3226</v>
      </c>
      <c r="G2603" s="4">
        <v>54005.21</v>
      </c>
      <c r="H2603" s="4">
        <v>36063.56</v>
      </c>
      <c r="I2603" s="3" t="s">
        <v>3734</v>
      </c>
      <c r="J2603">
        <v>3</v>
      </c>
      <c r="K2603" s="4">
        <f>Table3[[#This Row],[Sales]]-Table3[[#This Row],[Cost]]</f>
        <v>17941.650000000001</v>
      </c>
      <c r="L2603" s="6">
        <f>Table3[[#This Row],[Profit]]/Table3[[#This Row],[Sales]]</f>
        <v>0.33222072463008667</v>
      </c>
    </row>
    <row r="2604" spans="1:12" x14ac:dyDescent="0.25">
      <c r="A2604" t="s">
        <v>1015</v>
      </c>
      <c r="B2604" s="2">
        <v>45021</v>
      </c>
      <c r="C2604" s="2" t="str">
        <f>TEXT(Table3[[#This Row],[Order Date]],"mmmm")</f>
        <v>April</v>
      </c>
      <c r="D2604" t="s">
        <v>3730</v>
      </c>
      <c r="E2604" t="s">
        <v>3223</v>
      </c>
      <c r="F2604" t="s">
        <v>3226</v>
      </c>
      <c r="G2604" s="4">
        <v>8889.77</v>
      </c>
      <c r="H2604" s="4">
        <v>6227.93</v>
      </c>
      <c r="I2604" s="3" t="s">
        <v>3734</v>
      </c>
      <c r="J2604">
        <v>1</v>
      </c>
      <c r="K2604" s="4">
        <f>Table3[[#This Row],[Sales]]-Table3[[#This Row],[Cost]]</f>
        <v>2661.84</v>
      </c>
      <c r="L2604" s="6">
        <f>Table3[[#This Row],[Profit]]/Table3[[#This Row],[Sales]]</f>
        <v>0.29942731926697769</v>
      </c>
    </row>
    <row r="2605" spans="1:12" x14ac:dyDescent="0.25">
      <c r="A2605" t="s">
        <v>3389</v>
      </c>
      <c r="B2605" s="2">
        <v>44972</v>
      </c>
      <c r="C2605" s="2" t="str">
        <f>TEXT(Table3[[#This Row],[Order Date]],"mmmm")</f>
        <v>February</v>
      </c>
      <c r="D2605" t="s">
        <v>3730</v>
      </c>
      <c r="E2605" t="s">
        <v>3224</v>
      </c>
      <c r="F2605" t="s">
        <v>3226</v>
      </c>
      <c r="G2605" s="4">
        <v>106939.22</v>
      </c>
      <c r="H2605" s="4">
        <v>90984.13</v>
      </c>
      <c r="I2605" s="3" t="s">
        <v>3734</v>
      </c>
      <c r="J2605">
        <v>2</v>
      </c>
      <c r="K2605" s="4">
        <f>Table3[[#This Row],[Sales]]-Table3[[#This Row],[Cost]]</f>
        <v>15955.089999999997</v>
      </c>
      <c r="L2605" s="6">
        <f>Table3[[#This Row],[Profit]]/Table3[[#This Row],[Sales]]</f>
        <v>0.14919774054832266</v>
      </c>
    </row>
    <row r="2606" spans="1:12" x14ac:dyDescent="0.25">
      <c r="A2606" t="s">
        <v>2348</v>
      </c>
      <c r="B2606" s="2" t="s">
        <v>3729</v>
      </c>
      <c r="C2606" s="2" t="str">
        <f>TEXT(Table3[[#This Row],[Order Date]],"mmmm")</f>
        <v>Not Mentioned</v>
      </c>
      <c r="D2606" t="s">
        <v>3220</v>
      </c>
      <c r="E2606" t="s">
        <v>3223</v>
      </c>
      <c r="F2606" t="s">
        <v>3226</v>
      </c>
      <c r="G2606" s="4">
        <v>10380.39</v>
      </c>
      <c r="H2606" s="4">
        <v>6432.22</v>
      </c>
      <c r="I2606" s="3" t="s">
        <v>3734</v>
      </c>
      <c r="J2606">
        <v>1</v>
      </c>
      <c r="K2606" s="4">
        <f>Table3[[#This Row],[Sales]]-Table3[[#This Row],[Cost]]</f>
        <v>3948.1699999999992</v>
      </c>
      <c r="L2606" s="6">
        <f>Table3[[#This Row],[Profit]]/Table3[[#This Row],[Sales]]</f>
        <v>0.38034890789267062</v>
      </c>
    </row>
    <row r="2607" spans="1:12" x14ac:dyDescent="0.25">
      <c r="A2607" t="s">
        <v>2349</v>
      </c>
      <c r="B2607" s="2">
        <v>44972</v>
      </c>
      <c r="C2607" s="2" t="str">
        <f>TEXT(Table3[[#This Row],[Order Date]],"mmmm")</f>
        <v>February</v>
      </c>
      <c r="D2607" t="s">
        <v>3730</v>
      </c>
      <c r="E2607" t="s">
        <v>3225</v>
      </c>
      <c r="F2607" t="s">
        <v>3226</v>
      </c>
      <c r="G2607" s="4">
        <v>41543.129999999997</v>
      </c>
      <c r="H2607" s="4">
        <v>29873.06</v>
      </c>
      <c r="I2607" s="3" t="s">
        <v>3734</v>
      </c>
      <c r="J2607">
        <v>2</v>
      </c>
      <c r="K2607" s="4">
        <f>Table3[[#This Row],[Sales]]-Table3[[#This Row],[Cost]]</f>
        <v>11670.069999999996</v>
      </c>
      <c r="L2607" s="6">
        <f>Table3[[#This Row],[Profit]]/Table3[[#This Row],[Sales]]</f>
        <v>0.28091455795458831</v>
      </c>
    </row>
    <row r="2608" spans="1:12" x14ac:dyDescent="0.25">
      <c r="A2608" t="s">
        <v>2002</v>
      </c>
      <c r="B2608" s="2">
        <v>45021</v>
      </c>
      <c r="C2608" s="2" t="str">
        <f>TEXT(Table3[[#This Row],[Order Date]],"mmmm")</f>
        <v>April</v>
      </c>
      <c r="D2608" t="s">
        <v>3730</v>
      </c>
      <c r="E2608" t="s">
        <v>3222</v>
      </c>
      <c r="F2608" t="s">
        <v>3226</v>
      </c>
      <c r="G2608" s="4">
        <v>63542.44</v>
      </c>
      <c r="H2608" s="4">
        <v>37822.57</v>
      </c>
      <c r="I2608" s="3" t="s">
        <v>3734</v>
      </c>
      <c r="J2608">
        <v>4</v>
      </c>
      <c r="K2608" s="4">
        <f>Table3[[#This Row],[Sales]]-Table3[[#This Row],[Cost]]</f>
        <v>25719.870000000003</v>
      </c>
      <c r="L2608" s="6">
        <f>Table3[[#This Row],[Profit]]/Table3[[#This Row],[Sales]]</f>
        <v>0.40476679837916207</v>
      </c>
    </row>
    <row r="2609" spans="1:12" x14ac:dyDescent="0.25">
      <c r="A2609" t="s">
        <v>3616</v>
      </c>
      <c r="B2609" s="2" t="s">
        <v>3729</v>
      </c>
      <c r="C2609" s="2" t="str">
        <f>TEXT(Table3[[#This Row],[Order Date]],"mmmm")</f>
        <v>Not Mentioned</v>
      </c>
      <c r="D2609" t="s">
        <v>3220</v>
      </c>
      <c r="E2609" t="s">
        <v>3223</v>
      </c>
      <c r="F2609" t="s">
        <v>3226</v>
      </c>
      <c r="G2609" s="4">
        <v>27401.31</v>
      </c>
      <c r="H2609" s="4">
        <v>21364.79</v>
      </c>
      <c r="I2609" s="3" t="s">
        <v>3734</v>
      </c>
      <c r="J2609">
        <v>3</v>
      </c>
      <c r="K2609" s="4">
        <f>Table3[[#This Row],[Sales]]-Table3[[#This Row],[Cost]]</f>
        <v>6036.52</v>
      </c>
      <c r="L2609" s="6">
        <f>Table3[[#This Row],[Profit]]/Table3[[#This Row],[Sales]]</f>
        <v>0.22030041629396552</v>
      </c>
    </row>
    <row r="2610" spans="1:12" x14ac:dyDescent="0.25">
      <c r="A2610" t="s">
        <v>2350</v>
      </c>
      <c r="B2610" s="2">
        <v>44972</v>
      </c>
      <c r="C2610" s="2" t="str">
        <f>TEXT(Table3[[#This Row],[Order Date]],"mmmm")</f>
        <v>February</v>
      </c>
      <c r="D2610" t="s">
        <v>3730</v>
      </c>
      <c r="E2610" t="s">
        <v>3224</v>
      </c>
      <c r="F2610" t="s">
        <v>3226</v>
      </c>
      <c r="G2610" s="4">
        <v>191186.54</v>
      </c>
      <c r="H2610" s="4">
        <v>152949.23200000002</v>
      </c>
      <c r="I2610" s="3" t="s">
        <v>3735</v>
      </c>
      <c r="J2610">
        <v>3</v>
      </c>
      <c r="K2610" s="4">
        <f>Table3[[#This Row],[Sales]]-Table3[[#This Row],[Cost]]</f>
        <v>38237.30799999999</v>
      </c>
      <c r="L2610" s="6">
        <f>Table3[[#This Row],[Profit]]/Table3[[#This Row],[Sales]]</f>
        <v>0.19999999999999993</v>
      </c>
    </row>
    <row r="2611" spans="1:12" x14ac:dyDescent="0.25">
      <c r="A2611" t="s">
        <v>2351</v>
      </c>
      <c r="B2611" s="2">
        <v>44972</v>
      </c>
      <c r="C2611" s="2" t="str">
        <f>TEXT(Table3[[#This Row],[Order Date]],"mmmm")</f>
        <v>February</v>
      </c>
      <c r="D2611" t="s">
        <v>3220</v>
      </c>
      <c r="E2611" t="s">
        <v>3222</v>
      </c>
      <c r="F2611" t="s">
        <v>3226</v>
      </c>
      <c r="G2611" s="4">
        <v>42021.11</v>
      </c>
      <c r="H2611" s="4">
        <v>33616.887999999999</v>
      </c>
      <c r="I2611" s="3" t="s">
        <v>3735</v>
      </c>
      <c r="J2611">
        <v>3</v>
      </c>
      <c r="K2611" s="4">
        <f>Table3[[#This Row],[Sales]]-Table3[[#This Row],[Cost]]</f>
        <v>8404.2220000000016</v>
      </c>
      <c r="L2611" s="6">
        <f>Table3[[#This Row],[Profit]]/Table3[[#This Row],[Sales]]</f>
        <v>0.20000000000000004</v>
      </c>
    </row>
    <row r="2612" spans="1:12" x14ac:dyDescent="0.25">
      <c r="A2612" t="s">
        <v>2352</v>
      </c>
      <c r="B2612" s="2">
        <v>45102</v>
      </c>
      <c r="C2612" s="2" t="str">
        <f>TEXT(Table3[[#This Row],[Order Date]],"mmmm")</f>
        <v>June</v>
      </c>
      <c r="D2612" t="s">
        <v>3220</v>
      </c>
      <c r="E2612" t="s">
        <v>3224</v>
      </c>
      <c r="F2612" t="s">
        <v>3226</v>
      </c>
      <c r="G2612" s="4">
        <v>334221.11</v>
      </c>
      <c r="H2612" s="4">
        <v>230586.23</v>
      </c>
      <c r="I2612" s="3" t="s">
        <v>3734</v>
      </c>
      <c r="J2612">
        <v>5</v>
      </c>
      <c r="K2612" s="4">
        <f>Table3[[#This Row],[Sales]]-Table3[[#This Row],[Cost]]</f>
        <v>103634.87999999998</v>
      </c>
      <c r="L2612" s="6">
        <f>Table3[[#This Row],[Profit]]/Table3[[#This Row],[Sales]]</f>
        <v>0.31007879783536108</v>
      </c>
    </row>
    <row r="2613" spans="1:12" x14ac:dyDescent="0.25">
      <c r="A2613" t="s">
        <v>2353</v>
      </c>
      <c r="B2613" s="2">
        <v>45005</v>
      </c>
      <c r="C2613" s="2" t="str">
        <f>TEXT(Table3[[#This Row],[Order Date]],"mmmm")</f>
        <v>March</v>
      </c>
      <c r="D2613" t="s">
        <v>3730</v>
      </c>
      <c r="E2613" t="s">
        <v>3225</v>
      </c>
      <c r="F2613" t="s">
        <v>3226</v>
      </c>
      <c r="G2613" s="4">
        <v>113257.67</v>
      </c>
      <c r="H2613" s="4">
        <v>61829.22</v>
      </c>
      <c r="I2613" s="3" t="s">
        <v>3734</v>
      </c>
      <c r="J2613" t="s">
        <v>3732</v>
      </c>
      <c r="K2613" s="4">
        <f>Table3[[#This Row],[Sales]]-Table3[[#This Row],[Cost]]</f>
        <v>51428.45</v>
      </c>
      <c r="L2613" s="6">
        <f>Table3[[#This Row],[Profit]]/Table3[[#This Row],[Sales]]</f>
        <v>0.4540835953979982</v>
      </c>
    </row>
    <row r="2614" spans="1:12" x14ac:dyDescent="0.25">
      <c r="A2614" t="s">
        <v>2354</v>
      </c>
      <c r="B2614" s="2">
        <v>45005</v>
      </c>
      <c r="C2614" s="2" t="str">
        <f>TEXT(Table3[[#This Row],[Order Date]],"mmmm")</f>
        <v>March</v>
      </c>
      <c r="D2614" t="s">
        <v>3730</v>
      </c>
      <c r="E2614" t="s">
        <v>3224</v>
      </c>
      <c r="F2614" t="s">
        <v>3226</v>
      </c>
      <c r="G2614" s="4">
        <v>69814.87</v>
      </c>
      <c r="H2614" s="4">
        <v>45049.32</v>
      </c>
      <c r="I2614" s="3" t="s">
        <v>3734</v>
      </c>
      <c r="J2614">
        <v>1</v>
      </c>
      <c r="K2614" s="4">
        <f>Table3[[#This Row],[Sales]]-Table3[[#This Row],[Cost]]</f>
        <v>24765.549999999996</v>
      </c>
      <c r="L2614" s="6">
        <f>Table3[[#This Row],[Profit]]/Table3[[#This Row],[Sales]]</f>
        <v>0.35473173551708964</v>
      </c>
    </row>
    <row r="2615" spans="1:12" x14ac:dyDescent="0.25">
      <c r="A2615" t="s">
        <v>3621</v>
      </c>
      <c r="B2615" s="2">
        <v>44972</v>
      </c>
      <c r="C2615" s="2" t="str">
        <f>TEXT(Table3[[#This Row],[Order Date]],"mmmm")</f>
        <v>February</v>
      </c>
      <c r="D2615" t="s">
        <v>3220</v>
      </c>
      <c r="E2615" t="s">
        <v>3223</v>
      </c>
      <c r="F2615" t="s">
        <v>3226</v>
      </c>
      <c r="G2615" s="4">
        <v>50019.6</v>
      </c>
      <c r="H2615" s="4">
        <v>40015.68</v>
      </c>
      <c r="I2615" s="3" t="s">
        <v>3735</v>
      </c>
      <c r="J2615">
        <v>5</v>
      </c>
      <c r="K2615" s="4">
        <f>Table3[[#This Row],[Sales]]-Table3[[#This Row],[Cost]]</f>
        <v>10003.919999999998</v>
      </c>
      <c r="L2615" s="6">
        <f>Table3[[#This Row],[Profit]]/Table3[[#This Row],[Sales]]</f>
        <v>0.19999999999999998</v>
      </c>
    </row>
    <row r="2616" spans="1:12" x14ac:dyDescent="0.25">
      <c r="A2616" t="s">
        <v>2356</v>
      </c>
      <c r="B2616" s="2" t="s">
        <v>3729</v>
      </c>
      <c r="C2616" s="2" t="str">
        <f>TEXT(Table3[[#This Row],[Order Date]],"mmmm")</f>
        <v>Not Mentioned</v>
      </c>
      <c r="D2616" t="s">
        <v>3731</v>
      </c>
      <c r="E2616" t="s">
        <v>3224</v>
      </c>
      <c r="F2616" t="s">
        <v>3226</v>
      </c>
      <c r="G2616" s="4">
        <v>123307.43</v>
      </c>
      <c r="H2616" s="4">
        <v>86807.69</v>
      </c>
      <c r="I2616" s="3" t="s">
        <v>3734</v>
      </c>
      <c r="J2616">
        <v>2</v>
      </c>
      <c r="K2616" s="4">
        <f>Table3[[#This Row],[Sales]]-Table3[[#This Row],[Cost]]</f>
        <v>36499.739999999991</v>
      </c>
      <c r="L2616" s="6">
        <f>Table3[[#This Row],[Profit]]/Table3[[#This Row],[Sales]]</f>
        <v>0.29600600709949104</v>
      </c>
    </row>
    <row r="2617" spans="1:12" x14ac:dyDescent="0.25">
      <c r="A2617" t="s">
        <v>2357</v>
      </c>
      <c r="B2617" s="2">
        <v>44972</v>
      </c>
      <c r="C2617" s="2" t="str">
        <f>TEXT(Table3[[#This Row],[Order Date]],"mmmm")</f>
        <v>February</v>
      </c>
      <c r="D2617" t="s">
        <v>3216</v>
      </c>
      <c r="E2617" t="s">
        <v>3223</v>
      </c>
      <c r="F2617" t="s">
        <v>3226</v>
      </c>
      <c r="G2617" s="4">
        <v>22561.77</v>
      </c>
      <c r="H2617" s="4">
        <v>15054.96</v>
      </c>
      <c r="I2617" s="3" t="s">
        <v>3734</v>
      </c>
      <c r="J2617">
        <v>2</v>
      </c>
      <c r="K2617" s="4">
        <f>Table3[[#This Row],[Sales]]-Table3[[#This Row],[Cost]]</f>
        <v>7506.8100000000013</v>
      </c>
      <c r="L2617" s="6">
        <f>Table3[[#This Row],[Profit]]/Table3[[#This Row],[Sales]]</f>
        <v>0.33272256564976954</v>
      </c>
    </row>
    <row r="2618" spans="1:12" x14ac:dyDescent="0.25">
      <c r="A2618" t="s">
        <v>2358</v>
      </c>
      <c r="B2618" s="2">
        <v>45102</v>
      </c>
      <c r="C2618" s="2" t="str">
        <f>TEXT(Table3[[#This Row],[Order Date]],"mmmm")</f>
        <v>June</v>
      </c>
      <c r="D2618" t="s">
        <v>3730</v>
      </c>
      <c r="E2618" t="s">
        <v>3223</v>
      </c>
      <c r="F2618" t="s">
        <v>3226</v>
      </c>
      <c r="G2618" s="4">
        <v>19360.28</v>
      </c>
      <c r="H2618" s="4">
        <v>15115.01</v>
      </c>
      <c r="I2618" s="3" t="s">
        <v>3734</v>
      </c>
      <c r="J2618">
        <v>2</v>
      </c>
      <c r="K2618" s="4">
        <f>Table3[[#This Row],[Sales]]-Table3[[#This Row],[Cost]]</f>
        <v>4245.2699999999986</v>
      </c>
      <c r="L2618" s="6">
        <f>Table3[[#This Row],[Profit]]/Table3[[#This Row],[Sales]]</f>
        <v>0.21927730384064686</v>
      </c>
    </row>
    <row r="2619" spans="1:12" x14ac:dyDescent="0.25">
      <c r="A2619" t="s">
        <v>3622</v>
      </c>
      <c r="B2619" s="2">
        <v>44972</v>
      </c>
      <c r="C2619" s="2" t="str">
        <f>TEXT(Table3[[#This Row],[Order Date]],"mmmm")</f>
        <v>February</v>
      </c>
      <c r="D2619" t="s">
        <v>3220</v>
      </c>
      <c r="E2619" t="s">
        <v>3225</v>
      </c>
      <c r="F2619" t="s">
        <v>3226</v>
      </c>
      <c r="G2619" s="4">
        <v>85708.01</v>
      </c>
      <c r="H2619" s="4">
        <v>64708.37</v>
      </c>
      <c r="I2619" s="3" t="s">
        <v>3734</v>
      </c>
      <c r="J2619" t="s">
        <v>3732</v>
      </c>
      <c r="K2619" s="4">
        <f>Table3[[#This Row],[Sales]]-Table3[[#This Row],[Cost]]</f>
        <v>20999.639999999992</v>
      </c>
      <c r="L2619" s="6">
        <f>Table3[[#This Row],[Profit]]/Table3[[#This Row],[Sales]]</f>
        <v>0.24501373908926358</v>
      </c>
    </row>
    <row r="2620" spans="1:12" x14ac:dyDescent="0.25">
      <c r="A2620" t="s">
        <v>2360</v>
      </c>
      <c r="B2620" s="2">
        <v>45005</v>
      </c>
      <c r="C2620" s="2" t="str">
        <f>TEXT(Table3[[#This Row],[Order Date]],"mmmm")</f>
        <v>March</v>
      </c>
      <c r="D2620" t="s">
        <v>3730</v>
      </c>
      <c r="E2620" t="s">
        <v>3222</v>
      </c>
      <c r="F2620" t="s">
        <v>3226</v>
      </c>
      <c r="G2620" s="4">
        <v>16561.61</v>
      </c>
      <c r="H2620" s="4">
        <v>9941.07</v>
      </c>
      <c r="I2620" s="3" t="s">
        <v>3734</v>
      </c>
      <c r="J2620">
        <v>1</v>
      </c>
      <c r="K2620" s="4">
        <f>Table3[[#This Row],[Sales]]-Table3[[#This Row],[Cost]]</f>
        <v>6620.5400000000009</v>
      </c>
      <c r="L2620" s="6">
        <f>Table3[[#This Row],[Profit]]/Table3[[#This Row],[Sales]]</f>
        <v>0.39975219800490414</v>
      </c>
    </row>
    <row r="2621" spans="1:12" x14ac:dyDescent="0.25">
      <c r="A2621" t="s">
        <v>2361</v>
      </c>
      <c r="B2621" s="2">
        <v>44941</v>
      </c>
      <c r="C2621" s="2" t="str">
        <f>TEXT(Table3[[#This Row],[Order Date]],"mmmm")</f>
        <v>January</v>
      </c>
      <c r="D2621" t="s">
        <v>3220</v>
      </c>
      <c r="E2621" t="s">
        <v>3224</v>
      </c>
      <c r="F2621" t="s">
        <v>3226</v>
      </c>
      <c r="G2621" s="4">
        <v>274949.90999999997</v>
      </c>
      <c r="H2621" s="4">
        <v>199309.68</v>
      </c>
      <c r="I2621" s="3" t="s">
        <v>3734</v>
      </c>
      <c r="J2621">
        <v>5</v>
      </c>
      <c r="K2621" s="4">
        <f>Table3[[#This Row],[Sales]]-Table3[[#This Row],[Cost]]</f>
        <v>75640.229999999981</v>
      </c>
      <c r="L2621" s="6">
        <f>Table3[[#This Row],[Profit]]/Table3[[#This Row],[Sales]]</f>
        <v>0.27510549103289389</v>
      </c>
    </row>
    <row r="2622" spans="1:12" x14ac:dyDescent="0.25">
      <c r="A2622" t="s">
        <v>1260</v>
      </c>
      <c r="B2622" s="2">
        <v>45005</v>
      </c>
      <c r="C2622" s="2" t="str">
        <f>TEXT(Table3[[#This Row],[Order Date]],"mmmm")</f>
        <v>March</v>
      </c>
      <c r="D2622" t="s">
        <v>3730</v>
      </c>
      <c r="E2622" t="s">
        <v>3224</v>
      </c>
      <c r="F2622" t="s">
        <v>3226</v>
      </c>
      <c r="G2622" s="4">
        <v>59980.31</v>
      </c>
      <c r="H2622" s="4">
        <v>45037.58</v>
      </c>
      <c r="I2622" s="3" t="s">
        <v>3734</v>
      </c>
      <c r="J2622">
        <v>1</v>
      </c>
      <c r="K2622" s="4">
        <f>Table3[[#This Row],[Sales]]-Table3[[#This Row],[Cost]]</f>
        <v>14942.729999999996</v>
      </c>
      <c r="L2622" s="6">
        <f>Table3[[#This Row],[Profit]]/Table3[[#This Row],[Sales]]</f>
        <v>0.24912725526093474</v>
      </c>
    </row>
    <row r="2623" spans="1:12" x14ac:dyDescent="0.25">
      <c r="A2623" t="s">
        <v>3623</v>
      </c>
      <c r="B2623" s="2">
        <v>45021</v>
      </c>
      <c r="C2623" s="2" t="str">
        <f>TEXT(Table3[[#This Row],[Order Date]],"mmmm")</f>
        <v>April</v>
      </c>
      <c r="D2623" t="s">
        <v>3220</v>
      </c>
      <c r="E2623" t="s">
        <v>3224</v>
      </c>
      <c r="F2623" t="s">
        <v>3226</v>
      </c>
      <c r="G2623" s="4">
        <v>141567.62</v>
      </c>
      <c r="H2623" s="4">
        <v>89610.42</v>
      </c>
      <c r="I2623" s="3" t="s">
        <v>3734</v>
      </c>
      <c r="J2623" t="s">
        <v>3732</v>
      </c>
      <c r="K2623" s="4">
        <f>Table3[[#This Row],[Sales]]-Table3[[#This Row],[Cost]]</f>
        <v>51957.2</v>
      </c>
      <c r="L2623" s="6">
        <f>Table3[[#This Row],[Profit]]/Table3[[#This Row],[Sales]]</f>
        <v>0.36701330431351464</v>
      </c>
    </row>
    <row r="2624" spans="1:12" x14ac:dyDescent="0.25">
      <c r="A2624" t="s">
        <v>2363</v>
      </c>
      <c r="B2624" s="2">
        <v>45005</v>
      </c>
      <c r="C2624" s="2" t="str">
        <f>TEXT(Table3[[#This Row],[Order Date]],"mmmm")</f>
        <v>March</v>
      </c>
      <c r="D2624" t="s">
        <v>3216</v>
      </c>
      <c r="E2624" t="s">
        <v>3223</v>
      </c>
      <c r="F2624" t="s">
        <v>3226</v>
      </c>
      <c r="G2624" s="4">
        <v>46031.01</v>
      </c>
      <c r="H2624" s="4">
        <v>27634.49</v>
      </c>
      <c r="I2624" s="3" t="s">
        <v>3734</v>
      </c>
      <c r="J2624">
        <v>4</v>
      </c>
      <c r="K2624" s="4">
        <f>Table3[[#This Row],[Sales]]-Table3[[#This Row],[Cost]]</f>
        <v>18396.52</v>
      </c>
      <c r="L2624" s="6">
        <f>Table3[[#This Row],[Profit]]/Table3[[#This Row],[Sales]]</f>
        <v>0.39965492827552557</v>
      </c>
    </row>
    <row r="2625" spans="1:12" x14ac:dyDescent="0.25">
      <c r="A2625" t="s">
        <v>2364</v>
      </c>
      <c r="B2625" s="2">
        <v>45102</v>
      </c>
      <c r="C2625" s="2" t="str">
        <f>TEXT(Table3[[#This Row],[Order Date]],"mmmm")</f>
        <v>June</v>
      </c>
      <c r="D2625" t="s">
        <v>3730</v>
      </c>
      <c r="E2625" t="s">
        <v>3225</v>
      </c>
      <c r="F2625" t="s">
        <v>3226</v>
      </c>
      <c r="G2625" s="4">
        <v>16341.19</v>
      </c>
      <c r="H2625" s="4">
        <v>13398.29</v>
      </c>
      <c r="I2625" s="3" t="s">
        <v>3734</v>
      </c>
      <c r="J2625">
        <v>1</v>
      </c>
      <c r="K2625" s="4">
        <f>Table3[[#This Row],[Sales]]-Table3[[#This Row],[Cost]]</f>
        <v>2942.8999999999996</v>
      </c>
      <c r="L2625" s="6">
        <f>Table3[[#This Row],[Profit]]/Table3[[#This Row],[Sales]]</f>
        <v>0.18009092361082635</v>
      </c>
    </row>
    <row r="2626" spans="1:12" x14ac:dyDescent="0.25">
      <c r="A2626" t="s">
        <v>2365</v>
      </c>
      <c r="B2626" s="2">
        <v>45021</v>
      </c>
      <c r="C2626" s="2" t="str">
        <f>TEXT(Table3[[#This Row],[Order Date]],"mmmm")</f>
        <v>April</v>
      </c>
      <c r="D2626" t="s">
        <v>3220</v>
      </c>
      <c r="E2626" t="s">
        <v>3223</v>
      </c>
      <c r="F2626" t="s">
        <v>3226</v>
      </c>
      <c r="G2626" s="4">
        <v>8580.6</v>
      </c>
      <c r="H2626" s="4">
        <v>6788.21</v>
      </c>
      <c r="I2626" s="3" t="s">
        <v>3734</v>
      </c>
      <c r="J2626">
        <v>1</v>
      </c>
      <c r="K2626" s="4">
        <f>Table3[[#This Row],[Sales]]-Table3[[#This Row],[Cost]]</f>
        <v>1792.3900000000003</v>
      </c>
      <c r="L2626" s="6">
        <f>Table3[[#This Row],[Profit]]/Table3[[#This Row],[Sales]]</f>
        <v>0.20888865580495539</v>
      </c>
    </row>
    <row r="2627" spans="1:12" x14ac:dyDescent="0.25">
      <c r="A2627" t="s">
        <v>3251</v>
      </c>
      <c r="B2627" s="2">
        <v>44972</v>
      </c>
      <c r="C2627" s="2" t="str">
        <f>TEXT(Table3[[#This Row],[Order Date]],"mmmm")</f>
        <v>February</v>
      </c>
      <c r="D2627" t="s">
        <v>3730</v>
      </c>
      <c r="E2627" t="s">
        <v>3222</v>
      </c>
      <c r="F2627" t="s">
        <v>3226</v>
      </c>
      <c r="G2627" s="4">
        <v>28794.07</v>
      </c>
      <c r="H2627" s="4">
        <v>23035.256000000001</v>
      </c>
      <c r="I2627" s="3" t="s">
        <v>3735</v>
      </c>
      <c r="J2627">
        <v>2</v>
      </c>
      <c r="K2627" s="4">
        <f>Table3[[#This Row],[Sales]]-Table3[[#This Row],[Cost]]</f>
        <v>5758.8139999999985</v>
      </c>
      <c r="L2627" s="6">
        <f>Table3[[#This Row],[Profit]]/Table3[[#This Row],[Sales]]</f>
        <v>0.19999999999999996</v>
      </c>
    </row>
    <row r="2628" spans="1:12" x14ac:dyDescent="0.25">
      <c r="A2628" t="s">
        <v>2366</v>
      </c>
      <c r="B2628" s="2" t="s">
        <v>3729</v>
      </c>
      <c r="C2628" s="2" t="str">
        <f>TEXT(Table3[[#This Row],[Order Date]],"mmmm")</f>
        <v>Not Mentioned</v>
      </c>
      <c r="D2628" t="s">
        <v>3220</v>
      </c>
      <c r="E2628" t="s">
        <v>3225</v>
      </c>
      <c r="F2628" t="s">
        <v>3226</v>
      </c>
      <c r="G2628" s="4">
        <v>20932.62</v>
      </c>
      <c r="H2628" s="4">
        <v>12745.57</v>
      </c>
      <c r="I2628" s="3" t="s">
        <v>3734</v>
      </c>
      <c r="J2628">
        <v>1</v>
      </c>
      <c r="K2628" s="4">
        <f>Table3[[#This Row],[Sales]]-Table3[[#This Row],[Cost]]</f>
        <v>8187.0499999999993</v>
      </c>
      <c r="L2628" s="6">
        <f>Table3[[#This Row],[Profit]]/Table3[[#This Row],[Sales]]</f>
        <v>0.3911144424348218</v>
      </c>
    </row>
    <row r="2629" spans="1:12" x14ac:dyDescent="0.25">
      <c r="A2629" t="s">
        <v>2367</v>
      </c>
      <c r="B2629" s="2">
        <v>45005</v>
      </c>
      <c r="C2629" s="2" t="str">
        <f>TEXT(Table3[[#This Row],[Order Date]],"mmmm")</f>
        <v>March</v>
      </c>
      <c r="D2629" t="s">
        <v>3731</v>
      </c>
      <c r="E2629" t="s">
        <v>3223</v>
      </c>
      <c r="F2629" t="s">
        <v>3226</v>
      </c>
      <c r="G2629" s="4">
        <v>8904.4500000000007</v>
      </c>
      <c r="H2629" s="4">
        <v>5983.16</v>
      </c>
      <c r="I2629" s="3" t="s">
        <v>3734</v>
      </c>
      <c r="J2629">
        <v>1</v>
      </c>
      <c r="K2629" s="4">
        <f>Table3[[#This Row],[Sales]]-Table3[[#This Row],[Cost]]</f>
        <v>2921.2900000000009</v>
      </c>
      <c r="L2629" s="6">
        <f>Table3[[#This Row],[Profit]]/Table3[[#This Row],[Sales]]</f>
        <v>0.32807079606264289</v>
      </c>
    </row>
    <row r="2630" spans="1:12" x14ac:dyDescent="0.25">
      <c r="A2630" t="s">
        <v>688</v>
      </c>
      <c r="B2630" s="2">
        <v>45102</v>
      </c>
      <c r="C2630" s="2" t="str">
        <f>TEXT(Table3[[#This Row],[Order Date]],"mmmm")</f>
        <v>June</v>
      </c>
      <c r="D2630" t="s">
        <v>3730</v>
      </c>
      <c r="E2630" t="s">
        <v>3223</v>
      </c>
      <c r="F2630" t="s">
        <v>3226</v>
      </c>
      <c r="G2630" s="4">
        <v>55107.63</v>
      </c>
      <c r="H2630" s="4">
        <v>30981.79</v>
      </c>
      <c r="I2630" s="3" t="s">
        <v>3734</v>
      </c>
      <c r="J2630">
        <v>5</v>
      </c>
      <c r="K2630" s="4">
        <f>Table3[[#This Row],[Sales]]-Table3[[#This Row],[Cost]]</f>
        <v>24125.839999999997</v>
      </c>
      <c r="L2630" s="6">
        <f>Table3[[#This Row],[Profit]]/Table3[[#This Row],[Sales]]</f>
        <v>0.43779491152132649</v>
      </c>
    </row>
    <row r="2631" spans="1:12" x14ac:dyDescent="0.25">
      <c r="A2631" t="s">
        <v>2368</v>
      </c>
      <c r="B2631" s="2">
        <v>44972</v>
      </c>
      <c r="C2631" s="2" t="str">
        <f>TEXT(Table3[[#This Row],[Order Date]],"mmmm")</f>
        <v>February</v>
      </c>
      <c r="D2631" t="s">
        <v>3220</v>
      </c>
      <c r="E2631" t="s">
        <v>3225</v>
      </c>
      <c r="F2631" t="s">
        <v>3226</v>
      </c>
      <c r="G2631" s="4">
        <v>79045.34</v>
      </c>
      <c r="H2631" s="4">
        <v>57085.15</v>
      </c>
      <c r="I2631" s="3" t="s">
        <v>3734</v>
      </c>
      <c r="J2631" t="s">
        <v>3732</v>
      </c>
      <c r="K2631" s="4">
        <f>Table3[[#This Row],[Sales]]-Table3[[#This Row],[Cost]]</f>
        <v>21960.189999999995</v>
      </c>
      <c r="L2631" s="6">
        <f>Table3[[#This Row],[Profit]]/Table3[[#This Row],[Sales]]</f>
        <v>0.27781764238094231</v>
      </c>
    </row>
    <row r="2632" spans="1:12" x14ac:dyDescent="0.25">
      <c r="A2632" t="s">
        <v>2369</v>
      </c>
      <c r="B2632" s="2">
        <v>45005</v>
      </c>
      <c r="C2632" s="2" t="str">
        <f>TEXT(Table3[[#This Row],[Order Date]],"mmmm")</f>
        <v>March</v>
      </c>
      <c r="D2632" t="s">
        <v>3731</v>
      </c>
      <c r="E2632" t="s">
        <v>3223</v>
      </c>
      <c r="F2632" t="s">
        <v>3226</v>
      </c>
      <c r="G2632" s="4">
        <v>31764.58</v>
      </c>
      <c r="H2632" s="4">
        <v>22950.05</v>
      </c>
      <c r="I2632" s="3" t="s">
        <v>3734</v>
      </c>
      <c r="J2632">
        <v>3</v>
      </c>
      <c r="K2632" s="4">
        <f>Table3[[#This Row],[Sales]]-Table3[[#This Row],[Cost]]</f>
        <v>8814.5300000000025</v>
      </c>
      <c r="L2632" s="6">
        <f>Table3[[#This Row],[Profit]]/Table3[[#This Row],[Sales]]</f>
        <v>0.27749556266760028</v>
      </c>
    </row>
    <row r="2633" spans="1:12" x14ac:dyDescent="0.25">
      <c r="A2633" t="s">
        <v>3624</v>
      </c>
      <c r="B2633" s="2">
        <v>44972</v>
      </c>
      <c r="C2633" s="2" t="str">
        <f>TEXT(Table3[[#This Row],[Order Date]],"mmmm")</f>
        <v>February</v>
      </c>
      <c r="D2633" t="s">
        <v>3730</v>
      </c>
      <c r="E2633" t="s">
        <v>3225</v>
      </c>
      <c r="F2633" t="s">
        <v>3226</v>
      </c>
      <c r="G2633" s="4">
        <v>64845.36</v>
      </c>
      <c r="H2633" s="4">
        <v>42347.95</v>
      </c>
      <c r="I2633" s="3" t="s">
        <v>3734</v>
      </c>
      <c r="J2633">
        <v>3</v>
      </c>
      <c r="K2633" s="4">
        <f>Table3[[#This Row],[Sales]]-Table3[[#This Row],[Cost]]</f>
        <v>22497.410000000003</v>
      </c>
      <c r="L2633" s="6">
        <f>Table3[[#This Row],[Profit]]/Table3[[#This Row],[Sales]]</f>
        <v>0.3469393955095631</v>
      </c>
    </row>
    <row r="2634" spans="1:12" x14ac:dyDescent="0.25">
      <c r="A2634" t="s">
        <v>2371</v>
      </c>
      <c r="B2634" s="2">
        <v>45021</v>
      </c>
      <c r="C2634" s="2" t="str">
        <f>TEXT(Table3[[#This Row],[Order Date]],"mmmm")</f>
        <v>April</v>
      </c>
      <c r="D2634" t="s">
        <v>3730</v>
      </c>
      <c r="E2634" t="s">
        <v>3225</v>
      </c>
      <c r="F2634" t="s">
        <v>3226</v>
      </c>
      <c r="G2634" s="4">
        <v>91143.57</v>
      </c>
      <c r="H2634" s="4">
        <v>72914.856000000014</v>
      </c>
      <c r="I2634" s="3" t="s">
        <v>3735</v>
      </c>
      <c r="J2634">
        <v>4</v>
      </c>
      <c r="K2634" s="4">
        <f>Table3[[#This Row],[Sales]]-Table3[[#This Row],[Cost]]</f>
        <v>18228.713999999993</v>
      </c>
      <c r="L2634" s="6">
        <f>Table3[[#This Row],[Profit]]/Table3[[#This Row],[Sales]]</f>
        <v>0.1999999999999999</v>
      </c>
    </row>
    <row r="2635" spans="1:12" x14ac:dyDescent="0.25">
      <c r="A2635" t="s">
        <v>2372</v>
      </c>
      <c r="B2635" s="2">
        <v>45102</v>
      </c>
      <c r="C2635" s="2" t="str">
        <f>TEXT(Table3[[#This Row],[Order Date]],"mmmm")</f>
        <v>June</v>
      </c>
      <c r="D2635" t="s">
        <v>3220</v>
      </c>
      <c r="E2635" t="s">
        <v>3223</v>
      </c>
      <c r="F2635" t="s">
        <v>3226</v>
      </c>
      <c r="G2635" s="4">
        <v>10196.629999999999</v>
      </c>
      <c r="H2635" s="4">
        <v>7034.11</v>
      </c>
      <c r="I2635" s="3" t="s">
        <v>3734</v>
      </c>
      <c r="J2635">
        <v>1</v>
      </c>
      <c r="K2635" s="4">
        <f>Table3[[#This Row],[Sales]]-Table3[[#This Row],[Cost]]</f>
        <v>3162.5199999999995</v>
      </c>
      <c r="L2635" s="6">
        <f>Table3[[#This Row],[Profit]]/Table3[[#This Row],[Sales]]</f>
        <v>0.31015345266033972</v>
      </c>
    </row>
    <row r="2636" spans="1:12" x14ac:dyDescent="0.25">
      <c r="A2636" t="s">
        <v>2373</v>
      </c>
      <c r="B2636" s="2">
        <v>45102</v>
      </c>
      <c r="C2636" s="2" t="str">
        <f>TEXT(Table3[[#This Row],[Order Date]],"mmmm")</f>
        <v>June</v>
      </c>
      <c r="D2636" t="s">
        <v>3730</v>
      </c>
      <c r="E2636" t="s">
        <v>3224</v>
      </c>
      <c r="F2636" t="s">
        <v>3226</v>
      </c>
      <c r="G2636" s="4">
        <v>207222.26</v>
      </c>
      <c r="H2636" s="4">
        <v>179085.1</v>
      </c>
      <c r="I2636" s="3" t="s">
        <v>3734</v>
      </c>
      <c r="J2636">
        <v>4</v>
      </c>
      <c r="K2636" s="4">
        <f>Table3[[#This Row],[Sales]]-Table3[[#This Row],[Cost]]</f>
        <v>28137.160000000003</v>
      </c>
      <c r="L2636" s="6">
        <f>Table3[[#This Row],[Profit]]/Table3[[#This Row],[Sales]]</f>
        <v>0.13578251680104253</v>
      </c>
    </row>
    <row r="2637" spans="1:12" x14ac:dyDescent="0.25">
      <c r="A2637" t="s">
        <v>2374</v>
      </c>
      <c r="B2637" s="2">
        <v>44941</v>
      </c>
      <c r="C2637" s="2" t="str">
        <f>TEXT(Table3[[#This Row],[Order Date]],"mmmm")</f>
        <v>January</v>
      </c>
      <c r="D2637" t="s">
        <v>3216</v>
      </c>
      <c r="E2637" t="s">
        <v>3225</v>
      </c>
      <c r="F2637" t="s">
        <v>3226</v>
      </c>
      <c r="G2637" s="4">
        <v>62315.71</v>
      </c>
      <c r="H2637" s="4">
        <v>49852.567999999999</v>
      </c>
      <c r="I2637" s="3" t="s">
        <v>3735</v>
      </c>
      <c r="J2637">
        <v>3</v>
      </c>
      <c r="K2637" s="4">
        <f>Table3[[#This Row],[Sales]]-Table3[[#This Row],[Cost]]</f>
        <v>12463.142</v>
      </c>
      <c r="L2637" s="6">
        <f>Table3[[#This Row],[Profit]]/Table3[[#This Row],[Sales]]</f>
        <v>0.2</v>
      </c>
    </row>
    <row r="2638" spans="1:12" x14ac:dyDescent="0.25">
      <c r="A2638" t="s">
        <v>2375</v>
      </c>
      <c r="B2638" s="2" t="s">
        <v>3729</v>
      </c>
      <c r="C2638" s="2" t="str">
        <f>TEXT(Table3[[#This Row],[Order Date]],"mmmm")</f>
        <v>Not Mentioned</v>
      </c>
      <c r="D2638" t="s">
        <v>3730</v>
      </c>
      <c r="E2638" t="s">
        <v>3223</v>
      </c>
      <c r="F2638" t="s">
        <v>3226</v>
      </c>
      <c r="G2638" s="4">
        <v>42280.36</v>
      </c>
      <c r="H2638" s="4">
        <v>26016.080000000002</v>
      </c>
      <c r="I2638" s="3" t="s">
        <v>3734</v>
      </c>
      <c r="J2638">
        <v>4</v>
      </c>
      <c r="K2638" s="4">
        <f>Table3[[#This Row],[Sales]]-Table3[[#This Row],[Cost]]</f>
        <v>16264.279999999999</v>
      </c>
      <c r="L2638" s="6">
        <f>Table3[[#This Row],[Profit]]/Table3[[#This Row],[Sales]]</f>
        <v>0.38467695166266319</v>
      </c>
    </row>
    <row r="2639" spans="1:12" x14ac:dyDescent="0.25">
      <c r="A2639" t="s">
        <v>2376</v>
      </c>
      <c r="B2639" s="2">
        <v>45005</v>
      </c>
      <c r="C2639" s="2" t="str">
        <f>TEXT(Table3[[#This Row],[Order Date]],"mmmm")</f>
        <v>March</v>
      </c>
      <c r="D2639" t="s">
        <v>3730</v>
      </c>
      <c r="E2639" t="s">
        <v>3225</v>
      </c>
      <c r="F2639" t="s">
        <v>3226</v>
      </c>
      <c r="G2639" s="4">
        <v>64000.66</v>
      </c>
      <c r="H2639" s="4">
        <v>55304.93</v>
      </c>
      <c r="I2639" s="3" t="s">
        <v>3734</v>
      </c>
      <c r="J2639">
        <v>4</v>
      </c>
      <c r="K2639" s="4">
        <f>Table3[[#This Row],[Sales]]-Table3[[#This Row],[Cost]]</f>
        <v>8695.7300000000032</v>
      </c>
      <c r="L2639" s="6">
        <f>Table3[[#This Row],[Profit]]/Table3[[#This Row],[Sales]]</f>
        <v>0.13586938009701779</v>
      </c>
    </row>
    <row r="2640" spans="1:12" x14ac:dyDescent="0.25">
      <c r="A2640" t="s">
        <v>2377</v>
      </c>
      <c r="B2640" s="2">
        <v>44972</v>
      </c>
      <c r="C2640" s="2" t="str">
        <f>TEXT(Table3[[#This Row],[Order Date]],"mmmm")</f>
        <v>February</v>
      </c>
      <c r="D2640" t="s">
        <v>3220</v>
      </c>
      <c r="E2640" t="s">
        <v>3222</v>
      </c>
      <c r="F2640" t="s">
        <v>3226</v>
      </c>
      <c r="G2640" s="4">
        <v>48894.45</v>
      </c>
      <c r="H2640" s="4">
        <v>39115.56</v>
      </c>
      <c r="I2640" s="3" t="s">
        <v>3735</v>
      </c>
      <c r="J2640">
        <v>4</v>
      </c>
      <c r="K2640" s="4">
        <f>Table3[[#This Row],[Sales]]-Table3[[#This Row],[Cost]]</f>
        <v>9778.89</v>
      </c>
      <c r="L2640" s="6">
        <f>Table3[[#This Row],[Profit]]/Table3[[#This Row],[Sales]]</f>
        <v>0.2</v>
      </c>
    </row>
    <row r="2641" spans="1:12" x14ac:dyDescent="0.25">
      <c r="A2641" t="s">
        <v>3366</v>
      </c>
      <c r="B2641" s="2">
        <v>45005</v>
      </c>
      <c r="C2641" s="2" t="str">
        <f>TEXT(Table3[[#This Row],[Order Date]],"mmmm")</f>
        <v>March</v>
      </c>
      <c r="D2641" t="s">
        <v>3730</v>
      </c>
      <c r="E2641" t="s">
        <v>3222</v>
      </c>
      <c r="F2641" t="s">
        <v>3226</v>
      </c>
      <c r="G2641" s="4">
        <v>15527.46</v>
      </c>
      <c r="H2641" s="4">
        <v>9227.2999999999993</v>
      </c>
      <c r="I2641" s="3" t="s">
        <v>3734</v>
      </c>
      <c r="J2641">
        <v>1</v>
      </c>
      <c r="K2641" s="4">
        <f>Table3[[#This Row],[Sales]]-Table3[[#This Row],[Cost]]</f>
        <v>6300.16</v>
      </c>
      <c r="L2641" s="6">
        <f>Table3[[#This Row],[Profit]]/Table3[[#This Row],[Sales]]</f>
        <v>0.40574311574462274</v>
      </c>
    </row>
    <row r="2642" spans="1:12" x14ac:dyDescent="0.25">
      <c r="A2642" t="s">
        <v>2378</v>
      </c>
      <c r="B2642" s="2" t="s">
        <v>3729</v>
      </c>
      <c r="C2642" s="2" t="str">
        <f>TEXT(Table3[[#This Row],[Order Date]],"mmmm")</f>
        <v>Not Mentioned</v>
      </c>
      <c r="D2642" t="s">
        <v>3220</v>
      </c>
      <c r="E2642" t="s">
        <v>3224</v>
      </c>
      <c r="F2642" t="s">
        <v>3226</v>
      </c>
      <c r="G2642" s="4">
        <v>301537.48</v>
      </c>
      <c r="H2642" s="4">
        <v>243322.89</v>
      </c>
      <c r="I2642" s="3" t="s">
        <v>3734</v>
      </c>
      <c r="J2642">
        <v>5</v>
      </c>
      <c r="K2642" s="4">
        <f>Table3[[#This Row],[Sales]]-Table3[[#This Row],[Cost]]</f>
        <v>58214.589999999967</v>
      </c>
      <c r="L2642" s="6">
        <f>Table3[[#This Row],[Profit]]/Table3[[#This Row],[Sales]]</f>
        <v>0.19305921771316775</v>
      </c>
    </row>
    <row r="2643" spans="1:12" x14ac:dyDescent="0.25">
      <c r="A2643" t="s">
        <v>3625</v>
      </c>
      <c r="B2643" s="2">
        <v>44972</v>
      </c>
      <c r="C2643" s="2" t="str">
        <f>TEXT(Table3[[#This Row],[Order Date]],"mmmm")</f>
        <v>February</v>
      </c>
      <c r="D2643" t="s">
        <v>3220</v>
      </c>
      <c r="E2643" t="s">
        <v>3225</v>
      </c>
      <c r="F2643" t="s">
        <v>3226</v>
      </c>
      <c r="G2643" s="4">
        <v>49055.98</v>
      </c>
      <c r="H2643" s="4">
        <v>39244.784000000007</v>
      </c>
      <c r="I2643" s="3" t="s">
        <v>3735</v>
      </c>
      <c r="J2643">
        <v>3</v>
      </c>
      <c r="K2643" s="4">
        <f>Table3[[#This Row],[Sales]]-Table3[[#This Row],[Cost]]</f>
        <v>9811.1959999999963</v>
      </c>
      <c r="L2643" s="6">
        <f>Table3[[#This Row],[Profit]]/Table3[[#This Row],[Sales]]</f>
        <v>0.1999999999999999</v>
      </c>
    </row>
    <row r="2644" spans="1:12" x14ac:dyDescent="0.25">
      <c r="A2644" t="s">
        <v>3626</v>
      </c>
      <c r="B2644" s="2">
        <v>45005</v>
      </c>
      <c r="C2644" s="2" t="str">
        <f>TEXT(Table3[[#This Row],[Order Date]],"mmmm")</f>
        <v>March</v>
      </c>
      <c r="D2644" t="s">
        <v>3730</v>
      </c>
      <c r="E2644" t="s">
        <v>3222</v>
      </c>
      <c r="F2644" t="s">
        <v>3226</v>
      </c>
      <c r="G2644" s="4">
        <v>31979.83</v>
      </c>
      <c r="H2644" s="4">
        <v>18049.13</v>
      </c>
      <c r="I2644" s="3" t="s">
        <v>3734</v>
      </c>
      <c r="J2644">
        <v>2</v>
      </c>
      <c r="K2644" s="4">
        <f>Table3[[#This Row],[Sales]]-Table3[[#This Row],[Cost]]</f>
        <v>13930.7</v>
      </c>
      <c r="L2644" s="6">
        <f>Table3[[#This Row],[Profit]]/Table3[[#This Row],[Sales]]</f>
        <v>0.43560894476299594</v>
      </c>
    </row>
    <row r="2645" spans="1:12" x14ac:dyDescent="0.25">
      <c r="A2645" t="s">
        <v>2381</v>
      </c>
      <c r="B2645" s="2">
        <v>44972</v>
      </c>
      <c r="C2645" s="2" t="str">
        <f>TEXT(Table3[[#This Row],[Order Date]],"mmmm")</f>
        <v>February</v>
      </c>
      <c r="D2645" t="s">
        <v>3730</v>
      </c>
      <c r="E2645" t="s">
        <v>3225</v>
      </c>
      <c r="F2645" t="s">
        <v>3226</v>
      </c>
      <c r="G2645" s="4">
        <v>16001.96</v>
      </c>
      <c r="H2645" s="4">
        <v>14709.97</v>
      </c>
      <c r="I2645" s="3" t="s">
        <v>3734</v>
      </c>
      <c r="J2645">
        <v>1</v>
      </c>
      <c r="K2645" s="4">
        <f>Table3[[#This Row],[Sales]]-Table3[[#This Row],[Cost]]</f>
        <v>1291.9899999999998</v>
      </c>
      <c r="L2645" s="6">
        <f>Table3[[#This Row],[Profit]]/Table3[[#This Row],[Sales]]</f>
        <v>8.0739484413159382E-2</v>
      </c>
    </row>
    <row r="2646" spans="1:12" x14ac:dyDescent="0.25">
      <c r="A2646" t="s">
        <v>2157</v>
      </c>
      <c r="B2646" s="2">
        <v>45021</v>
      </c>
      <c r="C2646" s="2" t="str">
        <f>TEXT(Table3[[#This Row],[Order Date]],"mmmm")</f>
        <v>April</v>
      </c>
      <c r="D2646" t="s">
        <v>3730</v>
      </c>
      <c r="E2646" t="s">
        <v>3222</v>
      </c>
      <c r="F2646" t="s">
        <v>3226</v>
      </c>
      <c r="G2646" s="4">
        <v>77628.820000000007</v>
      </c>
      <c r="H2646" s="4">
        <v>62103.056000000011</v>
      </c>
      <c r="I2646" s="3" t="s">
        <v>3735</v>
      </c>
      <c r="J2646">
        <v>5</v>
      </c>
      <c r="K2646" s="4">
        <f>Table3[[#This Row],[Sales]]-Table3[[#This Row],[Cost]]</f>
        <v>15525.763999999996</v>
      </c>
      <c r="L2646" s="6">
        <f>Table3[[#This Row],[Profit]]/Table3[[#This Row],[Sales]]</f>
        <v>0.19999999999999993</v>
      </c>
    </row>
    <row r="2647" spans="1:12" x14ac:dyDescent="0.25">
      <c r="A2647" t="s">
        <v>2382</v>
      </c>
      <c r="B2647" s="2">
        <v>45005</v>
      </c>
      <c r="C2647" s="2" t="str">
        <f>TEXT(Table3[[#This Row],[Order Date]],"mmmm")</f>
        <v>March</v>
      </c>
      <c r="D2647" t="s">
        <v>3730</v>
      </c>
      <c r="E2647" t="s">
        <v>3224</v>
      </c>
      <c r="F2647" t="s">
        <v>3226</v>
      </c>
      <c r="G2647" s="4">
        <v>244261.31</v>
      </c>
      <c r="H2647" s="4">
        <v>241251.48</v>
      </c>
      <c r="I2647" s="3" t="s">
        <v>3734</v>
      </c>
      <c r="J2647">
        <v>5</v>
      </c>
      <c r="K2647" s="4">
        <f>Table3[[#This Row],[Sales]]-Table3[[#This Row],[Cost]]</f>
        <v>3009.8299999999872</v>
      </c>
      <c r="L2647" s="6">
        <f>Table3[[#This Row],[Profit]]/Table3[[#This Row],[Sales]]</f>
        <v>1.2322172512707752E-2</v>
      </c>
    </row>
    <row r="2648" spans="1:12" x14ac:dyDescent="0.25">
      <c r="A2648" t="s">
        <v>3463</v>
      </c>
      <c r="B2648" s="2">
        <v>45021</v>
      </c>
      <c r="C2648" s="2" t="str">
        <f>TEXT(Table3[[#This Row],[Order Date]],"mmmm")</f>
        <v>April</v>
      </c>
      <c r="D2648" t="s">
        <v>3730</v>
      </c>
      <c r="E2648" t="s">
        <v>3224</v>
      </c>
      <c r="F2648" t="s">
        <v>3226</v>
      </c>
      <c r="G2648" s="4">
        <v>128197.07</v>
      </c>
      <c r="H2648" s="4">
        <v>97915.69</v>
      </c>
      <c r="I2648" s="3" t="s">
        <v>3734</v>
      </c>
      <c r="J2648">
        <v>2</v>
      </c>
      <c r="K2648" s="4">
        <f>Table3[[#This Row],[Sales]]-Table3[[#This Row],[Cost]]</f>
        <v>30281.380000000005</v>
      </c>
      <c r="L2648" s="6">
        <f>Table3[[#This Row],[Profit]]/Table3[[#This Row],[Sales]]</f>
        <v>0.23620961071887214</v>
      </c>
    </row>
    <row r="2649" spans="1:12" x14ac:dyDescent="0.25">
      <c r="A2649" t="s">
        <v>2383</v>
      </c>
      <c r="B2649" s="2">
        <v>45021</v>
      </c>
      <c r="C2649" s="2" t="str">
        <f>TEXT(Table3[[#This Row],[Order Date]],"mmmm")</f>
        <v>April</v>
      </c>
      <c r="D2649" t="s">
        <v>3731</v>
      </c>
      <c r="E2649" t="s">
        <v>3224</v>
      </c>
      <c r="F2649" t="s">
        <v>3226</v>
      </c>
      <c r="G2649" s="4">
        <v>176185.99</v>
      </c>
      <c r="H2649" s="4">
        <v>137832.17000000001</v>
      </c>
      <c r="I2649" s="3" t="s">
        <v>3734</v>
      </c>
      <c r="J2649">
        <v>3</v>
      </c>
      <c r="K2649" s="4">
        <f>Table3[[#This Row],[Sales]]-Table3[[#This Row],[Cost]]</f>
        <v>38353.819999999978</v>
      </c>
      <c r="L2649" s="6">
        <f>Table3[[#This Row],[Profit]]/Table3[[#This Row],[Sales]]</f>
        <v>0.21768938608569263</v>
      </c>
    </row>
    <row r="2650" spans="1:12" x14ac:dyDescent="0.25">
      <c r="A2650" t="s">
        <v>957</v>
      </c>
      <c r="B2650" s="2">
        <v>44941</v>
      </c>
      <c r="C2650" s="2" t="str">
        <f>TEXT(Table3[[#This Row],[Order Date]],"mmmm")</f>
        <v>January</v>
      </c>
      <c r="D2650" t="s">
        <v>3220</v>
      </c>
      <c r="E2650" t="s">
        <v>3222</v>
      </c>
      <c r="F2650" t="s">
        <v>3226</v>
      </c>
      <c r="G2650" s="4">
        <v>51566.96</v>
      </c>
      <c r="H2650" s="4">
        <v>29772.97</v>
      </c>
      <c r="I2650" s="3" t="s">
        <v>3734</v>
      </c>
      <c r="J2650">
        <v>3</v>
      </c>
      <c r="K2650" s="4">
        <f>Table3[[#This Row],[Sales]]-Table3[[#This Row],[Cost]]</f>
        <v>21793.989999999998</v>
      </c>
      <c r="L2650" s="6">
        <f>Table3[[#This Row],[Profit]]/Table3[[#This Row],[Sales]]</f>
        <v>0.42263476458569593</v>
      </c>
    </row>
    <row r="2651" spans="1:12" x14ac:dyDescent="0.25">
      <c r="A2651" t="s">
        <v>3497</v>
      </c>
      <c r="B2651" s="2">
        <v>44941</v>
      </c>
      <c r="C2651" s="2" t="str">
        <f>TEXT(Table3[[#This Row],[Order Date]],"mmmm")</f>
        <v>January</v>
      </c>
      <c r="D2651" t="s">
        <v>3730</v>
      </c>
      <c r="E2651" t="s">
        <v>3224</v>
      </c>
      <c r="F2651" t="s">
        <v>3226</v>
      </c>
      <c r="G2651" s="4">
        <v>135374.43</v>
      </c>
      <c r="H2651" s="4">
        <v>80784.66</v>
      </c>
      <c r="I2651" s="3" t="s">
        <v>3734</v>
      </c>
      <c r="J2651">
        <v>2</v>
      </c>
      <c r="K2651" s="4">
        <f>Table3[[#This Row],[Sales]]-Table3[[#This Row],[Cost]]</f>
        <v>54589.76999999999</v>
      </c>
      <c r="L2651" s="6">
        <f>Table3[[#This Row],[Profit]]/Table3[[#This Row],[Sales]]</f>
        <v>0.40325022975165986</v>
      </c>
    </row>
    <row r="2652" spans="1:12" x14ac:dyDescent="0.25">
      <c r="A2652" t="s">
        <v>2384</v>
      </c>
      <c r="B2652" s="2" t="s">
        <v>3729</v>
      </c>
      <c r="C2652" s="2" t="str">
        <f>TEXT(Table3[[#This Row],[Order Date]],"mmmm")</f>
        <v>Not Mentioned</v>
      </c>
      <c r="D2652" t="s">
        <v>3216</v>
      </c>
      <c r="E2652" t="s">
        <v>3224</v>
      </c>
      <c r="F2652" t="s">
        <v>3226</v>
      </c>
      <c r="G2652" s="4">
        <v>57545.43</v>
      </c>
      <c r="H2652" s="4">
        <v>41287.03</v>
      </c>
      <c r="I2652" s="3" t="s">
        <v>3734</v>
      </c>
      <c r="J2652">
        <v>1</v>
      </c>
      <c r="K2652" s="4">
        <f>Table3[[#This Row],[Sales]]-Table3[[#This Row],[Cost]]</f>
        <v>16258.400000000001</v>
      </c>
      <c r="L2652" s="6">
        <f>Table3[[#This Row],[Profit]]/Table3[[#This Row],[Sales]]</f>
        <v>0.28253155810982733</v>
      </c>
    </row>
    <row r="2653" spans="1:12" x14ac:dyDescent="0.25">
      <c r="A2653" t="s">
        <v>981</v>
      </c>
      <c r="B2653" s="2">
        <v>45005</v>
      </c>
      <c r="C2653" s="2" t="str">
        <f>TEXT(Table3[[#This Row],[Order Date]],"mmmm")</f>
        <v>March</v>
      </c>
      <c r="D2653" t="s">
        <v>3220</v>
      </c>
      <c r="E2653" t="s">
        <v>3223</v>
      </c>
      <c r="F2653" t="s">
        <v>3226</v>
      </c>
      <c r="G2653" s="4">
        <v>39587.86</v>
      </c>
      <c r="H2653" s="4">
        <v>29818.65</v>
      </c>
      <c r="I2653" s="3" t="s">
        <v>3734</v>
      </c>
      <c r="J2653">
        <v>4</v>
      </c>
      <c r="K2653" s="4">
        <f>Table3[[#This Row],[Sales]]-Table3[[#This Row],[Cost]]</f>
        <v>9769.2099999999991</v>
      </c>
      <c r="L2653" s="6">
        <f>Table3[[#This Row],[Profit]]/Table3[[#This Row],[Sales]]</f>
        <v>0.24677287431045777</v>
      </c>
    </row>
    <row r="2654" spans="1:12" x14ac:dyDescent="0.25">
      <c r="A2654" t="s">
        <v>1420</v>
      </c>
      <c r="B2654" s="2">
        <v>45102</v>
      </c>
      <c r="C2654" s="2" t="str">
        <f>TEXT(Table3[[#This Row],[Order Date]],"mmmm")</f>
        <v>June</v>
      </c>
      <c r="D2654" t="s">
        <v>3730</v>
      </c>
      <c r="E2654" t="s">
        <v>3224</v>
      </c>
      <c r="F2654" t="s">
        <v>3226</v>
      </c>
      <c r="G2654" s="4">
        <v>196310.43</v>
      </c>
      <c r="H2654" s="4">
        <v>157048.34400000001</v>
      </c>
      <c r="I2654" s="3" t="s">
        <v>3735</v>
      </c>
      <c r="J2654">
        <v>4</v>
      </c>
      <c r="K2654" s="4">
        <f>Table3[[#This Row],[Sales]]-Table3[[#This Row],[Cost]]</f>
        <v>39262.085999999981</v>
      </c>
      <c r="L2654" s="6">
        <f>Table3[[#This Row],[Profit]]/Table3[[#This Row],[Sales]]</f>
        <v>0.1999999999999999</v>
      </c>
    </row>
    <row r="2655" spans="1:12" x14ac:dyDescent="0.25">
      <c r="A2655" t="s">
        <v>2385</v>
      </c>
      <c r="B2655" s="2" t="s">
        <v>3729</v>
      </c>
      <c r="C2655" s="2" t="str">
        <f>TEXT(Table3[[#This Row],[Order Date]],"mmmm")</f>
        <v>Not Mentioned</v>
      </c>
      <c r="D2655" t="s">
        <v>3730</v>
      </c>
      <c r="E2655" t="s">
        <v>3225</v>
      </c>
      <c r="F2655" t="s">
        <v>3226</v>
      </c>
      <c r="G2655" s="4">
        <v>21588.23</v>
      </c>
      <c r="H2655" s="4">
        <v>13484.64</v>
      </c>
      <c r="I2655" s="3" t="s">
        <v>3734</v>
      </c>
      <c r="J2655">
        <v>1</v>
      </c>
      <c r="K2655" s="4">
        <f>Table3[[#This Row],[Sales]]-Table3[[#This Row],[Cost]]</f>
        <v>8103.59</v>
      </c>
      <c r="L2655" s="6">
        <f>Table3[[#This Row],[Profit]]/Table3[[#This Row],[Sales]]</f>
        <v>0.37537074600372522</v>
      </c>
    </row>
    <row r="2656" spans="1:12" x14ac:dyDescent="0.25">
      <c r="A2656" t="s">
        <v>2386</v>
      </c>
      <c r="B2656" s="2" t="s">
        <v>3729</v>
      </c>
      <c r="C2656" s="2" t="str">
        <f>TEXT(Table3[[#This Row],[Order Date]],"mmmm")</f>
        <v>Not Mentioned</v>
      </c>
      <c r="D2656" t="s">
        <v>3220</v>
      </c>
      <c r="E2656" t="s">
        <v>3223</v>
      </c>
      <c r="F2656" t="s">
        <v>3226</v>
      </c>
      <c r="G2656" s="4">
        <v>10320.69</v>
      </c>
      <c r="H2656" s="4">
        <v>6545.66</v>
      </c>
      <c r="I2656" s="3" t="s">
        <v>3734</v>
      </c>
      <c r="J2656">
        <v>1</v>
      </c>
      <c r="K2656" s="4">
        <f>Table3[[#This Row],[Sales]]-Table3[[#This Row],[Cost]]</f>
        <v>3775.0300000000007</v>
      </c>
      <c r="L2656" s="6">
        <f>Table3[[#This Row],[Profit]]/Table3[[#This Row],[Sales]]</f>
        <v>0.36577302486558561</v>
      </c>
    </row>
    <row r="2657" spans="1:12" x14ac:dyDescent="0.25">
      <c r="A2657" t="s">
        <v>3561</v>
      </c>
      <c r="B2657" s="2">
        <v>44972</v>
      </c>
      <c r="C2657" s="2" t="str">
        <f>TEXT(Table3[[#This Row],[Order Date]],"mmmm")</f>
        <v>February</v>
      </c>
      <c r="D2657" t="s">
        <v>3730</v>
      </c>
      <c r="E2657" t="s">
        <v>3223</v>
      </c>
      <c r="F2657" t="s">
        <v>3226</v>
      </c>
      <c r="G2657" s="4">
        <v>21898.78</v>
      </c>
      <c r="H2657" s="4">
        <v>12662.91</v>
      </c>
      <c r="I2657" s="3" t="s">
        <v>3734</v>
      </c>
      <c r="J2657">
        <v>2</v>
      </c>
      <c r="K2657" s="4">
        <f>Table3[[#This Row],[Sales]]-Table3[[#This Row],[Cost]]</f>
        <v>9235.869999999999</v>
      </c>
      <c r="L2657" s="6">
        <f>Table3[[#This Row],[Profit]]/Table3[[#This Row],[Sales]]</f>
        <v>0.42175271864460029</v>
      </c>
    </row>
    <row r="2658" spans="1:12" x14ac:dyDescent="0.25">
      <c r="A2658" t="s">
        <v>2388</v>
      </c>
      <c r="B2658" s="2">
        <v>45102</v>
      </c>
      <c r="C2658" s="2" t="str">
        <f>TEXT(Table3[[#This Row],[Order Date]],"mmmm")</f>
        <v>June</v>
      </c>
      <c r="D2658" t="s">
        <v>3731</v>
      </c>
      <c r="E2658" t="s">
        <v>3223</v>
      </c>
      <c r="F2658" t="s">
        <v>3226</v>
      </c>
      <c r="G2658" s="4">
        <v>27943.56</v>
      </c>
      <c r="H2658" s="4">
        <v>20369.060000000001</v>
      </c>
      <c r="I2658" s="3" t="s">
        <v>3734</v>
      </c>
      <c r="J2658">
        <v>3</v>
      </c>
      <c r="K2658" s="4">
        <f>Table3[[#This Row],[Sales]]-Table3[[#This Row],[Cost]]</f>
        <v>7574.5</v>
      </c>
      <c r="L2658" s="6">
        <f>Table3[[#This Row],[Profit]]/Table3[[#This Row],[Sales]]</f>
        <v>0.27106424521428191</v>
      </c>
    </row>
    <row r="2659" spans="1:12" x14ac:dyDescent="0.25">
      <c r="A2659" t="s">
        <v>843</v>
      </c>
      <c r="B2659" s="2">
        <v>45102</v>
      </c>
      <c r="C2659" s="2" t="str">
        <f>TEXT(Table3[[#This Row],[Order Date]],"mmmm")</f>
        <v>June</v>
      </c>
      <c r="D2659" t="s">
        <v>3216</v>
      </c>
      <c r="E2659" t="s">
        <v>3222</v>
      </c>
      <c r="F2659" t="s">
        <v>3226</v>
      </c>
      <c r="G2659" s="4">
        <v>75246.679999999993</v>
      </c>
      <c r="H2659" s="4">
        <v>44153.69</v>
      </c>
      <c r="I2659" s="3" t="s">
        <v>3734</v>
      </c>
      <c r="J2659">
        <v>5</v>
      </c>
      <c r="K2659" s="4">
        <f>Table3[[#This Row],[Sales]]-Table3[[#This Row],[Cost]]</f>
        <v>31092.989999999991</v>
      </c>
      <c r="L2659" s="6">
        <f>Table3[[#This Row],[Profit]]/Table3[[#This Row],[Sales]]</f>
        <v>0.41321411124052243</v>
      </c>
    </row>
    <row r="2660" spans="1:12" x14ac:dyDescent="0.25">
      <c r="A2660" t="s">
        <v>2389</v>
      </c>
      <c r="B2660" s="2">
        <v>44941</v>
      </c>
      <c r="C2660" s="2" t="str">
        <f>TEXT(Table3[[#This Row],[Order Date]],"mmmm")</f>
        <v>January</v>
      </c>
      <c r="D2660" t="s">
        <v>3220</v>
      </c>
      <c r="E2660" t="s">
        <v>3224</v>
      </c>
      <c r="F2660" t="s">
        <v>3226</v>
      </c>
      <c r="G2660" s="4">
        <v>312870.98</v>
      </c>
      <c r="H2660" s="4">
        <v>243363.34</v>
      </c>
      <c r="I2660" s="3" t="s">
        <v>3734</v>
      </c>
      <c r="J2660">
        <v>5</v>
      </c>
      <c r="K2660" s="4">
        <f>Table3[[#This Row],[Sales]]-Table3[[#This Row],[Cost]]</f>
        <v>69507.639999999985</v>
      </c>
      <c r="L2660" s="6">
        <f>Table3[[#This Row],[Profit]]/Table3[[#This Row],[Sales]]</f>
        <v>0.22216071301978851</v>
      </c>
    </row>
    <row r="2661" spans="1:12" x14ac:dyDescent="0.25">
      <c r="A2661" t="s">
        <v>1934</v>
      </c>
      <c r="B2661" s="2">
        <v>45005</v>
      </c>
      <c r="C2661" s="2" t="str">
        <f>TEXT(Table3[[#This Row],[Order Date]],"mmmm")</f>
        <v>March</v>
      </c>
      <c r="D2661" t="s">
        <v>3216</v>
      </c>
      <c r="E2661" t="s">
        <v>3222</v>
      </c>
      <c r="F2661" t="s">
        <v>3226</v>
      </c>
      <c r="G2661" s="4">
        <v>87185.57</v>
      </c>
      <c r="H2661" s="4">
        <v>54543.99</v>
      </c>
      <c r="I2661" s="3" t="s">
        <v>3734</v>
      </c>
      <c r="J2661">
        <v>5</v>
      </c>
      <c r="K2661" s="4">
        <f>Table3[[#This Row],[Sales]]-Table3[[#This Row],[Cost]]</f>
        <v>32641.580000000009</v>
      </c>
      <c r="L2661" s="6">
        <f>Table3[[#This Row],[Profit]]/Table3[[#This Row],[Sales]]</f>
        <v>0.37439200087812702</v>
      </c>
    </row>
    <row r="2662" spans="1:12" x14ac:dyDescent="0.25">
      <c r="A2662" t="s">
        <v>2390</v>
      </c>
      <c r="B2662" s="2">
        <v>45005</v>
      </c>
      <c r="C2662" s="2" t="str">
        <f>TEXT(Table3[[#This Row],[Order Date]],"mmmm")</f>
        <v>March</v>
      </c>
      <c r="D2662" t="s">
        <v>3730</v>
      </c>
      <c r="E2662" t="s">
        <v>3222</v>
      </c>
      <c r="F2662" t="s">
        <v>3226</v>
      </c>
      <c r="G2662" s="4">
        <v>65817.039999999994</v>
      </c>
      <c r="H2662" s="4">
        <v>46801.36</v>
      </c>
      <c r="I2662" s="3" t="s">
        <v>3734</v>
      </c>
      <c r="J2662">
        <v>5</v>
      </c>
      <c r="K2662" s="4">
        <f>Table3[[#This Row],[Sales]]-Table3[[#This Row],[Cost]]</f>
        <v>19015.679999999993</v>
      </c>
      <c r="L2662" s="6">
        <f>Table3[[#This Row],[Profit]]/Table3[[#This Row],[Sales]]</f>
        <v>0.28891727734945227</v>
      </c>
    </row>
    <row r="2663" spans="1:12" x14ac:dyDescent="0.25">
      <c r="A2663" t="s">
        <v>2391</v>
      </c>
      <c r="B2663" s="2" t="s">
        <v>3729</v>
      </c>
      <c r="C2663" s="2" t="str">
        <f>TEXT(Table3[[#This Row],[Order Date]],"mmmm")</f>
        <v>Not Mentioned</v>
      </c>
      <c r="D2663" t="s">
        <v>3216</v>
      </c>
      <c r="E2663" t="s">
        <v>3222</v>
      </c>
      <c r="F2663" t="s">
        <v>3226</v>
      </c>
      <c r="G2663" s="4">
        <v>66402.78</v>
      </c>
      <c r="H2663" s="4">
        <v>49202.61</v>
      </c>
      <c r="I2663" s="3" t="s">
        <v>3734</v>
      </c>
      <c r="J2663">
        <v>5</v>
      </c>
      <c r="K2663" s="4">
        <f>Table3[[#This Row],[Sales]]-Table3[[#This Row],[Cost]]</f>
        <v>17200.169999999998</v>
      </c>
      <c r="L2663" s="6">
        <f>Table3[[#This Row],[Profit]]/Table3[[#This Row],[Sales]]</f>
        <v>0.25902785997815148</v>
      </c>
    </row>
    <row r="2664" spans="1:12" x14ac:dyDescent="0.25">
      <c r="A2664" t="s">
        <v>3627</v>
      </c>
      <c r="B2664" s="2">
        <v>45102</v>
      </c>
      <c r="C2664" s="2" t="str">
        <f>TEXT(Table3[[#This Row],[Order Date]],"mmmm")</f>
        <v>June</v>
      </c>
      <c r="D2664" t="s">
        <v>3220</v>
      </c>
      <c r="E2664" t="s">
        <v>3223</v>
      </c>
      <c r="F2664" t="s">
        <v>3226</v>
      </c>
      <c r="G2664" s="4">
        <v>10408.799999999999</v>
      </c>
      <c r="H2664" s="4">
        <v>6041.54</v>
      </c>
      <c r="I2664" s="3" t="s">
        <v>3734</v>
      </c>
      <c r="J2664">
        <v>1</v>
      </c>
      <c r="K2664" s="4">
        <f>Table3[[#This Row],[Sales]]-Table3[[#This Row],[Cost]]</f>
        <v>4367.2599999999993</v>
      </c>
      <c r="L2664" s="6">
        <f>Table3[[#This Row],[Profit]]/Table3[[#This Row],[Sales]]</f>
        <v>0.419573822150488</v>
      </c>
    </row>
    <row r="2665" spans="1:12" x14ac:dyDescent="0.25">
      <c r="A2665" t="s">
        <v>2393</v>
      </c>
      <c r="B2665" s="2" t="s">
        <v>3729</v>
      </c>
      <c r="C2665" s="2" t="str">
        <f>TEXT(Table3[[#This Row],[Order Date]],"mmmm")</f>
        <v>Not Mentioned</v>
      </c>
      <c r="D2665" t="s">
        <v>3731</v>
      </c>
      <c r="E2665" t="s">
        <v>3224</v>
      </c>
      <c r="F2665" t="s">
        <v>3226</v>
      </c>
      <c r="G2665" s="4">
        <v>49686.63</v>
      </c>
      <c r="H2665" s="4">
        <v>43928.98</v>
      </c>
      <c r="I2665" s="3" t="s">
        <v>3734</v>
      </c>
      <c r="J2665">
        <v>1</v>
      </c>
      <c r="K2665" s="4">
        <f>Table3[[#This Row],[Sales]]-Table3[[#This Row],[Cost]]</f>
        <v>5757.6499999999942</v>
      </c>
      <c r="L2665" s="6">
        <f>Table3[[#This Row],[Profit]]/Table3[[#This Row],[Sales]]</f>
        <v>0.11587926168468247</v>
      </c>
    </row>
    <row r="2666" spans="1:12" x14ac:dyDescent="0.25">
      <c r="A2666" t="s">
        <v>2394</v>
      </c>
      <c r="B2666" s="2">
        <v>44972</v>
      </c>
      <c r="C2666" s="2" t="str">
        <f>TEXT(Table3[[#This Row],[Order Date]],"mmmm")</f>
        <v>February</v>
      </c>
      <c r="D2666" t="s">
        <v>3731</v>
      </c>
      <c r="E2666" t="s">
        <v>3222</v>
      </c>
      <c r="F2666" t="s">
        <v>3226</v>
      </c>
      <c r="G2666" s="4">
        <v>30726.46</v>
      </c>
      <c r="H2666" s="4">
        <v>21017.87</v>
      </c>
      <c r="I2666" s="3" t="s">
        <v>3734</v>
      </c>
      <c r="J2666">
        <v>2</v>
      </c>
      <c r="K2666" s="4">
        <f>Table3[[#This Row],[Sales]]-Table3[[#This Row],[Cost]]</f>
        <v>9708.59</v>
      </c>
      <c r="L2666" s="6">
        <f>Table3[[#This Row],[Profit]]/Table3[[#This Row],[Sales]]</f>
        <v>0.31596838685614942</v>
      </c>
    </row>
    <row r="2667" spans="1:12" x14ac:dyDescent="0.25">
      <c r="A2667" t="s">
        <v>2395</v>
      </c>
      <c r="B2667" s="2">
        <v>45102</v>
      </c>
      <c r="C2667" s="2" t="str">
        <f>TEXT(Table3[[#This Row],[Order Date]],"mmmm")</f>
        <v>June</v>
      </c>
      <c r="D2667" t="s">
        <v>3730</v>
      </c>
      <c r="E2667" t="s">
        <v>3222</v>
      </c>
      <c r="F2667" t="s">
        <v>3226</v>
      </c>
      <c r="G2667" s="4">
        <v>58487.31</v>
      </c>
      <c r="H2667" s="4">
        <v>39988.5</v>
      </c>
      <c r="I2667" s="3" t="s">
        <v>3734</v>
      </c>
      <c r="J2667">
        <v>4</v>
      </c>
      <c r="K2667" s="4">
        <f>Table3[[#This Row],[Sales]]-Table3[[#This Row],[Cost]]</f>
        <v>18498.809999999998</v>
      </c>
      <c r="L2667" s="6">
        <f>Table3[[#This Row],[Profit]]/Table3[[#This Row],[Sales]]</f>
        <v>0.31628758443498256</v>
      </c>
    </row>
    <row r="2668" spans="1:12" x14ac:dyDescent="0.25">
      <c r="A2668" t="s">
        <v>2396</v>
      </c>
      <c r="B2668" s="2">
        <v>44972</v>
      </c>
      <c r="C2668" s="2" t="str">
        <f>TEXT(Table3[[#This Row],[Order Date]],"mmmm")</f>
        <v>February</v>
      </c>
      <c r="D2668" t="s">
        <v>3220</v>
      </c>
      <c r="E2668" t="s">
        <v>3222</v>
      </c>
      <c r="F2668" t="s">
        <v>3226</v>
      </c>
      <c r="G2668" s="4">
        <v>50959.54</v>
      </c>
      <c r="H2668" s="4">
        <v>36576.910000000003</v>
      </c>
      <c r="I2668" s="3" t="s">
        <v>3734</v>
      </c>
      <c r="J2668">
        <v>4</v>
      </c>
      <c r="K2668" s="4">
        <f>Table3[[#This Row],[Sales]]-Table3[[#This Row],[Cost]]</f>
        <v>14382.629999999997</v>
      </c>
      <c r="L2668" s="6">
        <f>Table3[[#This Row],[Profit]]/Table3[[#This Row],[Sales]]</f>
        <v>0.2822362603744068</v>
      </c>
    </row>
    <row r="2669" spans="1:12" x14ac:dyDescent="0.25">
      <c r="A2669" t="s">
        <v>2397</v>
      </c>
      <c r="B2669" s="2">
        <v>44972</v>
      </c>
      <c r="C2669" s="2" t="str">
        <f>TEXT(Table3[[#This Row],[Order Date]],"mmmm")</f>
        <v>February</v>
      </c>
      <c r="D2669" t="s">
        <v>3730</v>
      </c>
      <c r="E2669" t="s">
        <v>3223</v>
      </c>
      <c r="F2669" t="s">
        <v>3226</v>
      </c>
      <c r="G2669" s="4">
        <v>8241.19</v>
      </c>
      <c r="H2669" s="4">
        <v>6431.19</v>
      </c>
      <c r="I2669" s="3" t="s">
        <v>3734</v>
      </c>
      <c r="J2669">
        <v>1</v>
      </c>
      <c r="K2669" s="4">
        <f>Table3[[#This Row],[Sales]]-Table3[[#This Row],[Cost]]</f>
        <v>1810.0000000000009</v>
      </c>
      <c r="L2669" s="6">
        <f>Table3[[#This Row],[Profit]]/Table3[[#This Row],[Sales]]</f>
        <v>0.21962847598465765</v>
      </c>
    </row>
    <row r="2670" spans="1:12" x14ac:dyDescent="0.25">
      <c r="A2670" t="s">
        <v>2398</v>
      </c>
      <c r="B2670" s="2" t="s">
        <v>3729</v>
      </c>
      <c r="C2670" s="2" t="str">
        <f>TEXT(Table3[[#This Row],[Order Date]],"mmmm")</f>
        <v>Not Mentioned</v>
      </c>
      <c r="D2670" t="s">
        <v>3220</v>
      </c>
      <c r="E2670" t="s">
        <v>3222</v>
      </c>
      <c r="F2670" t="s">
        <v>3226</v>
      </c>
      <c r="G2670" s="4">
        <v>45978.92</v>
      </c>
      <c r="H2670" s="4">
        <v>32537.14</v>
      </c>
      <c r="I2670" s="3" t="s">
        <v>3734</v>
      </c>
      <c r="J2670">
        <v>3</v>
      </c>
      <c r="K2670" s="4">
        <f>Table3[[#This Row],[Sales]]-Table3[[#This Row],[Cost]]</f>
        <v>13441.779999999999</v>
      </c>
      <c r="L2670" s="6">
        <f>Table3[[#This Row],[Profit]]/Table3[[#This Row],[Sales]]</f>
        <v>0.29234657969347688</v>
      </c>
    </row>
    <row r="2671" spans="1:12" x14ac:dyDescent="0.25">
      <c r="A2671" t="s">
        <v>509</v>
      </c>
      <c r="B2671" s="2">
        <v>45021</v>
      </c>
      <c r="C2671" s="2" t="str">
        <f>TEXT(Table3[[#This Row],[Order Date]],"mmmm")</f>
        <v>April</v>
      </c>
      <c r="D2671" t="s">
        <v>3731</v>
      </c>
      <c r="E2671" t="s">
        <v>3224</v>
      </c>
      <c r="F2671" t="s">
        <v>3226</v>
      </c>
      <c r="G2671" s="4">
        <v>271761.24</v>
      </c>
      <c r="H2671" s="4">
        <v>171296.96</v>
      </c>
      <c r="I2671" s="3" t="s">
        <v>3734</v>
      </c>
      <c r="J2671">
        <v>4</v>
      </c>
      <c r="K2671" s="4">
        <f>Table3[[#This Row],[Sales]]-Table3[[#This Row],[Cost]]</f>
        <v>100464.28</v>
      </c>
      <c r="L2671" s="6">
        <f>Table3[[#This Row],[Profit]]/Table3[[#This Row],[Sales]]</f>
        <v>0.3696784721765326</v>
      </c>
    </row>
    <row r="2672" spans="1:12" x14ac:dyDescent="0.25">
      <c r="A2672" t="s">
        <v>2399</v>
      </c>
      <c r="B2672" s="2" t="s">
        <v>3729</v>
      </c>
      <c r="C2672" s="2" t="str">
        <f>TEXT(Table3[[#This Row],[Order Date]],"mmmm")</f>
        <v>Not Mentioned</v>
      </c>
      <c r="D2672" t="s">
        <v>3220</v>
      </c>
      <c r="E2672" t="s">
        <v>3222</v>
      </c>
      <c r="F2672" t="s">
        <v>3226</v>
      </c>
      <c r="G2672" s="4">
        <v>31937.919999999998</v>
      </c>
      <c r="H2672" s="4">
        <v>20931.490000000002</v>
      </c>
      <c r="I2672" s="3" t="s">
        <v>3734</v>
      </c>
      <c r="J2672">
        <v>2</v>
      </c>
      <c r="K2672" s="4">
        <f>Table3[[#This Row],[Sales]]-Table3[[#This Row],[Cost]]</f>
        <v>11006.429999999997</v>
      </c>
      <c r="L2672" s="6">
        <f>Table3[[#This Row],[Profit]]/Table3[[#This Row],[Sales]]</f>
        <v>0.34461949932869756</v>
      </c>
    </row>
    <row r="2673" spans="1:12" x14ac:dyDescent="0.25">
      <c r="A2673" t="s">
        <v>2400</v>
      </c>
      <c r="B2673" s="2" t="s">
        <v>3729</v>
      </c>
      <c r="C2673" s="2" t="str">
        <f>TEXT(Table3[[#This Row],[Order Date]],"mmmm")</f>
        <v>Not Mentioned</v>
      </c>
      <c r="D2673" t="s">
        <v>3731</v>
      </c>
      <c r="E2673" t="s">
        <v>3225</v>
      </c>
      <c r="F2673" t="s">
        <v>3226</v>
      </c>
      <c r="G2673" s="4">
        <v>89865.74</v>
      </c>
      <c r="H2673" s="4">
        <v>63593.75</v>
      </c>
      <c r="I2673" s="3" t="s">
        <v>3734</v>
      </c>
      <c r="J2673">
        <v>5</v>
      </c>
      <c r="K2673" s="4">
        <f>Table3[[#This Row],[Sales]]-Table3[[#This Row],[Cost]]</f>
        <v>26271.990000000005</v>
      </c>
      <c r="L2673" s="6">
        <f>Table3[[#This Row],[Profit]]/Table3[[#This Row],[Sales]]</f>
        <v>0.29234711693243726</v>
      </c>
    </row>
    <row r="2674" spans="1:12" x14ac:dyDescent="0.25">
      <c r="A2674" t="s">
        <v>2401</v>
      </c>
      <c r="B2674" s="2">
        <v>44941</v>
      </c>
      <c r="C2674" s="2" t="str">
        <f>TEXT(Table3[[#This Row],[Order Date]],"mmmm")</f>
        <v>January</v>
      </c>
      <c r="D2674" t="s">
        <v>3731</v>
      </c>
      <c r="E2674" t="s">
        <v>3224</v>
      </c>
      <c r="F2674" t="s">
        <v>3226</v>
      </c>
      <c r="G2674" s="4">
        <v>49719.4</v>
      </c>
      <c r="H2674" s="4">
        <v>39775.520000000004</v>
      </c>
      <c r="I2674" s="3" t="s">
        <v>3735</v>
      </c>
      <c r="J2674">
        <v>1</v>
      </c>
      <c r="K2674" s="4">
        <f>Table3[[#This Row],[Sales]]-Table3[[#This Row],[Cost]]</f>
        <v>9943.8799999999974</v>
      </c>
      <c r="L2674" s="6">
        <f>Table3[[#This Row],[Profit]]/Table3[[#This Row],[Sales]]</f>
        <v>0.19999999999999993</v>
      </c>
    </row>
    <row r="2675" spans="1:12" x14ac:dyDescent="0.25">
      <c r="A2675" t="s">
        <v>2402</v>
      </c>
      <c r="B2675" s="2">
        <v>45102</v>
      </c>
      <c r="C2675" s="2" t="str">
        <f>TEXT(Table3[[#This Row],[Order Date]],"mmmm")</f>
        <v>June</v>
      </c>
      <c r="D2675" t="s">
        <v>3216</v>
      </c>
      <c r="E2675" t="s">
        <v>3222</v>
      </c>
      <c r="F2675" t="s">
        <v>3226</v>
      </c>
      <c r="G2675" s="4">
        <v>89169.95</v>
      </c>
      <c r="H2675" s="4">
        <v>44345.440000000002</v>
      </c>
      <c r="I2675" s="3" t="s">
        <v>3734</v>
      </c>
      <c r="J2675">
        <v>5</v>
      </c>
      <c r="K2675" s="4">
        <f>Table3[[#This Row],[Sales]]-Table3[[#This Row],[Cost]]</f>
        <v>44824.509999999995</v>
      </c>
      <c r="L2675" s="6">
        <f>Table3[[#This Row],[Profit]]/Table3[[#This Row],[Sales]]</f>
        <v>0.50268627491660578</v>
      </c>
    </row>
    <row r="2676" spans="1:12" x14ac:dyDescent="0.25">
      <c r="A2676" t="s">
        <v>2403</v>
      </c>
      <c r="B2676" s="2">
        <v>45102</v>
      </c>
      <c r="C2676" s="2" t="str">
        <f>TEXT(Table3[[#This Row],[Order Date]],"mmmm")</f>
        <v>June</v>
      </c>
      <c r="D2676" t="s">
        <v>3220</v>
      </c>
      <c r="E2676" t="s">
        <v>3223</v>
      </c>
      <c r="F2676" t="s">
        <v>3226</v>
      </c>
      <c r="G2676" s="4">
        <v>17329.45</v>
      </c>
      <c r="H2676" s="4">
        <v>15294.88</v>
      </c>
      <c r="I2676" s="3" t="s">
        <v>3734</v>
      </c>
      <c r="J2676">
        <v>2</v>
      </c>
      <c r="K2676" s="4">
        <f>Table3[[#This Row],[Sales]]-Table3[[#This Row],[Cost]]</f>
        <v>2034.5700000000015</v>
      </c>
      <c r="L2676" s="6">
        <f>Table3[[#This Row],[Profit]]/Table3[[#This Row],[Sales]]</f>
        <v>0.11740534177368592</v>
      </c>
    </row>
    <row r="2677" spans="1:12" x14ac:dyDescent="0.25">
      <c r="A2677" t="s">
        <v>2404</v>
      </c>
      <c r="B2677" s="2">
        <v>44941</v>
      </c>
      <c r="C2677" s="2" t="str">
        <f>TEXT(Table3[[#This Row],[Order Date]],"mmmm")</f>
        <v>January</v>
      </c>
      <c r="D2677" t="s">
        <v>3216</v>
      </c>
      <c r="E2677" t="s">
        <v>3224</v>
      </c>
      <c r="F2677" t="s">
        <v>3226</v>
      </c>
      <c r="G2677" s="4">
        <v>271309.31</v>
      </c>
      <c r="H2677" s="4">
        <v>197928.76</v>
      </c>
      <c r="I2677" s="3" t="s">
        <v>3734</v>
      </c>
      <c r="J2677">
        <v>4</v>
      </c>
      <c r="K2677" s="4">
        <f>Table3[[#This Row],[Sales]]-Table3[[#This Row],[Cost]]</f>
        <v>73380.549999999988</v>
      </c>
      <c r="L2677" s="6">
        <f>Table3[[#This Row],[Profit]]/Table3[[#This Row],[Sales]]</f>
        <v>0.27046823420840216</v>
      </c>
    </row>
    <row r="2678" spans="1:12" x14ac:dyDescent="0.25">
      <c r="A2678" t="s">
        <v>2405</v>
      </c>
      <c r="B2678" s="2" t="s">
        <v>3729</v>
      </c>
      <c r="C2678" s="2" t="str">
        <f>TEXT(Table3[[#This Row],[Order Date]],"mmmm")</f>
        <v>Not Mentioned</v>
      </c>
      <c r="D2678" t="s">
        <v>3220</v>
      </c>
      <c r="E2678" t="s">
        <v>3223</v>
      </c>
      <c r="F2678" t="s">
        <v>3226</v>
      </c>
      <c r="G2678" s="4">
        <v>29415.97</v>
      </c>
      <c r="H2678" s="4">
        <v>22566.93</v>
      </c>
      <c r="I2678" s="3" t="s">
        <v>3734</v>
      </c>
      <c r="J2678">
        <v>3</v>
      </c>
      <c r="K2678" s="4">
        <f>Table3[[#This Row],[Sales]]-Table3[[#This Row],[Cost]]</f>
        <v>6849.0400000000009</v>
      </c>
      <c r="L2678" s="6">
        <f>Table3[[#This Row],[Profit]]/Table3[[#This Row],[Sales]]</f>
        <v>0.2328340693847594</v>
      </c>
    </row>
    <row r="2679" spans="1:12" x14ac:dyDescent="0.25">
      <c r="A2679" t="s">
        <v>2406</v>
      </c>
      <c r="B2679" s="2" t="s">
        <v>3729</v>
      </c>
      <c r="C2679" s="2" t="str">
        <f>TEXT(Table3[[#This Row],[Order Date]],"mmmm")</f>
        <v>Not Mentioned</v>
      </c>
      <c r="D2679" t="s">
        <v>3731</v>
      </c>
      <c r="E2679" t="s">
        <v>3222</v>
      </c>
      <c r="F2679" t="s">
        <v>3226</v>
      </c>
      <c r="G2679" s="4">
        <v>39190.76</v>
      </c>
      <c r="H2679" s="4">
        <v>31405.48</v>
      </c>
      <c r="I2679" s="3" t="s">
        <v>3734</v>
      </c>
      <c r="J2679">
        <v>3</v>
      </c>
      <c r="K2679" s="4">
        <f>Table3[[#This Row],[Sales]]-Table3[[#This Row],[Cost]]</f>
        <v>7785.2800000000025</v>
      </c>
      <c r="L2679" s="6">
        <f>Table3[[#This Row],[Profit]]/Table3[[#This Row],[Sales]]</f>
        <v>0.19865090648918271</v>
      </c>
    </row>
    <row r="2680" spans="1:12" x14ac:dyDescent="0.25">
      <c r="A2680" t="s">
        <v>2407</v>
      </c>
      <c r="B2680" s="2" t="s">
        <v>3729</v>
      </c>
      <c r="C2680" s="2" t="str">
        <f>TEXT(Table3[[#This Row],[Order Date]],"mmmm")</f>
        <v>Not Mentioned</v>
      </c>
      <c r="D2680" t="s">
        <v>3220</v>
      </c>
      <c r="E2680" t="s">
        <v>3224</v>
      </c>
      <c r="F2680" t="s">
        <v>3226</v>
      </c>
      <c r="G2680" s="4">
        <v>280308.58</v>
      </c>
      <c r="H2680" s="4">
        <v>157996.17000000001</v>
      </c>
      <c r="I2680" s="3" t="s">
        <v>3734</v>
      </c>
      <c r="J2680">
        <v>4</v>
      </c>
      <c r="K2680" s="4">
        <f>Table3[[#This Row],[Sales]]-Table3[[#This Row],[Cost]]</f>
        <v>122312.41</v>
      </c>
      <c r="L2680" s="6">
        <f>Table3[[#This Row],[Profit]]/Table3[[#This Row],[Sales]]</f>
        <v>0.43634914778562967</v>
      </c>
    </row>
    <row r="2681" spans="1:12" x14ac:dyDescent="0.25">
      <c r="A2681" t="s">
        <v>3501</v>
      </c>
      <c r="B2681" s="2">
        <v>45005</v>
      </c>
      <c r="C2681" s="2" t="str">
        <f>TEXT(Table3[[#This Row],[Order Date]],"mmmm")</f>
        <v>March</v>
      </c>
      <c r="D2681" t="s">
        <v>3730</v>
      </c>
      <c r="E2681" t="s">
        <v>3222</v>
      </c>
      <c r="F2681" t="s">
        <v>3226</v>
      </c>
      <c r="G2681" s="4">
        <v>62070.96</v>
      </c>
      <c r="H2681" s="4">
        <v>52960.06</v>
      </c>
      <c r="I2681" s="3" t="s">
        <v>3734</v>
      </c>
      <c r="J2681">
        <v>5</v>
      </c>
      <c r="K2681" s="4">
        <f>Table3[[#This Row],[Sales]]-Table3[[#This Row],[Cost]]</f>
        <v>9110.9000000000015</v>
      </c>
      <c r="L2681" s="6">
        <f>Table3[[#This Row],[Profit]]/Table3[[#This Row],[Sales]]</f>
        <v>0.14678200562710811</v>
      </c>
    </row>
    <row r="2682" spans="1:12" x14ac:dyDescent="0.25">
      <c r="A2682" t="s">
        <v>2408</v>
      </c>
      <c r="B2682" s="2">
        <v>45021</v>
      </c>
      <c r="C2682" s="2" t="str">
        <f>TEXT(Table3[[#This Row],[Order Date]],"mmmm")</f>
        <v>April</v>
      </c>
      <c r="D2682" t="s">
        <v>3220</v>
      </c>
      <c r="E2682" t="s">
        <v>3222</v>
      </c>
      <c r="F2682" t="s">
        <v>3226</v>
      </c>
      <c r="G2682" s="4">
        <v>24161.52</v>
      </c>
      <c r="H2682" s="4">
        <v>19329.216</v>
      </c>
      <c r="I2682" s="3" t="s">
        <v>3735</v>
      </c>
      <c r="J2682">
        <v>2</v>
      </c>
      <c r="K2682" s="4">
        <f>Table3[[#This Row],[Sales]]-Table3[[#This Row],[Cost]]</f>
        <v>4832.3040000000001</v>
      </c>
      <c r="L2682" s="6">
        <f>Table3[[#This Row],[Profit]]/Table3[[#This Row],[Sales]]</f>
        <v>0.2</v>
      </c>
    </row>
    <row r="2683" spans="1:12" x14ac:dyDescent="0.25">
      <c r="A2683" t="s">
        <v>2409</v>
      </c>
      <c r="B2683" s="2">
        <v>45102</v>
      </c>
      <c r="C2683" s="2" t="str">
        <f>TEXT(Table3[[#This Row],[Order Date]],"mmmm")</f>
        <v>June</v>
      </c>
      <c r="D2683" t="s">
        <v>3730</v>
      </c>
      <c r="E2683" t="s">
        <v>3222</v>
      </c>
      <c r="F2683" t="s">
        <v>3226</v>
      </c>
      <c r="G2683" s="4">
        <v>35161.629999999997</v>
      </c>
      <c r="H2683" s="4">
        <v>19226.86</v>
      </c>
      <c r="I2683" s="3" t="s">
        <v>3734</v>
      </c>
      <c r="J2683">
        <v>2</v>
      </c>
      <c r="K2683" s="4">
        <f>Table3[[#This Row],[Sales]]-Table3[[#This Row],[Cost]]</f>
        <v>15934.769999999997</v>
      </c>
      <c r="L2683" s="6">
        <f>Table3[[#This Row],[Profit]]/Table3[[#This Row],[Sales]]</f>
        <v>0.45318632839262568</v>
      </c>
    </row>
    <row r="2684" spans="1:12" x14ac:dyDescent="0.25">
      <c r="A2684" t="s">
        <v>2410</v>
      </c>
      <c r="B2684" s="2">
        <v>44941</v>
      </c>
      <c r="C2684" s="2" t="str">
        <f>TEXT(Table3[[#This Row],[Order Date]],"mmmm")</f>
        <v>January</v>
      </c>
      <c r="D2684" t="s">
        <v>3730</v>
      </c>
      <c r="E2684" t="s">
        <v>3223</v>
      </c>
      <c r="F2684" t="s">
        <v>3226</v>
      </c>
      <c r="G2684" s="4">
        <v>33307.440000000002</v>
      </c>
      <c r="H2684" s="4">
        <v>30549.74</v>
      </c>
      <c r="I2684" s="3" t="s">
        <v>3734</v>
      </c>
      <c r="J2684">
        <v>4</v>
      </c>
      <c r="K2684" s="4">
        <f>Table3[[#This Row],[Sales]]-Table3[[#This Row],[Cost]]</f>
        <v>2757.7000000000007</v>
      </c>
      <c r="L2684" s="6">
        <f>Table3[[#This Row],[Profit]]/Table3[[#This Row],[Sales]]</f>
        <v>8.2795315401003516E-2</v>
      </c>
    </row>
    <row r="2685" spans="1:12" x14ac:dyDescent="0.25">
      <c r="A2685" t="s">
        <v>2411</v>
      </c>
      <c r="B2685" s="2" t="s">
        <v>3729</v>
      </c>
      <c r="C2685" s="2" t="str">
        <f>TEXT(Table3[[#This Row],[Order Date]],"mmmm")</f>
        <v>Not Mentioned</v>
      </c>
      <c r="D2685" t="s">
        <v>3731</v>
      </c>
      <c r="E2685" t="s">
        <v>3224</v>
      </c>
      <c r="F2685" t="s">
        <v>3226</v>
      </c>
      <c r="G2685" s="4">
        <v>269134.02</v>
      </c>
      <c r="H2685" s="4">
        <v>158496.71</v>
      </c>
      <c r="I2685" s="3" t="s">
        <v>3734</v>
      </c>
      <c r="J2685">
        <v>4</v>
      </c>
      <c r="K2685" s="4">
        <f>Table3[[#This Row],[Sales]]-Table3[[#This Row],[Cost]]</f>
        <v>110637.31000000003</v>
      </c>
      <c r="L2685" s="6">
        <f>Table3[[#This Row],[Profit]]/Table3[[#This Row],[Sales]]</f>
        <v>0.41108630562572512</v>
      </c>
    </row>
    <row r="2686" spans="1:12" x14ac:dyDescent="0.25">
      <c r="A2686" t="s">
        <v>2412</v>
      </c>
      <c r="B2686" s="2" t="s">
        <v>3729</v>
      </c>
      <c r="C2686" s="2" t="str">
        <f>TEXT(Table3[[#This Row],[Order Date]],"mmmm")</f>
        <v>Not Mentioned</v>
      </c>
      <c r="D2686" t="s">
        <v>3730</v>
      </c>
      <c r="E2686" t="s">
        <v>3225</v>
      </c>
      <c r="F2686" t="s">
        <v>3226</v>
      </c>
      <c r="G2686" s="4">
        <v>16839.16</v>
      </c>
      <c r="H2686" s="4">
        <v>13479.9</v>
      </c>
      <c r="I2686" s="3" t="s">
        <v>3734</v>
      </c>
      <c r="J2686">
        <v>1</v>
      </c>
      <c r="K2686" s="4">
        <f>Table3[[#This Row],[Sales]]-Table3[[#This Row],[Cost]]</f>
        <v>3359.26</v>
      </c>
      <c r="L2686" s="6">
        <f>Table3[[#This Row],[Profit]]/Table3[[#This Row],[Sales]]</f>
        <v>0.19949094847961538</v>
      </c>
    </row>
    <row r="2687" spans="1:12" x14ac:dyDescent="0.25">
      <c r="A2687" t="s">
        <v>2413</v>
      </c>
      <c r="B2687" s="2">
        <v>44941</v>
      </c>
      <c r="C2687" s="2" t="str">
        <f>TEXT(Table3[[#This Row],[Order Date]],"mmmm")</f>
        <v>January</v>
      </c>
      <c r="D2687" t="s">
        <v>3731</v>
      </c>
      <c r="E2687" t="s">
        <v>3225</v>
      </c>
      <c r="F2687" t="s">
        <v>3226</v>
      </c>
      <c r="G2687" s="4">
        <v>23912.77</v>
      </c>
      <c r="H2687" s="4">
        <v>11946.82</v>
      </c>
      <c r="I2687" s="3" t="s">
        <v>3734</v>
      </c>
      <c r="J2687">
        <v>1</v>
      </c>
      <c r="K2687" s="4">
        <f>Table3[[#This Row],[Sales]]-Table3[[#This Row],[Cost]]</f>
        <v>11965.95</v>
      </c>
      <c r="L2687" s="6">
        <f>Table3[[#This Row],[Profit]]/Table3[[#This Row],[Sales]]</f>
        <v>0.50039999548358471</v>
      </c>
    </row>
    <row r="2688" spans="1:12" x14ac:dyDescent="0.25">
      <c r="A2688" t="s">
        <v>1394</v>
      </c>
      <c r="B2688" s="2" t="s">
        <v>3729</v>
      </c>
      <c r="C2688" s="2" t="str">
        <f>TEXT(Table3[[#This Row],[Order Date]],"mmmm")</f>
        <v>Not Mentioned</v>
      </c>
      <c r="D2688" t="s">
        <v>3220</v>
      </c>
      <c r="E2688" t="s">
        <v>3225</v>
      </c>
      <c r="F2688" t="s">
        <v>3226</v>
      </c>
      <c r="G2688" s="4">
        <v>22490.1</v>
      </c>
      <c r="H2688" s="4">
        <v>17992.079999999998</v>
      </c>
      <c r="I2688" s="3" t="s">
        <v>3735</v>
      </c>
      <c r="J2688">
        <v>1</v>
      </c>
      <c r="K2688" s="4">
        <f>Table3[[#This Row],[Sales]]-Table3[[#This Row],[Cost]]</f>
        <v>4498.0200000000004</v>
      </c>
      <c r="L2688" s="6">
        <f>Table3[[#This Row],[Profit]]/Table3[[#This Row],[Sales]]</f>
        <v>0.20000000000000004</v>
      </c>
    </row>
    <row r="2689" spans="1:12" x14ac:dyDescent="0.25">
      <c r="A2689" t="s">
        <v>2414</v>
      </c>
      <c r="B2689" s="2">
        <v>44972</v>
      </c>
      <c r="C2689" s="2" t="str">
        <f>TEXT(Table3[[#This Row],[Order Date]],"mmmm")</f>
        <v>February</v>
      </c>
      <c r="D2689" t="s">
        <v>3730</v>
      </c>
      <c r="E2689" t="s">
        <v>3222</v>
      </c>
      <c r="F2689" t="s">
        <v>3226</v>
      </c>
      <c r="G2689" s="4">
        <v>41513.31</v>
      </c>
      <c r="H2689" s="4">
        <v>33210.648000000001</v>
      </c>
      <c r="I2689" s="3" t="s">
        <v>3735</v>
      </c>
      <c r="J2689">
        <v>3</v>
      </c>
      <c r="K2689" s="4">
        <f>Table3[[#This Row],[Sales]]-Table3[[#This Row],[Cost]]</f>
        <v>8302.6619999999966</v>
      </c>
      <c r="L2689" s="6">
        <f>Table3[[#This Row],[Profit]]/Table3[[#This Row],[Sales]]</f>
        <v>0.19999999999999993</v>
      </c>
    </row>
    <row r="2690" spans="1:12" x14ac:dyDescent="0.25">
      <c r="A2690" t="s">
        <v>2415</v>
      </c>
      <c r="B2690" s="2">
        <v>45102</v>
      </c>
      <c r="C2690" s="2" t="str">
        <f>TEXT(Table3[[#This Row],[Order Date]],"mmmm")</f>
        <v>June</v>
      </c>
      <c r="D2690" t="s">
        <v>3730</v>
      </c>
      <c r="E2690" t="s">
        <v>3222</v>
      </c>
      <c r="F2690" t="s">
        <v>3226</v>
      </c>
      <c r="G2690" s="4">
        <v>70354.759999999995</v>
      </c>
      <c r="H2690" s="4">
        <v>39004.480000000003</v>
      </c>
      <c r="I2690" s="3" t="s">
        <v>3734</v>
      </c>
      <c r="J2690">
        <v>4</v>
      </c>
      <c r="K2690" s="4">
        <f>Table3[[#This Row],[Sales]]-Table3[[#This Row],[Cost]]</f>
        <v>31350.279999999992</v>
      </c>
      <c r="L2690" s="6">
        <f>Table3[[#This Row],[Profit]]/Table3[[#This Row],[Sales]]</f>
        <v>0.44560282772622628</v>
      </c>
    </row>
    <row r="2691" spans="1:12" x14ac:dyDescent="0.25">
      <c r="A2691" t="s">
        <v>2417</v>
      </c>
      <c r="B2691" s="2">
        <v>45102</v>
      </c>
      <c r="C2691" s="2" t="str">
        <f>TEXT(Table3[[#This Row],[Order Date]],"mmmm")</f>
        <v>June</v>
      </c>
      <c r="D2691" t="s">
        <v>3216</v>
      </c>
      <c r="E2691" t="s">
        <v>3223</v>
      </c>
      <c r="F2691" t="s">
        <v>3226</v>
      </c>
      <c r="G2691" s="4">
        <v>29860.43</v>
      </c>
      <c r="H2691" s="4">
        <v>18596.169999999998</v>
      </c>
      <c r="I2691" s="3" t="s">
        <v>3734</v>
      </c>
      <c r="J2691">
        <v>3</v>
      </c>
      <c r="K2691" s="4">
        <f>Table3[[#This Row],[Sales]]-Table3[[#This Row],[Cost]]</f>
        <v>11264.260000000002</v>
      </c>
      <c r="L2691" s="6">
        <f>Table3[[#This Row],[Profit]]/Table3[[#This Row],[Sales]]</f>
        <v>0.37723033459330635</v>
      </c>
    </row>
    <row r="2692" spans="1:12" x14ac:dyDescent="0.25">
      <c r="A2692" t="s">
        <v>2418</v>
      </c>
      <c r="B2692" s="2">
        <v>45102</v>
      </c>
      <c r="C2692" s="2" t="str">
        <f>TEXT(Table3[[#This Row],[Order Date]],"mmmm")</f>
        <v>June</v>
      </c>
      <c r="D2692" t="s">
        <v>3220</v>
      </c>
      <c r="E2692" t="s">
        <v>3222</v>
      </c>
      <c r="F2692" t="s">
        <v>3226</v>
      </c>
      <c r="G2692" s="4">
        <v>13433.69</v>
      </c>
      <c r="H2692" s="4">
        <v>10884.61</v>
      </c>
      <c r="I2692" s="3" t="s">
        <v>3734</v>
      </c>
      <c r="J2692">
        <v>1</v>
      </c>
      <c r="K2692" s="4">
        <f>Table3[[#This Row],[Sales]]-Table3[[#This Row],[Cost]]</f>
        <v>2549.08</v>
      </c>
      <c r="L2692" s="6">
        <f>Table3[[#This Row],[Profit]]/Table3[[#This Row],[Sales]]</f>
        <v>0.18975277827611028</v>
      </c>
    </row>
    <row r="2693" spans="1:12" x14ac:dyDescent="0.25">
      <c r="A2693" t="s">
        <v>2419</v>
      </c>
      <c r="B2693" s="2">
        <v>44941</v>
      </c>
      <c r="C2693" s="2" t="str">
        <f>TEXT(Table3[[#This Row],[Order Date]],"mmmm")</f>
        <v>January</v>
      </c>
      <c r="D2693" t="s">
        <v>3730</v>
      </c>
      <c r="E2693" t="s">
        <v>3222</v>
      </c>
      <c r="F2693" t="s">
        <v>3226</v>
      </c>
      <c r="G2693" s="4">
        <v>83890.66</v>
      </c>
      <c r="H2693" s="4">
        <v>49503.18</v>
      </c>
      <c r="I2693" s="3" t="s">
        <v>3734</v>
      </c>
      <c r="J2693">
        <v>5</v>
      </c>
      <c r="K2693" s="4">
        <f>Table3[[#This Row],[Sales]]-Table3[[#This Row],[Cost]]</f>
        <v>34387.480000000003</v>
      </c>
      <c r="L2693" s="6">
        <f>Table3[[#This Row],[Profit]]/Table3[[#This Row],[Sales]]</f>
        <v>0.40990832590898679</v>
      </c>
    </row>
    <row r="2694" spans="1:12" x14ac:dyDescent="0.25">
      <c r="A2694" t="s">
        <v>2420</v>
      </c>
      <c r="B2694" s="2">
        <v>45102</v>
      </c>
      <c r="C2694" s="2" t="str">
        <f>TEXT(Table3[[#This Row],[Order Date]],"mmmm")</f>
        <v>June</v>
      </c>
      <c r="D2694" t="s">
        <v>3220</v>
      </c>
      <c r="E2694" t="s">
        <v>3222</v>
      </c>
      <c r="F2694" t="s">
        <v>3226</v>
      </c>
      <c r="G2694" s="4">
        <v>30398.13</v>
      </c>
      <c r="H2694" s="4">
        <v>18401.099999999999</v>
      </c>
      <c r="I2694" s="3" t="s">
        <v>3734</v>
      </c>
      <c r="J2694">
        <v>2</v>
      </c>
      <c r="K2694" s="4">
        <f>Table3[[#This Row],[Sales]]-Table3[[#This Row],[Cost]]</f>
        <v>11997.030000000002</v>
      </c>
      <c r="L2694" s="6">
        <f>Table3[[#This Row],[Profit]]/Table3[[#This Row],[Sales]]</f>
        <v>0.39466342173021834</v>
      </c>
    </row>
    <row r="2695" spans="1:12" x14ac:dyDescent="0.25">
      <c r="A2695" t="s">
        <v>2422</v>
      </c>
      <c r="B2695" s="2">
        <v>45005</v>
      </c>
      <c r="C2695" s="2" t="str">
        <f>TEXT(Table3[[#This Row],[Order Date]],"mmmm")</f>
        <v>March</v>
      </c>
      <c r="D2695" t="s">
        <v>3220</v>
      </c>
      <c r="E2695" t="s">
        <v>3224</v>
      </c>
      <c r="F2695" t="s">
        <v>3226</v>
      </c>
      <c r="G2695" s="4">
        <v>197086.41</v>
      </c>
      <c r="H2695" s="4">
        <v>125776.48</v>
      </c>
      <c r="I2695" s="3" t="s">
        <v>3734</v>
      </c>
      <c r="J2695">
        <v>3</v>
      </c>
      <c r="K2695" s="4">
        <f>Table3[[#This Row],[Sales]]-Table3[[#This Row],[Cost]]</f>
        <v>71309.930000000008</v>
      </c>
      <c r="L2695" s="6">
        <f>Table3[[#This Row],[Profit]]/Table3[[#This Row],[Sales]]</f>
        <v>0.36182063491846039</v>
      </c>
    </row>
    <row r="2696" spans="1:12" x14ac:dyDescent="0.25">
      <c r="A2696" t="s">
        <v>2423</v>
      </c>
      <c r="B2696" s="2">
        <v>45005</v>
      </c>
      <c r="C2696" s="2" t="str">
        <f>TEXT(Table3[[#This Row],[Order Date]],"mmmm")</f>
        <v>March</v>
      </c>
      <c r="D2696" t="s">
        <v>3730</v>
      </c>
      <c r="E2696" t="s">
        <v>3224</v>
      </c>
      <c r="F2696" t="s">
        <v>3226</v>
      </c>
      <c r="G2696" s="4">
        <v>204698.53</v>
      </c>
      <c r="H2696" s="4">
        <v>127505.28</v>
      </c>
      <c r="I2696" s="3" t="s">
        <v>3734</v>
      </c>
      <c r="J2696">
        <v>3</v>
      </c>
      <c r="K2696" s="4">
        <f>Table3[[#This Row],[Sales]]-Table3[[#This Row],[Cost]]</f>
        <v>77193.25</v>
      </c>
      <c r="L2696" s="6">
        <f>Table3[[#This Row],[Profit]]/Table3[[#This Row],[Sales]]</f>
        <v>0.37710700707034878</v>
      </c>
    </row>
    <row r="2697" spans="1:12" x14ac:dyDescent="0.25">
      <c r="A2697" t="s">
        <v>3628</v>
      </c>
      <c r="B2697" s="2">
        <v>44941</v>
      </c>
      <c r="C2697" s="2" t="str">
        <f>TEXT(Table3[[#This Row],[Order Date]],"mmmm")</f>
        <v>January</v>
      </c>
      <c r="D2697" t="s">
        <v>3220</v>
      </c>
      <c r="E2697" t="s">
        <v>3223</v>
      </c>
      <c r="F2697" t="s">
        <v>3226</v>
      </c>
      <c r="G2697" s="4">
        <v>52424.800000000003</v>
      </c>
      <c r="H2697" s="4">
        <v>33609.11</v>
      </c>
      <c r="I2697" s="3" t="s">
        <v>3734</v>
      </c>
      <c r="J2697">
        <v>5</v>
      </c>
      <c r="K2697" s="4">
        <f>Table3[[#This Row],[Sales]]-Table3[[#This Row],[Cost]]</f>
        <v>18815.690000000002</v>
      </c>
      <c r="L2697" s="6">
        <f>Table3[[#This Row],[Profit]]/Table3[[#This Row],[Sales]]</f>
        <v>0.35890818849094325</v>
      </c>
    </row>
    <row r="2698" spans="1:12" x14ac:dyDescent="0.25">
      <c r="A2698" t="s">
        <v>586</v>
      </c>
      <c r="B2698" s="2" t="s">
        <v>3729</v>
      </c>
      <c r="C2698" s="2" t="str">
        <f>TEXT(Table3[[#This Row],[Order Date]],"mmmm")</f>
        <v>Not Mentioned</v>
      </c>
      <c r="D2698" t="s">
        <v>3220</v>
      </c>
      <c r="E2698" t="s">
        <v>3225</v>
      </c>
      <c r="F2698" t="s">
        <v>3226</v>
      </c>
      <c r="G2698" s="4">
        <v>42627.01</v>
      </c>
      <c r="H2698" s="4">
        <v>30162.52</v>
      </c>
      <c r="I2698" s="3" t="s">
        <v>3734</v>
      </c>
      <c r="J2698">
        <v>2</v>
      </c>
      <c r="K2698" s="4">
        <f>Table3[[#This Row],[Sales]]-Table3[[#This Row],[Cost]]</f>
        <v>12464.490000000002</v>
      </c>
      <c r="L2698" s="6">
        <f>Table3[[#This Row],[Profit]]/Table3[[#This Row],[Sales]]</f>
        <v>0.29240826414988996</v>
      </c>
    </row>
    <row r="2699" spans="1:12" x14ac:dyDescent="0.25">
      <c r="A2699" t="s">
        <v>3629</v>
      </c>
      <c r="B2699" s="2">
        <v>44941</v>
      </c>
      <c r="C2699" s="2" t="str">
        <f>TEXT(Table3[[#This Row],[Order Date]],"mmmm")</f>
        <v>January</v>
      </c>
      <c r="D2699" t="s">
        <v>3731</v>
      </c>
      <c r="E2699" t="s">
        <v>3222</v>
      </c>
      <c r="F2699" t="s">
        <v>3226</v>
      </c>
      <c r="G2699" s="4">
        <v>53856.83</v>
      </c>
      <c r="H2699" s="4">
        <v>37783.5</v>
      </c>
      <c r="I2699" s="3" t="s">
        <v>3734</v>
      </c>
      <c r="J2699">
        <v>4</v>
      </c>
      <c r="K2699" s="4">
        <f>Table3[[#This Row],[Sales]]-Table3[[#This Row],[Cost]]</f>
        <v>16073.330000000002</v>
      </c>
      <c r="L2699" s="6">
        <f>Table3[[#This Row],[Profit]]/Table3[[#This Row],[Sales]]</f>
        <v>0.29844552677905478</v>
      </c>
    </row>
    <row r="2700" spans="1:12" x14ac:dyDescent="0.25">
      <c r="A2700" t="s">
        <v>2172</v>
      </c>
      <c r="B2700" s="2">
        <v>44941</v>
      </c>
      <c r="C2700" s="2" t="str">
        <f>TEXT(Table3[[#This Row],[Order Date]],"mmmm")</f>
        <v>January</v>
      </c>
      <c r="D2700" t="s">
        <v>3731</v>
      </c>
      <c r="E2700" t="s">
        <v>3224</v>
      </c>
      <c r="F2700" t="s">
        <v>3226</v>
      </c>
      <c r="G2700" s="4">
        <v>133480.67000000001</v>
      </c>
      <c r="H2700" s="4">
        <v>88219.73</v>
      </c>
      <c r="I2700" s="3" t="s">
        <v>3734</v>
      </c>
      <c r="J2700">
        <v>2</v>
      </c>
      <c r="K2700" s="4">
        <f>Table3[[#This Row],[Sales]]-Table3[[#This Row],[Cost]]</f>
        <v>45260.940000000017</v>
      </c>
      <c r="L2700" s="6">
        <f>Table3[[#This Row],[Profit]]/Table3[[#This Row],[Sales]]</f>
        <v>0.33908235552009153</v>
      </c>
    </row>
    <row r="2701" spans="1:12" x14ac:dyDescent="0.25">
      <c r="A2701" t="s">
        <v>2426</v>
      </c>
      <c r="B2701" s="2">
        <v>44972</v>
      </c>
      <c r="C2701" s="2" t="str">
        <f>TEXT(Table3[[#This Row],[Order Date]],"mmmm")</f>
        <v>February</v>
      </c>
      <c r="D2701" t="s">
        <v>3731</v>
      </c>
      <c r="E2701" t="s">
        <v>3225</v>
      </c>
      <c r="F2701" t="s">
        <v>3226</v>
      </c>
      <c r="G2701" s="4">
        <v>16715.59</v>
      </c>
      <c r="H2701" s="4">
        <v>14213.97</v>
      </c>
      <c r="I2701" s="3" t="s">
        <v>3734</v>
      </c>
      <c r="J2701">
        <v>1</v>
      </c>
      <c r="K2701" s="4">
        <f>Table3[[#This Row],[Sales]]-Table3[[#This Row],[Cost]]</f>
        <v>2501.6200000000008</v>
      </c>
      <c r="L2701" s="6">
        <f>Table3[[#This Row],[Profit]]/Table3[[#This Row],[Sales]]</f>
        <v>0.14965789421731454</v>
      </c>
    </row>
    <row r="2702" spans="1:12" x14ac:dyDescent="0.25">
      <c r="A2702" t="s">
        <v>2333</v>
      </c>
      <c r="B2702" s="2">
        <v>44972</v>
      </c>
      <c r="C2702" s="2" t="str">
        <f>TEXT(Table3[[#This Row],[Order Date]],"mmmm")</f>
        <v>February</v>
      </c>
      <c r="D2702" t="s">
        <v>3216</v>
      </c>
      <c r="E2702" t="s">
        <v>3223</v>
      </c>
      <c r="F2702" t="s">
        <v>3226</v>
      </c>
      <c r="G2702" s="4">
        <v>9395.56</v>
      </c>
      <c r="H2702" s="4">
        <v>7516.4480000000003</v>
      </c>
      <c r="I2702" s="3" t="s">
        <v>3735</v>
      </c>
      <c r="J2702">
        <v>1</v>
      </c>
      <c r="K2702" s="4">
        <f>Table3[[#This Row],[Sales]]-Table3[[#This Row],[Cost]]</f>
        <v>1879.1119999999992</v>
      </c>
      <c r="L2702" s="6">
        <f>Table3[[#This Row],[Profit]]/Table3[[#This Row],[Sales]]</f>
        <v>0.19999999999999993</v>
      </c>
    </row>
    <row r="2703" spans="1:12" x14ac:dyDescent="0.25">
      <c r="A2703" t="s">
        <v>3278</v>
      </c>
      <c r="B2703" s="2">
        <v>45102</v>
      </c>
      <c r="C2703" s="2" t="str">
        <f>TEXT(Table3[[#This Row],[Order Date]],"mmmm")</f>
        <v>June</v>
      </c>
      <c r="D2703" t="s">
        <v>3730</v>
      </c>
      <c r="E2703" t="s">
        <v>3224</v>
      </c>
      <c r="F2703" t="s">
        <v>3226</v>
      </c>
      <c r="G2703" s="4">
        <v>55591.42</v>
      </c>
      <c r="H2703" s="4">
        <v>40113.18</v>
      </c>
      <c r="I2703" s="3" t="s">
        <v>3734</v>
      </c>
      <c r="J2703">
        <v>1</v>
      </c>
      <c r="K2703" s="4">
        <f>Table3[[#This Row],[Sales]]-Table3[[#This Row],[Cost]]</f>
        <v>15478.239999999998</v>
      </c>
      <c r="L2703" s="6">
        <f>Table3[[#This Row],[Profit]]/Table3[[#This Row],[Sales]]</f>
        <v>0.27842857764741391</v>
      </c>
    </row>
    <row r="2704" spans="1:12" x14ac:dyDescent="0.25">
      <c r="A2704" t="s">
        <v>2427</v>
      </c>
      <c r="B2704" s="2" t="s">
        <v>3729</v>
      </c>
      <c r="C2704" s="2" t="str">
        <f>TEXT(Table3[[#This Row],[Order Date]],"mmmm")</f>
        <v>Not Mentioned</v>
      </c>
      <c r="D2704" t="s">
        <v>3216</v>
      </c>
      <c r="E2704" t="s">
        <v>3223</v>
      </c>
      <c r="F2704" t="s">
        <v>3226</v>
      </c>
      <c r="G2704" s="4">
        <v>11052.2</v>
      </c>
      <c r="H2704" s="4">
        <v>6303.61</v>
      </c>
      <c r="I2704" s="3" t="s">
        <v>3734</v>
      </c>
      <c r="J2704">
        <v>1</v>
      </c>
      <c r="K2704" s="4">
        <f>Table3[[#This Row],[Sales]]-Table3[[#This Row],[Cost]]</f>
        <v>4748.5900000000011</v>
      </c>
      <c r="L2704" s="6">
        <f>Table3[[#This Row],[Profit]]/Table3[[#This Row],[Sales]]</f>
        <v>0.42965111018620733</v>
      </c>
    </row>
    <row r="2705" spans="1:12" x14ac:dyDescent="0.25">
      <c r="A2705" t="s">
        <v>3390</v>
      </c>
      <c r="B2705" s="2">
        <v>45021</v>
      </c>
      <c r="C2705" s="2" t="str">
        <f>TEXT(Table3[[#This Row],[Order Date]],"mmmm")</f>
        <v>April</v>
      </c>
      <c r="D2705" t="s">
        <v>3730</v>
      </c>
      <c r="E2705" t="s">
        <v>3225</v>
      </c>
      <c r="F2705" t="s">
        <v>3226</v>
      </c>
      <c r="G2705" s="4">
        <v>43445.66</v>
      </c>
      <c r="H2705" s="4">
        <v>28403.07</v>
      </c>
      <c r="I2705" s="3" t="s">
        <v>3734</v>
      </c>
      <c r="J2705">
        <v>2</v>
      </c>
      <c r="K2705" s="4">
        <f>Table3[[#This Row],[Sales]]-Table3[[#This Row],[Cost]]</f>
        <v>15042.590000000004</v>
      </c>
      <c r="L2705" s="6">
        <f>Table3[[#This Row],[Profit]]/Table3[[#This Row],[Sales]]</f>
        <v>0.34623918706724682</v>
      </c>
    </row>
    <row r="2706" spans="1:12" x14ac:dyDescent="0.25">
      <c r="A2706" t="s">
        <v>2428</v>
      </c>
      <c r="B2706" s="2">
        <v>45102</v>
      </c>
      <c r="C2706" s="2" t="str">
        <f>TEXT(Table3[[#This Row],[Order Date]],"mmmm")</f>
        <v>June</v>
      </c>
      <c r="D2706" t="s">
        <v>3731</v>
      </c>
      <c r="E2706" t="s">
        <v>3222</v>
      </c>
      <c r="F2706" t="s">
        <v>3226</v>
      </c>
      <c r="G2706" s="4">
        <v>15462.41</v>
      </c>
      <c r="H2706" s="4">
        <v>8513.3700000000008</v>
      </c>
      <c r="I2706" s="3" t="s">
        <v>3734</v>
      </c>
      <c r="J2706">
        <v>1</v>
      </c>
      <c r="K2706" s="4">
        <f>Table3[[#This Row],[Sales]]-Table3[[#This Row],[Cost]]</f>
        <v>6949.0399999999991</v>
      </c>
      <c r="L2706" s="6">
        <f>Table3[[#This Row],[Profit]]/Table3[[#This Row],[Sales]]</f>
        <v>0.44941506531000014</v>
      </c>
    </row>
    <row r="2707" spans="1:12" x14ac:dyDescent="0.25">
      <c r="A2707" t="s">
        <v>2429</v>
      </c>
      <c r="B2707" s="2">
        <v>45102</v>
      </c>
      <c r="C2707" s="2" t="str">
        <f>TEXT(Table3[[#This Row],[Order Date]],"mmmm")</f>
        <v>June</v>
      </c>
      <c r="D2707" t="s">
        <v>3216</v>
      </c>
      <c r="E2707" t="s">
        <v>3224</v>
      </c>
      <c r="F2707" t="s">
        <v>3226</v>
      </c>
      <c r="G2707" s="4">
        <v>168053.65</v>
      </c>
      <c r="H2707" s="4">
        <v>135877.18</v>
      </c>
      <c r="I2707" s="3" t="s">
        <v>3734</v>
      </c>
      <c r="J2707">
        <v>3</v>
      </c>
      <c r="K2707" s="4">
        <f>Table3[[#This Row],[Sales]]-Table3[[#This Row],[Cost]]</f>
        <v>32176.47</v>
      </c>
      <c r="L2707" s="6">
        <f>Table3[[#This Row],[Profit]]/Table3[[#This Row],[Sales]]</f>
        <v>0.19146546355880995</v>
      </c>
    </row>
    <row r="2708" spans="1:12" x14ac:dyDescent="0.25">
      <c r="A2708" t="s">
        <v>2430</v>
      </c>
      <c r="B2708" s="2">
        <v>44972</v>
      </c>
      <c r="C2708" s="2" t="str">
        <f>TEXT(Table3[[#This Row],[Order Date]],"mmmm")</f>
        <v>February</v>
      </c>
      <c r="D2708" t="s">
        <v>3730</v>
      </c>
      <c r="E2708" t="s">
        <v>3225</v>
      </c>
      <c r="F2708" t="s">
        <v>3226</v>
      </c>
      <c r="G2708" s="4">
        <v>107260.28</v>
      </c>
      <c r="H2708" s="4">
        <v>67422.83</v>
      </c>
      <c r="I2708" s="3" t="s">
        <v>3734</v>
      </c>
      <c r="J2708">
        <v>5</v>
      </c>
      <c r="K2708" s="4">
        <f>Table3[[#This Row],[Sales]]-Table3[[#This Row],[Cost]]</f>
        <v>39837.449999999997</v>
      </c>
      <c r="L2708" s="6">
        <f>Table3[[#This Row],[Profit]]/Table3[[#This Row],[Sales]]</f>
        <v>0.37140915537419816</v>
      </c>
    </row>
    <row r="2709" spans="1:12" x14ac:dyDescent="0.25">
      <c r="A2709" t="s">
        <v>2431</v>
      </c>
      <c r="B2709" s="2">
        <v>44941</v>
      </c>
      <c r="C2709" s="2" t="str">
        <f>TEXT(Table3[[#This Row],[Order Date]],"mmmm")</f>
        <v>January</v>
      </c>
      <c r="D2709" t="s">
        <v>3220</v>
      </c>
      <c r="E2709" t="s">
        <v>3222</v>
      </c>
      <c r="F2709" t="s">
        <v>3226</v>
      </c>
      <c r="G2709" s="4">
        <v>56130.52</v>
      </c>
      <c r="H2709" s="4">
        <v>34416.31</v>
      </c>
      <c r="I2709" s="3" t="s">
        <v>3734</v>
      </c>
      <c r="J2709">
        <v>4</v>
      </c>
      <c r="K2709" s="4">
        <f>Table3[[#This Row],[Sales]]-Table3[[#This Row],[Cost]]</f>
        <v>21714.21</v>
      </c>
      <c r="L2709" s="6">
        <f>Table3[[#This Row],[Profit]]/Table3[[#This Row],[Sales]]</f>
        <v>0.38685210826480854</v>
      </c>
    </row>
    <row r="2710" spans="1:12" x14ac:dyDescent="0.25">
      <c r="A2710" t="s">
        <v>2432</v>
      </c>
      <c r="B2710" s="2">
        <v>45021</v>
      </c>
      <c r="C2710" s="2" t="str">
        <f>TEXT(Table3[[#This Row],[Order Date]],"mmmm")</f>
        <v>April</v>
      </c>
      <c r="D2710" t="s">
        <v>3220</v>
      </c>
      <c r="E2710" t="s">
        <v>3224</v>
      </c>
      <c r="F2710" t="s">
        <v>3226</v>
      </c>
      <c r="G2710" s="4">
        <v>67667.13</v>
      </c>
      <c r="H2710" s="4">
        <v>42498.57</v>
      </c>
      <c r="I2710" s="3" t="s">
        <v>3734</v>
      </c>
      <c r="J2710">
        <v>1</v>
      </c>
      <c r="K2710" s="4">
        <f>Table3[[#This Row],[Sales]]-Table3[[#This Row],[Cost]]</f>
        <v>25168.560000000005</v>
      </c>
      <c r="L2710" s="6">
        <f>Table3[[#This Row],[Profit]]/Table3[[#This Row],[Sales]]</f>
        <v>0.37194661573499577</v>
      </c>
    </row>
    <row r="2711" spans="1:12" x14ac:dyDescent="0.25">
      <c r="A2711" t="s">
        <v>2413</v>
      </c>
      <c r="B2711" s="2">
        <v>45021</v>
      </c>
      <c r="C2711" s="2" t="str">
        <f>TEXT(Table3[[#This Row],[Order Date]],"mmmm")</f>
        <v>April</v>
      </c>
      <c r="D2711" t="s">
        <v>3730</v>
      </c>
      <c r="E2711" t="s">
        <v>3225</v>
      </c>
      <c r="F2711" t="s">
        <v>3226</v>
      </c>
      <c r="G2711" s="4">
        <v>41399.599999999999</v>
      </c>
      <c r="H2711" s="4">
        <v>26221.15</v>
      </c>
      <c r="I2711" s="3" t="s">
        <v>3734</v>
      </c>
      <c r="J2711">
        <v>2</v>
      </c>
      <c r="K2711" s="4">
        <f>Table3[[#This Row],[Sales]]-Table3[[#This Row],[Cost]]</f>
        <v>15178.449999999997</v>
      </c>
      <c r="L2711" s="6">
        <f>Table3[[#This Row],[Profit]]/Table3[[#This Row],[Sales]]</f>
        <v>0.36663276939873807</v>
      </c>
    </row>
    <row r="2712" spans="1:12" x14ac:dyDescent="0.25">
      <c r="A2712" t="s">
        <v>3630</v>
      </c>
      <c r="B2712" s="2" t="s">
        <v>3729</v>
      </c>
      <c r="C2712" s="2" t="str">
        <f>TEXT(Table3[[#This Row],[Order Date]],"mmmm")</f>
        <v>Not Mentioned</v>
      </c>
      <c r="D2712" t="s">
        <v>3730</v>
      </c>
      <c r="E2712" t="s">
        <v>3225</v>
      </c>
      <c r="F2712" t="s">
        <v>3226</v>
      </c>
      <c r="G2712" s="4">
        <v>78006.399999999994</v>
      </c>
      <c r="H2712" s="4">
        <v>47988.51</v>
      </c>
      <c r="I2712" s="3" t="s">
        <v>3734</v>
      </c>
      <c r="J2712">
        <v>4</v>
      </c>
      <c r="K2712" s="4">
        <f>Table3[[#This Row],[Sales]]-Table3[[#This Row],[Cost]]</f>
        <v>30017.889999999992</v>
      </c>
      <c r="L2712" s="6">
        <f>Table3[[#This Row],[Profit]]/Table3[[#This Row],[Sales]]</f>
        <v>0.38481316917586245</v>
      </c>
    </row>
    <row r="2713" spans="1:12" x14ac:dyDescent="0.25">
      <c r="A2713" t="s">
        <v>1270</v>
      </c>
      <c r="B2713" s="2">
        <v>45005</v>
      </c>
      <c r="C2713" s="2" t="str">
        <f>TEXT(Table3[[#This Row],[Order Date]],"mmmm")</f>
        <v>March</v>
      </c>
      <c r="D2713" t="s">
        <v>3730</v>
      </c>
      <c r="E2713" t="s">
        <v>3224</v>
      </c>
      <c r="F2713" t="s">
        <v>3226</v>
      </c>
      <c r="G2713" s="4">
        <v>118216.43</v>
      </c>
      <c r="H2713" s="4">
        <v>92660.5</v>
      </c>
      <c r="I2713" s="3" t="s">
        <v>3734</v>
      </c>
      <c r="J2713">
        <v>2</v>
      </c>
      <c r="K2713" s="4">
        <f>Table3[[#This Row],[Sales]]-Table3[[#This Row],[Cost]]</f>
        <v>25555.929999999993</v>
      </c>
      <c r="L2713" s="6">
        <f>Table3[[#This Row],[Profit]]/Table3[[#This Row],[Sales]]</f>
        <v>0.21617917238745912</v>
      </c>
    </row>
    <row r="2714" spans="1:12" x14ac:dyDescent="0.25">
      <c r="A2714" t="s">
        <v>1125</v>
      </c>
      <c r="B2714" s="2">
        <v>44972</v>
      </c>
      <c r="C2714" s="2" t="str">
        <f>TEXT(Table3[[#This Row],[Order Date]],"mmmm")</f>
        <v>February</v>
      </c>
      <c r="D2714" t="s">
        <v>3220</v>
      </c>
      <c r="E2714" t="s">
        <v>3225</v>
      </c>
      <c r="F2714" t="s">
        <v>3226</v>
      </c>
      <c r="G2714" s="4">
        <v>82560.539999999994</v>
      </c>
      <c r="H2714" s="4">
        <v>52073.07</v>
      </c>
      <c r="I2714" s="3" t="s">
        <v>3734</v>
      </c>
      <c r="J2714" t="s">
        <v>3732</v>
      </c>
      <c r="K2714" s="4">
        <f>Table3[[#This Row],[Sales]]-Table3[[#This Row],[Cost]]</f>
        <v>30487.469999999994</v>
      </c>
      <c r="L2714" s="6">
        <f>Table3[[#This Row],[Profit]]/Table3[[#This Row],[Sales]]</f>
        <v>0.36927411085247258</v>
      </c>
    </row>
    <row r="2715" spans="1:12" x14ac:dyDescent="0.25">
      <c r="A2715" t="s">
        <v>2434</v>
      </c>
      <c r="B2715" s="2">
        <v>45102</v>
      </c>
      <c r="C2715" s="2" t="str">
        <f>TEXT(Table3[[#This Row],[Order Date]],"mmmm")</f>
        <v>June</v>
      </c>
      <c r="D2715" t="s">
        <v>3216</v>
      </c>
      <c r="E2715" t="s">
        <v>3224</v>
      </c>
      <c r="F2715" t="s">
        <v>3226</v>
      </c>
      <c r="G2715" s="4">
        <v>241798.7</v>
      </c>
      <c r="H2715" s="4">
        <v>181004.19</v>
      </c>
      <c r="I2715" s="3" t="s">
        <v>3734</v>
      </c>
      <c r="J2715">
        <v>4</v>
      </c>
      <c r="K2715" s="4">
        <f>Table3[[#This Row],[Sales]]-Table3[[#This Row],[Cost]]</f>
        <v>60794.510000000009</v>
      </c>
      <c r="L2715" s="6">
        <f>Table3[[#This Row],[Profit]]/Table3[[#This Row],[Sales]]</f>
        <v>0.2514261242926451</v>
      </c>
    </row>
    <row r="2716" spans="1:12" x14ac:dyDescent="0.25">
      <c r="A2716" t="s">
        <v>2435</v>
      </c>
      <c r="B2716" s="2">
        <v>44972</v>
      </c>
      <c r="C2716" s="2" t="str">
        <f>TEXT(Table3[[#This Row],[Order Date]],"mmmm")</f>
        <v>February</v>
      </c>
      <c r="D2716" t="s">
        <v>3220</v>
      </c>
      <c r="E2716" t="s">
        <v>3224</v>
      </c>
      <c r="F2716" t="s">
        <v>3226</v>
      </c>
      <c r="G2716" s="4">
        <v>55645.4</v>
      </c>
      <c r="H2716" s="4">
        <v>44516.320000000007</v>
      </c>
      <c r="I2716" s="3" t="s">
        <v>3735</v>
      </c>
      <c r="J2716">
        <v>1</v>
      </c>
      <c r="K2716" s="4">
        <f>Table3[[#This Row],[Sales]]-Table3[[#This Row],[Cost]]</f>
        <v>11129.079999999994</v>
      </c>
      <c r="L2716" s="6">
        <f>Table3[[#This Row],[Profit]]/Table3[[#This Row],[Sales]]</f>
        <v>0.1999999999999999</v>
      </c>
    </row>
    <row r="2717" spans="1:12" x14ac:dyDescent="0.25">
      <c r="A2717" t="s">
        <v>2436</v>
      </c>
      <c r="B2717" s="2">
        <v>45005</v>
      </c>
      <c r="C2717" s="2" t="str">
        <f>TEXT(Table3[[#This Row],[Order Date]],"mmmm")</f>
        <v>March</v>
      </c>
      <c r="D2717" t="s">
        <v>3220</v>
      </c>
      <c r="E2717" t="s">
        <v>3223</v>
      </c>
      <c r="F2717" t="s">
        <v>3226</v>
      </c>
      <c r="G2717" s="4">
        <v>59582.64</v>
      </c>
      <c r="H2717" s="4">
        <v>35787.440000000002</v>
      </c>
      <c r="I2717" s="3" t="s">
        <v>3734</v>
      </c>
      <c r="J2717">
        <v>5</v>
      </c>
      <c r="K2717" s="4">
        <f>Table3[[#This Row],[Sales]]-Table3[[#This Row],[Cost]]</f>
        <v>23795.199999999997</v>
      </c>
      <c r="L2717" s="6">
        <f>Table3[[#This Row],[Profit]]/Table3[[#This Row],[Sales]]</f>
        <v>0.39936464715225772</v>
      </c>
    </row>
    <row r="2718" spans="1:12" x14ac:dyDescent="0.25">
      <c r="A2718" t="s">
        <v>2437</v>
      </c>
      <c r="B2718" s="2">
        <v>45005</v>
      </c>
      <c r="C2718" s="2" t="str">
        <f>TEXT(Table3[[#This Row],[Order Date]],"mmmm")</f>
        <v>March</v>
      </c>
      <c r="D2718" t="s">
        <v>3731</v>
      </c>
      <c r="E2718" t="s">
        <v>3225</v>
      </c>
      <c r="F2718" t="s">
        <v>3226</v>
      </c>
      <c r="G2718" s="4">
        <v>81107.360000000001</v>
      </c>
      <c r="H2718" s="4">
        <v>48635</v>
      </c>
      <c r="I2718" s="3" t="s">
        <v>3734</v>
      </c>
      <c r="J2718">
        <v>4</v>
      </c>
      <c r="K2718" s="4">
        <f>Table3[[#This Row],[Sales]]-Table3[[#This Row],[Cost]]</f>
        <v>32472.36</v>
      </c>
      <c r="L2718" s="6">
        <f>Table3[[#This Row],[Profit]]/Table3[[#This Row],[Sales]]</f>
        <v>0.40036267978639672</v>
      </c>
    </row>
    <row r="2719" spans="1:12" x14ac:dyDescent="0.25">
      <c r="A2719" t="s">
        <v>2438</v>
      </c>
      <c r="B2719" s="2">
        <v>45102</v>
      </c>
      <c r="C2719" s="2" t="str">
        <f>TEXT(Table3[[#This Row],[Order Date]],"mmmm")</f>
        <v>June</v>
      </c>
      <c r="D2719" t="s">
        <v>3730</v>
      </c>
      <c r="E2719" t="s">
        <v>3222</v>
      </c>
      <c r="F2719" t="s">
        <v>3226</v>
      </c>
      <c r="G2719" s="4">
        <v>16460.14</v>
      </c>
      <c r="H2719" s="4">
        <v>9705.86</v>
      </c>
      <c r="I2719" s="3" t="s">
        <v>3734</v>
      </c>
      <c r="J2719">
        <v>1</v>
      </c>
      <c r="K2719" s="4">
        <f>Table3[[#This Row],[Sales]]-Table3[[#This Row],[Cost]]</f>
        <v>6754.2799999999988</v>
      </c>
      <c r="L2719" s="6">
        <f>Table3[[#This Row],[Profit]]/Table3[[#This Row],[Sales]]</f>
        <v>0.4103415888321727</v>
      </c>
    </row>
    <row r="2720" spans="1:12" x14ac:dyDescent="0.25">
      <c r="A2720" t="s">
        <v>2439</v>
      </c>
      <c r="B2720" s="2">
        <v>44941</v>
      </c>
      <c r="C2720" s="2" t="str">
        <f>TEXT(Table3[[#This Row],[Order Date]],"mmmm")</f>
        <v>January</v>
      </c>
      <c r="D2720" t="s">
        <v>3220</v>
      </c>
      <c r="E2720" t="s">
        <v>3223</v>
      </c>
      <c r="F2720" t="s">
        <v>3226</v>
      </c>
      <c r="G2720" s="4">
        <v>55834.03</v>
      </c>
      <c r="H2720" s="4">
        <v>36890.089999999997</v>
      </c>
      <c r="I2720" s="3" t="s">
        <v>3734</v>
      </c>
      <c r="J2720">
        <v>5</v>
      </c>
      <c r="K2720" s="4">
        <f>Table3[[#This Row],[Sales]]-Table3[[#This Row],[Cost]]</f>
        <v>18943.940000000002</v>
      </c>
      <c r="L2720" s="6">
        <f>Table3[[#This Row],[Profit]]/Table3[[#This Row],[Sales]]</f>
        <v>0.33929021422956579</v>
      </c>
    </row>
    <row r="2721" spans="1:12" x14ac:dyDescent="0.25">
      <c r="A2721" t="s">
        <v>3631</v>
      </c>
      <c r="B2721" s="2" t="s">
        <v>3729</v>
      </c>
      <c r="C2721" s="2" t="str">
        <f>TEXT(Table3[[#This Row],[Order Date]],"mmmm")</f>
        <v>Not Mentioned</v>
      </c>
      <c r="D2721" t="s">
        <v>3216</v>
      </c>
      <c r="E2721" t="s">
        <v>3223</v>
      </c>
      <c r="F2721" t="s">
        <v>3226</v>
      </c>
      <c r="G2721" s="4">
        <v>30834.69</v>
      </c>
      <c r="H2721" s="4">
        <v>19522.400000000001</v>
      </c>
      <c r="I2721" s="3" t="s">
        <v>3734</v>
      </c>
      <c r="J2721" t="s">
        <v>3732</v>
      </c>
      <c r="K2721" s="4">
        <f>Table3[[#This Row],[Sales]]-Table3[[#This Row],[Cost]]</f>
        <v>11312.289999999997</v>
      </c>
      <c r="L2721" s="6">
        <f>Table3[[#This Row],[Profit]]/Table3[[#This Row],[Sales]]</f>
        <v>0.36686893884777172</v>
      </c>
    </row>
    <row r="2722" spans="1:12" x14ac:dyDescent="0.25">
      <c r="A2722" t="s">
        <v>2441</v>
      </c>
      <c r="B2722" s="2">
        <v>45021</v>
      </c>
      <c r="C2722" s="2" t="str">
        <f>TEXT(Table3[[#This Row],[Order Date]],"mmmm")</f>
        <v>April</v>
      </c>
      <c r="D2722" t="s">
        <v>3220</v>
      </c>
      <c r="E2722" t="s">
        <v>3222</v>
      </c>
      <c r="F2722" t="s">
        <v>3226</v>
      </c>
      <c r="G2722" s="4">
        <v>60650.13</v>
      </c>
      <c r="H2722" s="4">
        <v>48520.103999999999</v>
      </c>
      <c r="I2722" s="3" t="s">
        <v>3735</v>
      </c>
      <c r="J2722">
        <v>4</v>
      </c>
      <c r="K2722" s="4">
        <f>Table3[[#This Row],[Sales]]-Table3[[#This Row],[Cost]]</f>
        <v>12130.025999999998</v>
      </c>
      <c r="L2722" s="6">
        <f>Table3[[#This Row],[Profit]]/Table3[[#This Row],[Sales]]</f>
        <v>0.19999999999999998</v>
      </c>
    </row>
    <row r="2723" spans="1:12" x14ac:dyDescent="0.25">
      <c r="A2723" t="s">
        <v>3625</v>
      </c>
      <c r="B2723" s="2">
        <v>45005</v>
      </c>
      <c r="C2723" s="2" t="str">
        <f>TEXT(Table3[[#This Row],[Order Date]],"mmmm")</f>
        <v>March</v>
      </c>
      <c r="D2723" t="s">
        <v>3731</v>
      </c>
      <c r="E2723" t="s">
        <v>3224</v>
      </c>
      <c r="F2723" t="s">
        <v>3226</v>
      </c>
      <c r="G2723" s="4">
        <v>203241.03</v>
      </c>
      <c r="H2723" s="4">
        <v>164589.1</v>
      </c>
      <c r="I2723" s="3" t="s">
        <v>3734</v>
      </c>
      <c r="J2723">
        <v>4</v>
      </c>
      <c r="K2723" s="4">
        <f>Table3[[#This Row],[Sales]]-Table3[[#This Row],[Cost]]</f>
        <v>38651.929999999993</v>
      </c>
      <c r="L2723" s="6">
        <f>Table3[[#This Row],[Profit]]/Table3[[#This Row],[Sales]]</f>
        <v>0.19017779038021995</v>
      </c>
    </row>
    <row r="2724" spans="1:12" x14ac:dyDescent="0.25">
      <c r="A2724" t="s">
        <v>1719</v>
      </c>
      <c r="B2724" s="2">
        <v>44941</v>
      </c>
      <c r="C2724" s="2" t="str">
        <f>TEXT(Table3[[#This Row],[Order Date]],"mmmm")</f>
        <v>January</v>
      </c>
      <c r="D2724" t="s">
        <v>3730</v>
      </c>
      <c r="E2724" t="s">
        <v>3225</v>
      </c>
      <c r="F2724" t="s">
        <v>3226</v>
      </c>
      <c r="G2724" s="4">
        <v>22881.919999999998</v>
      </c>
      <c r="H2724" s="4">
        <v>15060.38</v>
      </c>
      <c r="I2724" s="3" t="s">
        <v>3734</v>
      </c>
      <c r="J2724">
        <v>1</v>
      </c>
      <c r="K2724" s="4">
        <f>Table3[[#This Row],[Sales]]-Table3[[#This Row],[Cost]]</f>
        <v>7821.5399999999991</v>
      </c>
      <c r="L2724" s="6">
        <f>Table3[[#This Row],[Profit]]/Table3[[#This Row],[Sales]]</f>
        <v>0.34182184012530414</v>
      </c>
    </row>
    <row r="2725" spans="1:12" x14ac:dyDescent="0.25">
      <c r="A2725" t="s">
        <v>2442</v>
      </c>
      <c r="B2725" s="2">
        <v>44972</v>
      </c>
      <c r="C2725" s="2" t="str">
        <f>TEXT(Table3[[#This Row],[Order Date]],"mmmm")</f>
        <v>February</v>
      </c>
      <c r="D2725" t="s">
        <v>3220</v>
      </c>
      <c r="E2725" t="s">
        <v>3223</v>
      </c>
      <c r="F2725" t="s">
        <v>3226</v>
      </c>
      <c r="G2725" s="4">
        <v>34113.85</v>
      </c>
      <c r="H2725" s="4">
        <v>25460.63</v>
      </c>
      <c r="I2725" s="3" t="s">
        <v>3734</v>
      </c>
      <c r="J2725">
        <v>4</v>
      </c>
      <c r="K2725" s="4">
        <f>Table3[[#This Row],[Sales]]-Table3[[#This Row],[Cost]]</f>
        <v>8653.2199999999975</v>
      </c>
      <c r="L2725" s="6">
        <f>Table3[[#This Row],[Profit]]/Table3[[#This Row],[Sales]]</f>
        <v>0.2536570923539852</v>
      </c>
    </row>
    <row r="2726" spans="1:12" x14ac:dyDescent="0.25">
      <c r="A2726" t="s">
        <v>3440</v>
      </c>
      <c r="B2726" s="2" t="s">
        <v>3729</v>
      </c>
      <c r="C2726" s="2" t="str">
        <f>TEXT(Table3[[#This Row],[Order Date]],"mmmm")</f>
        <v>Not Mentioned</v>
      </c>
      <c r="D2726" t="s">
        <v>3730</v>
      </c>
      <c r="E2726" t="s">
        <v>3225</v>
      </c>
      <c r="F2726" t="s">
        <v>3226</v>
      </c>
      <c r="G2726" s="4">
        <v>46663.23</v>
      </c>
      <c r="H2726" s="4">
        <v>24208.75</v>
      </c>
      <c r="I2726" s="3" t="s">
        <v>3734</v>
      </c>
      <c r="J2726">
        <v>2</v>
      </c>
      <c r="K2726" s="4">
        <f>Table3[[#This Row],[Sales]]-Table3[[#This Row],[Cost]]</f>
        <v>22454.480000000003</v>
      </c>
      <c r="L2726" s="6">
        <f>Table3[[#This Row],[Profit]]/Table3[[#This Row],[Sales]]</f>
        <v>0.48120286572532595</v>
      </c>
    </row>
    <row r="2727" spans="1:12" x14ac:dyDescent="0.25">
      <c r="A2727" t="s">
        <v>2444</v>
      </c>
      <c r="B2727" s="2">
        <v>45102</v>
      </c>
      <c r="C2727" s="2" t="str">
        <f>TEXT(Table3[[#This Row],[Order Date]],"mmmm")</f>
        <v>June</v>
      </c>
      <c r="D2727" t="s">
        <v>3730</v>
      </c>
      <c r="E2727" t="s">
        <v>3223</v>
      </c>
      <c r="F2727" t="s">
        <v>3226</v>
      </c>
      <c r="G2727" s="4">
        <v>8936.58</v>
      </c>
      <c r="H2727" s="4">
        <v>6434.54</v>
      </c>
      <c r="I2727" s="3" t="s">
        <v>3734</v>
      </c>
      <c r="J2727">
        <v>1</v>
      </c>
      <c r="K2727" s="4">
        <f>Table3[[#This Row],[Sales]]-Table3[[#This Row],[Cost]]</f>
        <v>2502.04</v>
      </c>
      <c r="L2727" s="6">
        <f>Table3[[#This Row],[Profit]]/Table3[[#This Row],[Sales]]</f>
        <v>0.27997735151478531</v>
      </c>
    </row>
    <row r="2728" spans="1:12" x14ac:dyDescent="0.25">
      <c r="A2728" t="s">
        <v>2445</v>
      </c>
      <c r="B2728" s="2">
        <v>44941</v>
      </c>
      <c r="C2728" s="2" t="str">
        <f>TEXT(Table3[[#This Row],[Order Date]],"mmmm")</f>
        <v>January</v>
      </c>
      <c r="D2728" t="s">
        <v>3730</v>
      </c>
      <c r="E2728" t="s">
        <v>3224</v>
      </c>
      <c r="F2728" t="s">
        <v>3226</v>
      </c>
      <c r="G2728" s="4">
        <v>298267.92</v>
      </c>
      <c r="H2728" s="4">
        <v>201771.29</v>
      </c>
      <c r="I2728" s="3" t="s">
        <v>3734</v>
      </c>
      <c r="J2728" t="s">
        <v>3732</v>
      </c>
      <c r="K2728" s="4">
        <f>Table3[[#This Row],[Sales]]-Table3[[#This Row],[Cost]]</f>
        <v>96496.629999999976</v>
      </c>
      <c r="L2728" s="6">
        <f>Table3[[#This Row],[Profit]]/Table3[[#This Row],[Sales]]</f>
        <v>0.32352332761766661</v>
      </c>
    </row>
    <row r="2729" spans="1:12" x14ac:dyDescent="0.25">
      <c r="A2729" t="s">
        <v>3632</v>
      </c>
      <c r="B2729" s="2">
        <v>45005</v>
      </c>
      <c r="C2729" s="2" t="str">
        <f>TEXT(Table3[[#This Row],[Order Date]],"mmmm")</f>
        <v>March</v>
      </c>
      <c r="D2729" t="s">
        <v>3216</v>
      </c>
      <c r="E2729" t="s">
        <v>3223</v>
      </c>
      <c r="F2729" t="s">
        <v>3226</v>
      </c>
      <c r="G2729" s="4">
        <v>33808.559999999998</v>
      </c>
      <c r="H2729" s="4">
        <v>21481.65</v>
      </c>
      <c r="I2729" s="3" t="s">
        <v>3734</v>
      </c>
      <c r="J2729">
        <v>3</v>
      </c>
      <c r="K2729" s="4">
        <f>Table3[[#This Row],[Sales]]-Table3[[#This Row],[Cost]]</f>
        <v>12326.909999999996</v>
      </c>
      <c r="L2729" s="6">
        <f>Table3[[#This Row],[Profit]]/Table3[[#This Row],[Sales]]</f>
        <v>0.36460914040704473</v>
      </c>
    </row>
    <row r="2730" spans="1:12" x14ac:dyDescent="0.25">
      <c r="A2730" t="s">
        <v>2059</v>
      </c>
      <c r="B2730" s="2">
        <v>45021</v>
      </c>
      <c r="C2730" s="2" t="str">
        <f>TEXT(Table3[[#This Row],[Order Date]],"mmmm")</f>
        <v>April</v>
      </c>
      <c r="D2730" t="s">
        <v>3730</v>
      </c>
      <c r="E2730" t="s">
        <v>3225</v>
      </c>
      <c r="F2730" t="s">
        <v>3226</v>
      </c>
      <c r="G2730" s="4">
        <v>110343.55</v>
      </c>
      <c r="H2730" s="4">
        <v>66279.240000000005</v>
      </c>
      <c r="I2730" s="3" t="s">
        <v>3734</v>
      </c>
      <c r="J2730">
        <v>5</v>
      </c>
      <c r="K2730" s="4">
        <f>Table3[[#This Row],[Sales]]-Table3[[#This Row],[Cost]]</f>
        <v>44064.31</v>
      </c>
      <c r="L2730" s="6">
        <f>Table3[[#This Row],[Profit]]/Table3[[#This Row],[Sales]]</f>
        <v>0.39933743295371588</v>
      </c>
    </row>
    <row r="2731" spans="1:12" x14ac:dyDescent="0.25">
      <c r="A2731" t="s">
        <v>3633</v>
      </c>
      <c r="B2731" s="2">
        <v>44972</v>
      </c>
      <c r="C2731" s="2" t="str">
        <f>TEXT(Table3[[#This Row],[Order Date]],"mmmm")</f>
        <v>February</v>
      </c>
      <c r="D2731" t="s">
        <v>3730</v>
      </c>
      <c r="E2731" t="s">
        <v>3222</v>
      </c>
      <c r="F2731" t="s">
        <v>3226</v>
      </c>
      <c r="G2731" s="4">
        <v>33851.370000000003</v>
      </c>
      <c r="H2731" s="4">
        <v>17814.900000000001</v>
      </c>
      <c r="I2731" s="3" t="s">
        <v>3734</v>
      </c>
      <c r="J2731">
        <v>2</v>
      </c>
      <c r="K2731" s="4">
        <f>Table3[[#This Row],[Sales]]-Table3[[#This Row],[Cost]]</f>
        <v>16036.470000000001</v>
      </c>
      <c r="L2731" s="6">
        <f>Table3[[#This Row],[Profit]]/Table3[[#This Row],[Sales]]</f>
        <v>0.47373178692620121</v>
      </c>
    </row>
    <row r="2732" spans="1:12" x14ac:dyDescent="0.25">
      <c r="A2732" t="s">
        <v>2448</v>
      </c>
      <c r="B2732" s="2" t="s">
        <v>3729</v>
      </c>
      <c r="C2732" s="2" t="str">
        <f>TEXT(Table3[[#This Row],[Order Date]],"mmmm")</f>
        <v>Not Mentioned</v>
      </c>
      <c r="D2732" t="s">
        <v>3220</v>
      </c>
      <c r="E2732" t="s">
        <v>3224</v>
      </c>
      <c r="F2732" t="s">
        <v>3226</v>
      </c>
      <c r="G2732" s="4">
        <v>276503.03999999998</v>
      </c>
      <c r="H2732" s="4">
        <v>221202.432</v>
      </c>
      <c r="I2732" s="3" t="s">
        <v>3735</v>
      </c>
      <c r="J2732">
        <v>4</v>
      </c>
      <c r="K2732" s="4">
        <f>Table3[[#This Row],[Sales]]-Table3[[#This Row],[Cost]]</f>
        <v>55300.607999999978</v>
      </c>
      <c r="L2732" s="6">
        <f>Table3[[#This Row],[Profit]]/Table3[[#This Row],[Sales]]</f>
        <v>0.19999999999999993</v>
      </c>
    </row>
    <row r="2733" spans="1:12" x14ac:dyDescent="0.25">
      <c r="A2733" t="s">
        <v>2449</v>
      </c>
      <c r="B2733" s="2" t="s">
        <v>3729</v>
      </c>
      <c r="C2733" s="2" t="str">
        <f>TEXT(Table3[[#This Row],[Order Date]],"mmmm")</f>
        <v>Not Mentioned</v>
      </c>
      <c r="D2733" t="s">
        <v>3730</v>
      </c>
      <c r="E2733" t="s">
        <v>3222</v>
      </c>
      <c r="F2733" t="s">
        <v>3226</v>
      </c>
      <c r="G2733" s="4">
        <v>53341.5</v>
      </c>
      <c r="H2733" s="4">
        <v>34049.769999999997</v>
      </c>
      <c r="I2733" s="3" t="s">
        <v>3734</v>
      </c>
      <c r="J2733" t="s">
        <v>3732</v>
      </c>
      <c r="K2733" s="4">
        <f>Table3[[#This Row],[Sales]]-Table3[[#This Row],[Cost]]</f>
        <v>19291.730000000003</v>
      </c>
      <c r="L2733" s="6">
        <f>Table3[[#This Row],[Profit]]/Table3[[#This Row],[Sales]]</f>
        <v>0.3616645576146153</v>
      </c>
    </row>
    <row r="2734" spans="1:12" x14ac:dyDescent="0.25">
      <c r="A2734" t="s">
        <v>3634</v>
      </c>
      <c r="B2734" s="2" t="s">
        <v>3729</v>
      </c>
      <c r="C2734" s="2" t="str">
        <f>TEXT(Table3[[#This Row],[Order Date]],"mmmm")</f>
        <v>Not Mentioned</v>
      </c>
      <c r="D2734" t="s">
        <v>3220</v>
      </c>
      <c r="E2734" t="s">
        <v>3222</v>
      </c>
      <c r="F2734" t="s">
        <v>3226</v>
      </c>
      <c r="G2734" s="4">
        <v>13088.45</v>
      </c>
      <c r="H2734" s="4">
        <v>10917.17</v>
      </c>
      <c r="I2734" s="3" t="s">
        <v>3734</v>
      </c>
      <c r="J2734">
        <v>1</v>
      </c>
      <c r="K2734" s="4">
        <f>Table3[[#This Row],[Sales]]-Table3[[#This Row],[Cost]]</f>
        <v>2171.2800000000007</v>
      </c>
      <c r="L2734" s="6">
        <f>Table3[[#This Row],[Profit]]/Table3[[#This Row],[Sales]]</f>
        <v>0.16589282917381359</v>
      </c>
    </row>
    <row r="2735" spans="1:12" x14ac:dyDescent="0.25">
      <c r="A2735" t="s">
        <v>2451</v>
      </c>
      <c r="B2735" s="2">
        <v>44941</v>
      </c>
      <c r="C2735" s="2" t="str">
        <f>TEXT(Table3[[#This Row],[Order Date]],"mmmm")</f>
        <v>January</v>
      </c>
      <c r="D2735" t="s">
        <v>3220</v>
      </c>
      <c r="E2735" t="s">
        <v>3225</v>
      </c>
      <c r="F2735" t="s">
        <v>3226</v>
      </c>
      <c r="G2735" s="4">
        <v>113100.09</v>
      </c>
      <c r="H2735" s="4">
        <v>68318.22</v>
      </c>
      <c r="I2735" s="3" t="s">
        <v>3734</v>
      </c>
      <c r="J2735">
        <v>5</v>
      </c>
      <c r="K2735" s="4">
        <f>Table3[[#This Row],[Sales]]-Table3[[#This Row],[Cost]]</f>
        <v>44781.869999999995</v>
      </c>
      <c r="L2735" s="6">
        <f>Table3[[#This Row],[Profit]]/Table3[[#This Row],[Sales]]</f>
        <v>0.39594902179122932</v>
      </c>
    </row>
    <row r="2736" spans="1:12" x14ac:dyDescent="0.25">
      <c r="A2736" t="s">
        <v>2452</v>
      </c>
      <c r="B2736" s="2">
        <v>44972</v>
      </c>
      <c r="C2736" s="2" t="str">
        <f>TEXT(Table3[[#This Row],[Order Date]],"mmmm")</f>
        <v>February</v>
      </c>
      <c r="D2736" t="s">
        <v>3730</v>
      </c>
      <c r="E2736" t="s">
        <v>3223</v>
      </c>
      <c r="F2736" t="s">
        <v>3226</v>
      </c>
      <c r="G2736" s="4">
        <v>33736.629999999997</v>
      </c>
      <c r="H2736" s="4">
        <v>22674.3</v>
      </c>
      <c r="I2736" s="3" t="s">
        <v>3734</v>
      </c>
      <c r="J2736">
        <v>3</v>
      </c>
      <c r="K2736" s="4">
        <f>Table3[[#This Row],[Sales]]-Table3[[#This Row],[Cost]]</f>
        <v>11062.329999999998</v>
      </c>
      <c r="L2736" s="6">
        <f>Table3[[#This Row],[Profit]]/Table3[[#This Row],[Sales]]</f>
        <v>0.32790263876385989</v>
      </c>
    </row>
    <row r="2737" spans="1:12" x14ac:dyDescent="0.25">
      <c r="A2737" t="s">
        <v>2453</v>
      </c>
      <c r="B2737" s="2">
        <v>45005</v>
      </c>
      <c r="C2737" s="2" t="str">
        <f>TEXT(Table3[[#This Row],[Order Date]],"mmmm")</f>
        <v>March</v>
      </c>
      <c r="D2737" t="s">
        <v>3730</v>
      </c>
      <c r="E2737" t="s">
        <v>3223</v>
      </c>
      <c r="F2737" t="s">
        <v>3226</v>
      </c>
      <c r="G2737" s="4">
        <v>49516</v>
      </c>
      <c r="H2737" s="4">
        <v>29991.08</v>
      </c>
      <c r="I2737" s="3" t="s">
        <v>3734</v>
      </c>
      <c r="J2737">
        <v>5</v>
      </c>
      <c r="K2737" s="4">
        <f>Table3[[#This Row],[Sales]]-Table3[[#This Row],[Cost]]</f>
        <v>19524.919999999998</v>
      </c>
      <c r="L2737" s="6">
        <f>Table3[[#This Row],[Profit]]/Table3[[#This Row],[Sales]]</f>
        <v>0.39431537280878903</v>
      </c>
    </row>
    <row r="2738" spans="1:12" x14ac:dyDescent="0.25">
      <c r="A2738" t="s">
        <v>2390</v>
      </c>
      <c r="B2738" s="2">
        <v>45102</v>
      </c>
      <c r="C2738" s="2" t="str">
        <f>TEXT(Table3[[#This Row],[Order Date]],"mmmm")</f>
        <v>June</v>
      </c>
      <c r="D2738" t="s">
        <v>3730</v>
      </c>
      <c r="E2738" t="s">
        <v>3222</v>
      </c>
      <c r="F2738" t="s">
        <v>3226</v>
      </c>
      <c r="G2738" s="4">
        <v>65380.79</v>
      </c>
      <c r="H2738" s="4">
        <v>45457.62</v>
      </c>
      <c r="I2738" s="3" t="s">
        <v>3734</v>
      </c>
      <c r="J2738">
        <v>5</v>
      </c>
      <c r="K2738" s="4">
        <f>Table3[[#This Row],[Sales]]-Table3[[#This Row],[Cost]]</f>
        <v>19923.169999999998</v>
      </c>
      <c r="L2738" s="6">
        <f>Table3[[#This Row],[Profit]]/Table3[[#This Row],[Sales]]</f>
        <v>0.30472513409519825</v>
      </c>
    </row>
    <row r="2739" spans="1:12" x14ac:dyDescent="0.25">
      <c r="A2739" t="s">
        <v>2454</v>
      </c>
      <c r="B2739" s="2">
        <v>45102</v>
      </c>
      <c r="C2739" s="2" t="str">
        <f>TEXT(Table3[[#This Row],[Order Date]],"mmmm")</f>
        <v>June</v>
      </c>
      <c r="D2739" t="s">
        <v>3730</v>
      </c>
      <c r="E2739" t="s">
        <v>3225</v>
      </c>
      <c r="F2739" t="s">
        <v>3226</v>
      </c>
      <c r="G2739" s="4">
        <v>44973.38</v>
      </c>
      <c r="H2739" s="4">
        <v>25531.98</v>
      </c>
      <c r="I2739" s="3" t="s">
        <v>3734</v>
      </c>
      <c r="J2739">
        <v>2</v>
      </c>
      <c r="K2739" s="4">
        <f>Table3[[#This Row],[Sales]]-Table3[[#This Row],[Cost]]</f>
        <v>19441.399999999998</v>
      </c>
      <c r="L2739" s="6">
        <f>Table3[[#This Row],[Profit]]/Table3[[#This Row],[Sales]]</f>
        <v>0.43228683278864072</v>
      </c>
    </row>
    <row r="2740" spans="1:12" x14ac:dyDescent="0.25">
      <c r="A2740" t="s">
        <v>2455</v>
      </c>
      <c r="B2740" s="2" t="s">
        <v>3729</v>
      </c>
      <c r="C2740" s="2" t="str">
        <f>TEXT(Table3[[#This Row],[Order Date]],"mmmm")</f>
        <v>Not Mentioned</v>
      </c>
      <c r="D2740" t="s">
        <v>3220</v>
      </c>
      <c r="E2740" t="s">
        <v>3224</v>
      </c>
      <c r="F2740" t="s">
        <v>3226</v>
      </c>
      <c r="G2740" s="4">
        <v>103537.95</v>
      </c>
      <c r="H2740" s="4">
        <v>82583.08</v>
      </c>
      <c r="I2740" s="3" t="s">
        <v>3734</v>
      </c>
      <c r="J2740">
        <v>2</v>
      </c>
      <c r="K2740" s="4">
        <f>Table3[[#This Row],[Sales]]-Table3[[#This Row],[Cost]]</f>
        <v>20954.869999999995</v>
      </c>
      <c r="L2740" s="6">
        <f>Table3[[#This Row],[Profit]]/Table3[[#This Row],[Sales]]</f>
        <v>0.20238830303284927</v>
      </c>
    </row>
    <row r="2741" spans="1:12" x14ac:dyDescent="0.25">
      <c r="A2741" t="s">
        <v>3293</v>
      </c>
      <c r="B2741" s="2">
        <v>45005</v>
      </c>
      <c r="C2741" s="2" t="str">
        <f>TEXT(Table3[[#This Row],[Order Date]],"mmmm")</f>
        <v>March</v>
      </c>
      <c r="D2741" t="s">
        <v>3731</v>
      </c>
      <c r="E2741" t="s">
        <v>3223</v>
      </c>
      <c r="F2741" t="s">
        <v>3226</v>
      </c>
      <c r="G2741" s="4">
        <v>43530.09</v>
      </c>
      <c r="H2741" s="4">
        <v>30562.55</v>
      </c>
      <c r="I2741" s="3" t="s">
        <v>3734</v>
      </c>
      <c r="J2741">
        <v>5</v>
      </c>
      <c r="K2741" s="4">
        <f>Table3[[#This Row],[Sales]]-Table3[[#This Row],[Cost]]</f>
        <v>12967.539999999997</v>
      </c>
      <c r="L2741" s="6">
        <f>Table3[[#This Row],[Profit]]/Table3[[#This Row],[Sales]]</f>
        <v>0.29789830436831161</v>
      </c>
    </row>
    <row r="2742" spans="1:12" x14ac:dyDescent="0.25">
      <c r="A2742" t="s">
        <v>2456</v>
      </c>
      <c r="B2742" s="2" t="s">
        <v>3729</v>
      </c>
      <c r="C2742" s="2" t="str">
        <f>TEXT(Table3[[#This Row],[Order Date]],"mmmm")</f>
        <v>Not Mentioned</v>
      </c>
      <c r="D2742" t="s">
        <v>3730</v>
      </c>
      <c r="E2742" t="s">
        <v>3225</v>
      </c>
      <c r="F2742" t="s">
        <v>3226</v>
      </c>
      <c r="G2742" s="4">
        <v>17032.23</v>
      </c>
      <c r="H2742" s="4">
        <v>14703.81</v>
      </c>
      <c r="I2742" s="3" t="s">
        <v>3734</v>
      </c>
      <c r="J2742">
        <v>1</v>
      </c>
      <c r="K2742" s="4">
        <f>Table3[[#This Row],[Sales]]-Table3[[#This Row],[Cost]]</f>
        <v>2328.42</v>
      </c>
      <c r="L2742" s="6">
        <f>Table3[[#This Row],[Profit]]/Table3[[#This Row],[Sales]]</f>
        <v>0.13670670252808939</v>
      </c>
    </row>
    <row r="2743" spans="1:12" x14ac:dyDescent="0.25">
      <c r="A2743" t="s">
        <v>233</v>
      </c>
      <c r="B2743" s="2">
        <v>45005</v>
      </c>
      <c r="C2743" s="2" t="str">
        <f>TEXT(Table3[[#This Row],[Order Date]],"mmmm")</f>
        <v>March</v>
      </c>
      <c r="D2743" t="s">
        <v>3730</v>
      </c>
      <c r="E2743" t="s">
        <v>3222</v>
      </c>
      <c r="F2743" t="s">
        <v>3226</v>
      </c>
      <c r="G2743" s="4">
        <v>32542.2</v>
      </c>
      <c r="H2743" s="4">
        <v>20205.810000000001</v>
      </c>
      <c r="I2743" s="3" t="s">
        <v>3734</v>
      </c>
      <c r="J2743">
        <v>2</v>
      </c>
      <c r="K2743" s="4">
        <f>Table3[[#This Row],[Sales]]-Table3[[#This Row],[Cost]]</f>
        <v>12336.39</v>
      </c>
      <c r="L2743" s="6">
        <f>Table3[[#This Row],[Profit]]/Table3[[#This Row],[Sales]]</f>
        <v>0.37908899828530335</v>
      </c>
    </row>
    <row r="2744" spans="1:12" x14ac:dyDescent="0.25">
      <c r="A2744" t="s">
        <v>2457</v>
      </c>
      <c r="B2744" s="2">
        <v>44941</v>
      </c>
      <c r="C2744" s="2" t="str">
        <f>TEXT(Table3[[#This Row],[Order Date]],"mmmm")</f>
        <v>January</v>
      </c>
      <c r="D2744" t="s">
        <v>3220</v>
      </c>
      <c r="E2744" t="s">
        <v>3223</v>
      </c>
      <c r="F2744" t="s">
        <v>3226</v>
      </c>
      <c r="G2744" s="4">
        <v>41186.49</v>
      </c>
      <c r="H2744" s="4">
        <v>24644.26</v>
      </c>
      <c r="I2744" s="3" t="s">
        <v>3734</v>
      </c>
      <c r="J2744">
        <v>4</v>
      </c>
      <c r="K2744" s="4">
        <f>Table3[[#This Row],[Sales]]-Table3[[#This Row],[Cost]]</f>
        <v>16542.23</v>
      </c>
      <c r="L2744" s="6">
        <f>Table3[[#This Row],[Profit]]/Table3[[#This Row],[Sales]]</f>
        <v>0.40164214042031743</v>
      </c>
    </row>
    <row r="2745" spans="1:12" x14ac:dyDescent="0.25">
      <c r="A2745" t="s">
        <v>3321</v>
      </c>
      <c r="B2745" s="2">
        <v>45102</v>
      </c>
      <c r="C2745" s="2" t="str">
        <f>TEXT(Table3[[#This Row],[Order Date]],"mmmm")</f>
        <v>June</v>
      </c>
      <c r="D2745" t="s">
        <v>3220</v>
      </c>
      <c r="E2745" t="s">
        <v>3224</v>
      </c>
      <c r="F2745" t="s">
        <v>3226</v>
      </c>
      <c r="G2745" s="4">
        <v>178978.77</v>
      </c>
      <c r="H2745" s="4">
        <v>146114.71</v>
      </c>
      <c r="I2745" s="3" t="s">
        <v>3734</v>
      </c>
      <c r="J2745">
        <v>3</v>
      </c>
      <c r="K2745" s="4">
        <f>Table3[[#This Row],[Sales]]-Table3[[#This Row],[Cost]]</f>
        <v>32864.06</v>
      </c>
      <c r="L2745" s="6">
        <f>Table3[[#This Row],[Profit]]/Table3[[#This Row],[Sales]]</f>
        <v>0.18361987849173397</v>
      </c>
    </row>
    <row r="2746" spans="1:12" x14ac:dyDescent="0.25">
      <c r="A2746" t="s">
        <v>2458</v>
      </c>
      <c r="B2746" s="2">
        <v>44972</v>
      </c>
      <c r="C2746" s="2" t="str">
        <f>TEXT(Table3[[#This Row],[Order Date]],"mmmm")</f>
        <v>February</v>
      </c>
      <c r="D2746" t="s">
        <v>3220</v>
      </c>
      <c r="E2746" t="s">
        <v>3225</v>
      </c>
      <c r="F2746" t="s">
        <v>3226</v>
      </c>
      <c r="G2746" s="4">
        <v>47835.33</v>
      </c>
      <c r="H2746" s="4">
        <v>30568.05</v>
      </c>
      <c r="I2746" s="3" t="s">
        <v>3734</v>
      </c>
      <c r="J2746">
        <v>2</v>
      </c>
      <c r="K2746" s="4">
        <f>Table3[[#This Row],[Sales]]-Table3[[#This Row],[Cost]]</f>
        <v>17267.280000000002</v>
      </c>
      <c r="L2746" s="6">
        <f>Table3[[#This Row],[Profit]]/Table3[[#This Row],[Sales]]</f>
        <v>0.36097336424772236</v>
      </c>
    </row>
    <row r="2747" spans="1:12" x14ac:dyDescent="0.25">
      <c r="A2747" t="s">
        <v>2459</v>
      </c>
      <c r="B2747" s="2">
        <v>45021</v>
      </c>
      <c r="C2747" s="2" t="str">
        <f>TEXT(Table3[[#This Row],[Order Date]],"mmmm")</f>
        <v>April</v>
      </c>
      <c r="D2747" t="s">
        <v>3220</v>
      </c>
      <c r="E2747" t="s">
        <v>3224</v>
      </c>
      <c r="F2747" t="s">
        <v>3226</v>
      </c>
      <c r="G2747" s="4">
        <v>164582.48000000001</v>
      </c>
      <c r="H2747" s="4">
        <v>117876.09</v>
      </c>
      <c r="I2747" s="3" t="s">
        <v>3734</v>
      </c>
      <c r="J2747">
        <v>3</v>
      </c>
      <c r="K2747" s="4">
        <f>Table3[[#This Row],[Sales]]-Table3[[#This Row],[Cost]]</f>
        <v>46706.390000000014</v>
      </c>
      <c r="L2747" s="6">
        <f>Table3[[#This Row],[Profit]]/Table3[[#This Row],[Sales]]</f>
        <v>0.28378713214189027</v>
      </c>
    </row>
    <row r="2748" spans="1:12" x14ac:dyDescent="0.25">
      <c r="A2748" t="s">
        <v>32</v>
      </c>
      <c r="B2748" s="2">
        <v>45021</v>
      </c>
      <c r="C2748" s="2" t="str">
        <f>TEXT(Table3[[#This Row],[Order Date]],"mmmm")</f>
        <v>April</v>
      </c>
      <c r="D2748" t="s">
        <v>3216</v>
      </c>
      <c r="E2748" t="s">
        <v>3222</v>
      </c>
      <c r="F2748" t="s">
        <v>3226</v>
      </c>
      <c r="G2748" s="4">
        <v>28572.31</v>
      </c>
      <c r="H2748" s="4">
        <v>21092.38</v>
      </c>
      <c r="I2748" s="3" t="s">
        <v>3734</v>
      </c>
      <c r="J2748">
        <v>2</v>
      </c>
      <c r="K2748" s="4">
        <f>Table3[[#This Row],[Sales]]-Table3[[#This Row],[Cost]]</f>
        <v>7479.93</v>
      </c>
      <c r="L2748" s="6">
        <f>Table3[[#This Row],[Profit]]/Table3[[#This Row],[Sales]]</f>
        <v>0.26178947379473344</v>
      </c>
    </row>
    <row r="2749" spans="1:12" x14ac:dyDescent="0.25">
      <c r="A2749" t="s">
        <v>2460</v>
      </c>
      <c r="B2749" s="2">
        <v>44972</v>
      </c>
      <c r="C2749" s="2" t="str">
        <f>TEXT(Table3[[#This Row],[Order Date]],"mmmm")</f>
        <v>February</v>
      </c>
      <c r="D2749" t="s">
        <v>3216</v>
      </c>
      <c r="E2749" t="s">
        <v>3225</v>
      </c>
      <c r="F2749" t="s">
        <v>3226</v>
      </c>
      <c r="G2749" s="4">
        <v>67272.289999999994</v>
      </c>
      <c r="H2749" s="4">
        <v>48742.720000000001</v>
      </c>
      <c r="I2749" s="3" t="s">
        <v>3734</v>
      </c>
      <c r="J2749">
        <v>4</v>
      </c>
      <c r="K2749" s="4">
        <f>Table3[[#This Row],[Sales]]-Table3[[#This Row],[Cost]]</f>
        <v>18529.569999999992</v>
      </c>
      <c r="L2749" s="6">
        <f>Table3[[#This Row],[Profit]]/Table3[[#This Row],[Sales]]</f>
        <v>0.27544134442279272</v>
      </c>
    </row>
    <row r="2750" spans="1:12" x14ac:dyDescent="0.25">
      <c r="A2750" t="s">
        <v>2461</v>
      </c>
      <c r="B2750" s="2" t="s">
        <v>3729</v>
      </c>
      <c r="C2750" s="2" t="str">
        <f>TEXT(Table3[[#This Row],[Order Date]],"mmmm")</f>
        <v>Not Mentioned</v>
      </c>
      <c r="D2750" t="s">
        <v>3220</v>
      </c>
      <c r="E2750" t="s">
        <v>3225</v>
      </c>
      <c r="F2750" t="s">
        <v>3226</v>
      </c>
      <c r="G2750" s="4">
        <v>40086.800000000003</v>
      </c>
      <c r="H2750" s="4">
        <v>23930.400000000001</v>
      </c>
      <c r="I2750" s="3" t="s">
        <v>3734</v>
      </c>
      <c r="J2750">
        <v>2</v>
      </c>
      <c r="K2750" s="4">
        <f>Table3[[#This Row],[Sales]]-Table3[[#This Row],[Cost]]</f>
        <v>16156.400000000001</v>
      </c>
      <c r="L2750" s="6">
        <f>Table3[[#This Row],[Profit]]/Table3[[#This Row],[Sales]]</f>
        <v>0.40303541315345698</v>
      </c>
    </row>
    <row r="2751" spans="1:12" x14ac:dyDescent="0.25">
      <c r="A2751" t="s">
        <v>2462</v>
      </c>
      <c r="B2751" s="2">
        <v>45102</v>
      </c>
      <c r="C2751" s="2" t="str">
        <f>TEXT(Table3[[#This Row],[Order Date]],"mmmm")</f>
        <v>June</v>
      </c>
      <c r="D2751" t="s">
        <v>3216</v>
      </c>
      <c r="E2751" t="s">
        <v>3224</v>
      </c>
      <c r="F2751" t="s">
        <v>3226</v>
      </c>
      <c r="G2751" s="4">
        <v>210981.31</v>
      </c>
      <c r="H2751" s="4">
        <v>124381.52</v>
      </c>
      <c r="I2751" s="3" t="s">
        <v>3734</v>
      </c>
      <c r="J2751">
        <v>3</v>
      </c>
      <c r="K2751" s="4">
        <f>Table3[[#This Row],[Sales]]-Table3[[#This Row],[Cost]]</f>
        <v>86599.79</v>
      </c>
      <c r="L2751" s="6">
        <f>Table3[[#This Row],[Profit]]/Table3[[#This Row],[Sales]]</f>
        <v>0.41046190299984392</v>
      </c>
    </row>
    <row r="2752" spans="1:12" x14ac:dyDescent="0.25">
      <c r="A2752" t="s">
        <v>3394</v>
      </c>
      <c r="B2752" s="2">
        <v>44972</v>
      </c>
      <c r="C2752" s="2" t="str">
        <f>TEXT(Table3[[#This Row],[Order Date]],"mmmm")</f>
        <v>February</v>
      </c>
      <c r="D2752" t="s">
        <v>3730</v>
      </c>
      <c r="E2752" t="s">
        <v>3225</v>
      </c>
      <c r="F2752" t="s">
        <v>3226</v>
      </c>
      <c r="G2752" s="4">
        <v>16583.66</v>
      </c>
      <c r="H2752" s="4">
        <v>14547.49</v>
      </c>
      <c r="I2752" s="3" t="s">
        <v>3734</v>
      </c>
      <c r="J2752">
        <v>1</v>
      </c>
      <c r="K2752" s="4">
        <f>Table3[[#This Row],[Sales]]-Table3[[#This Row],[Cost]]</f>
        <v>2036.17</v>
      </c>
      <c r="L2752" s="6">
        <f>Table3[[#This Row],[Profit]]/Table3[[#This Row],[Sales]]</f>
        <v>0.12278170198858394</v>
      </c>
    </row>
    <row r="2753" spans="1:12" x14ac:dyDescent="0.25">
      <c r="A2753" t="s">
        <v>2463</v>
      </c>
      <c r="B2753" s="2" t="s">
        <v>3729</v>
      </c>
      <c r="C2753" s="2" t="str">
        <f>TEXT(Table3[[#This Row],[Order Date]],"mmmm")</f>
        <v>Not Mentioned</v>
      </c>
      <c r="D2753" t="s">
        <v>3220</v>
      </c>
      <c r="E2753" t="s">
        <v>3224</v>
      </c>
      <c r="F2753" t="s">
        <v>3226</v>
      </c>
      <c r="G2753" s="4">
        <v>307921.13</v>
      </c>
      <c r="H2753" s="4">
        <v>238690.05</v>
      </c>
      <c r="I2753" s="3" t="s">
        <v>3734</v>
      </c>
      <c r="J2753">
        <v>5</v>
      </c>
      <c r="K2753" s="4">
        <f>Table3[[#This Row],[Sales]]-Table3[[#This Row],[Cost]]</f>
        <v>69231.080000000016</v>
      </c>
      <c r="L2753" s="6">
        <f>Table3[[#This Row],[Profit]]/Table3[[#This Row],[Sales]]</f>
        <v>0.22483380728045527</v>
      </c>
    </row>
    <row r="2754" spans="1:12" x14ac:dyDescent="0.25">
      <c r="A2754" t="s">
        <v>675</v>
      </c>
      <c r="B2754" s="2">
        <v>44941</v>
      </c>
      <c r="C2754" s="2" t="str">
        <f>TEXT(Table3[[#This Row],[Order Date]],"mmmm")</f>
        <v>January</v>
      </c>
      <c r="D2754" t="s">
        <v>3220</v>
      </c>
      <c r="E2754" t="s">
        <v>3224</v>
      </c>
      <c r="F2754" t="s">
        <v>3226</v>
      </c>
      <c r="G2754" s="4">
        <v>54516.53</v>
      </c>
      <c r="H2754" s="4">
        <v>43033.14</v>
      </c>
      <c r="I2754" s="3" t="s">
        <v>3734</v>
      </c>
      <c r="J2754">
        <v>1</v>
      </c>
      <c r="K2754" s="4">
        <f>Table3[[#This Row],[Sales]]-Table3[[#This Row],[Cost]]</f>
        <v>11483.39</v>
      </c>
      <c r="L2754" s="6">
        <f>Table3[[#This Row],[Profit]]/Table3[[#This Row],[Sales]]</f>
        <v>0.21064051582153157</v>
      </c>
    </row>
    <row r="2755" spans="1:12" x14ac:dyDescent="0.25">
      <c r="A2755" t="s">
        <v>406</v>
      </c>
      <c r="B2755" s="2">
        <v>44972</v>
      </c>
      <c r="C2755" s="2" t="str">
        <f>TEXT(Table3[[#This Row],[Order Date]],"mmmm")</f>
        <v>February</v>
      </c>
      <c r="D2755" t="s">
        <v>3731</v>
      </c>
      <c r="E2755" t="s">
        <v>3222</v>
      </c>
      <c r="F2755" t="s">
        <v>3226</v>
      </c>
      <c r="G2755" s="4">
        <v>15401.2</v>
      </c>
      <c r="H2755" s="4">
        <v>9716.1299999999992</v>
      </c>
      <c r="I2755" s="3" t="s">
        <v>3734</v>
      </c>
      <c r="J2755">
        <v>1</v>
      </c>
      <c r="K2755" s="4">
        <f>Table3[[#This Row],[Sales]]-Table3[[#This Row],[Cost]]</f>
        <v>5685.0700000000015</v>
      </c>
      <c r="L2755" s="6">
        <f>Table3[[#This Row],[Profit]]/Table3[[#This Row],[Sales]]</f>
        <v>0.36913162610705669</v>
      </c>
    </row>
    <row r="2756" spans="1:12" x14ac:dyDescent="0.25">
      <c r="A2756" t="s">
        <v>1420</v>
      </c>
      <c r="B2756" s="2" t="s">
        <v>3729</v>
      </c>
      <c r="C2756" s="2" t="str">
        <f>TEXT(Table3[[#This Row],[Order Date]],"mmmm")</f>
        <v>Not Mentioned</v>
      </c>
      <c r="D2756" t="s">
        <v>3220</v>
      </c>
      <c r="E2756" t="s">
        <v>3225</v>
      </c>
      <c r="F2756" t="s">
        <v>3226</v>
      </c>
      <c r="G2756" s="4">
        <v>70848.570000000007</v>
      </c>
      <c r="H2756" s="4">
        <v>59182.58</v>
      </c>
      <c r="I2756" s="3" t="s">
        <v>3734</v>
      </c>
      <c r="J2756">
        <v>4</v>
      </c>
      <c r="K2756" s="4">
        <f>Table3[[#This Row],[Sales]]-Table3[[#This Row],[Cost]]</f>
        <v>11665.990000000005</v>
      </c>
      <c r="L2756" s="6">
        <f>Table3[[#This Row],[Profit]]/Table3[[#This Row],[Sales]]</f>
        <v>0.16466090988145568</v>
      </c>
    </row>
    <row r="2757" spans="1:12" x14ac:dyDescent="0.25">
      <c r="A2757" t="s">
        <v>851</v>
      </c>
      <c r="B2757" s="2">
        <v>44972</v>
      </c>
      <c r="C2757" s="2" t="str">
        <f>TEXT(Table3[[#This Row],[Order Date]],"mmmm")</f>
        <v>February</v>
      </c>
      <c r="D2757" t="s">
        <v>3731</v>
      </c>
      <c r="E2757" t="s">
        <v>3225</v>
      </c>
      <c r="F2757" t="s">
        <v>3226</v>
      </c>
      <c r="G2757" s="4">
        <v>18435.79</v>
      </c>
      <c r="H2757" s="4">
        <v>12517.43</v>
      </c>
      <c r="I2757" s="3" t="s">
        <v>3734</v>
      </c>
      <c r="J2757">
        <v>1</v>
      </c>
      <c r="K2757" s="4">
        <f>Table3[[#This Row],[Sales]]-Table3[[#This Row],[Cost]]</f>
        <v>5918.3600000000006</v>
      </c>
      <c r="L2757" s="6">
        <f>Table3[[#This Row],[Profit]]/Table3[[#This Row],[Sales]]</f>
        <v>0.32102557037154361</v>
      </c>
    </row>
    <row r="2758" spans="1:12" x14ac:dyDescent="0.25">
      <c r="A2758" t="s">
        <v>2464</v>
      </c>
      <c r="B2758" s="2" t="s">
        <v>3729</v>
      </c>
      <c r="C2758" s="2" t="str">
        <f>TEXT(Table3[[#This Row],[Order Date]],"mmmm")</f>
        <v>Not Mentioned</v>
      </c>
      <c r="D2758" t="s">
        <v>3731</v>
      </c>
      <c r="E2758" t="s">
        <v>3224</v>
      </c>
      <c r="F2758" t="s">
        <v>3226</v>
      </c>
      <c r="G2758" s="4">
        <v>131227.22</v>
      </c>
      <c r="H2758" s="4">
        <v>94473.56</v>
      </c>
      <c r="I2758" s="3" t="s">
        <v>3734</v>
      </c>
      <c r="J2758">
        <v>2</v>
      </c>
      <c r="K2758" s="4">
        <f>Table3[[#This Row],[Sales]]-Table3[[#This Row],[Cost]]</f>
        <v>36753.660000000003</v>
      </c>
      <c r="L2758" s="6">
        <f>Table3[[#This Row],[Profit]]/Table3[[#This Row],[Sales]]</f>
        <v>0.28007649632446685</v>
      </c>
    </row>
    <row r="2759" spans="1:12" x14ac:dyDescent="0.25">
      <c r="A2759" t="s">
        <v>2465</v>
      </c>
      <c r="B2759" s="2" t="s">
        <v>3729</v>
      </c>
      <c r="C2759" s="2" t="str">
        <f>TEXT(Table3[[#This Row],[Order Date]],"mmmm")</f>
        <v>Not Mentioned</v>
      </c>
      <c r="D2759" t="s">
        <v>3730</v>
      </c>
      <c r="E2759" t="s">
        <v>3225</v>
      </c>
      <c r="F2759" t="s">
        <v>3226</v>
      </c>
      <c r="G2759" s="4">
        <v>42466.33</v>
      </c>
      <c r="H2759" s="4">
        <v>28694.39</v>
      </c>
      <c r="I2759" s="3" t="s">
        <v>3734</v>
      </c>
      <c r="J2759">
        <v>2</v>
      </c>
      <c r="K2759" s="4">
        <f>Table3[[#This Row],[Sales]]-Table3[[#This Row],[Cost]]</f>
        <v>13771.940000000002</v>
      </c>
      <c r="L2759" s="6">
        <f>Table3[[#This Row],[Profit]]/Table3[[#This Row],[Sales]]</f>
        <v>0.32430257100154408</v>
      </c>
    </row>
    <row r="2760" spans="1:12" x14ac:dyDescent="0.25">
      <c r="A2760" t="s">
        <v>2466</v>
      </c>
      <c r="B2760" s="2">
        <v>45021</v>
      </c>
      <c r="C2760" s="2" t="str">
        <f>TEXT(Table3[[#This Row],[Order Date]],"mmmm")</f>
        <v>April</v>
      </c>
      <c r="D2760" t="s">
        <v>3216</v>
      </c>
      <c r="E2760" t="s">
        <v>3223</v>
      </c>
      <c r="F2760" t="s">
        <v>3226</v>
      </c>
      <c r="G2760" s="4">
        <v>42693.09</v>
      </c>
      <c r="H2760" s="4">
        <v>37557.480000000003</v>
      </c>
      <c r="I2760" s="3" t="s">
        <v>3734</v>
      </c>
      <c r="J2760">
        <v>5</v>
      </c>
      <c r="K2760" s="4">
        <f>Table3[[#This Row],[Sales]]-Table3[[#This Row],[Cost]]</f>
        <v>5135.6099999999933</v>
      </c>
      <c r="L2760" s="6">
        <f>Table3[[#This Row],[Profit]]/Table3[[#This Row],[Sales]]</f>
        <v>0.12029136330961272</v>
      </c>
    </row>
    <row r="2761" spans="1:12" x14ac:dyDescent="0.25">
      <c r="A2761" t="s">
        <v>2467</v>
      </c>
      <c r="B2761" s="2">
        <v>45005</v>
      </c>
      <c r="C2761" s="2" t="str">
        <f>TEXT(Table3[[#This Row],[Order Date]],"mmmm")</f>
        <v>March</v>
      </c>
      <c r="D2761" t="s">
        <v>3220</v>
      </c>
      <c r="E2761" t="s">
        <v>3223</v>
      </c>
      <c r="F2761" t="s">
        <v>3226</v>
      </c>
      <c r="G2761" s="4">
        <v>30291.58</v>
      </c>
      <c r="H2761" s="4">
        <v>22289.68</v>
      </c>
      <c r="I2761" s="3" t="s">
        <v>3734</v>
      </c>
      <c r="J2761">
        <v>3</v>
      </c>
      <c r="K2761" s="4">
        <f>Table3[[#This Row],[Sales]]-Table3[[#This Row],[Cost]]</f>
        <v>8001.9000000000015</v>
      </c>
      <c r="L2761" s="6">
        <f>Table3[[#This Row],[Profit]]/Table3[[#This Row],[Sales]]</f>
        <v>0.26416251644846522</v>
      </c>
    </row>
    <row r="2762" spans="1:12" x14ac:dyDescent="0.25">
      <c r="A2762" t="s">
        <v>2468</v>
      </c>
      <c r="B2762" s="2">
        <v>44941</v>
      </c>
      <c r="C2762" s="2" t="str">
        <f>TEXT(Table3[[#This Row],[Order Date]],"mmmm")</f>
        <v>January</v>
      </c>
      <c r="D2762" t="s">
        <v>3730</v>
      </c>
      <c r="E2762" t="s">
        <v>3225</v>
      </c>
      <c r="F2762" t="s">
        <v>3226</v>
      </c>
      <c r="G2762" s="4">
        <v>79498.44</v>
      </c>
      <c r="H2762" s="4">
        <v>47742.43</v>
      </c>
      <c r="I2762" s="3" t="s">
        <v>3734</v>
      </c>
      <c r="J2762">
        <v>4</v>
      </c>
      <c r="K2762" s="4">
        <f>Table3[[#This Row],[Sales]]-Table3[[#This Row],[Cost]]</f>
        <v>31756.010000000002</v>
      </c>
      <c r="L2762" s="6">
        <f>Table3[[#This Row],[Profit]]/Table3[[#This Row],[Sales]]</f>
        <v>0.39945450501921798</v>
      </c>
    </row>
    <row r="2763" spans="1:12" x14ac:dyDescent="0.25">
      <c r="A2763" t="s">
        <v>2469</v>
      </c>
      <c r="B2763" s="2" t="s">
        <v>3729</v>
      </c>
      <c r="C2763" s="2" t="str">
        <f>TEXT(Table3[[#This Row],[Order Date]],"mmmm")</f>
        <v>Not Mentioned</v>
      </c>
      <c r="D2763" t="s">
        <v>3730</v>
      </c>
      <c r="E2763" t="s">
        <v>3222</v>
      </c>
      <c r="F2763" t="s">
        <v>3226</v>
      </c>
      <c r="G2763" s="4">
        <v>17310.580000000002</v>
      </c>
      <c r="H2763" s="4">
        <v>8752.27</v>
      </c>
      <c r="I2763" s="3" t="s">
        <v>3734</v>
      </c>
      <c r="J2763">
        <v>1</v>
      </c>
      <c r="K2763" s="4">
        <f>Table3[[#This Row],[Sales]]-Table3[[#This Row],[Cost]]</f>
        <v>8558.3100000000013</v>
      </c>
      <c r="L2763" s="6">
        <f>Table3[[#This Row],[Profit]]/Table3[[#This Row],[Sales]]</f>
        <v>0.49439764583277973</v>
      </c>
    </row>
    <row r="2764" spans="1:12" x14ac:dyDescent="0.25">
      <c r="A2764" t="s">
        <v>2470</v>
      </c>
      <c r="B2764" s="2">
        <v>45021</v>
      </c>
      <c r="C2764" s="2" t="str">
        <f>TEXT(Table3[[#This Row],[Order Date]],"mmmm")</f>
        <v>April</v>
      </c>
      <c r="D2764" t="s">
        <v>3731</v>
      </c>
      <c r="E2764" t="s">
        <v>3223</v>
      </c>
      <c r="F2764" t="s">
        <v>3226</v>
      </c>
      <c r="G2764" s="4">
        <v>48874.239999999998</v>
      </c>
      <c r="H2764" s="4">
        <v>39099.392</v>
      </c>
      <c r="I2764" s="3" t="s">
        <v>3735</v>
      </c>
      <c r="J2764">
        <v>5</v>
      </c>
      <c r="K2764" s="4">
        <f>Table3[[#This Row],[Sales]]-Table3[[#This Row],[Cost]]</f>
        <v>9774.8479999999981</v>
      </c>
      <c r="L2764" s="6">
        <f>Table3[[#This Row],[Profit]]/Table3[[#This Row],[Sales]]</f>
        <v>0.19999999999999998</v>
      </c>
    </row>
    <row r="2765" spans="1:12" x14ac:dyDescent="0.25">
      <c r="A2765" t="s">
        <v>1367</v>
      </c>
      <c r="B2765" s="2">
        <v>45005</v>
      </c>
      <c r="C2765" s="2" t="str">
        <f>TEXT(Table3[[#This Row],[Order Date]],"mmmm")</f>
        <v>March</v>
      </c>
      <c r="D2765" t="s">
        <v>3220</v>
      </c>
      <c r="E2765" t="s">
        <v>3223</v>
      </c>
      <c r="F2765" t="s">
        <v>3226</v>
      </c>
      <c r="G2765" s="4">
        <v>29726.43</v>
      </c>
      <c r="H2765" s="4">
        <v>18688.52</v>
      </c>
      <c r="I2765" s="3" t="s">
        <v>3734</v>
      </c>
      <c r="J2765" t="s">
        <v>3732</v>
      </c>
      <c r="K2765" s="4">
        <f>Table3[[#This Row],[Sales]]-Table3[[#This Row],[Cost]]</f>
        <v>11037.91</v>
      </c>
      <c r="L2765" s="6">
        <f>Table3[[#This Row],[Profit]]/Table3[[#This Row],[Sales]]</f>
        <v>0.37131636728661999</v>
      </c>
    </row>
    <row r="2766" spans="1:12" x14ac:dyDescent="0.25">
      <c r="A2766" t="s">
        <v>2471</v>
      </c>
      <c r="B2766" s="2" t="s">
        <v>3729</v>
      </c>
      <c r="C2766" s="2" t="str">
        <f>TEXT(Table3[[#This Row],[Order Date]],"mmmm")</f>
        <v>Not Mentioned</v>
      </c>
      <c r="D2766" t="s">
        <v>3216</v>
      </c>
      <c r="E2766" t="s">
        <v>3223</v>
      </c>
      <c r="F2766" t="s">
        <v>3226</v>
      </c>
      <c r="G2766" s="4">
        <v>10355.77</v>
      </c>
      <c r="H2766" s="4">
        <v>7227.3</v>
      </c>
      <c r="I2766" s="3" t="s">
        <v>3734</v>
      </c>
      <c r="J2766">
        <v>1</v>
      </c>
      <c r="K2766" s="4">
        <f>Table3[[#This Row],[Sales]]-Table3[[#This Row],[Cost]]</f>
        <v>3128.4700000000003</v>
      </c>
      <c r="L2766" s="6">
        <f>Table3[[#This Row],[Profit]]/Table3[[#This Row],[Sales]]</f>
        <v>0.30209921618575925</v>
      </c>
    </row>
    <row r="2767" spans="1:12" x14ac:dyDescent="0.25">
      <c r="A2767" t="s">
        <v>2472</v>
      </c>
      <c r="B2767" s="2">
        <v>45005</v>
      </c>
      <c r="C2767" s="2" t="str">
        <f>TEXT(Table3[[#This Row],[Order Date]],"mmmm")</f>
        <v>March</v>
      </c>
      <c r="D2767" t="s">
        <v>3216</v>
      </c>
      <c r="E2767" t="s">
        <v>3225</v>
      </c>
      <c r="F2767" t="s">
        <v>3226</v>
      </c>
      <c r="G2767" s="4">
        <v>18608.89</v>
      </c>
      <c r="H2767" s="4">
        <v>12206.2</v>
      </c>
      <c r="I2767" s="3" t="s">
        <v>3734</v>
      </c>
      <c r="J2767">
        <v>1</v>
      </c>
      <c r="K2767" s="4">
        <f>Table3[[#This Row],[Sales]]-Table3[[#This Row],[Cost]]</f>
        <v>6402.6899999999987</v>
      </c>
      <c r="L2767" s="6">
        <f>Table3[[#This Row],[Profit]]/Table3[[#This Row],[Sales]]</f>
        <v>0.34406619631799634</v>
      </c>
    </row>
    <row r="2768" spans="1:12" x14ac:dyDescent="0.25">
      <c r="A2768" t="s">
        <v>3573</v>
      </c>
      <c r="B2768" s="2">
        <v>45005</v>
      </c>
      <c r="C2768" s="2" t="str">
        <f>TEXT(Table3[[#This Row],[Order Date]],"mmmm")</f>
        <v>March</v>
      </c>
      <c r="D2768" t="s">
        <v>3220</v>
      </c>
      <c r="E2768" t="s">
        <v>3223</v>
      </c>
      <c r="F2768" t="s">
        <v>3226</v>
      </c>
      <c r="G2768" s="4">
        <v>33772.99</v>
      </c>
      <c r="H2768" s="4">
        <v>30066.05</v>
      </c>
      <c r="I2768" s="3" t="s">
        <v>3734</v>
      </c>
      <c r="J2768">
        <v>4</v>
      </c>
      <c r="K2768" s="4">
        <f>Table3[[#This Row],[Sales]]-Table3[[#This Row],[Cost]]</f>
        <v>3706.9399999999987</v>
      </c>
      <c r="L2768" s="6">
        <f>Table3[[#This Row],[Profit]]/Table3[[#This Row],[Sales]]</f>
        <v>0.1097604920381642</v>
      </c>
    </row>
    <row r="2769" spans="1:12" x14ac:dyDescent="0.25">
      <c r="A2769" t="s">
        <v>2473</v>
      </c>
      <c r="B2769" s="2">
        <v>44941</v>
      </c>
      <c r="C2769" s="2" t="str">
        <f>TEXT(Table3[[#This Row],[Order Date]],"mmmm")</f>
        <v>January</v>
      </c>
      <c r="D2769" t="s">
        <v>3730</v>
      </c>
      <c r="E2769" t="s">
        <v>3223</v>
      </c>
      <c r="F2769" t="s">
        <v>3226</v>
      </c>
      <c r="G2769" s="4">
        <v>20352.03</v>
      </c>
      <c r="H2769" s="4">
        <v>12859.62</v>
      </c>
      <c r="I2769" s="3" t="s">
        <v>3734</v>
      </c>
      <c r="J2769">
        <v>2</v>
      </c>
      <c r="K2769" s="4">
        <f>Table3[[#This Row],[Sales]]-Table3[[#This Row],[Cost]]</f>
        <v>7492.409999999998</v>
      </c>
      <c r="L2769" s="6">
        <f>Table3[[#This Row],[Profit]]/Table3[[#This Row],[Sales]]</f>
        <v>0.36814067196245281</v>
      </c>
    </row>
    <row r="2770" spans="1:12" x14ac:dyDescent="0.25">
      <c r="A2770" t="s">
        <v>2474</v>
      </c>
      <c r="B2770" s="2" t="s">
        <v>3729</v>
      </c>
      <c r="C2770" s="2" t="str">
        <f>TEXT(Table3[[#This Row],[Order Date]],"mmmm")</f>
        <v>Not Mentioned</v>
      </c>
      <c r="D2770" t="s">
        <v>3730</v>
      </c>
      <c r="E2770" t="s">
        <v>3224</v>
      </c>
      <c r="F2770" t="s">
        <v>3226</v>
      </c>
      <c r="G2770" s="4">
        <v>108877.13</v>
      </c>
      <c r="H2770" s="4">
        <v>97515.99</v>
      </c>
      <c r="I2770" s="3" t="s">
        <v>3734</v>
      </c>
      <c r="J2770">
        <v>2</v>
      </c>
      <c r="K2770" s="4">
        <f>Table3[[#This Row],[Sales]]-Table3[[#This Row],[Cost]]</f>
        <v>11361.14</v>
      </c>
      <c r="L2770" s="6">
        <f>Table3[[#This Row],[Profit]]/Table3[[#This Row],[Sales]]</f>
        <v>0.10434826854822495</v>
      </c>
    </row>
    <row r="2771" spans="1:12" x14ac:dyDescent="0.25">
      <c r="A2771" t="s">
        <v>2475</v>
      </c>
      <c r="B2771" s="2">
        <v>45102</v>
      </c>
      <c r="C2771" s="2" t="str">
        <f>TEXT(Table3[[#This Row],[Order Date]],"mmmm")</f>
        <v>June</v>
      </c>
      <c r="D2771" t="s">
        <v>3216</v>
      </c>
      <c r="E2771" t="s">
        <v>3224</v>
      </c>
      <c r="F2771" t="s">
        <v>3226</v>
      </c>
      <c r="G2771" s="4">
        <v>60140.31</v>
      </c>
      <c r="H2771" s="4">
        <v>40341.57</v>
      </c>
      <c r="I2771" s="3" t="s">
        <v>3734</v>
      </c>
      <c r="J2771">
        <v>1</v>
      </c>
      <c r="K2771" s="4">
        <f>Table3[[#This Row],[Sales]]-Table3[[#This Row],[Cost]]</f>
        <v>19798.739999999998</v>
      </c>
      <c r="L2771" s="6">
        <f>Table3[[#This Row],[Profit]]/Table3[[#This Row],[Sales]]</f>
        <v>0.32920914441578369</v>
      </c>
    </row>
    <row r="2772" spans="1:12" x14ac:dyDescent="0.25">
      <c r="A2772" t="s">
        <v>2476</v>
      </c>
      <c r="B2772" s="2" t="s">
        <v>3729</v>
      </c>
      <c r="C2772" s="2" t="str">
        <f>TEXT(Table3[[#This Row],[Order Date]],"mmmm")</f>
        <v>Not Mentioned</v>
      </c>
      <c r="D2772" t="s">
        <v>3220</v>
      </c>
      <c r="E2772" t="s">
        <v>3224</v>
      </c>
      <c r="F2772" t="s">
        <v>3226</v>
      </c>
      <c r="G2772" s="4">
        <v>57801.11</v>
      </c>
      <c r="H2772" s="4">
        <v>40301.199999999997</v>
      </c>
      <c r="I2772" s="3" t="s">
        <v>3734</v>
      </c>
      <c r="J2772">
        <v>1</v>
      </c>
      <c r="K2772" s="4">
        <f>Table3[[#This Row],[Sales]]-Table3[[#This Row],[Cost]]</f>
        <v>17499.910000000003</v>
      </c>
      <c r="L2772" s="6">
        <f>Table3[[#This Row],[Profit]]/Table3[[#This Row],[Sales]]</f>
        <v>0.30276079473214274</v>
      </c>
    </row>
    <row r="2773" spans="1:12" x14ac:dyDescent="0.25">
      <c r="A2773" t="s">
        <v>2477</v>
      </c>
      <c r="B2773" s="2">
        <v>44972</v>
      </c>
      <c r="C2773" s="2" t="str">
        <f>TEXT(Table3[[#This Row],[Order Date]],"mmmm")</f>
        <v>February</v>
      </c>
      <c r="D2773" t="s">
        <v>3730</v>
      </c>
      <c r="E2773" t="s">
        <v>3225</v>
      </c>
      <c r="F2773" t="s">
        <v>3226</v>
      </c>
      <c r="G2773" s="4">
        <v>67388.210000000006</v>
      </c>
      <c r="H2773" s="4">
        <v>61271.55</v>
      </c>
      <c r="I2773" s="3" t="s">
        <v>3734</v>
      </c>
      <c r="J2773">
        <v>4</v>
      </c>
      <c r="K2773" s="4">
        <f>Table3[[#This Row],[Sales]]-Table3[[#This Row],[Cost]]</f>
        <v>6116.6600000000035</v>
      </c>
      <c r="L2773" s="6">
        <f>Table3[[#This Row],[Profit]]/Table3[[#This Row],[Sales]]</f>
        <v>9.0767509628167944E-2</v>
      </c>
    </row>
    <row r="2774" spans="1:12" x14ac:dyDescent="0.25">
      <c r="A2774" t="s">
        <v>2478</v>
      </c>
      <c r="B2774" s="2">
        <v>44941</v>
      </c>
      <c r="C2774" s="2" t="str">
        <f>TEXT(Table3[[#This Row],[Order Date]],"mmmm")</f>
        <v>January</v>
      </c>
      <c r="D2774" t="s">
        <v>3220</v>
      </c>
      <c r="E2774" t="s">
        <v>3224</v>
      </c>
      <c r="F2774" t="s">
        <v>3226</v>
      </c>
      <c r="G2774" s="4">
        <v>65482.11</v>
      </c>
      <c r="H2774" s="4">
        <v>43713.9</v>
      </c>
      <c r="I2774" s="3" t="s">
        <v>3734</v>
      </c>
      <c r="J2774">
        <v>1</v>
      </c>
      <c r="K2774" s="4">
        <f>Table3[[#This Row],[Sales]]-Table3[[#This Row],[Cost]]</f>
        <v>21768.21</v>
      </c>
      <c r="L2774" s="6">
        <f>Table3[[#This Row],[Profit]]/Table3[[#This Row],[Sales]]</f>
        <v>0.3324298804665885</v>
      </c>
    </row>
    <row r="2775" spans="1:12" x14ac:dyDescent="0.25">
      <c r="A2775" t="s">
        <v>2479</v>
      </c>
      <c r="B2775" s="2">
        <v>45102</v>
      </c>
      <c r="C2775" s="2" t="str">
        <f>TEXT(Table3[[#This Row],[Order Date]],"mmmm")</f>
        <v>June</v>
      </c>
      <c r="D2775" t="s">
        <v>3731</v>
      </c>
      <c r="E2775" t="s">
        <v>3222</v>
      </c>
      <c r="F2775" t="s">
        <v>3226</v>
      </c>
      <c r="G2775" s="4">
        <v>27345.39</v>
      </c>
      <c r="H2775" s="4">
        <v>18382.16</v>
      </c>
      <c r="I2775" s="3" t="s">
        <v>3734</v>
      </c>
      <c r="J2775">
        <v>2</v>
      </c>
      <c r="K2775" s="4">
        <f>Table3[[#This Row],[Sales]]-Table3[[#This Row],[Cost]]</f>
        <v>8963.23</v>
      </c>
      <c r="L2775" s="6">
        <f>Table3[[#This Row],[Profit]]/Table3[[#This Row],[Sales]]</f>
        <v>0.32777846649837505</v>
      </c>
    </row>
    <row r="2776" spans="1:12" x14ac:dyDescent="0.25">
      <c r="A2776" t="s">
        <v>2480</v>
      </c>
      <c r="B2776" s="2">
        <v>45102</v>
      </c>
      <c r="C2776" s="2" t="str">
        <f>TEXT(Table3[[#This Row],[Order Date]],"mmmm")</f>
        <v>June</v>
      </c>
      <c r="D2776" t="s">
        <v>3730</v>
      </c>
      <c r="E2776" t="s">
        <v>3225</v>
      </c>
      <c r="F2776" t="s">
        <v>3226</v>
      </c>
      <c r="G2776" s="4">
        <v>16116.72</v>
      </c>
      <c r="H2776" s="4">
        <v>12939.69</v>
      </c>
      <c r="I2776" s="3" t="s">
        <v>3734</v>
      </c>
      <c r="J2776">
        <v>1</v>
      </c>
      <c r="K2776" s="4">
        <f>Table3[[#This Row],[Sales]]-Table3[[#This Row],[Cost]]</f>
        <v>3177.0299999999988</v>
      </c>
      <c r="L2776" s="6">
        <f>Table3[[#This Row],[Profit]]/Table3[[#This Row],[Sales]]</f>
        <v>0.19712633836165169</v>
      </c>
    </row>
    <row r="2777" spans="1:12" x14ac:dyDescent="0.25">
      <c r="A2777" t="s">
        <v>855</v>
      </c>
      <c r="B2777" s="2">
        <v>44941</v>
      </c>
      <c r="C2777" s="2" t="str">
        <f>TEXT(Table3[[#This Row],[Order Date]],"mmmm")</f>
        <v>January</v>
      </c>
      <c r="D2777" t="s">
        <v>3731</v>
      </c>
      <c r="E2777" t="s">
        <v>3223</v>
      </c>
      <c r="F2777" t="s">
        <v>3226</v>
      </c>
      <c r="G2777" s="4">
        <v>19295.7</v>
      </c>
      <c r="H2777" s="4">
        <v>15048.03</v>
      </c>
      <c r="I2777" s="3" t="s">
        <v>3734</v>
      </c>
      <c r="J2777">
        <v>2</v>
      </c>
      <c r="K2777" s="4">
        <f>Table3[[#This Row],[Sales]]-Table3[[#This Row],[Cost]]</f>
        <v>4247.67</v>
      </c>
      <c r="L2777" s="6">
        <f>Table3[[#This Row],[Profit]]/Table3[[#This Row],[Sales]]</f>
        <v>0.22013557424711205</v>
      </c>
    </row>
    <row r="2778" spans="1:12" x14ac:dyDescent="0.25">
      <c r="A2778" t="s">
        <v>2481</v>
      </c>
      <c r="B2778" s="2">
        <v>44972</v>
      </c>
      <c r="C2778" s="2" t="str">
        <f>TEXT(Table3[[#This Row],[Order Date]],"mmmm")</f>
        <v>February</v>
      </c>
      <c r="D2778" t="s">
        <v>3220</v>
      </c>
      <c r="E2778" t="s">
        <v>3225</v>
      </c>
      <c r="F2778" t="s">
        <v>3226</v>
      </c>
      <c r="G2778" s="4">
        <v>50607.99</v>
      </c>
      <c r="H2778" s="4">
        <v>42326.73</v>
      </c>
      <c r="I2778" s="3" t="s">
        <v>3734</v>
      </c>
      <c r="J2778">
        <v>3</v>
      </c>
      <c r="K2778" s="4">
        <f>Table3[[#This Row],[Sales]]-Table3[[#This Row],[Cost]]</f>
        <v>8281.2599999999948</v>
      </c>
      <c r="L2778" s="6">
        <f>Table3[[#This Row],[Profit]]/Table3[[#This Row],[Sales]]</f>
        <v>0.16363542594756272</v>
      </c>
    </row>
    <row r="2779" spans="1:12" x14ac:dyDescent="0.25">
      <c r="A2779" t="s">
        <v>2482</v>
      </c>
      <c r="B2779" s="2">
        <v>45102</v>
      </c>
      <c r="C2779" s="2" t="str">
        <f>TEXT(Table3[[#This Row],[Order Date]],"mmmm")</f>
        <v>June</v>
      </c>
      <c r="D2779" t="s">
        <v>3730</v>
      </c>
      <c r="E2779" t="s">
        <v>3222</v>
      </c>
      <c r="F2779" t="s">
        <v>3226</v>
      </c>
      <c r="G2779" s="4">
        <v>27066.080000000002</v>
      </c>
      <c r="H2779" s="4">
        <v>18835.86</v>
      </c>
      <c r="I2779" s="3" t="s">
        <v>3734</v>
      </c>
      <c r="J2779">
        <v>2</v>
      </c>
      <c r="K2779" s="4">
        <f>Table3[[#This Row],[Sales]]-Table3[[#This Row],[Cost]]</f>
        <v>8230.2200000000012</v>
      </c>
      <c r="L2779" s="6">
        <f>Table3[[#This Row],[Profit]]/Table3[[#This Row],[Sales]]</f>
        <v>0.30407875835732401</v>
      </c>
    </row>
    <row r="2780" spans="1:12" x14ac:dyDescent="0.25">
      <c r="A2780" t="s">
        <v>2483</v>
      </c>
      <c r="B2780" s="2" t="s">
        <v>3729</v>
      </c>
      <c r="C2780" s="2" t="str">
        <f>TEXT(Table3[[#This Row],[Order Date]],"mmmm")</f>
        <v>Not Mentioned</v>
      </c>
      <c r="D2780" t="s">
        <v>3730</v>
      </c>
      <c r="E2780" t="s">
        <v>3222</v>
      </c>
      <c r="F2780" t="s">
        <v>3226</v>
      </c>
      <c r="G2780" s="4">
        <v>13593.83</v>
      </c>
      <c r="H2780" s="4">
        <v>8526.9699999999993</v>
      </c>
      <c r="I2780" s="3" t="s">
        <v>3734</v>
      </c>
      <c r="J2780">
        <v>1</v>
      </c>
      <c r="K2780" s="4">
        <f>Table3[[#This Row],[Sales]]-Table3[[#This Row],[Cost]]</f>
        <v>5066.8600000000006</v>
      </c>
      <c r="L2780" s="6">
        <f>Table3[[#This Row],[Profit]]/Table3[[#This Row],[Sales]]</f>
        <v>0.37273233518441828</v>
      </c>
    </row>
    <row r="2781" spans="1:12" x14ac:dyDescent="0.25">
      <c r="A2781" t="s">
        <v>2484</v>
      </c>
      <c r="B2781" s="2">
        <v>44972</v>
      </c>
      <c r="C2781" s="2" t="str">
        <f>TEXT(Table3[[#This Row],[Order Date]],"mmmm")</f>
        <v>February</v>
      </c>
      <c r="D2781" t="s">
        <v>3220</v>
      </c>
      <c r="E2781" t="s">
        <v>3222</v>
      </c>
      <c r="F2781" t="s">
        <v>3226</v>
      </c>
      <c r="G2781" s="4">
        <v>75344.66</v>
      </c>
      <c r="H2781" s="4">
        <v>45171.76</v>
      </c>
      <c r="I2781" s="3" t="s">
        <v>3734</v>
      </c>
      <c r="J2781">
        <v>5</v>
      </c>
      <c r="K2781" s="4">
        <f>Table3[[#This Row],[Sales]]-Table3[[#This Row],[Cost]]</f>
        <v>30172.9</v>
      </c>
      <c r="L2781" s="6">
        <f>Table3[[#This Row],[Profit]]/Table3[[#This Row],[Sales]]</f>
        <v>0.40046500972995297</v>
      </c>
    </row>
    <row r="2782" spans="1:12" x14ac:dyDescent="0.25">
      <c r="A2782" t="s">
        <v>2485</v>
      </c>
      <c r="B2782" s="2">
        <v>45021</v>
      </c>
      <c r="C2782" s="2" t="str">
        <f>TEXT(Table3[[#This Row],[Order Date]],"mmmm")</f>
        <v>April</v>
      </c>
      <c r="D2782" t="s">
        <v>3220</v>
      </c>
      <c r="E2782" t="s">
        <v>3223</v>
      </c>
      <c r="F2782" t="s">
        <v>3226</v>
      </c>
      <c r="G2782" s="4">
        <v>9886.41</v>
      </c>
      <c r="H2782" s="4">
        <v>5968.18</v>
      </c>
      <c r="I2782" s="3" t="s">
        <v>3734</v>
      </c>
      <c r="J2782" t="s">
        <v>3732</v>
      </c>
      <c r="K2782" s="4">
        <f>Table3[[#This Row],[Sales]]-Table3[[#This Row],[Cost]]</f>
        <v>3918.2299999999996</v>
      </c>
      <c r="L2782" s="6">
        <f>Table3[[#This Row],[Profit]]/Table3[[#This Row],[Sales]]</f>
        <v>0.39632485401677653</v>
      </c>
    </row>
    <row r="2783" spans="1:12" x14ac:dyDescent="0.25">
      <c r="A2783" t="s">
        <v>2486</v>
      </c>
      <c r="B2783" s="2">
        <v>45021</v>
      </c>
      <c r="C2783" s="2" t="str">
        <f>TEXT(Table3[[#This Row],[Order Date]],"mmmm")</f>
        <v>April</v>
      </c>
      <c r="D2783" t="s">
        <v>3220</v>
      </c>
      <c r="E2783" t="s">
        <v>3223</v>
      </c>
      <c r="F2783" t="s">
        <v>3226</v>
      </c>
      <c r="G2783" s="4">
        <v>45130.81</v>
      </c>
      <c r="H2783" s="4">
        <v>27063.02</v>
      </c>
      <c r="I2783" s="3" t="s">
        <v>3734</v>
      </c>
      <c r="J2783" t="s">
        <v>3732</v>
      </c>
      <c r="K2783" s="4">
        <f>Table3[[#This Row],[Sales]]-Table3[[#This Row],[Cost]]</f>
        <v>18067.789999999997</v>
      </c>
      <c r="L2783" s="6">
        <f>Table3[[#This Row],[Profit]]/Table3[[#This Row],[Sales]]</f>
        <v>0.40034269271923101</v>
      </c>
    </row>
    <row r="2784" spans="1:12" x14ac:dyDescent="0.25">
      <c r="A2784" t="s">
        <v>1043</v>
      </c>
      <c r="B2784" s="2">
        <v>44972</v>
      </c>
      <c r="C2784" s="2" t="str">
        <f>TEXT(Table3[[#This Row],[Order Date]],"mmmm")</f>
        <v>February</v>
      </c>
      <c r="D2784" t="s">
        <v>3730</v>
      </c>
      <c r="E2784" t="s">
        <v>3224</v>
      </c>
      <c r="F2784" t="s">
        <v>3226</v>
      </c>
      <c r="G2784" s="4">
        <v>138866.01999999999</v>
      </c>
      <c r="H2784" s="4">
        <v>81401.41</v>
      </c>
      <c r="I2784" s="3" t="s">
        <v>3734</v>
      </c>
      <c r="J2784">
        <v>2</v>
      </c>
      <c r="K2784" s="4">
        <f>Table3[[#This Row],[Sales]]-Table3[[#This Row],[Cost]]</f>
        <v>57464.609999999986</v>
      </c>
      <c r="L2784" s="6">
        <f>Table3[[#This Row],[Profit]]/Table3[[#This Row],[Sales]]</f>
        <v>0.41381332884747463</v>
      </c>
    </row>
    <row r="2785" spans="1:12" x14ac:dyDescent="0.25">
      <c r="A2785" t="s">
        <v>2487</v>
      </c>
      <c r="B2785" s="2">
        <v>44972</v>
      </c>
      <c r="C2785" s="2" t="str">
        <f>TEXT(Table3[[#This Row],[Order Date]],"mmmm")</f>
        <v>February</v>
      </c>
      <c r="D2785" t="s">
        <v>3730</v>
      </c>
      <c r="E2785" t="s">
        <v>3224</v>
      </c>
      <c r="F2785" t="s">
        <v>3226</v>
      </c>
      <c r="G2785" s="4">
        <v>204076.92</v>
      </c>
      <c r="H2785" s="4">
        <v>162665.54999999999</v>
      </c>
      <c r="I2785" s="3" t="s">
        <v>3734</v>
      </c>
      <c r="J2785">
        <v>4</v>
      </c>
      <c r="K2785" s="4">
        <f>Table3[[#This Row],[Sales]]-Table3[[#This Row],[Cost]]</f>
        <v>41411.370000000024</v>
      </c>
      <c r="L2785" s="6">
        <f>Table3[[#This Row],[Profit]]/Table3[[#This Row],[Sales]]</f>
        <v>0.20292039883785007</v>
      </c>
    </row>
    <row r="2786" spans="1:12" x14ac:dyDescent="0.25">
      <c r="A2786" t="s">
        <v>2488</v>
      </c>
      <c r="B2786" s="2">
        <v>45005</v>
      </c>
      <c r="C2786" s="2" t="str">
        <f>TEXT(Table3[[#This Row],[Order Date]],"mmmm")</f>
        <v>March</v>
      </c>
      <c r="D2786" t="s">
        <v>3216</v>
      </c>
      <c r="E2786" t="s">
        <v>3223</v>
      </c>
      <c r="F2786" t="s">
        <v>3226</v>
      </c>
      <c r="G2786" s="4">
        <v>18796.41</v>
      </c>
      <c r="H2786" s="4">
        <v>13560.39</v>
      </c>
      <c r="I2786" s="3" t="s">
        <v>3734</v>
      </c>
      <c r="J2786">
        <v>2</v>
      </c>
      <c r="K2786" s="4">
        <f>Table3[[#This Row],[Sales]]-Table3[[#This Row],[Cost]]</f>
        <v>5236.0200000000004</v>
      </c>
      <c r="L2786" s="6">
        <f>Table3[[#This Row],[Profit]]/Table3[[#This Row],[Sales]]</f>
        <v>0.27856489616900248</v>
      </c>
    </row>
    <row r="2787" spans="1:12" x14ac:dyDescent="0.25">
      <c r="A2787" t="s">
        <v>161</v>
      </c>
      <c r="B2787" s="2">
        <v>44972</v>
      </c>
      <c r="C2787" s="2" t="str">
        <f>TEXT(Table3[[#This Row],[Order Date]],"mmmm")</f>
        <v>February</v>
      </c>
      <c r="D2787" t="s">
        <v>3730</v>
      </c>
      <c r="E2787" t="s">
        <v>3225</v>
      </c>
      <c r="F2787" t="s">
        <v>3226</v>
      </c>
      <c r="G2787" s="4">
        <v>84474.87</v>
      </c>
      <c r="H2787" s="4">
        <v>48921.99</v>
      </c>
      <c r="I2787" s="3" t="s">
        <v>3734</v>
      </c>
      <c r="J2787">
        <v>4</v>
      </c>
      <c r="K2787" s="4">
        <f>Table3[[#This Row],[Sales]]-Table3[[#This Row],[Cost]]</f>
        <v>35552.879999999997</v>
      </c>
      <c r="L2787" s="6">
        <f>Table3[[#This Row],[Profit]]/Table3[[#This Row],[Sales]]</f>
        <v>0.42086930704954029</v>
      </c>
    </row>
    <row r="2788" spans="1:12" x14ac:dyDescent="0.25">
      <c r="A2788" t="s">
        <v>2489</v>
      </c>
      <c r="B2788" s="2" t="s">
        <v>3729</v>
      </c>
      <c r="C2788" s="2" t="str">
        <f>TEXT(Table3[[#This Row],[Order Date]],"mmmm")</f>
        <v>Not Mentioned</v>
      </c>
      <c r="D2788" t="s">
        <v>3216</v>
      </c>
      <c r="E2788" t="s">
        <v>3225</v>
      </c>
      <c r="F2788" t="s">
        <v>3226</v>
      </c>
      <c r="G2788" s="4">
        <v>66929.740000000005</v>
      </c>
      <c r="H2788" s="4">
        <v>61006.53</v>
      </c>
      <c r="I2788" s="3" t="s">
        <v>3734</v>
      </c>
      <c r="J2788">
        <v>4</v>
      </c>
      <c r="K2788" s="4">
        <f>Table3[[#This Row],[Sales]]-Table3[[#This Row],[Cost]]</f>
        <v>5923.2100000000064</v>
      </c>
      <c r="L2788" s="6">
        <f>Table3[[#This Row],[Profit]]/Table3[[#This Row],[Sales]]</f>
        <v>8.8498924394447162E-2</v>
      </c>
    </row>
    <row r="2789" spans="1:12" x14ac:dyDescent="0.25">
      <c r="A2789" t="s">
        <v>2490</v>
      </c>
      <c r="B2789" s="2">
        <v>44941</v>
      </c>
      <c r="C2789" s="2" t="str">
        <f>TEXT(Table3[[#This Row],[Order Date]],"mmmm")</f>
        <v>January</v>
      </c>
      <c r="D2789" t="s">
        <v>3730</v>
      </c>
      <c r="E2789" t="s">
        <v>3223</v>
      </c>
      <c r="F2789" t="s">
        <v>3226</v>
      </c>
      <c r="G2789" s="4">
        <v>51040.87</v>
      </c>
      <c r="H2789" s="4">
        <v>31858.1</v>
      </c>
      <c r="I2789" s="3" t="s">
        <v>3734</v>
      </c>
      <c r="J2789">
        <v>5</v>
      </c>
      <c r="K2789" s="4">
        <f>Table3[[#This Row],[Sales]]-Table3[[#This Row],[Cost]]</f>
        <v>19182.770000000004</v>
      </c>
      <c r="L2789" s="6">
        <f>Table3[[#This Row],[Profit]]/Table3[[#This Row],[Sales]]</f>
        <v>0.37583156399959489</v>
      </c>
    </row>
    <row r="2790" spans="1:12" x14ac:dyDescent="0.25">
      <c r="A2790" t="s">
        <v>3623</v>
      </c>
      <c r="B2790" s="2">
        <v>44972</v>
      </c>
      <c r="C2790" s="2" t="str">
        <f>TEXT(Table3[[#This Row],[Order Date]],"mmmm")</f>
        <v>February</v>
      </c>
      <c r="D2790" t="s">
        <v>3731</v>
      </c>
      <c r="E2790" t="s">
        <v>3223</v>
      </c>
      <c r="F2790" t="s">
        <v>3226</v>
      </c>
      <c r="G2790" s="4">
        <v>21966.67</v>
      </c>
      <c r="H2790" s="4">
        <v>12250.71</v>
      </c>
      <c r="I2790" s="3" t="s">
        <v>3734</v>
      </c>
      <c r="J2790">
        <v>2</v>
      </c>
      <c r="K2790" s="4">
        <f>Table3[[#This Row],[Sales]]-Table3[[#This Row],[Cost]]</f>
        <v>9715.9599999999991</v>
      </c>
      <c r="L2790" s="6">
        <f>Table3[[#This Row],[Profit]]/Table3[[#This Row],[Sales]]</f>
        <v>0.44230463697956951</v>
      </c>
    </row>
    <row r="2791" spans="1:12" x14ac:dyDescent="0.25">
      <c r="A2791" t="s">
        <v>2490</v>
      </c>
      <c r="B2791" s="2">
        <v>45021</v>
      </c>
      <c r="C2791" s="2" t="str">
        <f>TEXT(Table3[[#This Row],[Order Date]],"mmmm")</f>
        <v>April</v>
      </c>
      <c r="D2791" t="s">
        <v>3220</v>
      </c>
      <c r="E2791" t="s">
        <v>3224</v>
      </c>
      <c r="F2791" t="s">
        <v>3226</v>
      </c>
      <c r="G2791" s="4">
        <v>100213.27</v>
      </c>
      <c r="H2791" s="4">
        <v>76597.539999999994</v>
      </c>
      <c r="I2791" s="3" t="s">
        <v>3734</v>
      </c>
      <c r="J2791">
        <v>2</v>
      </c>
      <c r="K2791" s="4">
        <f>Table3[[#This Row],[Sales]]-Table3[[#This Row],[Cost]]</f>
        <v>23615.73000000001</v>
      </c>
      <c r="L2791" s="6">
        <f>Table3[[#This Row],[Profit]]/Table3[[#This Row],[Sales]]</f>
        <v>0.23565471918040404</v>
      </c>
    </row>
    <row r="2792" spans="1:12" x14ac:dyDescent="0.25">
      <c r="A2792" t="s">
        <v>1014</v>
      </c>
      <c r="B2792" s="2">
        <v>45005</v>
      </c>
      <c r="C2792" s="2" t="str">
        <f>TEXT(Table3[[#This Row],[Order Date]],"mmmm")</f>
        <v>March</v>
      </c>
      <c r="D2792" t="s">
        <v>3220</v>
      </c>
      <c r="E2792" t="s">
        <v>3224</v>
      </c>
      <c r="F2792" t="s">
        <v>3226</v>
      </c>
      <c r="G2792" s="4">
        <v>198189.36</v>
      </c>
      <c r="H2792" s="4">
        <v>197458.7</v>
      </c>
      <c r="I2792" s="3" t="s">
        <v>3734</v>
      </c>
      <c r="J2792">
        <v>4</v>
      </c>
      <c r="K2792" s="4">
        <f>Table3[[#This Row],[Sales]]-Table3[[#This Row],[Cost]]</f>
        <v>730.65999999997439</v>
      </c>
      <c r="L2792" s="6">
        <f>Table3[[#This Row],[Profit]]/Table3[[#This Row],[Sales]]</f>
        <v>3.6866762171287827E-3</v>
      </c>
    </row>
    <row r="2793" spans="1:12" x14ac:dyDescent="0.25">
      <c r="A2793" t="s">
        <v>2491</v>
      </c>
      <c r="B2793" s="2">
        <v>44941</v>
      </c>
      <c r="C2793" s="2" t="str">
        <f>TEXT(Table3[[#This Row],[Order Date]],"mmmm")</f>
        <v>January</v>
      </c>
      <c r="D2793" t="s">
        <v>3730</v>
      </c>
      <c r="E2793" t="s">
        <v>3223</v>
      </c>
      <c r="F2793" t="s">
        <v>3226</v>
      </c>
      <c r="G2793" s="4">
        <v>50026.23</v>
      </c>
      <c r="H2793" s="4">
        <v>31382.799999999999</v>
      </c>
      <c r="I2793" s="3" t="s">
        <v>3734</v>
      </c>
      <c r="J2793">
        <v>5</v>
      </c>
      <c r="K2793" s="4">
        <f>Table3[[#This Row],[Sales]]-Table3[[#This Row],[Cost]]</f>
        <v>18643.430000000004</v>
      </c>
      <c r="L2793" s="6">
        <f>Table3[[#This Row],[Profit]]/Table3[[#This Row],[Sales]]</f>
        <v>0.37267309569399898</v>
      </c>
    </row>
    <row r="2794" spans="1:12" x14ac:dyDescent="0.25">
      <c r="A2794" t="s">
        <v>3275</v>
      </c>
      <c r="B2794" s="2">
        <v>44941</v>
      </c>
      <c r="C2794" s="2" t="str">
        <f>TEXT(Table3[[#This Row],[Order Date]],"mmmm")</f>
        <v>January</v>
      </c>
      <c r="D2794" t="s">
        <v>3216</v>
      </c>
      <c r="E2794" t="s">
        <v>3225</v>
      </c>
      <c r="F2794" t="s">
        <v>3226</v>
      </c>
      <c r="G2794" s="4">
        <v>19385.150000000001</v>
      </c>
      <c r="H2794" s="4">
        <v>15119.18</v>
      </c>
      <c r="I2794" s="3" t="s">
        <v>3734</v>
      </c>
      <c r="J2794">
        <v>1</v>
      </c>
      <c r="K2794" s="4">
        <f>Table3[[#This Row],[Sales]]-Table3[[#This Row],[Cost]]</f>
        <v>4265.9700000000012</v>
      </c>
      <c r="L2794" s="6">
        <f>Table3[[#This Row],[Profit]]/Table3[[#This Row],[Sales]]</f>
        <v>0.22006381173217648</v>
      </c>
    </row>
    <row r="2795" spans="1:12" x14ac:dyDescent="0.25">
      <c r="A2795" t="s">
        <v>3635</v>
      </c>
      <c r="B2795" s="2">
        <v>45021</v>
      </c>
      <c r="C2795" s="2" t="str">
        <f>TEXT(Table3[[#This Row],[Order Date]],"mmmm")</f>
        <v>April</v>
      </c>
      <c r="D2795" t="s">
        <v>3731</v>
      </c>
      <c r="E2795" t="s">
        <v>3222</v>
      </c>
      <c r="F2795" t="s">
        <v>3226</v>
      </c>
      <c r="G2795" s="4">
        <v>60785.26</v>
      </c>
      <c r="H2795" s="4">
        <v>36035.35</v>
      </c>
      <c r="I2795" s="3" t="s">
        <v>3734</v>
      </c>
      <c r="J2795">
        <v>4</v>
      </c>
      <c r="K2795" s="4">
        <f>Table3[[#This Row],[Sales]]-Table3[[#This Row],[Cost]]</f>
        <v>24749.910000000003</v>
      </c>
      <c r="L2795" s="6">
        <f>Table3[[#This Row],[Profit]]/Table3[[#This Row],[Sales]]</f>
        <v>0.40716959999842073</v>
      </c>
    </row>
    <row r="2796" spans="1:12" x14ac:dyDescent="0.25">
      <c r="A2796" t="s">
        <v>2493</v>
      </c>
      <c r="B2796" s="2" t="s">
        <v>3729</v>
      </c>
      <c r="C2796" s="2" t="str">
        <f>TEXT(Table3[[#This Row],[Order Date]],"mmmm")</f>
        <v>Not Mentioned</v>
      </c>
      <c r="D2796" t="s">
        <v>3730</v>
      </c>
      <c r="E2796" t="s">
        <v>3223</v>
      </c>
      <c r="F2796" t="s">
        <v>3226</v>
      </c>
      <c r="G2796" s="4">
        <v>47269.21</v>
      </c>
      <c r="H2796" s="4">
        <v>37815.368000000002</v>
      </c>
      <c r="I2796" s="3" t="s">
        <v>3735</v>
      </c>
      <c r="J2796">
        <v>4</v>
      </c>
      <c r="K2796" s="4">
        <f>Table3[[#This Row],[Sales]]-Table3[[#This Row],[Cost]]</f>
        <v>9453.8419999999969</v>
      </c>
      <c r="L2796" s="6">
        <f>Table3[[#This Row],[Profit]]/Table3[[#This Row],[Sales]]</f>
        <v>0.19999999999999993</v>
      </c>
    </row>
    <row r="2797" spans="1:12" x14ac:dyDescent="0.25">
      <c r="A2797" t="s">
        <v>2494</v>
      </c>
      <c r="B2797" s="2">
        <v>44941</v>
      </c>
      <c r="C2797" s="2" t="str">
        <f>TEXT(Table3[[#This Row],[Order Date]],"mmmm")</f>
        <v>January</v>
      </c>
      <c r="D2797" t="s">
        <v>3731</v>
      </c>
      <c r="E2797" t="s">
        <v>3223</v>
      </c>
      <c r="F2797" t="s">
        <v>3226</v>
      </c>
      <c r="G2797" s="4">
        <v>29893.7</v>
      </c>
      <c r="H2797" s="4">
        <v>18722.03</v>
      </c>
      <c r="I2797" s="3" t="s">
        <v>3734</v>
      </c>
      <c r="J2797" t="s">
        <v>3732</v>
      </c>
      <c r="K2797" s="4">
        <f>Table3[[#This Row],[Sales]]-Table3[[#This Row],[Cost]]</f>
        <v>11171.670000000002</v>
      </c>
      <c r="L2797" s="6">
        <f>Table3[[#This Row],[Profit]]/Table3[[#This Row],[Sales]]</f>
        <v>0.37371319040466727</v>
      </c>
    </row>
    <row r="2798" spans="1:12" x14ac:dyDescent="0.25">
      <c r="A2798" t="s">
        <v>2495</v>
      </c>
      <c r="B2798" s="2">
        <v>45102</v>
      </c>
      <c r="C2798" s="2" t="str">
        <f>TEXT(Table3[[#This Row],[Order Date]],"mmmm")</f>
        <v>June</v>
      </c>
      <c r="D2798" t="s">
        <v>3730</v>
      </c>
      <c r="E2798" t="s">
        <v>3224</v>
      </c>
      <c r="F2798" t="s">
        <v>3226</v>
      </c>
      <c r="G2798" s="4">
        <v>214635.95</v>
      </c>
      <c r="H2798" s="4">
        <v>148202.93</v>
      </c>
      <c r="I2798" s="3" t="s">
        <v>3734</v>
      </c>
      <c r="J2798">
        <v>3</v>
      </c>
      <c r="K2798" s="4">
        <f>Table3[[#This Row],[Sales]]-Table3[[#This Row],[Cost]]</f>
        <v>66433.020000000019</v>
      </c>
      <c r="L2798" s="6">
        <f>Table3[[#This Row],[Profit]]/Table3[[#This Row],[Sales]]</f>
        <v>0.30951487856531029</v>
      </c>
    </row>
    <row r="2799" spans="1:12" x14ac:dyDescent="0.25">
      <c r="A2799" t="s">
        <v>3636</v>
      </c>
      <c r="B2799" s="2">
        <v>45005</v>
      </c>
      <c r="C2799" s="2" t="str">
        <f>TEXT(Table3[[#This Row],[Order Date]],"mmmm")</f>
        <v>March</v>
      </c>
      <c r="D2799" t="s">
        <v>3731</v>
      </c>
      <c r="E2799" t="s">
        <v>3225</v>
      </c>
      <c r="F2799" t="s">
        <v>3226</v>
      </c>
      <c r="G2799" s="4">
        <v>74714.929999999993</v>
      </c>
      <c r="H2799" s="4">
        <v>48635.55</v>
      </c>
      <c r="I2799" s="3" t="s">
        <v>3734</v>
      </c>
      <c r="J2799">
        <v>4</v>
      </c>
      <c r="K2799" s="4">
        <f>Table3[[#This Row],[Sales]]-Table3[[#This Row],[Cost]]</f>
        <v>26079.37999999999</v>
      </c>
      <c r="L2799" s="6">
        <f>Table3[[#This Row],[Profit]]/Table3[[#This Row],[Sales]]</f>
        <v>0.34905178924747693</v>
      </c>
    </row>
    <row r="2800" spans="1:12" x14ac:dyDescent="0.25">
      <c r="A2800" t="s">
        <v>2498</v>
      </c>
      <c r="B2800" s="2">
        <v>44941</v>
      </c>
      <c r="C2800" s="2" t="str">
        <f>TEXT(Table3[[#This Row],[Order Date]],"mmmm")</f>
        <v>January</v>
      </c>
      <c r="D2800" t="s">
        <v>3730</v>
      </c>
      <c r="E2800" t="s">
        <v>3224</v>
      </c>
      <c r="F2800" t="s">
        <v>3226</v>
      </c>
      <c r="G2800" s="4">
        <v>136029.99</v>
      </c>
      <c r="H2800" s="4">
        <v>79009.990000000005</v>
      </c>
      <c r="I2800" s="3" t="s">
        <v>3734</v>
      </c>
      <c r="J2800">
        <v>2</v>
      </c>
      <c r="K2800" s="4">
        <f>Table3[[#This Row],[Sales]]-Table3[[#This Row],[Cost]]</f>
        <v>57019.999999999985</v>
      </c>
      <c r="L2800" s="6">
        <f>Table3[[#This Row],[Profit]]/Table3[[#This Row],[Sales]]</f>
        <v>0.41917227223202758</v>
      </c>
    </row>
    <row r="2801" spans="1:12" x14ac:dyDescent="0.25">
      <c r="A2801" t="s">
        <v>3637</v>
      </c>
      <c r="B2801" s="2">
        <v>44941</v>
      </c>
      <c r="C2801" s="2" t="str">
        <f>TEXT(Table3[[#This Row],[Order Date]],"mmmm")</f>
        <v>January</v>
      </c>
      <c r="D2801" t="s">
        <v>3730</v>
      </c>
      <c r="E2801" t="s">
        <v>3222</v>
      </c>
      <c r="F2801" t="s">
        <v>3226</v>
      </c>
      <c r="G2801" s="4">
        <v>30961.1</v>
      </c>
      <c r="H2801" s="4">
        <v>21129.85</v>
      </c>
      <c r="I2801" s="3" t="s">
        <v>3734</v>
      </c>
      <c r="J2801">
        <v>2</v>
      </c>
      <c r="K2801" s="4">
        <f>Table3[[#This Row],[Sales]]-Table3[[#This Row],[Cost]]</f>
        <v>9831.25</v>
      </c>
      <c r="L2801" s="6">
        <f>Table3[[#This Row],[Profit]]/Table3[[#This Row],[Sales]]</f>
        <v>0.31753555267739197</v>
      </c>
    </row>
    <row r="2802" spans="1:12" x14ac:dyDescent="0.25">
      <c r="A2802" t="s">
        <v>3638</v>
      </c>
      <c r="B2802" s="2">
        <v>45021</v>
      </c>
      <c r="C2802" s="2" t="str">
        <f>TEXT(Table3[[#This Row],[Order Date]],"mmmm")</f>
        <v>April</v>
      </c>
      <c r="D2802" t="s">
        <v>3730</v>
      </c>
      <c r="E2802" t="s">
        <v>3223</v>
      </c>
      <c r="F2802" t="s">
        <v>3226</v>
      </c>
      <c r="G2802" s="4">
        <v>53807.5</v>
      </c>
      <c r="H2802" s="4">
        <v>35471.550000000003</v>
      </c>
      <c r="I2802" s="3" t="s">
        <v>3734</v>
      </c>
      <c r="J2802">
        <v>5</v>
      </c>
      <c r="K2802" s="4">
        <f>Table3[[#This Row],[Sales]]-Table3[[#This Row],[Cost]]</f>
        <v>18335.949999999997</v>
      </c>
      <c r="L2802" s="6">
        <f>Table3[[#This Row],[Profit]]/Table3[[#This Row],[Sales]]</f>
        <v>0.34076940946894013</v>
      </c>
    </row>
    <row r="2803" spans="1:12" x14ac:dyDescent="0.25">
      <c r="A2803" t="s">
        <v>2501</v>
      </c>
      <c r="B2803" s="2">
        <v>45021</v>
      </c>
      <c r="C2803" s="2" t="str">
        <f>TEXT(Table3[[#This Row],[Order Date]],"mmmm")</f>
        <v>April</v>
      </c>
      <c r="D2803" t="s">
        <v>3220</v>
      </c>
      <c r="E2803" t="s">
        <v>3224</v>
      </c>
      <c r="F2803" t="s">
        <v>3226</v>
      </c>
      <c r="G2803" s="4">
        <v>67487.149999999994</v>
      </c>
      <c r="H2803" s="4">
        <v>47716.29</v>
      </c>
      <c r="I2803" s="3" t="s">
        <v>3734</v>
      </c>
      <c r="J2803">
        <v>1</v>
      </c>
      <c r="K2803" s="4">
        <f>Table3[[#This Row],[Sales]]-Table3[[#This Row],[Cost]]</f>
        <v>19770.859999999993</v>
      </c>
      <c r="L2803" s="6">
        <f>Table3[[#This Row],[Profit]]/Table3[[#This Row],[Sales]]</f>
        <v>0.29295740003837761</v>
      </c>
    </row>
    <row r="2804" spans="1:12" x14ac:dyDescent="0.25">
      <c r="A2804" t="s">
        <v>2502</v>
      </c>
      <c r="B2804" s="2">
        <v>44972</v>
      </c>
      <c r="C2804" s="2" t="str">
        <f>TEXT(Table3[[#This Row],[Order Date]],"mmmm")</f>
        <v>February</v>
      </c>
      <c r="D2804" t="s">
        <v>3731</v>
      </c>
      <c r="E2804" t="s">
        <v>3225</v>
      </c>
      <c r="F2804" t="s">
        <v>3226</v>
      </c>
      <c r="G2804" s="4">
        <v>43665.64</v>
      </c>
      <c r="H2804" s="4">
        <v>26439.14</v>
      </c>
      <c r="I2804" s="3" t="s">
        <v>3734</v>
      </c>
      <c r="J2804">
        <v>2</v>
      </c>
      <c r="K2804" s="4">
        <f>Table3[[#This Row],[Sales]]-Table3[[#This Row],[Cost]]</f>
        <v>17226.5</v>
      </c>
      <c r="L2804" s="6">
        <f>Table3[[#This Row],[Profit]]/Table3[[#This Row],[Sales]]</f>
        <v>0.39450927548525566</v>
      </c>
    </row>
    <row r="2805" spans="1:12" x14ac:dyDescent="0.25">
      <c r="A2805" t="s">
        <v>2503</v>
      </c>
      <c r="B2805" s="2">
        <v>44941</v>
      </c>
      <c r="C2805" s="2" t="str">
        <f>TEXT(Table3[[#This Row],[Order Date]],"mmmm")</f>
        <v>January</v>
      </c>
      <c r="D2805" t="s">
        <v>3220</v>
      </c>
      <c r="E2805" t="s">
        <v>3224</v>
      </c>
      <c r="F2805" t="s">
        <v>3226</v>
      </c>
      <c r="G2805" s="4">
        <v>187666.41</v>
      </c>
      <c r="H2805" s="4">
        <v>125923.32</v>
      </c>
      <c r="I2805" s="3" t="s">
        <v>3734</v>
      </c>
      <c r="J2805">
        <v>3</v>
      </c>
      <c r="K2805" s="4">
        <f>Table3[[#This Row],[Sales]]-Table3[[#This Row],[Cost]]</f>
        <v>61743.09</v>
      </c>
      <c r="L2805" s="6">
        <f>Table3[[#This Row],[Profit]]/Table3[[#This Row],[Sales]]</f>
        <v>0.32900448194218662</v>
      </c>
    </row>
    <row r="2806" spans="1:12" x14ac:dyDescent="0.25">
      <c r="A2806" t="s">
        <v>2504</v>
      </c>
      <c r="B2806" s="2">
        <v>45102</v>
      </c>
      <c r="C2806" s="2" t="str">
        <f>TEXT(Table3[[#This Row],[Order Date]],"mmmm")</f>
        <v>June</v>
      </c>
      <c r="D2806" t="s">
        <v>3220</v>
      </c>
      <c r="E2806" t="s">
        <v>3225</v>
      </c>
      <c r="F2806" t="s">
        <v>3226</v>
      </c>
      <c r="G2806" s="4">
        <v>56382.23</v>
      </c>
      <c r="H2806" s="4">
        <v>45105.784000000007</v>
      </c>
      <c r="I2806" s="3" t="s">
        <v>3735</v>
      </c>
      <c r="J2806">
        <v>3</v>
      </c>
      <c r="K2806" s="4">
        <f>Table3[[#This Row],[Sales]]-Table3[[#This Row],[Cost]]</f>
        <v>11276.445999999996</v>
      </c>
      <c r="L2806" s="6">
        <f>Table3[[#This Row],[Profit]]/Table3[[#This Row],[Sales]]</f>
        <v>0.19999999999999993</v>
      </c>
    </row>
    <row r="2807" spans="1:12" x14ac:dyDescent="0.25">
      <c r="A2807" t="s">
        <v>1141</v>
      </c>
      <c r="B2807" s="2">
        <v>45005</v>
      </c>
      <c r="C2807" s="2" t="str">
        <f>TEXT(Table3[[#This Row],[Order Date]],"mmmm")</f>
        <v>March</v>
      </c>
      <c r="D2807" t="s">
        <v>3216</v>
      </c>
      <c r="E2807" t="s">
        <v>3223</v>
      </c>
      <c r="F2807" t="s">
        <v>3226</v>
      </c>
      <c r="G2807" s="4">
        <v>51684.18</v>
      </c>
      <c r="H2807" s="4">
        <v>31000.59</v>
      </c>
      <c r="I2807" s="3" t="s">
        <v>3734</v>
      </c>
      <c r="J2807" t="s">
        <v>3732</v>
      </c>
      <c r="K2807" s="4">
        <f>Table3[[#This Row],[Sales]]-Table3[[#This Row],[Cost]]</f>
        <v>20683.59</v>
      </c>
      <c r="L2807" s="6">
        <f>Table3[[#This Row],[Profit]]/Table3[[#This Row],[Sales]]</f>
        <v>0.40019189624368617</v>
      </c>
    </row>
    <row r="2808" spans="1:12" x14ac:dyDescent="0.25">
      <c r="A2808" t="s">
        <v>2505</v>
      </c>
      <c r="B2808" s="2">
        <v>45021</v>
      </c>
      <c r="C2808" s="2" t="str">
        <f>TEXT(Table3[[#This Row],[Order Date]],"mmmm")</f>
        <v>April</v>
      </c>
      <c r="D2808" t="s">
        <v>3216</v>
      </c>
      <c r="E2808" t="s">
        <v>3224</v>
      </c>
      <c r="F2808" t="s">
        <v>3226</v>
      </c>
      <c r="G2808" s="4">
        <v>184964.4</v>
      </c>
      <c r="H2808" s="4">
        <v>130030.87</v>
      </c>
      <c r="I2808" s="3" t="s">
        <v>3734</v>
      </c>
      <c r="J2808">
        <v>3</v>
      </c>
      <c r="K2808" s="4">
        <f>Table3[[#This Row],[Sales]]-Table3[[#This Row],[Cost]]</f>
        <v>54933.53</v>
      </c>
      <c r="L2808" s="6">
        <f>Table3[[#This Row],[Profit]]/Table3[[#This Row],[Sales]]</f>
        <v>0.29699515149942368</v>
      </c>
    </row>
    <row r="2809" spans="1:12" x14ac:dyDescent="0.25">
      <c r="A2809" t="s">
        <v>2506</v>
      </c>
      <c r="B2809" s="2">
        <v>45005</v>
      </c>
      <c r="C2809" s="2" t="str">
        <f>TEXT(Table3[[#This Row],[Order Date]],"mmmm")</f>
        <v>March</v>
      </c>
      <c r="D2809" t="s">
        <v>3730</v>
      </c>
      <c r="E2809" t="s">
        <v>3224</v>
      </c>
      <c r="F2809" t="s">
        <v>3226</v>
      </c>
      <c r="G2809" s="4">
        <v>267640.28000000003</v>
      </c>
      <c r="H2809" s="4">
        <v>173317.94</v>
      </c>
      <c r="I2809" s="3" t="s">
        <v>3734</v>
      </c>
      <c r="J2809">
        <v>4</v>
      </c>
      <c r="K2809" s="4">
        <f>Table3[[#This Row],[Sales]]-Table3[[#This Row],[Cost]]</f>
        <v>94322.340000000026</v>
      </c>
      <c r="L2809" s="6">
        <f>Table3[[#This Row],[Profit]]/Table3[[#This Row],[Sales]]</f>
        <v>0.35242206442169322</v>
      </c>
    </row>
    <row r="2810" spans="1:12" x14ac:dyDescent="0.25">
      <c r="A2810" t="s">
        <v>3232</v>
      </c>
      <c r="B2810" s="2" t="s">
        <v>3729</v>
      </c>
      <c r="C2810" s="2" t="str">
        <f>TEXT(Table3[[#This Row],[Order Date]],"mmmm")</f>
        <v>Not Mentioned</v>
      </c>
      <c r="D2810" t="s">
        <v>3216</v>
      </c>
      <c r="E2810" t="s">
        <v>3223</v>
      </c>
      <c r="F2810" t="s">
        <v>3226</v>
      </c>
      <c r="G2810" s="4">
        <v>56941.65</v>
      </c>
      <c r="H2810" s="4">
        <v>34934.06</v>
      </c>
      <c r="I2810" s="3" t="s">
        <v>3734</v>
      </c>
      <c r="J2810">
        <v>5</v>
      </c>
      <c r="K2810" s="4">
        <f>Table3[[#This Row],[Sales]]-Table3[[#This Row],[Cost]]</f>
        <v>22007.590000000004</v>
      </c>
      <c r="L2810" s="6">
        <f>Table3[[#This Row],[Profit]]/Table3[[#This Row],[Sales]]</f>
        <v>0.38649371769170726</v>
      </c>
    </row>
    <row r="2811" spans="1:12" x14ac:dyDescent="0.25">
      <c r="A2811" t="s">
        <v>3520</v>
      </c>
      <c r="B2811" s="2">
        <v>44941</v>
      </c>
      <c r="C2811" s="2" t="str">
        <f>TEXT(Table3[[#This Row],[Order Date]],"mmmm")</f>
        <v>January</v>
      </c>
      <c r="D2811" t="s">
        <v>3730</v>
      </c>
      <c r="E2811" t="s">
        <v>3224</v>
      </c>
      <c r="F2811" t="s">
        <v>3226</v>
      </c>
      <c r="G2811" s="4">
        <v>206042.15</v>
      </c>
      <c r="H2811" s="4">
        <v>148351.24</v>
      </c>
      <c r="I2811" s="3" t="s">
        <v>3734</v>
      </c>
      <c r="J2811">
        <v>3</v>
      </c>
      <c r="K2811" s="4">
        <f>Table3[[#This Row],[Sales]]-Table3[[#This Row],[Cost]]</f>
        <v>57690.91</v>
      </c>
      <c r="L2811" s="6">
        <f>Table3[[#This Row],[Profit]]/Table3[[#This Row],[Sales]]</f>
        <v>0.27999567078871973</v>
      </c>
    </row>
    <row r="2812" spans="1:12" x14ac:dyDescent="0.25">
      <c r="A2812" t="s">
        <v>2507</v>
      </c>
      <c r="B2812" s="2">
        <v>45021</v>
      </c>
      <c r="C2812" s="2" t="str">
        <f>TEXT(Table3[[#This Row],[Order Date]],"mmmm")</f>
        <v>April</v>
      </c>
      <c r="D2812" t="s">
        <v>3216</v>
      </c>
      <c r="E2812" t="s">
        <v>3223</v>
      </c>
      <c r="F2812" t="s">
        <v>3226</v>
      </c>
      <c r="G2812" s="4">
        <v>22049.19</v>
      </c>
      <c r="H2812" s="4">
        <v>12999.67</v>
      </c>
      <c r="I2812" s="3" t="s">
        <v>3734</v>
      </c>
      <c r="J2812">
        <v>2</v>
      </c>
      <c r="K2812" s="4">
        <f>Table3[[#This Row],[Sales]]-Table3[[#This Row],[Cost]]</f>
        <v>9049.5199999999986</v>
      </c>
      <c r="L2812" s="6">
        <f>Table3[[#This Row],[Profit]]/Table3[[#This Row],[Sales]]</f>
        <v>0.41042414710018821</v>
      </c>
    </row>
    <row r="2813" spans="1:12" x14ac:dyDescent="0.25">
      <c r="A2813" t="s">
        <v>3639</v>
      </c>
      <c r="B2813" s="2">
        <v>44941</v>
      </c>
      <c r="C2813" s="2" t="str">
        <f>TEXT(Table3[[#This Row],[Order Date]],"mmmm")</f>
        <v>January</v>
      </c>
      <c r="D2813" t="s">
        <v>3730</v>
      </c>
      <c r="E2813" t="s">
        <v>3222</v>
      </c>
      <c r="F2813" t="s">
        <v>3226</v>
      </c>
      <c r="G2813" s="4">
        <v>28415.26</v>
      </c>
      <c r="H2813" s="4">
        <v>18357.310000000001</v>
      </c>
      <c r="I2813" s="3" t="s">
        <v>3734</v>
      </c>
      <c r="J2813">
        <v>2</v>
      </c>
      <c r="K2813" s="4">
        <f>Table3[[#This Row],[Sales]]-Table3[[#This Row],[Cost]]</f>
        <v>10057.949999999997</v>
      </c>
      <c r="L2813" s="6">
        <f>Table3[[#This Row],[Profit]]/Table3[[#This Row],[Sales]]</f>
        <v>0.35396297623178524</v>
      </c>
    </row>
    <row r="2814" spans="1:12" x14ac:dyDescent="0.25">
      <c r="A2814" t="s">
        <v>2509</v>
      </c>
      <c r="B2814" s="2">
        <v>45021</v>
      </c>
      <c r="C2814" s="2" t="str">
        <f>TEXT(Table3[[#This Row],[Order Date]],"mmmm")</f>
        <v>April</v>
      </c>
      <c r="D2814" t="s">
        <v>3216</v>
      </c>
      <c r="E2814" t="s">
        <v>3225</v>
      </c>
      <c r="F2814" t="s">
        <v>3226</v>
      </c>
      <c r="G2814" s="4">
        <v>114365.5</v>
      </c>
      <c r="H2814" s="4">
        <v>75892.960000000006</v>
      </c>
      <c r="I2814" s="3" t="s">
        <v>3734</v>
      </c>
      <c r="J2814">
        <v>5</v>
      </c>
      <c r="K2814" s="4">
        <f>Table3[[#This Row],[Sales]]-Table3[[#This Row],[Cost]]</f>
        <v>38472.539999999994</v>
      </c>
      <c r="L2814" s="6">
        <f>Table3[[#This Row],[Profit]]/Table3[[#This Row],[Sales]]</f>
        <v>0.33639987583668146</v>
      </c>
    </row>
    <row r="2815" spans="1:12" x14ac:dyDescent="0.25">
      <c r="A2815" t="s">
        <v>2510</v>
      </c>
      <c r="B2815" s="2">
        <v>44941</v>
      </c>
      <c r="C2815" s="2" t="str">
        <f>TEXT(Table3[[#This Row],[Order Date]],"mmmm")</f>
        <v>January</v>
      </c>
      <c r="D2815" t="s">
        <v>3220</v>
      </c>
      <c r="E2815" t="s">
        <v>3223</v>
      </c>
      <c r="F2815" t="s">
        <v>3226</v>
      </c>
      <c r="G2815" s="4">
        <v>40656.730000000003</v>
      </c>
      <c r="H2815" s="4">
        <v>36063.96</v>
      </c>
      <c r="I2815" s="3" t="s">
        <v>3734</v>
      </c>
      <c r="J2815">
        <v>5</v>
      </c>
      <c r="K2815" s="4">
        <f>Table3[[#This Row],[Sales]]-Table3[[#This Row],[Cost]]</f>
        <v>4592.7700000000041</v>
      </c>
      <c r="L2815" s="6">
        <f>Table3[[#This Row],[Profit]]/Table3[[#This Row],[Sales]]</f>
        <v>0.11296456945750442</v>
      </c>
    </row>
    <row r="2816" spans="1:12" x14ac:dyDescent="0.25">
      <c r="A2816" t="s">
        <v>1594</v>
      </c>
      <c r="B2816" s="2">
        <v>45005</v>
      </c>
      <c r="C2816" s="2" t="str">
        <f>TEXT(Table3[[#This Row],[Order Date]],"mmmm")</f>
        <v>March</v>
      </c>
      <c r="D2816" t="s">
        <v>3216</v>
      </c>
      <c r="E2816" t="s">
        <v>3223</v>
      </c>
      <c r="F2816" t="s">
        <v>3226</v>
      </c>
      <c r="G2816" s="4">
        <v>25407.47</v>
      </c>
      <c r="H2816" s="4">
        <v>19878.53</v>
      </c>
      <c r="I2816" s="3" t="s">
        <v>3734</v>
      </c>
      <c r="J2816">
        <v>3</v>
      </c>
      <c r="K2816" s="4">
        <f>Table3[[#This Row],[Sales]]-Table3[[#This Row],[Cost]]</f>
        <v>5528.9400000000023</v>
      </c>
      <c r="L2816" s="6">
        <f>Table3[[#This Row],[Profit]]/Table3[[#This Row],[Sales]]</f>
        <v>0.21761080501128219</v>
      </c>
    </row>
    <row r="2817" spans="1:12" x14ac:dyDescent="0.25">
      <c r="A2817" t="s">
        <v>2511</v>
      </c>
      <c r="B2817" s="2">
        <v>45021</v>
      </c>
      <c r="C2817" s="2" t="str">
        <f>TEXT(Table3[[#This Row],[Order Date]],"mmmm")</f>
        <v>April</v>
      </c>
      <c r="D2817" t="s">
        <v>3220</v>
      </c>
      <c r="E2817" t="s">
        <v>3223</v>
      </c>
      <c r="F2817" t="s">
        <v>3226</v>
      </c>
      <c r="G2817" s="4">
        <v>45320.85</v>
      </c>
      <c r="H2817" s="4">
        <v>26694.37</v>
      </c>
      <c r="I2817" s="3" t="s">
        <v>3734</v>
      </c>
      <c r="J2817">
        <v>4</v>
      </c>
      <c r="K2817" s="4">
        <f>Table3[[#This Row],[Sales]]-Table3[[#This Row],[Cost]]</f>
        <v>18626.48</v>
      </c>
      <c r="L2817" s="6">
        <f>Table3[[#This Row],[Profit]]/Table3[[#This Row],[Sales]]</f>
        <v>0.41099140903138404</v>
      </c>
    </row>
    <row r="2818" spans="1:12" x14ac:dyDescent="0.25">
      <c r="A2818" t="s">
        <v>3640</v>
      </c>
      <c r="B2818" s="2">
        <v>45102</v>
      </c>
      <c r="C2818" s="2" t="str">
        <f>TEXT(Table3[[#This Row],[Order Date]],"mmmm")</f>
        <v>June</v>
      </c>
      <c r="D2818" t="s">
        <v>3216</v>
      </c>
      <c r="E2818" t="s">
        <v>3222</v>
      </c>
      <c r="F2818" t="s">
        <v>3226</v>
      </c>
      <c r="G2818" s="4">
        <v>73987.44</v>
      </c>
      <c r="H2818" s="4">
        <v>50553.81</v>
      </c>
      <c r="I2818" s="3" t="s">
        <v>3734</v>
      </c>
      <c r="J2818">
        <v>5</v>
      </c>
      <c r="K2818" s="4">
        <f>Table3[[#This Row],[Sales]]-Table3[[#This Row],[Cost]]</f>
        <v>23433.630000000005</v>
      </c>
      <c r="L2818" s="6">
        <f>Table3[[#This Row],[Profit]]/Table3[[#This Row],[Sales]]</f>
        <v>0.31672443322812632</v>
      </c>
    </row>
    <row r="2819" spans="1:12" x14ac:dyDescent="0.25">
      <c r="A2819" t="s">
        <v>2513</v>
      </c>
      <c r="B2819" s="2">
        <v>44972</v>
      </c>
      <c r="C2819" s="2" t="str">
        <f>TEXT(Table3[[#This Row],[Order Date]],"mmmm")</f>
        <v>February</v>
      </c>
      <c r="D2819" t="s">
        <v>3730</v>
      </c>
      <c r="E2819" t="s">
        <v>3222</v>
      </c>
      <c r="F2819" t="s">
        <v>3226</v>
      </c>
      <c r="G2819" s="4">
        <v>16197.63</v>
      </c>
      <c r="H2819" s="4">
        <v>10662.8</v>
      </c>
      <c r="I2819" s="3" t="s">
        <v>3734</v>
      </c>
      <c r="J2819">
        <v>1</v>
      </c>
      <c r="K2819" s="4">
        <f>Table3[[#This Row],[Sales]]-Table3[[#This Row],[Cost]]</f>
        <v>5534.83</v>
      </c>
      <c r="L2819" s="6">
        <f>Table3[[#This Row],[Profit]]/Table3[[#This Row],[Sales]]</f>
        <v>0.34170616318560187</v>
      </c>
    </row>
    <row r="2820" spans="1:12" x14ac:dyDescent="0.25">
      <c r="A2820" t="s">
        <v>585</v>
      </c>
      <c r="B2820" s="2">
        <v>45005</v>
      </c>
      <c r="C2820" s="2" t="str">
        <f>TEXT(Table3[[#This Row],[Order Date]],"mmmm")</f>
        <v>March</v>
      </c>
      <c r="D2820" t="s">
        <v>3216</v>
      </c>
      <c r="E2820" t="s">
        <v>3225</v>
      </c>
      <c r="F2820" t="s">
        <v>3226</v>
      </c>
      <c r="G2820" s="4">
        <v>65540.81</v>
      </c>
      <c r="H2820" s="4">
        <v>39576.639999999999</v>
      </c>
      <c r="I2820" s="3" t="s">
        <v>3734</v>
      </c>
      <c r="J2820">
        <v>3</v>
      </c>
      <c r="K2820" s="4">
        <f>Table3[[#This Row],[Sales]]-Table3[[#This Row],[Cost]]</f>
        <v>25964.17</v>
      </c>
      <c r="L2820" s="6">
        <f>Table3[[#This Row],[Profit]]/Table3[[#This Row],[Sales]]</f>
        <v>0.39615271767315663</v>
      </c>
    </row>
    <row r="2821" spans="1:12" x14ac:dyDescent="0.25">
      <c r="A2821" t="s">
        <v>2515</v>
      </c>
      <c r="B2821" s="2">
        <v>45102</v>
      </c>
      <c r="C2821" s="2" t="str">
        <f>TEXT(Table3[[#This Row],[Order Date]],"mmmm")</f>
        <v>June</v>
      </c>
      <c r="D2821" t="s">
        <v>3730</v>
      </c>
      <c r="E2821" t="s">
        <v>3222</v>
      </c>
      <c r="F2821" t="s">
        <v>3226</v>
      </c>
      <c r="G2821" s="4">
        <v>71124.149999999994</v>
      </c>
      <c r="H2821" s="4">
        <v>38526.15</v>
      </c>
      <c r="I2821" s="3" t="s">
        <v>3734</v>
      </c>
      <c r="J2821">
        <v>4</v>
      </c>
      <c r="K2821" s="4">
        <f>Table3[[#This Row],[Sales]]-Table3[[#This Row],[Cost]]</f>
        <v>32597.999999999993</v>
      </c>
      <c r="L2821" s="6">
        <f>Table3[[#This Row],[Profit]]/Table3[[#This Row],[Sales]]</f>
        <v>0.45832533675270631</v>
      </c>
    </row>
    <row r="2822" spans="1:12" x14ac:dyDescent="0.25">
      <c r="A2822" t="s">
        <v>2516</v>
      </c>
      <c r="B2822" s="2">
        <v>44941</v>
      </c>
      <c r="C2822" s="2" t="str">
        <f>TEXT(Table3[[#This Row],[Order Date]],"mmmm")</f>
        <v>January</v>
      </c>
      <c r="D2822" t="s">
        <v>3216</v>
      </c>
      <c r="E2822" t="s">
        <v>3224</v>
      </c>
      <c r="F2822" t="s">
        <v>3226</v>
      </c>
      <c r="G2822" s="4">
        <v>340438.62</v>
      </c>
      <c r="H2822" s="4">
        <v>233423.63</v>
      </c>
      <c r="I2822" s="3" t="s">
        <v>3734</v>
      </c>
      <c r="J2822">
        <v>5</v>
      </c>
      <c r="K2822" s="4">
        <f>Table3[[#This Row],[Sales]]-Table3[[#This Row],[Cost]]</f>
        <v>107014.98999999999</v>
      </c>
      <c r="L2822" s="6">
        <f>Table3[[#This Row],[Profit]]/Table3[[#This Row],[Sales]]</f>
        <v>0.31434444775977527</v>
      </c>
    </row>
    <row r="2823" spans="1:12" x14ac:dyDescent="0.25">
      <c r="A2823" t="s">
        <v>2517</v>
      </c>
      <c r="B2823" s="2">
        <v>45021</v>
      </c>
      <c r="C2823" s="2" t="str">
        <f>TEXT(Table3[[#This Row],[Order Date]],"mmmm")</f>
        <v>April</v>
      </c>
      <c r="D2823" t="s">
        <v>3730</v>
      </c>
      <c r="E2823" t="s">
        <v>3223</v>
      </c>
      <c r="F2823" t="s">
        <v>3226</v>
      </c>
      <c r="G2823" s="4">
        <v>34081.660000000003</v>
      </c>
      <c r="H2823" s="4">
        <v>20636.5</v>
      </c>
      <c r="I2823" s="3" t="s">
        <v>3734</v>
      </c>
      <c r="J2823">
        <v>3</v>
      </c>
      <c r="K2823" s="4">
        <f>Table3[[#This Row],[Sales]]-Table3[[#This Row],[Cost]]</f>
        <v>13445.160000000003</v>
      </c>
      <c r="L2823" s="6">
        <f>Table3[[#This Row],[Profit]]/Table3[[#This Row],[Sales]]</f>
        <v>0.39449839004320802</v>
      </c>
    </row>
    <row r="2824" spans="1:12" x14ac:dyDescent="0.25">
      <c r="A2824" t="s">
        <v>2518</v>
      </c>
      <c r="B2824" s="2">
        <v>44941</v>
      </c>
      <c r="C2824" s="2" t="str">
        <f>TEXT(Table3[[#This Row],[Order Date]],"mmmm")</f>
        <v>January</v>
      </c>
      <c r="D2824" t="s">
        <v>3216</v>
      </c>
      <c r="E2824" t="s">
        <v>3222</v>
      </c>
      <c r="F2824" t="s">
        <v>3226</v>
      </c>
      <c r="G2824" s="4">
        <v>65786.289999999994</v>
      </c>
      <c r="H2824" s="4">
        <v>52850.77</v>
      </c>
      <c r="I2824" s="3" t="s">
        <v>3734</v>
      </c>
      <c r="J2824">
        <v>5</v>
      </c>
      <c r="K2824" s="4">
        <f>Table3[[#This Row],[Sales]]-Table3[[#This Row],[Cost]]</f>
        <v>12935.519999999997</v>
      </c>
      <c r="L2824" s="6">
        <f>Table3[[#This Row],[Profit]]/Table3[[#This Row],[Sales]]</f>
        <v>0.19662941929085828</v>
      </c>
    </row>
    <row r="2825" spans="1:12" x14ac:dyDescent="0.25">
      <c r="A2825" t="s">
        <v>3641</v>
      </c>
      <c r="B2825" s="2">
        <v>45005</v>
      </c>
      <c r="C2825" s="2" t="str">
        <f>TEXT(Table3[[#This Row],[Order Date]],"mmmm")</f>
        <v>March</v>
      </c>
      <c r="D2825" t="s">
        <v>3730</v>
      </c>
      <c r="E2825" t="s">
        <v>3223</v>
      </c>
      <c r="F2825" t="s">
        <v>3226</v>
      </c>
      <c r="G2825" s="4">
        <v>19243.509999999998</v>
      </c>
      <c r="H2825" s="4">
        <v>15290.3</v>
      </c>
      <c r="I2825" s="3" t="s">
        <v>3734</v>
      </c>
      <c r="J2825">
        <v>2</v>
      </c>
      <c r="K2825" s="4">
        <f>Table3[[#This Row],[Sales]]-Table3[[#This Row],[Cost]]</f>
        <v>3953.2099999999991</v>
      </c>
      <c r="L2825" s="6">
        <f>Table3[[#This Row],[Profit]]/Table3[[#This Row],[Sales]]</f>
        <v>0.20543081797447552</v>
      </c>
    </row>
    <row r="2826" spans="1:12" x14ac:dyDescent="0.25">
      <c r="A2826" t="s">
        <v>2520</v>
      </c>
      <c r="B2826" s="2">
        <v>44941</v>
      </c>
      <c r="C2826" s="2" t="str">
        <f>TEXT(Table3[[#This Row],[Order Date]],"mmmm")</f>
        <v>January</v>
      </c>
      <c r="D2826" t="s">
        <v>3216</v>
      </c>
      <c r="E2826" t="s">
        <v>3225</v>
      </c>
      <c r="F2826" t="s">
        <v>3226</v>
      </c>
      <c r="G2826" s="4">
        <v>106618.33</v>
      </c>
      <c r="H2826" s="4">
        <v>85294.664000000004</v>
      </c>
      <c r="I2826" s="3" t="s">
        <v>3735</v>
      </c>
      <c r="J2826">
        <v>5</v>
      </c>
      <c r="K2826" s="4">
        <f>Table3[[#This Row],[Sales]]-Table3[[#This Row],[Cost]]</f>
        <v>21323.665999999997</v>
      </c>
      <c r="L2826" s="6">
        <f>Table3[[#This Row],[Profit]]/Table3[[#This Row],[Sales]]</f>
        <v>0.19999999999999998</v>
      </c>
    </row>
    <row r="2827" spans="1:12" x14ac:dyDescent="0.25">
      <c r="A2827" t="s">
        <v>2521</v>
      </c>
      <c r="B2827" s="2">
        <v>45021</v>
      </c>
      <c r="C2827" s="2" t="str">
        <f>TEXT(Table3[[#This Row],[Order Date]],"mmmm")</f>
        <v>April</v>
      </c>
      <c r="D2827" t="s">
        <v>3216</v>
      </c>
      <c r="E2827" t="s">
        <v>3223</v>
      </c>
      <c r="F2827" t="s">
        <v>3226</v>
      </c>
      <c r="G2827" s="4">
        <v>43085.77</v>
      </c>
      <c r="H2827" s="4">
        <v>34121.379999999997</v>
      </c>
      <c r="I2827" s="3" t="s">
        <v>3734</v>
      </c>
      <c r="J2827">
        <v>5</v>
      </c>
      <c r="K2827" s="4">
        <f>Table3[[#This Row],[Sales]]-Table3[[#This Row],[Cost]]</f>
        <v>8964.39</v>
      </c>
      <c r="L2827" s="6">
        <f>Table3[[#This Row],[Profit]]/Table3[[#This Row],[Sales]]</f>
        <v>0.20805918056007819</v>
      </c>
    </row>
    <row r="2828" spans="1:12" x14ac:dyDescent="0.25">
      <c r="A2828" t="s">
        <v>3642</v>
      </c>
      <c r="B2828" s="2">
        <v>45102</v>
      </c>
      <c r="C2828" s="2" t="str">
        <f>TEXT(Table3[[#This Row],[Order Date]],"mmmm")</f>
        <v>June</v>
      </c>
      <c r="D2828" t="s">
        <v>3220</v>
      </c>
      <c r="E2828" t="s">
        <v>3222</v>
      </c>
      <c r="F2828" t="s">
        <v>3226</v>
      </c>
      <c r="G2828" s="4">
        <v>45736.85</v>
      </c>
      <c r="H2828" s="4">
        <v>26045.64</v>
      </c>
      <c r="I2828" s="3" t="s">
        <v>3734</v>
      </c>
      <c r="J2828">
        <v>3</v>
      </c>
      <c r="K2828" s="4">
        <f>Table3[[#This Row],[Sales]]-Table3[[#This Row],[Cost]]</f>
        <v>19691.21</v>
      </c>
      <c r="L2828" s="6">
        <f>Table3[[#This Row],[Profit]]/Table3[[#This Row],[Sales]]</f>
        <v>0.43053271049492914</v>
      </c>
    </row>
    <row r="2829" spans="1:12" x14ac:dyDescent="0.25">
      <c r="A2829" t="s">
        <v>165</v>
      </c>
      <c r="B2829" s="2">
        <v>45005</v>
      </c>
      <c r="C2829" s="2" t="str">
        <f>TEXT(Table3[[#This Row],[Order Date]],"mmmm")</f>
        <v>March</v>
      </c>
      <c r="D2829" t="s">
        <v>3216</v>
      </c>
      <c r="E2829" t="s">
        <v>3222</v>
      </c>
      <c r="F2829" t="s">
        <v>3226</v>
      </c>
      <c r="G2829" s="4">
        <v>61066.879999999997</v>
      </c>
      <c r="H2829" s="4">
        <v>35783.78</v>
      </c>
      <c r="I2829" s="3" t="s">
        <v>3734</v>
      </c>
      <c r="J2829">
        <v>4</v>
      </c>
      <c r="K2829" s="4">
        <f>Table3[[#This Row],[Sales]]-Table3[[#This Row],[Cost]]</f>
        <v>25283.1</v>
      </c>
      <c r="L2829" s="6">
        <f>Table3[[#This Row],[Profit]]/Table3[[#This Row],[Sales]]</f>
        <v>0.41402311694980976</v>
      </c>
    </row>
    <row r="2830" spans="1:12" x14ac:dyDescent="0.25">
      <c r="A2830" t="s">
        <v>1238</v>
      </c>
      <c r="B2830" s="2" t="s">
        <v>3729</v>
      </c>
      <c r="C2830" s="2" t="str">
        <f>TEXT(Table3[[#This Row],[Order Date]],"mmmm")</f>
        <v>Not Mentioned</v>
      </c>
      <c r="D2830" t="s">
        <v>3731</v>
      </c>
      <c r="E2830" t="s">
        <v>3225</v>
      </c>
      <c r="F2830" t="s">
        <v>3226</v>
      </c>
      <c r="G2830" s="4">
        <v>67222.69</v>
      </c>
      <c r="H2830" s="4">
        <v>38501.56</v>
      </c>
      <c r="I2830" s="3" t="s">
        <v>3734</v>
      </c>
      <c r="J2830">
        <v>3</v>
      </c>
      <c r="K2830" s="4">
        <f>Table3[[#This Row],[Sales]]-Table3[[#This Row],[Cost]]</f>
        <v>28721.130000000005</v>
      </c>
      <c r="L2830" s="6">
        <f>Table3[[#This Row],[Profit]]/Table3[[#This Row],[Sales]]</f>
        <v>0.42725350621940306</v>
      </c>
    </row>
    <row r="2831" spans="1:12" x14ac:dyDescent="0.25">
      <c r="A2831" t="s">
        <v>3643</v>
      </c>
      <c r="B2831" s="2">
        <v>44972</v>
      </c>
      <c r="C2831" s="2" t="str">
        <f>TEXT(Table3[[#This Row],[Order Date]],"mmmm")</f>
        <v>February</v>
      </c>
      <c r="D2831" t="s">
        <v>3731</v>
      </c>
      <c r="E2831" t="s">
        <v>3224</v>
      </c>
      <c r="F2831" t="s">
        <v>3226</v>
      </c>
      <c r="G2831" s="4">
        <v>277785.58</v>
      </c>
      <c r="H2831" s="4">
        <v>222228.46400000004</v>
      </c>
      <c r="I2831" s="3" t="s">
        <v>3735</v>
      </c>
      <c r="J2831">
        <v>4</v>
      </c>
      <c r="K2831" s="4">
        <f>Table3[[#This Row],[Sales]]-Table3[[#This Row],[Cost]]</f>
        <v>55557.11599999998</v>
      </c>
      <c r="L2831" s="6">
        <f>Table3[[#This Row],[Profit]]/Table3[[#This Row],[Sales]]</f>
        <v>0.19999999999999993</v>
      </c>
    </row>
    <row r="2832" spans="1:12" x14ac:dyDescent="0.25">
      <c r="A2832" t="s">
        <v>1179</v>
      </c>
      <c r="B2832" s="2">
        <v>45021</v>
      </c>
      <c r="C2832" s="2" t="str">
        <f>TEXT(Table3[[#This Row],[Order Date]],"mmmm")</f>
        <v>April</v>
      </c>
      <c r="D2832" t="s">
        <v>3220</v>
      </c>
      <c r="E2832" t="s">
        <v>3224</v>
      </c>
      <c r="F2832" t="s">
        <v>3226</v>
      </c>
      <c r="G2832" s="4">
        <v>66333.77</v>
      </c>
      <c r="H2832" s="4">
        <v>53067.016000000003</v>
      </c>
      <c r="I2832" s="3" t="s">
        <v>3735</v>
      </c>
      <c r="J2832">
        <v>1</v>
      </c>
      <c r="K2832" s="4">
        <f>Table3[[#This Row],[Sales]]-Table3[[#This Row],[Cost]]</f>
        <v>13266.754000000001</v>
      </c>
      <c r="L2832" s="6">
        <f>Table3[[#This Row],[Profit]]/Table3[[#This Row],[Sales]]</f>
        <v>0.2</v>
      </c>
    </row>
    <row r="2833" spans="1:12" x14ac:dyDescent="0.25">
      <c r="A2833" t="s">
        <v>3297</v>
      </c>
      <c r="B2833" s="2">
        <v>45021</v>
      </c>
      <c r="C2833" s="2" t="str">
        <f>TEXT(Table3[[#This Row],[Order Date]],"mmmm")</f>
        <v>April</v>
      </c>
      <c r="D2833" t="s">
        <v>3730</v>
      </c>
      <c r="E2833" t="s">
        <v>3225</v>
      </c>
      <c r="F2833" t="s">
        <v>3226</v>
      </c>
      <c r="G2833" s="4">
        <v>116172.29</v>
      </c>
      <c r="H2833" s="4">
        <v>73348.460000000006</v>
      </c>
      <c r="I2833" s="3" t="s">
        <v>3734</v>
      </c>
      <c r="J2833">
        <v>5</v>
      </c>
      <c r="K2833" s="4">
        <f>Table3[[#This Row],[Sales]]-Table3[[#This Row],[Cost]]</f>
        <v>42823.829999999987</v>
      </c>
      <c r="L2833" s="6">
        <f>Table3[[#This Row],[Profit]]/Table3[[#This Row],[Sales]]</f>
        <v>0.36862344712323386</v>
      </c>
    </row>
    <row r="2834" spans="1:12" x14ac:dyDescent="0.25">
      <c r="A2834" t="s">
        <v>1994</v>
      </c>
      <c r="B2834" s="2" t="s">
        <v>3729</v>
      </c>
      <c r="C2834" s="2" t="str">
        <f>TEXT(Table3[[#This Row],[Order Date]],"mmmm")</f>
        <v>Not Mentioned</v>
      </c>
      <c r="D2834" t="s">
        <v>3730</v>
      </c>
      <c r="E2834" t="s">
        <v>3224</v>
      </c>
      <c r="F2834" t="s">
        <v>3226</v>
      </c>
      <c r="G2834" s="4">
        <v>216640.59</v>
      </c>
      <c r="H2834" s="4">
        <v>190695.32</v>
      </c>
      <c r="I2834" s="3" t="s">
        <v>3734</v>
      </c>
      <c r="J2834">
        <v>4</v>
      </c>
      <c r="K2834" s="4">
        <f>Table3[[#This Row],[Sales]]-Table3[[#This Row],[Cost]]</f>
        <v>25945.26999999999</v>
      </c>
      <c r="L2834" s="6">
        <f>Table3[[#This Row],[Profit]]/Table3[[#This Row],[Sales]]</f>
        <v>0.11976181379491253</v>
      </c>
    </row>
    <row r="2835" spans="1:12" x14ac:dyDescent="0.25">
      <c r="A2835" t="s">
        <v>2526</v>
      </c>
      <c r="B2835" s="2">
        <v>44941</v>
      </c>
      <c r="C2835" s="2" t="str">
        <f>TEXT(Table3[[#This Row],[Order Date]],"mmmm")</f>
        <v>January</v>
      </c>
      <c r="D2835" t="s">
        <v>3730</v>
      </c>
      <c r="E2835" t="s">
        <v>3224</v>
      </c>
      <c r="F2835" t="s">
        <v>3226</v>
      </c>
      <c r="G2835" s="4">
        <v>159974.57999999999</v>
      </c>
      <c r="H2835" s="4">
        <v>136091.62</v>
      </c>
      <c r="I2835" s="3" t="s">
        <v>3734</v>
      </c>
      <c r="J2835">
        <v>3</v>
      </c>
      <c r="K2835" s="4">
        <f>Table3[[#This Row],[Sales]]-Table3[[#This Row],[Cost]]</f>
        <v>23882.959999999992</v>
      </c>
      <c r="L2835" s="6">
        <f>Table3[[#This Row],[Profit]]/Table3[[#This Row],[Sales]]</f>
        <v>0.14929221880126201</v>
      </c>
    </row>
    <row r="2836" spans="1:12" x14ac:dyDescent="0.25">
      <c r="A2836" t="s">
        <v>2527</v>
      </c>
      <c r="B2836" s="2">
        <v>45005</v>
      </c>
      <c r="C2836" s="2" t="str">
        <f>TEXT(Table3[[#This Row],[Order Date]],"mmmm")</f>
        <v>March</v>
      </c>
      <c r="D2836" t="s">
        <v>3220</v>
      </c>
      <c r="E2836" t="s">
        <v>3225</v>
      </c>
      <c r="F2836" t="s">
        <v>3226</v>
      </c>
      <c r="G2836" s="4">
        <v>64090.41</v>
      </c>
      <c r="H2836" s="4">
        <v>42472.94</v>
      </c>
      <c r="I2836" s="3" t="s">
        <v>3734</v>
      </c>
      <c r="J2836">
        <v>3</v>
      </c>
      <c r="K2836" s="4">
        <f>Table3[[#This Row],[Sales]]-Table3[[#This Row],[Cost]]</f>
        <v>21617.47</v>
      </c>
      <c r="L2836" s="6">
        <f>Table3[[#This Row],[Profit]]/Table3[[#This Row],[Sales]]</f>
        <v>0.33729648476269697</v>
      </c>
    </row>
    <row r="2837" spans="1:12" x14ac:dyDescent="0.25">
      <c r="A2837" t="s">
        <v>2528</v>
      </c>
      <c r="B2837" s="2">
        <v>44941</v>
      </c>
      <c r="C2837" s="2" t="str">
        <f>TEXT(Table3[[#This Row],[Order Date]],"mmmm")</f>
        <v>January</v>
      </c>
      <c r="D2837" t="s">
        <v>3730</v>
      </c>
      <c r="E2837" t="s">
        <v>3224</v>
      </c>
      <c r="F2837" t="s">
        <v>3226</v>
      </c>
      <c r="G2837" s="4">
        <v>333838.06</v>
      </c>
      <c r="H2837" s="4">
        <v>233175.95</v>
      </c>
      <c r="I2837" s="3" t="s">
        <v>3734</v>
      </c>
      <c r="J2837">
        <v>5</v>
      </c>
      <c r="K2837" s="4">
        <f>Table3[[#This Row],[Sales]]-Table3[[#This Row],[Cost]]</f>
        <v>100662.10999999999</v>
      </c>
      <c r="L2837" s="6">
        <f>Table3[[#This Row],[Profit]]/Table3[[#This Row],[Sales]]</f>
        <v>0.30152975966850509</v>
      </c>
    </row>
    <row r="2838" spans="1:12" x14ac:dyDescent="0.25">
      <c r="A2838" t="s">
        <v>2529</v>
      </c>
      <c r="B2838" s="2">
        <v>45102</v>
      </c>
      <c r="C2838" s="2" t="str">
        <f>TEXT(Table3[[#This Row],[Order Date]],"mmmm")</f>
        <v>June</v>
      </c>
      <c r="D2838" t="s">
        <v>3730</v>
      </c>
      <c r="E2838" t="s">
        <v>3224</v>
      </c>
      <c r="F2838" t="s">
        <v>3226</v>
      </c>
      <c r="G2838" s="4">
        <v>194225.86</v>
      </c>
      <c r="H2838" s="4">
        <v>190134.83</v>
      </c>
      <c r="I2838" s="3" t="s">
        <v>3734</v>
      </c>
      <c r="J2838">
        <v>4</v>
      </c>
      <c r="K2838" s="4">
        <f>Table3[[#This Row],[Sales]]-Table3[[#This Row],[Cost]]</f>
        <v>4091.0299999999988</v>
      </c>
      <c r="L2838" s="6">
        <f>Table3[[#This Row],[Profit]]/Table3[[#This Row],[Sales]]</f>
        <v>2.1063261092009063E-2</v>
      </c>
    </row>
    <row r="2839" spans="1:12" x14ac:dyDescent="0.25">
      <c r="A2839" t="s">
        <v>2530</v>
      </c>
      <c r="B2839" s="2">
        <v>45102</v>
      </c>
      <c r="C2839" s="2" t="str">
        <f>TEXT(Table3[[#This Row],[Order Date]],"mmmm")</f>
        <v>June</v>
      </c>
      <c r="D2839" t="s">
        <v>3730</v>
      </c>
      <c r="E2839" t="s">
        <v>3224</v>
      </c>
      <c r="F2839" t="s">
        <v>3226</v>
      </c>
      <c r="G2839" s="4">
        <v>209782.09</v>
      </c>
      <c r="H2839" s="4">
        <v>122652.81</v>
      </c>
      <c r="I2839" s="3" t="s">
        <v>3734</v>
      </c>
      <c r="J2839">
        <v>3</v>
      </c>
      <c r="K2839" s="4">
        <f>Table3[[#This Row],[Sales]]-Table3[[#This Row],[Cost]]</f>
        <v>87129.279999999999</v>
      </c>
      <c r="L2839" s="6">
        <f>Table3[[#This Row],[Profit]]/Table3[[#This Row],[Sales]]</f>
        <v>0.41533230982683028</v>
      </c>
    </row>
    <row r="2840" spans="1:12" x14ac:dyDescent="0.25">
      <c r="A2840" t="s">
        <v>2531</v>
      </c>
      <c r="B2840" s="2" t="s">
        <v>3729</v>
      </c>
      <c r="C2840" s="2" t="str">
        <f>TEXT(Table3[[#This Row],[Order Date]],"mmmm")</f>
        <v>Not Mentioned</v>
      </c>
      <c r="D2840" t="s">
        <v>3730</v>
      </c>
      <c r="E2840" t="s">
        <v>3223</v>
      </c>
      <c r="F2840" t="s">
        <v>3226</v>
      </c>
      <c r="G2840" s="4">
        <v>55326.96</v>
      </c>
      <c r="H2840" s="4">
        <v>32976.879999999997</v>
      </c>
      <c r="I2840" s="3" t="s">
        <v>3734</v>
      </c>
      <c r="J2840">
        <v>5</v>
      </c>
      <c r="K2840" s="4">
        <f>Table3[[#This Row],[Sales]]-Table3[[#This Row],[Cost]]</f>
        <v>22350.080000000002</v>
      </c>
      <c r="L2840" s="6">
        <f>Table3[[#This Row],[Profit]]/Table3[[#This Row],[Sales]]</f>
        <v>0.40396363725749618</v>
      </c>
    </row>
    <row r="2841" spans="1:12" x14ac:dyDescent="0.25">
      <c r="A2841" t="s">
        <v>3644</v>
      </c>
      <c r="B2841" s="2">
        <v>45005</v>
      </c>
      <c r="C2841" s="2" t="str">
        <f>TEXT(Table3[[#This Row],[Order Date]],"mmmm")</f>
        <v>March</v>
      </c>
      <c r="D2841" t="s">
        <v>3730</v>
      </c>
      <c r="E2841" t="s">
        <v>3225</v>
      </c>
      <c r="F2841" t="s">
        <v>3226</v>
      </c>
      <c r="G2841" s="4">
        <v>32566.07</v>
      </c>
      <c r="H2841" s="4">
        <v>25773.66</v>
      </c>
      <c r="I2841" s="3" t="s">
        <v>3734</v>
      </c>
      <c r="J2841">
        <v>2</v>
      </c>
      <c r="K2841" s="4">
        <f>Table3[[#This Row],[Sales]]-Table3[[#This Row],[Cost]]</f>
        <v>6792.41</v>
      </c>
      <c r="L2841" s="6">
        <f>Table3[[#This Row],[Profit]]/Table3[[#This Row],[Sales]]</f>
        <v>0.20857321746222371</v>
      </c>
    </row>
    <row r="2842" spans="1:12" x14ac:dyDescent="0.25">
      <c r="A2842" t="s">
        <v>2533</v>
      </c>
      <c r="B2842" s="2">
        <v>44941</v>
      </c>
      <c r="C2842" s="2" t="str">
        <f>TEXT(Table3[[#This Row],[Order Date]],"mmmm")</f>
        <v>January</v>
      </c>
      <c r="D2842" t="s">
        <v>3730</v>
      </c>
      <c r="E2842" t="s">
        <v>3224</v>
      </c>
      <c r="F2842" t="s">
        <v>3226</v>
      </c>
      <c r="G2842" s="4">
        <v>141568.07</v>
      </c>
      <c r="H2842" s="4">
        <v>88550.49</v>
      </c>
      <c r="I2842" s="3" t="s">
        <v>3734</v>
      </c>
      <c r="J2842">
        <v>2</v>
      </c>
      <c r="K2842" s="4">
        <f>Table3[[#This Row],[Sales]]-Table3[[#This Row],[Cost]]</f>
        <v>53017.58</v>
      </c>
      <c r="L2842" s="6">
        <f>Table3[[#This Row],[Profit]]/Table3[[#This Row],[Sales]]</f>
        <v>0.37450238602532337</v>
      </c>
    </row>
    <row r="2843" spans="1:12" x14ac:dyDescent="0.25">
      <c r="A2843" t="s">
        <v>2534</v>
      </c>
      <c r="B2843" s="2">
        <v>44941</v>
      </c>
      <c r="C2843" s="2" t="str">
        <f>TEXT(Table3[[#This Row],[Order Date]],"mmmm")</f>
        <v>January</v>
      </c>
      <c r="D2843" t="s">
        <v>3730</v>
      </c>
      <c r="E2843" t="s">
        <v>3222</v>
      </c>
      <c r="F2843" t="s">
        <v>3226</v>
      </c>
      <c r="G2843" s="4">
        <v>31887.19</v>
      </c>
      <c r="H2843" s="4">
        <v>25509.752</v>
      </c>
      <c r="I2843" s="3" t="s">
        <v>3735</v>
      </c>
      <c r="J2843">
        <v>2</v>
      </c>
      <c r="K2843" s="4">
        <f>Table3[[#This Row],[Sales]]-Table3[[#This Row],[Cost]]</f>
        <v>6377.4379999999983</v>
      </c>
      <c r="L2843" s="6">
        <f>Table3[[#This Row],[Profit]]/Table3[[#This Row],[Sales]]</f>
        <v>0.19999999999999996</v>
      </c>
    </row>
    <row r="2844" spans="1:12" x14ac:dyDescent="0.25">
      <c r="A2844" t="s">
        <v>2535</v>
      </c>
      <c r="B2844" s="2">
        <v>45021</v>
      </c>
      <c r="C2844" s="2" t="str">
        <f>TEXT(Table3[[#This Row],[Order Date]],"mmmm")</f>
        <v>April</v>
      </c>
      <c r="D2844" t="s">
        <v>3216</v>
      </c>
      <c r="E2844" t="s">
        <v>3225</v>
      </c>
      <c r="F2844" t="s">
        <v>3226</v>
      </c>
      <c r="G2844" s="4">
        <v>47756.83</v>
      </c>
      <c r="H2844" s="4">
        <v>29933.42</v>
      </c>
      <c r="I2844" s="3" t="s">
        <v>3734</v>
      </c>
      <c r="J2844">
        <v>2</v>
      </c>
      <c r="K2844" s="4">
        <f>Table3[[#This Row],[Sales]]-Table3[[#This Row],[Cost]]</f>
        <v>17823.410000000003</v>
      </c>
      <c r="L2844" s="6">
        <f>Table3[[#This Row],[Profit]]/Table3[[#This Row],[Sales]]</f>
        <v>0.37321174793218065</v>
      </c>
    </row>
    <row r="2845" spans="1:12" x14ac:dyDescent="0.25">
      <c r="A2845" t="s">
        <v>2536</v>
      </c>
      <c r="B2845" s="2">
        <v>45005</v>
      </c>
      <c r="C2845" s="2" t="str">
        <f>TEXT(Table3[[#This Row],[Order Date]],"mmmm")</f>
        <v>March</v>
      </c>
      <c r="D2845" t="s">
        <v>3216</v>
      </c>
      <c r="E2845" t="s">
        <v>3223</v>
      </c>
      <c r="F2845" t="s">
        <v>3226</v>
      </c>
      <c r="G2845" s="4">
        <v>21434.3</v>
      </c>
      <c r="H2845" s="4">
        <v>12929.9</v>
      </c>
      <c r="I2845" s="3" t="s">
        <v>3734</v>
      </c>
      <c r="J2845">
        <v>2</v>
      </c>
      <c r="K2845" s="4">
        <f>Table3[[#This Row],[Sales]]-Table3[[#This Row],[Cost]]</f>
        <v>8504.4</v>
      </c>
      <c r="L2845" s="6">
        <f>Table3[[#This Row],[Profit]]/Table3[[#This Row],[Sales]]</f>
        <v>0.3967659312410482</v>
      </c>
    </row>
    <row r="2846" spans="1:12" x14ac:dyDescent="0.25">
      <c r="A2846" t="s">
        <v>2537</v>
      </c>
      <c r="B2846" s="2">
        <v>45102</v>
      </c>
      <c r="C2846" s="2" t="str">
        <f>TEXT(Table3[[#This Row],[Order Date]],"mmmm")</f>
        <v>June</v>
      </c>
      <c r="D2846" t="s">
        <v>3220</v>
      </c>
      <c r="E2846" t="s">
        <v>3223</v>
      </c>
      <c r="F2846" t="s">
        <v>3226</v>
      </c>
      <c r="G2846" s="4">
        <v>19517.169999999998</v>
      </c>
      <c r="H2846" s="4">
        <v>14522.9</v>
      </c>
      <c r="I2846" s="3" t="s">
        <v>3734</v>
      </c>
      <c r="J2846">
        <v>2</v>
      </c>
      <c r="K2846" s="4">
        <f>Table3[[#This Row],[Sales]]-Table3[[#This Row],[Cost]]</f>
        <v>4994.2699999999986</v>
      </c>
      <c r="L2846" s="6">
        <f>Table3[[#This Row],[Profit]]/Table3[[#This Row],[Sales]]</f>
        <v>0.25589109486672501</v>
      </c>
    </row>
    <row r="2847" spans="1:12" x14ac:dyDescent="0.25">
      <c r="A2847" t="s">
        <v>2538</v>
      </c>
      <c r="B2847" s="2">
        <v>45005</v>
      </c>
      <c r="C2847" s="2" t="str">
        <f>TEXT(Table3[[#This Row],[Order Date]],"mmmm")</f>
        <v>March</v>
      </c>
      <c r="D2847" t="s">
        <v>3220</v>
      </c>
      <c r="E2847" t="s">
        <v>3224</v>
      </c>
      <c r="F2847" t="s">
        <v>3226</v>
      </c>
      <c r="G2847" s="4">
        <v>122341.08</v>
      </c>
      <c r="H2847" s="4">
        <v>85524.02</v>
      </c>
      <c r="I2847" s="3" t="s">
        <v>3734</v>
      </c>
      <c r="J2847">
        <v>2</v>
      </c>
      <c r="K2847" s="4">
        <f>Table3[[#This Row],[Sales]]-Table3[[#This Row],[Cost]]</f>
        <v>36817.06</v>
      </c>
      <c r="L2847" s="6">
        <f>Table3[[#This Row],[Profit]]/Table3[[#This Row],[Sales]]</f>
        <v>0.30093783706993593</v>
      </c>
    </row>
    <row r="2848" spans="1:12" x14ac:dyDescent="0.25">
      <c r="A2848" t="s">
        <v>3645</v>
      </c>
      <c r="B2848" s="2">
        <v>44941</v>
      </c>
      <c r="C2848" s="2" t="str">
        <f>TEXT(Table3[[#This Row],[Order Date]],"mmmm")</f>
        <v>January</v>
      </c>
      <c r="D2848" t="s">
        <v>3730</v>
      </c>
      <c r="E2848" t="s">
        <v>3222</v>
      </c>
      <c r="F2848" t="s">
        <v>3226</v>
      </c>
      <c r="G2848" s="4">
        <v>43058.59</v>
      </c>
      <c r="H2848" s="4">
        <v>25743.97</v>
      </c>
      <c r="I2848" s="3" t="s">
        <v>3734</v>
      </c>
      <c r="J2848">
        <v>3</v>
      </c>
      <c r="K2848" s="4">
        <f>Table3[[#This Row],[Sales]]-Table3[[#This Row],[Cost]]</f>
        <v>17314.619999999995</v>
      </c>
      <c r="L2848" s="6">
        <f>Table3[[#This Row],[Profit]]/Table3[[#This Row],[Sales]]</f>
        <v>0.40211767268737775</v>
      </c>
    </row>
    <row r="2849" spans="1:12" x14ac:dyDescent="0.25">
      <c r="A2849" t="s">
        <v>2540</v>
      </c>
      <c r="B2849" s="2">
        <v>45102</v>
      </c>
      <c r="C2849" s="2" t="str">
        <f>TEXT(Table3[[#This Row],[Order Date]],"mmmm")</f>
        <v>June</v>
      </c>
      <c r="D2849" t="s">
        <v>3730</v>
      </c>
      <c r="E2849" t="s">
        <v>3225</v>
      </c>
      <c r="F2849" t="s">
        <v>3226</v>
      </c>
      <c r="G2849" s="4">
        <v>104238.43</v>
      </c>
      <c r="H2849" s="4">
        <v>69070.52</v>
      </c>
      <c r="I2849" s="3" t="s">
        <v>3734</v>
      </c>
      <c r="J2849">
        <v>5</v>
      </c>
      <c r="K2849" s="4">
        <f>Table3[[#This Row],[Sales]]-Table3[[#This Row],[Cost]]</f>
        <v>35167.909999999989</v>
      </c>
      <c r="L2849" s="6">
        <f>Table3[[#This Row],[Profit]]/Table3[[#This Row],[Sales]]</f>
        <v>0.33737950581181997</v>
      </c>
    </row>
    <row r="2850" spans="1:12" x14ac:dyDescent="0.25">
      <c r="A2850" t="s">
        <v>2290</v>
      </c>
      <c r="B2850" s="2" t="s">
        <v>3729</v>
      </c>
      <c r="C2850" s="2" t="str">
        <f>TEXT(Table3[[#This Row],[Order Date]],"mmmm")</f>
        <v>Not Mentioned</v>
      </c>
      <c r="D2850" t="s">
        <v>3216</v>
      </c>
      <c r="E2850" t="s">
        <v>3222</v>
      </c>
      <c r="F2850" t="s">
        <v>3226</v>
      </c>
      <c r="G2850" s="4">
        <v>49091.58</v>
      </c>
      <c r="H2850" s="4">
        <v>26880.35</v>
      </c>
      <c r="I2850" s="3" t="s">
        <v>3734</v>
      </c>
      <c r="J2850">
        <v>3</v>
      </c>
      <c r="K2850" s="4">
        <f>Table3[[#This Row],[Sales]]-Table3[[#This Row],[Cost]]</f>
        <v>22211.230000000003</v>
      </c>
      <c r="L2850" s="6">
        <f>Table3[[#This Row],[Profit]]/Table3[[#This Row],[Sales]]</f>
        <v>0.45244479806924126</v>
      </c>
    </row>
    <row r="2851" spans="1:12" x14ac:dyDescent="0.25">
      <c r="A2851" t="s">
        <v>2541</v>
      </c>
      <c r="B2851" s="2">
        <v>45102</v>
      </c>
      <c r="C2851" s="2" t="str">
        <f>TEXT(Table3[[#This Row],[Order Date]],"mmmm")</f>
        <v>June</v>
      </c>
      <c r="D2851" t="s">
        <v>3220</v>
      </c>
      <c r="E2851" t="s">
        <v>3225</v>
      </c>
      <c r="F2851" t="s">
        <v>3226</v>
      </c>
      <c r="G2851" s="4">
        <v>21221.48</v>
      </c>
      <c r="H2851" s="4">
        <v>13096.02</v>
      </c>
      <c r="I2851" s="3" t="s">
        <v>3734</v>
      </c>
      <c r="J2851">
        <v>1</v>
      </c>
      <c r="K2851" s="4">
        <f>Table3[[#This Row],[Sales]]-Table3[[#This Row],[Cost]]</f>
        <v>8125.4599999999991</v>
      </c>
      <c r="L2851" s="6">
        <f>Table3[[#This Row],[Profit]]/Table3[[#This Row],[Sales]]</f>
        <v>0.38288846960720929</v>
      </c>
    </row>
    <row r="2852" spans="1:12" x14ac:dyDescent="0.25">
      <c r="A2852" t="s">
        <v>2542</v>
      </c>
      <c r="B2852" s="2">
        <v>45102</v>
      </c>
      <c r="C2852" s="2" t="str">
        <f>TEXT(Table3[[#This Row],[Order Date]],"mmmm")</f>
        <v>June</v>
      </c>
      <c r="D2852" t="s">
        <v>3220</v>
      </c>
      <c r="E2852" t="s">
        <v>3223</v>
      </c>
      <c r="F2852" t="s">
        <v>3226</v>
      </c>
      <c r="G2852" s="4">
        <v>31198.94</v>
      </c>
      <c r="H2852" s="4">
        <v>21513.18</v>
      </c>
      <c r="I2852" s="3" t="s">
        <v>3734</v>
      </c>
      <c r="J2852">
        <v>3</v>
      </c>
      <c r="K2852" s="4">
        <f>Table3[[#This Row],[Sales]]-Table3[[#This Row],[Cost]]</f>
        <v>9685.7599999999984</v>
      </c>
      <c r="L2852" s="6">
        <f>Table3[[#This Row],[Profit]]/Table3[[#This Row],[Sales]]</f>
        <v>0.310451573034212</v>
      </c>
    </row>
    <row r="2853" spans="1:12" x14ac:dyDescent="0.25">
      <c r="A2853" t="s">
        <v>1647</v>
      </c>
      <c r="B2853" s="2">
        <v>45021</v>
      </c>
      <c r="C2853" s="2" t="str">
        <f>TEXT(Table3[[#This Row],[Order Date]],"mmmm")</f>
        <v>April</v>
      </c>
      <c r="D2853" t="s">
        <v>3731</v>
      </c>
      <c r="E2853" t="s">
        <v>3224</v>
      </c>
      <c r="F2853" t="s">
        <v>3226</v>
      </c>
      <c r="G2853" s="4">
        <v>200015.53</v>
      </c>
      <c r="H2853" s="4">
        <v>187935.83</v>
      </c>
      <c r="I2853" s="3" t="s">
        <v>3734</v>
      </c>
      <c r="J2853">
        <v>4</v>
      </c>
      <c r="K2853" s="4">
        <f>Table3[[#This Row],[Sales]]-Table3[[#This Row],[Cost]]</f>
        <v>12079.700000000012</v>
      </c>
      <c r="L2853" s="6">
        <f>Table3[[#This Row],[Profit]]/Table3[[#This Row],[Sales]]</f>
        <v>6.0393810420620898E-2</v>
      </c>
    </row>
    <row r="2854" spans="1:12" x14ac:dyDescent="0.25">
      <c r="A2854" t="s">
        <v>3646</v>
      </c>
      <c r="B2854" s="2">
        <v>45102</v>
      </c>
      <c r="C2854" s="2" t="str">
        <f>TEXT(Table3[[#This Row],[Order Date]],"mmmm")</f>
        <v>June</v>
      </c>
      <c r="D2854" t="s">
        <v>3216</v>
      </c>
      <c r="E2854" t="s">
        <v>3225</v>
      </c>
      <c r="F2854" t="s">
        <v>3226</v>
      </c>
      <c r="G2854" s="4">
        <v>85949.37</v>
      </c>
      <c r="H2854" s="4">
        <v>72870.03</v>
      </c>
      <c r="I2854" s="3" t="s">
        <v>3734</v>
      </c>
      <c r="J2854" t="s">
        <v>3732</v>
      </c>
      <c r="K2854" s="4">
        <f>Table3[[#This Row],[Sales]]-Table3[[#This Row],[Cost]]</f>
        <v>13079.339999999997</v>
      </c>
      <c r="L2854" s="6">
        <f>Table3[[#This Row],[Profit]]/Table3[[#This Row],[Sales]]</f>
        <v>0.15217493740791815</v>
      </c>
    </row>
    <row r="2855" spans="1:12" x14ac:dyDescent="0.25">
      <c r="A2855" t="s">
        <v>2544</v>
      </c>
      <c r="B2855" s="2" t="s">
        <v>3729</v>
      </c>
      <c r="C2855" s="2" t="str">
        <f>TEXT(Table3[[#This Row],[Order Date]],"mmmm")</f>
        <v>Not Mentioned</v>
      </c>
      <c r="D2855" t="s">
        <v>3730</v>
      </c>
      <c r="E2855" t="s">
        <v>3222</v>
      </c>
      <c r="F2855" t="s">
        <v>3226</v>
      </c>
      <c r="G2855" s="4">
        <v>25205.91</v>
      </c>
      <c r="H2855" s="4">
        <v>20164.728000000003</v>
      </c>
      <c r="I2855" s="3" t="s">
        <v>3735</v>
      </c>
      <c r="J2855">
        <v>2</v>
      </c>
      <c r="K2855" s="4">
        <f>Table3[[#This Row],[Sales]]-Table3[[#This Row],[Cost]]</f>
        <v>5041.1819999999971</v>
      </c>
      <c r="L2855" s="6">
        <f>Table3[[#This Row],[Profit]]/Table3[[#This Row],[Sales]]</f>
        <v>0.19999999999999987</v>
      </c>
    </row>
    <row r="2856" spans="1:12" x14ac:dyDescent="0.25">
      <c r="A2856" t="s">
        <v>2545</v>
      </c>
      <c r="B2856" s="2">
        <v>45005</v>
      </c>
      <c r="C2856" s="2" t="str">
        <f>TEXT(Table3[[#This Row],[Order Date]],"mmmm")</f>
        <v>March</v>
      </c>
      <c r="D2856" t="s">
        <v>3731</v>
      </c>
      <c r="E2856" t="s">
        <v>3225</v>
      </c>
      <c r="F2856" t="s">
        <v>3226</v>
      </c>
      <c r="G2856" s="4">
        <v>16963.72</v>
      </c>
      <c r="H2856" s="4">
        <v>15206.35</v>
      </c>
      <c r="I2856" s="3" t="s">
        <v>3734</v>
      </c>
      <c r="J2856">
        <v>1</v>
      </c>
      <c r="K2856" s="4">
        <f>Table3[[#This Row],[Sales]]-Table3[[#This Row],[Cost]]</f>
        <v>1757.3700000000008</v>
      </c>
      <c r="L2856" s="6">
        <f>Table3[[#This Row],[Profit]]/Table3[[#This Row],[Sales]]</f>
        <v>0.10359579148913096</v>
      </c>
    </row>
    <row r="2857" spans="1:12" x14ac:dyDescent="0.25">
      <c r="A2857" t="s">
        <v>2546</v>
      </c>
      <c r="B2857" s="2">
        <v>44972</v>
      </c>
      <c r="C2857" s="2" t="str">
        <f>TEXT(Table3[[#This Row],[Order Date]],"mmmm")</f>
        <v>February</v>
      </c>
      <c r="D2857" t="s">
        <v>3730</v>
      </c>
      <c r="E2857" t="s">
        <v>3225</v>
      </c>
      <c r="F2857" t="s">
        <v>3226</v>
      </c>
      <c r="G2857" s="4">
        <v>21438.47</v>
      </c>
      <c r="H2857" s="4">
        <v>14951.57</v>
      </c>
      <c r="I2857" s="3" t="s">
        <v>3734</v>
      </c>
      <c r="J2857">
        <v>1</v>
      </c>
      <c r="K2857" s="4">
        <f>Table3[[#This Row],[Sales]]-Table3[[#This Row],[Cost]]</f>
        <v>6486.9000000000015</v>
      </c>
      <c r="L2857" s="6">
        <f>Table3[[#This Row],[Profit]]/Table3[[#This Row],[Sales]]</f>
        <v>0.30258222718318989</v>
      </c>
    </row>
    <row r="2858" spans="1:12" x14ac:dyDescent="0.25">
      <c r="A2858" t="s">
        <v>752</v>
      </c>
      <c r="B2858" s="2">
        <v>44941</v>
      </c>
      <c r="C2858" s="2" t="str">
        <f>TEXT(Table3[[#This Row],[Order Date]],"mmmm")</f>
        <v>January</v>
      </c>
      <c r="D2858" t="s">
        <v>3730</v>
      </c>
      <c r="E2858" t="s">
        <v>3225</v>
      </c>
      <c r="F2858" t="s">
        <v>3226</v>
      </c>
      <c r="G2858" s="4">
        <v>23051.18</v>
      </c>
      <c r="H2858" s="4">
        <v>12426.02</v>
      </c>
      <c r="I2858" s="3" t="s">
        <v>3734</v>
      </c>
      <c r="J2858">
        <v>1</v>
      </c>
      <c r="K2858" s="4">
        <f>Table3[[#This Row],[Sales]]-Table3[[#This Row],[Cost]]</f>
        <v>10625.16</v>
      </c>
      <c r="L2858" s="6">
        <f>Table3[[#This Row],[Profit]]/Table3[[#This Row],[Sales]]</f>
        <v>0.46093779147097891</v>
      </c>
    </row>
    <row r="2859" spans="1:12" x14ac:dyDescent="0.25">
      <c r="A2859" t="s">
        <v>1141</v>
      </c>
      <c r="B2859" s="2">
        <v>45102</v>
      </c>
      <c r="C2859" s="2" t="str">
        <f>TEXT(Table3[[#This Row],[Order Date]],"mmmm")</f>
        <v>June</v>
      </c>
      <c r="D2859" t="s">
        <v>3731</v>
      </c>
      <c r="E2859" t="s">
        <v>3223</v>
      </c>
      <c r="F2859" t="s">
        <v>3226</v>
      </c>
      <c r="G2859" s="4">
        <v>18766.11</v>
      </c>
      <c r="H2859" s="4">
        <v>13396.21</v>
      </c>
      <c r="I2859" s="3" t="s">
        <v>3734</v>
      </c>
      <c r="J2859">
        <v>2</v>
      </c>
      <c r="K2859" s="4">
        <f>Table3[[#This Row],[Sales]]-Table3[[#This Row],[Cost]]</f>
        <v>5369.9000000000015</v>
      </c>
      <c r="L2859" s="6">
        <f>Table3[[#This Row],[Profit]]/Table3[[#This Row],[Sales]]</f>
        <v>0.28614880761116723</v>
      </c>
    </row>
    <row r="2860" spans="1:12" x14ac:dyDescent="0.25">
      <c r="A2860" t="s">
        <v>2547</v>
      </c>
      <c r="B2860" s="2">
        <v>44972</v>
      </c>
      <c r="C2860" s="2" t="str">
        <f>TEXT(Table3[[#This Row],[Order Date]],"mmmm")</f>
        <v>February</v>
      </c>
      <c r="D2860" t="s">
        <v>3730</v>
      </c>
      <c r="E2860" t="s">
        <v>3224</v>
      </c>
      <c r="F2860" t="s">
        <v>3226</v>
      </c>
      <c r="G2860" s="4">
        <v>274631.44</v>
      </c>
      <c r="H2860" s="4">
        <v>171705.67</v>
      </c>
      <c r="I2860" s="3" t="s">
        <v>3734</v>
      </c>
      <c r="J2860" t="s">
        <v>3732</v>
      </c>
      <c r="K2860" s="4">
        <f>Table3[[#This Row],[Sales]]-Table3[[#This Row],[Cost]]</f>
        <v>102925.76999999999</v>
      </c>
      <c r="L2860" s="6">
        <f>Table3[[#This Row],[Profit]]/Table3[[#This Row],[Sales]]</f>
        <v>0.37477781130958637</v>
      </c>
    </row>
    <row r="2861" spans="1:12" x14ac:dyDescent="0.25">
      <c r="A2861" t="s">
        <v>2548</v>
      </c>
      <c r="B2861" s="2">
        <v>45021</v>
      </c>
      <c r="C2861" s="2" t="str">
        <f>TEXT(Table3[[#This Row],[Order Date]],"mmmm")</f>
        <v>April</v>
      </c>
      <c r="D2861" t="s">
        <v>3216</v>
      </c>
      <c r="E2861" t="s">
        <v>3223</v>
      </c>
      <c r="F2861" t="s">
        <v>3226</v>
      </c>
      <c r="G2861" s="4">
        <v>9081.31</v>
      </c>
      <c r="H2861" s="4">
        <v>6252.7</v>
      </c>
      <c r="I2861" s="3" t="s">
        <v>3734</v>
      </c>
      <c r="J2861">
        <v>1</v>
      </c>
      <c r="K2861" s="4">
        <f>Table3[[#This Row],[Sales]]-Table3[[#This Row],[Cost]]</f>
        <v>2828.6099999999997</v>
      </c>
      <c r="L2861" s="6">
        <f>Table3[[#This Row],[Profit]]/Table3[[#This Row],[Sales]]</f>
        <v>0.31147598749519617</v>
      </c>
    </row>
    <row r="2862" spans="1:12" x14ac:dyDescent="0.25">
      <c r="A2862" t="s">
        <v>2549</v>
      </c>
      <c r="B2862" s="2">
        <v>45021</v>
      </c>
      <c r="C2862" s="2" t="str">
        <f>TEXT(Table3[[#This Row],[Order Date]],"mmmm")</f>
        <v>April</v>
      </c>
      <c r="D2862" t="s">
        <v>3731</v>
      </c>
      <c r="E2862" t="s">
        <v>3224</v>
      </c>
      <c r="F2862" t="s">
        <v>3226</v>
      </c>
      <c r="G2862" s="4">
        <v>278968.03999999998</v>
      </c>
      <c r="H2862" s="4">
        <v>199322.37</v>
      </c>
      <c r="I2862" s="3" t="s">
        <v>3734</v>
      </c>
      <c r="J2862">
        <v>5</v>
      </c>
      <c r="K2862" s="4">
        <f>Table3[[#This Row],[Sales]]-Table3[[#This Row],[Cost]]</f>
        <v>79645.669999999984</v>
      </c>
      <c r="L2862" s="6">
        <f>Table3[[#This Row],[Profit]]/Table3[[#This Row],[Sales]]</f>
        <v>0.28550105596325653</v>
      </c>
    </row>
    <row r="2863" spans="1:12" x14ac:dyDescent="0.25">
      <c r="A2863" t="s">
        <v>2550</v>
      </c>
      <c r="B2863" s="2">
        <v>44972</v>
      </c>
      <c r="C2863" s="2" t="str">
        <f>TEXT(Table3[[#This Row],[Order Date]],"mmmm")</f>
        <v>February</v>
      </c>
      <c r="D2863" t="s">
        <v>3220</v>
      </c>
      <c r="E2863" t="s">
        <v>3222</v>
      </c>
      <c r="F2863" t="s">
        <v>3226</v>
      </c>
      <c r="G2863" s="4">
        <v>29962.66</v>
      </c>
      <c r="H2863" s="4">
        <v>17010.87</v>
      </c>
      <c r="I2863" s="3" t="s">
        <v>3734</v>
      </c>
      <c r="J2863">
        <v>2</v>
      </c>
      <c r="K2863" s="4">
        <f>Table3[[#This Row],[Sales]]-Table3[[#This Row],[Cost]]</f>
        <v>12951.79</v>
      </c>
      <c r="L2863" s="6">
        <f>Table3[[#This Row],[Profit]]/Table3[[#This Row],[Sales]]</f>
        <v>0.43226435837138627</v>
      </c>
    </row>
    <row r="2864" spans="1:12" x14ac:dyDescent="0.25">
      <c r="A2864" t="s">
        <v>2551</v>
      </c>
      <c r="B2864" s="2" t="s">
        <v>3729</v>
      </c>
      <c r="C2864" s="2" t="str">
        <f>TEXT(Table3[[#This Row],[Order Date]],"mmmm")</f>
        <v>Not Mentioned</v>
      </c>
      <c r="D2864" t="s">
        <v>3220</v>
      </c>
      <c r="E2864" t="s">
        <v>3222</v>
      </c>
      <c r="F2864" t="s">
        <v>3226</v>
      </c>
      <c r="G2864" s="4">
        <v>75602.8</v>
      </c>
      <c r="H2864" s="4">
        <v>43560.59</v>
      </c>
      <c r="I2864" s="3" t="s">
        <v>3734</v>
      </c>
      <c r="J2864">
        <v>5</v>
      </c>
      <c r="K2864" s="4">
        <f>Table3[[#This Row],[Sales]]-Table3[[#This Row],[Cost]]</f>
        <v>32042.210000000006</v>
      </c>
      <c r="L2864" s="6">
        <f>Table3[[#This Row],[Profit]]/Table3[[#This Row],[Sales]]</f>
        <v>0.4238230594634062</v>
      </c>
    </row>
    <row r="2865" spans="1:12" x14ac:dyDescent="0.25">
      <c r="A2865" t="s">
        <v>2552</v>
      </c>
      <c r="B2865" s="2">
        <v>45021</v>
      </c>
      <c r="C2865" s="2" t="str">
        <f>TEXT(Table3[[#This Row],[Order Date]],"mmmm")</f>
        <v>April</v>
      </c>
      <c r="D2865" t="s">
        <v>3216</v>
      </c>
      <c r="E2865" t="s">
        <v>3224</v>
      </c>
      <c r="F2865" t="s">
        <v>3226</v>
      </c>
      <c r="G2865" s="4">
        <v>211515.36</v>
      </c>
      <c r="H2865" s="4">
        <v>129121.1</v>
      </c>
      <c r="I2865" s="3" t="s">
        <v>3734</v>
      </c>
      <c r="J2865">
        <v>3</v>
      </c>
      <c r="K2865" s="4">
        <f>Table3[[#This Row],[Sales]]-Table3[[#This Row],[Cost]]</f>
        <v>82394.25999999998</v>
      </c>
      <c r="L2865" s="6">
        <f>Table3[[#This Row],[Profit]]/Table3[[#This Row],[Sales]]</f>
        <v>0.38954267907541079</v>
      </c>
    </row>
    <row r="2866" spans="1:12" x14ac:dyDescent="0.25">
      <c r="A2866" t="s">
        <v>2553</v>
      </c>
      <c r="B2866" s="2">
        <v>44941</v>
      </c>
      <c r="C2866" s="2" t="str">
        <f>TEXT(Table3[[#This Row],[Order Date]],"mmmm")</f>
        <v>January</v>
      </c>
      <c r="D2866" t="s">
        <v>3220</v>
      </c>
      <c r="E2866" t="s">
        <v>3222</v>
      </c>
      <c r="F2866" t="s">
        <v>3226</v>
      </c>
      <c r="G2866" s="4">
        <v>50841.54</v>
      </c>
      <c r="H2866" s="4">
        <v>31644.23</v>
      </c>
      <c r="I2866" s="3" t="s">
        <v>3734</v>
      </c>
      <c r="J2866">
        <v>3</v>
      </c>
      <c r="K2866" s="4">
        <f>Table3[[#This Row],[Sales]]-Table3[[#This Row],[Cost]]</f>
        <v>19197.310000000001</v>
      </c>
      <c r="L2866" s="6">
        <f>Table3[[#This Row],[Profit]]/Table3[[#This Row],[Sales]]</f>
        <v>0.37759104071198474</v>
      </c>
    </row>
    <row r="2867" spans="1:12" x14ac:dyDescent="0.25">
      <c r="A2867" t="s">
        <v>2554</v>
      </c>
      <c r="B2867" s="2">
        <v>45021</v>
      </c>
      <c r="C2867" s="2" t="str">
        <f>TEXT(Table3[[#This Row],[Order Date]],"mmmm")</f>
        <v>April</v>
      </c>
      <c r="D2867" t="s">
        <v>3730</v>
      </c>
      <c r="E2867" t="s">
        <v>3223</v>
      </c>
      <c r="F2867" t="s">
        <v>3226</v>
      </c>
      <c r="G2867" s="4">
        <v>38377.910000000003</v>
      </c>
      <c r="H2867" s="4">
        <v>23986.39</v>
      </c>
      <c r="I2867" s="3" t="s">
        <v>3734</v>
      </c>
      <c r="J2867">
        <v>4</v>
      </c>
      <c r="K2867" s="4">
        <f>Table3[[#This Row],[Sales]]-Table3[[#This Row],[Cost]]</f>
        <v>14391.520000000004</v>
      </c>
      <c r="L2867" s="6">
        <f>Table3[[#This Row],[Profit]]/Table3[[#This Row],[Sales]]</f>
        <v>0.37499488638125428</v>
      </c>
    </row>
    <row r="2868" spans="1:12" x14ac:dyDescent="0.25">
      <c r="A2868" t="s">
        <v>2555</v>
      </c>
      <c r="B2868" s="2">
        <v>44972</v>
      </c>
      <c r="C2868" s="2" t="str">
        <f>TEXT(Table3[[#This Row],[Order Date]],"mmmm")</f>
        <v>February</v>
      </c>
      <c r="D2868" t="s">
        <v>3220</v>
      </c>
      <c r="E2868" t="s">
        <v>3222</v>
      </c>
      <c r="F2868" t="s">
        <v>3226</v>
      </c>
      <c r="G2868" s="4">
        <v>27886.45</v>
      </c>
      <c r="H2868" s="4">
        <v>18634.64</v>
      </c>
      <c r="I2868" s="3" t="s">
        <v>3734</v>
      </c>
      <c r="J2868">
        <v>2</v>
      </c>
      <c r="K2868" s="4">
        <f>Table3[[#This Row],[Sales]]-Table3[[#This Row],[Cost]]</f>
        <v>9251.8100000000013</v>
      </c>
      <c r="L2868" s="6">
        <f>Table3[[#This Row],[Profit]]/Table3[[#This Row],[Sales]]</f>
        <v>0.3317672202808174</v>
      </c>
    </row>
    <row r="2869" spans="1:12" x14ac:dyDescent="0.25">
      <c r="A2869" t="s">
        <v>2556</v>
      </c>
      <c r="B2869" s="2">
        <v>45005</v>
      </c>
      <c r="C2869" s="2" t="str">
        <f>TEXT(Table3[[#This Row],[Order Date]],"mmmm")</f>
        <v>March</v>
      </c>
      <c r="D2869" t="s">
        <v>3216</v>
      </c>
      <c r="E2869" t="s">
        <v>3225</v>
      </c>
      <c r="F2869" t="s">
        <v>3226</v>
      </c>
      <c r="G2869" s="4">
        <v>90968.5</v>
      </c>
      <c r="H2869" s="4">
        <v>63316.18</v>
      </c>
      <c r="I2869" s="3" t="s">
        <v>3734</v>
      </c>
      <c r="J2869">
        <v>5</v>
      </c>
      <c r="K2869" s="4">
        <f>Table3[[#This Row],[Sales]]-Table3[[#This Row],[Cost]]</f>
        <v>27652.32</v>
      </c>
      <c r="L2869" s="6">
        <f>Table3[[#This Row],[Profit]]/Table3[[#This Row],[Sales]]</f>
        <v>0.30397687111472654</v>
      </c>
    </row>
    <row r="2870" spans="1:12" x14ac:dyDescent="0.25">
      <c r="A2870" t="s">
        <v>2557</v>
      </c>
      <c r="B2870" s="2">
        <v>45005</v>
      </c>
      <c r="C2870" s="2" t="str">
        <f>TEXT(Table3[[#This Row],[Order Date]],"mmmm")</f>
        <v>March</v>
      </c>
      <c r="D2870" t="s">
        <v>3731</v>
      </c>
      <c r="E2870" t="s">
        <v>3225</v>
      </c>
      <c r="F2870" t="s">
        <v>3226</v>
      </c>
      <c r="G2870" s="4">
        <v>58013.760000000002</v>
      </c>
      <c r="H2870" s="4">
        <v>38434.81</v>
      </c>
      <c r="I2870" s="3" t="s">
        <v>3734</v>
      </c>
      <c r="J2870">
        <v>3</v>
      </c>
      <c r="K2870" s="4">
        <f>Table3[[#This Row],[Sales]]-Table3[[#This Row],[Cost]]</f>
        <v>19578.950000000004</v>
      </c>
      <c r="L2870" s="6">
        <f>Table3[[#This Row],[Profit]]/Table3[[#This Row],[Sales]]</f>
        <v>0.33748803732080118</v>
      </c>
    </row>
    <row r="2871" spans="1:12" x14ac:dyDescent="0.25">
      <c r="A2871" t="s">
        <v>3255</v>
      </c>
      <c r="B2871" s="2">
        <v>44972</v>
      </c>
      <c r="C2871" s="2" t="str">
        <f>TEXT(Table3[[#This Row],[Order Date]],"mmmm")</f>
        <v>February</v>
      </c>
      <c r="D2871" t="s">
        <v>3220</v>
      </c>
      <c r="E2871" t="s">
        <v>3224</v>
      </c>
      <c r="F2871" t="s">
        <v>3226</v>
      </c>
      <c r="G2871" s="4">
        <v>70246.100000000006</v>
      </c>
      <c r="H2871" s="4">
        <v>44126.59</v>
      </c>
      <c r="I2871" s="3" t="s">
        <v>3734</v>
      </c>
      <c r="J2871">
        <v>1</v>
      </c>
      <c r="K2871" s="4">
        <f>Table3[[#This Row],[Sales]]-Table3[[#This Row],[Cost]]</f>
        <v>26119.510000000009</v>
      </c>
      <c r="L2871" s="6">
        <f>Table3[[#This Row],[Profit]]/Table3[[#This Row],[Sales]]</f>
        <v>0.37182861397287548</v>
      </c>
    </row>
    <row r="2872" spans="1:12" x14ac:dyDescent="0.25">
      <c r="A2872" t="s">
        <v>2558</v>
      </c>
      <c r="B2872" s="2">
        <v>45021</v>
      </c>
      <c r="C2872" s="2" t="str">
        <f>TEXT(Table3[[#This Row],[Order Date]],"mmmm")</f>
        <v>April</v>
      </c>
      <c r="D2872" t="s">
        <v>3730</v>
      </c>
      <c r="E2872" t="s">
        <v>3224</v>
      </c>
      <c r="F2872" t="s">
        <v>3226</v>
      </c>
      <c r="G2872" s="4">
        <v>118273.59</v>
      </c>
      <c r="H2872" s="4">
        <v>95314.68</v>
      </c>
      <c r="I2872" s="3" t="s">
        <v>3734</v>
      </c>
      <c r="J2872">
        <v>2</v>
      </c>
      <c r="K2872" s="4">
        <f>Table3[[#This Row],[Sales]]-Table3[[#This Row],[Cost]]</f>
        <v>22958.910000000003</v>
      </c>
      <c r="L2872" s="6">
        <f>Table3[[#This Row],[Profit]]/Table3[[#This Row],[Sales]]</f>
        <v>0.19411696220601746</v>
      </c>
    </row>
    <row r="2873" spans="1:12" x14ac:dyDescent="0.25">
      <c r="A2873" t="s">
        <v>1145</v>
      </c>
      <c r="B2873" s="2">
        <v>44941</v>
      </c>
      <c r="C2873" s="2" t="str">
        <f>TEXT(Table3[[#This Row],[Order Date]],"mmmm")</f>
        <v>January</v>
      </c>
      <c r="D2873" t="s">
        <v>3730</v>
      </c>
      <c r="E2873" t="s">
        <v>3225</v>
      </c>
      <c r="F2873" t="s">
        <v>3226</v>
      </c>
      <c r="G2873" s="4">
        <v>66866.600000000006</v>
      </c>
      <c r="H2873" s="4">
        <v>39100.629999999997</v>
      </c>
      <c r="I2873" s="3" t="s">
        <v>3734</v>
      </c>
      <c r="J2873">
        <v>3</v>
      </c>
      <c r="K2873" s="4">
        <f>Table3[[#This Row],[Sales]]-Table3[[#This Row],[Cost]]</f>
        <v>27765.970000000008</v>
      </c>
      <c r="L2873" s="6">
        <f>Table3[[#This Row],[Profit]]/Table3[[#This Row],[Sales]]</f>
        <v>0.41524423254659287</v>
      </c>
    </row>
    <row r="2874" spans="1:12" x14ac:dyDescent="0.25">
      <c r="A2874" t="s">
        <v>3647</v>
      </c>
      <c r="B2874" s="2" t="s">
        <v>3729</v>
      </c>
      <c r="C2874" s="2" t="str">
        <f>TEXT(Table3[[#This Row],[Order Date]],"mmmm")</f>
        <v>Not Mentioned</v>
      </c>
      <c r="D2874" t="s">
        <v>3730</v>
      </c>
      <c r="E2874" t="s">
        <v>3223</v>
      </c>
      <c r="F2874" t="s">
        <v>3226</v>
      </c>
      <c r="G2874" s="4">
        <v>56853.279999999999</v>
      </c>
      <c r="H2874" s="4">
        <v>32067.33</v>
      </c>
      <c r="I2874" s="3" t="s">
        <v>3734</v>
      </c>
      <c r="J2874">
        <v>5</v>
      </c>
      <c r="K2874" s="4">
        <f>Table3[[#This Row],[Sales]]-Table3[[#This Row],[Cost]]</f>
        <v>24785.949999999997</v>
      </c>
      <c r="L2874" s="6">
        <f>Table3[[#This Row],[Profit]]/Table3[[#This Row],[Sales]]</f>
        <v>0.43596341319269527</v>
      </c>
    </row>
    <row r="2875" spans="1:12" x14ac:dyDescent="0.25">
      <c r="A2875" t="s">
        <v>2560</v>
      </c>
      <c r="B2875" s="2">
        <v>45102</v>
      </c>
      <c r="C2875" s="2" t="str">
        <f>TEXT(Table3[[#This Row],[Order Date]],"mmmm")</f>
        <v>June</v>
      </c>
      <c r="D2875" t="s">
        <v>3731</v>
      </c>
      <c r="E2875" t="s">
        <v>3222</v>
      </c>
      <c r="F2875" t="s">
        <v>3226</v>
      </c>
      <c r="G2875" s="4">
        <v>75275.070000000007</v>
      </c>
      <c r="H2875" s="4">
        <v>52859.48</v>
      </c>
      <c r="I2875" s="3" t="s">
        <v>3734</v>
      </c>
      <c r="J2875">
        <v>5</v>
      </c>
      <c r="K2875" s="4">
        <f>Table3[[#This Row],[Sales]]-Table3[[#This Row],[Cost]]</f>
        <v>22415.590000000004</v>
      </c>
      <c r="L2875" s="6">
        <f>Table3[[#This Row],[Profit]]/Table3[[#This Row],[Sales]]</f>
        <v>0.29778238665204831</v>
      </c>
    </row>
    <row r="2876" spans="1:12" x14ac:dyDescent="0.25">
      <c r="A2876" t="s">
        <v>466</v>
      </c>
      <c r="B2876" s="2">
        <v>45102</v>
      </c>
      <c r="C2876" s="2" t="str">
        <f>TEXT(Table3[[#This Row],[Order Date]],"mmmm")</f>
        <v>June</v>
      </c>
      <c r="D2876" t="s">
        <v>3730</v>
      </c>
      <c r="E2876" t="s">
        <v>3223</v>
      </c>
      <c r="F2876" t="s">
        <v>3226</v>
      </c>
      <c r="G2876" s="4">
        <v>11201.6</v>
      </c>
      <c r="H2876" s="4">
        <v>6271.77</v>
      </c>
      <c r="I2876" s="3" t="s">
        <v>3734</v>
      </c>
      <c r="J2876">
        <v>1</v>
      </c>
      <c r="K2876" s="4">
        <f>Table3[[#This Row],[Sales]]-Table3[[#This Row],[Cost]]</f>
        <v>4929.83</v>
      </c>
      <c r="L2876" s="6">
        <f>Table3[[#This Row],[Profit]]/Table3[[#This Row],[Sales]]</f>
        <v>0.44010052135409228</v>
      </c>
    </row>
    <row r="2877" spans="1:12" x14ac:dyDescent="0.25">
      <c r="A2877" t="s">
        <v>2561</v>
      </c>
      <c r="B2877" s="2">
        <v>44941</v>
      </c>
      <c r="C2877" s="2" t="str">
        <f>TEXT(Table3[[#This Row],[Order Date]],"mmmm")</f>
        <v>January</v>
      </c>
      <c r="D2877" t="s">
        <v>3220</v>
      </c>
      <c r="E2877" t="s">
        <v>3224</v>
      </c>
      <c r="F2877" t="s">
        <v>3226</v>
      </c>
      <c r="G2877" s="4">
        <v>70996.42</v>
      </c>
      <c r="H2877" s="4">
        <v>48272.08</v>
      </c>
      <c r="I2877" s="3" t="s">
        <v>3734</v>
      </c>
      <c r="J2877" t="s">
        <v>3732</v>
      </c>
      <c r="K2877" s="4">
        <f>Table3[[#This Row],[Sales]]-Table3[[#This Row],[Cost]]</f>
        <v>22724.339999999997</v>
      </c>
      <c r="L2877" s="6">
        <f>Table3[[#This Row],[Profit]]/Table3[[#This Row],[Sales]]</f>
        <v>0.32007726586777191</v>
      </c>
    </row>
    <row r="2878" spans="1:12" x14ac:dyDescent="0.25">
      <c r="A2878" t="s">
        <v>990</v>
      </c>
      <c r="B2878" s="2">
        <v>44941</v>
      </c>
      <c r="C2878" s="2" t="str">
        <f>TEXT(Table3[[#This Row],[Order Date]],"mmmm")</f>
        <v>January</v>
      </c>
      <c r="D2878" t="s">
        <v>3220</v>
      </c>
      <c r="E2878" t="s">
        <v>3223</v>
      </c>
      <c r="F2878" t="s">
        <v>3226</v>
      </c>
      <c r="G2878" s="4">
        <v>11982.74</v>
      </c>
      <c r="H2878" s="4">
        <v>7293.35</v>
      </c>
      <c r="I2878" s="3" t="s">
        <v>3734</v>
      </c>
      <c r="J2878">
        <v>1</v>
      </c>
      <c r="K2878" s="4">
        <f>Table3[[#This Row],[Sales]]-Table3[[#This Row],[Cost]]</f>
        <v>4689.3899999999994</v>
      </c>
      <c r="L2878" s="6">
        <f>Table3[[#This Row],[Profit]]/Table3[[#This Row],[Sales]]</f>
        <v>0.39134538511225309</v>
      </c>
    </row>
    <row r="2879" spans="1:12" x14ac:dyDescent="0.25">
      <c r="A2879" t="s">
        <v>984</v>
      </c>
      <c r="B2879" s="2" t="s">
        <v>3729</v>
      </c>
      <c r="C2879" s="2" t="str">
        <f>TEXT(Table3[[#This Row],[Order Date]],"mmmm")</f>
        <v>Not Mentioned</v>
      </c>
      <c r="D2879" t="s">
        <v>3216</v>
      </c>
      <c r="E2879" t="s">
        <v>3225</v>
      </c>
      <c r="F2879" t="s">
        <v>3226</v>
      </c>
      <c r="G2879" s="4">
        <v>18944.099999999999</v>
      </c>
      <c r="H2879" s="4">
        <v>14089.15</v>
      </c>
      <c r="I2879" s="3" t="s">
        <v>3734</v>
      </c>
      <c r="J2879">
        <v>1</v>
      </c>
      <c r="K2879" s="4">
        <f>Table3[[#This Row],[Sales]]-Table3[[#This Row],[Cost]]</f>
        <v>4854.9499999999989</v>
      </c>
      <c r="L2879" s="6">
        <f>Table3[[#This Row],[Profit]]/Table3[[#This Row],[Sales]]</f>
        <v>0.25627768012204322</v>
      </c>
    </row>
    <row r="2880" spans="1:12" x14ac:dyDescent="0.25">
      <c r="A2880" t="s">
        <v>1979</v>
      </c>
      <c r="B2880" s="2">
        <v>45021</v>
      </c>
      <c r="C2880" s="2" t="str">
        <f>TEXT(Table3[[#This Row],[Order Date]],"mmmm")</f>
        <v>April</v>
      </c>
      <c r="D2880" t="s">
        <v>3220</v>
      </c>
      <c r="E2880" t="s">
        <v>3222</v>
      </c>
      <c r="F2880" t="s">
        <v>3226</v>
      </c>
      <c r="G2880" s="4">
        <v>65912.91</v>
      </c>
      <c r="H2880" s="4">
        <v>48760.34</v>
      </c>
      <c r="I2880" s="3" t="s">
        <v>3734</v>
      </c>
      <c r="J2880">
        <v>5</v>
      </c>
      <c r="K2880" s="4">
        <f>Table3[[#This Row],[Sales]]-Table3[[#This Row],[Cost]]</f>
        <v>17152.570000000007</v>
      </c>
      <c r="L2880" s="6">
        <f>Table3[[#This Row],[Profit]]/Table3[[#This Row],[Sales]]</f>
        <v>0.26023081062571818</v>
      </c>
    </row>
    <row r="2881" spans="1:12" x14ac:dyDescent="0.25">
      <c r="A2881" t="s">
        <v>3231</v>
      </c>
      <c r="B2881" s="2">
        <v>45005</v>
      </c>
      <c r="C2881" s="2" t="str">
        <f>TEXT(Table3[[#This Row],[Order Date]],"mmmm")</f>
        <v>March</v>
      </c>
      <c r="D2881" t="s">
        <v>3220</v>
      </c>
      <c r="E2881" t="s">
        <v>3224</v>
      </c>
      <c r="F2881" t="s">
        <v>3226</v>
      </c>
      <c r="G2881" s="4">
        <v>196381.67</v>
      </c>
      <c r="H2881" s="4">
        <v>181450.2</v>
      </c>
      <c r="I2881" s="3" t="s">
        <v>3734</v>
      </c>
      <c r="J2881" t="s">
        <v>3732</v>
      </c>
      <c r="K2881" s="4">
        <f>Table3[[#This Row],[Sales]]-Table3[[#This Row],[Cost]]</f>
        <v>14931.470000000001</v>
      </c>
      <c r="L2881" s="6">
        <f>Table3[[#This Row],[Profit]]/Table3[[#This Row],[Sales]]</f>
        <v>7.6032910810871504E-2</v>
      </c>
    </row>
    <row r="2882" spans="1:12" x14ac:dyDescent="0.25">
      <c r="A2882" t="s">
        <v>3648</v>
      </c>
      <c r="B2882" s="2" t="s">
        <v>3729</v>
      </c>
      <c r="C2882" s="2" t="str">
        <f>TEXT(Table3[[#This Row],[Order Date]],"mmmm")</f>
        <v>Not Mentioned</v>
      </c>
      <c r="D2882" t="s">
        <v>3730</v>
      </c>
      <c r="E2882" t="s">
        <v>3224</v>
      </c>
      <c r="F2882" t="s">
        <v>3226</v>
      </c>
      <c r="G2882" s="4">
        <v>68231.08</v>
      </c>
      <c r="H2882" s="4">
        <v>39125.53</v>
      </c>
      <c r="I2882" s="3" t="s">
        <v>3734</v>
      </c>
      <c r="J2882">
        <v>1</v>
      </c>
      <c r="K2882" s="4">
        <f>Table3[[#This Row],[Sales]]-Table3[[#This Row],[Cost]]</f>
        <v>29105.550000000003</v>
      </c>
      <c r="L2882" s="6">
        <f>Table3[[#This Row],[Profit]]/Table3[[#This Row],[Sales]]</f>
        <v>0.42657319802060883</v>
      </c>
    </row>
    <row r="2883" spans="1:12" x14ac:dyDescent="0.25">
      <c r="A2883" t="s">
        <v>3649</v>
      </c>
      <c r="B2883" s="2" t="s">
        <v>3729</v>
      </c>
      <c r="C2883" s="2" t="str">
        <f>TEXT(Table3[[#This Row],[Order Date]],"mmmm")</f>
        <v>Not Mentioned</v>
      </c>
      <c r="D2883" t="s">
        <v>3220</v>
      </c>
      <c r="E2883" t="s">
        <v>3225</v>
      </c>
      <c r="F2883" t="s">
        <v>3226</v>
      </c>
      <c r="G2883" s="4">
        <v>20199.52</v>
      </c>
      <c r="H2883" s="4">
        <v>14296.71</v>
      </c>
      <c r="I2883" s="3" t="s">
        <v>3734</v>
      </c>
      <c r="J2883">
        <v>1</v>
      </c>
      <c r="K2883" s="4">
        <f>Table3[[#This Row],[Sales]]-Table3[[#This Row],[Cost]]</f>
        <v>5902.8100000000013</v>
      </c>
      <c r="L2883" s="6">
        <f>Table3[[#This Row],[Profit]]/Table3[[#This Row],[Sales]]</f>
        <v>0.29222526079827643</v>
      </c>
    </row>
    <row r="2884" spans="1:12" x14ac:dyDescent="0.25">
      <c r="A2884" t="s">
        <v>2564</v>
      </c>
      <c r="B2884" s="2">
        <v>44941</v>
      </c>
      <c r="C2884" s="2" t="str">
        <f>TEXT(Table3[[#This Row],[Order Date]],"mmmm")</f>
        <v>January</v>
      </c>
      <c r="D2884" t="s">
        <v>3220</v>
      </c>
      <c r="E2884" t="s">
        <v>3224</v>
      </c>
      <c r="F2884" t="s">
        <v>3226</v>
      </c>
      <c r="G2884" s="4">
        <v>56600.29</v>
      </c>
      <c r="H2884" s="4">
        <v>45601.24</v>
      </c>
      <c r="I2884" s="3" t="s">
        <v>3734</v>
      </c>
      <c r="J2884">
        <v>1</v>
      </c>
      <c r="K2884" s="4">
        <f>Table3[[#This Row],[Sales]]-Table3[[#This Row],[Cost]]</f>
        <v>10999.050000000003</v>
      </c>
      <c r="L2884" s="6">
        <f>Table3[[#This Row],[Profit]]/Table3[[#This Row],[Sales]]</f>
        <v>0.19432850962424403</v>
      </c>
    </row>
    <row r="2885" spans="1:12" x14ac:dyDescent="0.25">
      <c r="A2885" t="s">
        <v>2565</v>
      </c>
      <c r="B2885" s="2">
        <v>45005</v>
      </c>
      <c r="C2885" s="2" t="str">
        <f>TEXT(Table3[[#This Row],[Order Date]],"mmmm")</f>
        <v>March</v>
      </c>
      <c r="D2885" t="s">
        <v>3216</v>
      </c>
      <c r="E2885" t="s">
        <v>3225</v>
      </c>
      <c r="F2885" t="s">
        <v>3226</v>
      </c>
      <c r="G2885" s="4">
        <v>52417.53</v>
      </c>
      <c r="H2885" s="4">
        <v>36083.17</v>
      </c>
      <c r="I2885" s="3" t="s">
        <v>3734</v>
      </c>
      <c r="J2885">
        <v>3</v>
      </c>
      <c r="K2885" s="4">
        <f>Table3[[#This Row],[Sales]]-Table3[[#This Row],[Cost]]</f>
        <v>16334.36</v>
      </c>
      <c r="L2885" s="6">
        <f>Table3[[#This Row],[Profit]]/Table3[[#This Row],[Sales]]</f>
        <v>0.3116201774482697</v>
      </c>
    </row>
    <row r="2886" spans="1:12" x14ac:dyDescent="0.25">
      <c r="A2886" t="s">
        <v>2566</v>
      </c>
      <c r="B2886" s="2">
        <v>44972</v>
      </c>
      <c r="C2886" s="2" t="str">
        <f>TEXT(Table3[[#This Row],[Order Date]],"mmmm")</f>
        <v>February</v>
      </c>
      <c r="D2886" t="s">
        <v>3216</v>
      </c>
      <c r="E2886" t="s">
        <v>3224</v>
      </c>
      <c r="F2886" t="s">
        <v>3226</v>
      </c>
      <c r="G2886" s="4">
        <v>212251.91</v>
      </c>
      <c r="H2886" s="4">
        <v>192703.58</v>
      </c>
      <c r="I2886" s="3" t="s">
        <v>3734</v>
      </c>
      <c r="J2886" t="s">
        <v>3732</v>
      </c>
      <c r="K2886" s="4">
        <f>Table3[[#This Row],[Sales]]-Table3[[#This Row],[Cost]]</f>
        <v>19548.330000000016</v>
      </c>
      <c r="L2886" s="6">
        <f>Table3[[#This Row],[Profit]]/Table3[[#This Row],[Sales]]</f>
        <v>9.2099665911133693E-2</v>
      </c>
    </row>
    <row r="2887" spans="1:12" x14ac:dyDescent="0.25">
      <c r="A2887" t="s">
        <v>3491</v>
      </c>
      <c r="B2887" s="2">
        <v>44941</v>
      </c>
      <c r="C2887" s="2" t="str">
        <f>TEXT(Table3[[#This Row],[Order Date]],"mmmm")</f>
        <v>January</v>
      </c>
      <c r="D2887" t="s">
        <v>3731</v>
      </c>
      <c r="E2887" t="s">
        <v>3224</v>
      </c>
      <c r="F2887" t="s">
        <v>3226</v>
      </c>
      <c r="G2887" s="4">
        <v>227511</v>
      </c>
      <c r="H2887" s="4">
        <v>182008.80000000002</v>
      </c>
      <c r="I2887" s="3" t="s">
        <v>3735</v>
      </c>
      <c r="J2887">
        <v>4</v>
      </c>
      <c r="K2887" s="4">
        <f>Table3[[#This Row],[Sales]]-Table3[[#This Row],[Cost]]</f>
        <v>45502.199999999983</v>
      </c>
      <c r="L2887" s="6">
        <f>Table3[[#This Row],[Profit]]/Table3[[#This Row],[Sales]]</f>
        <v>0.19999999999999993</v>
      </c>
    </row>
    <row r="2888" spans="1:12" x14ac:dyDescent="0.25">
      <c r="A2888" t="s">
        <v>1236</v>
      </c>
      <c r="B2888" s="2">
        <v>44972</v>
      </c>
      <c r="C2888" s="2" t="str">
        <f>TEXT(Table3[[#This Row],[Order Date]],"mmmm")</f>
        <v>February</v>
      </c>
      <c r="D2888" t="s">
        <v>3216</v>
      </c>
      <c r="E2888" t="s">
        <v>3225</v>
      </c>
      <c r="F2888" t="s">
        <v>3226</v>
      </c>
      <c r="G2888" s="4">
        <v>58612.14</v>
      </c>
      <c r="H2888" s="4">
        <v>39327.230000000003</v>
      </c>
      <c r="I2888" s="3" t="s">
        <v>3734</v>
      </c>
      <c r="J2888">
        <v>3</v>
      </c>
      <c r="K2888" s="4">
        <f>Table3[[#This Row],[Sales]]-Table3[[#This Row],[Cost]]</f>
        <v>19284.909999999996</v>
      </c>
      <c r="L2888" s="6">
        <f>Table3[[#This Row],[Profit]]/Table3[[#This Row],[Sales]]</f>
        <v>0.32902586392511851</v>
      </c>
    </row>
    <row r="2889" spans="1:12" x14ac:dyDescent="0.25">
      <c r="A2889" t="s">
        <v>3502</v>
      </c>
      <c r="B2889" s="2" t="s">
        <v>3729</v>
      </c>
      <c r="C2889" s="2" t="str">
        <f>TEXT(Table3[[#This Row],[Order Date]],"mmmm")</f>
        <v>Not Mentioned</v>
      </c>
      <c r="D2889" t="s">
        <v>3216</v>
      </c>
      <c r="E2889" t="s">
        <v>3224</v>
      </c>
      <c r="F2889" t="s">
        <v>3226</v>
      </c>
      <c r="G2889" s="4">
        <v>98388.18</v>
      </c>
      <c r="H2889" s="4">
        <v>79368.08</v>
      </c>
      <c r="I2889" s="3" t="s">
        <v>3734</v>
      </c>
      <c r="J2889">
        <v>2</v>
      </c>
      <c r="K2889" s="4">
        <f>Table3[[#This Row],[Sales]]-Table3[[#This Row],[Cost]]</f>
        <v>19020.099999999991</v>
      </c>
      <c r="L2889" s="6">
        <f>Table3[[#This Row],[Profit]]/Table3[[#This Row],[Sales]]</f>
        <v>0.19331692079272117</v>
      </c>
    </row>
    <row r="2890" spans="1:12" x14ac:dyDescent="0.25">
      <c r="A2890" t="s">
        <v>2568</v>
      </c>
      <c r="B2890" s="2">
        <v>45005</v>
      </c>
      <c r="C2890" s="2" t="str">
        <f>TEXT(Table3[[#This Row],[Order Date]],"mmmm")</f>
        <v>March</v>
      </c>
      <c r="D2890" t="s">
        <v>3730</v>
      </c>
      <c r="E2890" t="s">
        <v>3225</v>
      </c>
      <c r="F2890" t="s">
        <v>3226</v>
      </c>
      <c r="G2890" s="4">
        <v>104892.14</v>
      </c>
      <c r="H2890" s="4">
        <v>69650.850000000006</v>
      </c>
      <c r="I2890" s="3" t="s">
        <v>3734</v>
      </c>
      <c r="J2890">
        <v>5</v>
      </c>
      <c r="K2890" s="4">
        <f>Table3[[#This Row],[Sales]]-Table3[[#This Row],[Cost]]</f>
        <v>35241.289999999994</v>
      </c>
      <c r="L2890" s="6">
        <f>Table3[[#This Row],[Profit]]/Table3[[#This Row],[Sales]]</f>
        <v>0.33597646115333324</v>
      </c>
    </row>
    <row r="2891" spans="1:12" x14ac:dyDescent="0.25">
      <c r="A2891" t="s">
        <v>3650</v>
      </c>
      <c r="B2891" s="2">
        <v>45005</v>
      </c>
      <c r="C2891" s="2" t="str">
        <f>TEXT(Table3[[#This Row],[Order Date]],"mmmm")</f>
        <v>March</v>
      </c>
      <c r="D2891" t="s">
        <v>3730</v>
      </c>
      <c r="E2891" t="s">
        <v>3224</v>
      </c>
      <c r="F2891" t="s">
        <v>3226</v>
      </c>
      <c r="G2891" s="4">
        <v>59841.5</v>
      </c>
      <c r="H2891" s="4">
        <v>40105.96</v>
      </c>
      <c r="I2891" s="3" t="s">
        <v>3734</v>
      </c>
      <c r="J2891">
        <v>1</v>
      </c>
      <c r="K2891" s="4">
        <f>Table3[[#This Row],[Sales]]-Table3[[#This Row],[Cost]]</f>
        <v>19735.54</v>
      </c>
      <c r="L2891" s="6">
        <f>Table3[[#This Row],[Profit]]/Table3[[#This Row],[Sales]]</f>
        <v>0.32979688009157526</v>
      </c>
    </row>
    <row r="2892" spans="1:12" x14ac:dyDescent="0.25">
      <c r="A2892" t="s">
        <v>351</v>
      </c>
      <c r="B2892" s="2">
        <v>44941</v>
      </c>
      <c r="C2892" s="2" t="str">
        <f>TEXT(Table3[[#This Row],[Order Date]],"mmmm")</f>
        <v>January</v>
      </c>
      <c r="D2892" t="s">
        <v>3730</v>
      </c>
      <c r="E2892" t="s">
        <v>3224</v>
      </c>
      <c r="F2892" t="s">
        <v>3226</v>
      </c>
      <c r="G2892" s="4">
        <v>192553.24</v>
      </c>
      <c r="H2892" s="4">
        <v>186385.66</v>
      </c>
      <c r="I2892" s="3" t="s">
        <v>3734</v>
      </c>
      <c r="J2892">
        <v>4</v>
      </c>
      <c r="K2892" s="4">
        <f>Table3[[#This Row],[Sales]]-Table3[[#This Row],[Cost]]</f>
        <v>6167.5799999999872</v>
      </c>
      <c r="L2892" s="6">
        <f>Table3[[#This Row],[Profit]]/Table3[[#This Row],[Sales]]</f>
        <v>3.2030517897283825E-2</v>
      </c>
    </row>
    <row r="2893" spans="1:12" x14ac:dyDescent="0.25">
      <c r="A2893" t="s">
        <v>2571</v>
      </c>
      <c r="B2893" s="2" t="s">
        <v>3729</v>
      </c>
      <c r="C2893" s="2" t="str">
        <f>TEXT(Table3[[#This Row],[Order Date]],"mmmm")</f>
        <v>Not Mentioned</v>
      </c>
      <c r="D2893" t="s">
        <v>3730</v>
      </c>
      <c r="E2893" t="s">
        <v>3222</v>
      </c>
      <c r="F2893" t="s">
        <v>3226</v>
      </c>
      <c r="G2893" s="4">
        <v>16171.27</v>
      </c>
      <c r="H2893" s="4">
        <v>9355.2800000000007</v>
      </c>
      <c r="I2893" s="3" t="s">
        <v>3734</v>
      </c>
      <c r="J2893">
        <v>1</v>
      </c>
      <c r="K2893" s="4">
        <f>Table3[[#This Row],[Sales]]-Table3[[#This Row],[Cost]]</f>
        <v>6815.99</v>
      </c>
      <c r="L2893" s="6">
        <f>Table3[[#This Row],[Profit]]/Table3[[#This Row],[Sales]]</f>
        <v>0.42148761352695241</v>
      </c>
    </row>
    <row r="2894" spans="1:12" x14ac:dyDescent="0.25">
      <c r="A2894" t="s">
        <v>1565</v>
      </c>
      <c r="B2894" s="2">
        <v>44941</v>
      </c>
      <c r="C2894" s="2" t="str">
        <f>TEXT(Table3[[#This Row],[Order Date]],"mmmm")</f>
        <v>January</v>
      </c>
      <c r="D2894" t="s">
        <v>3220</v>
      </c>
      <c r="E2894" t="s">
        <v>3222</v>
      </c>
      <c r="F2894" t="s">
        <v>3226</v>
      </c>
      <c r="G2894" s="4">
        <v>29677.05</v>
      </c>
      <c r="H2894" s="4">
        <v>17890.43</v>
      </c>
      <c r="I2894" s="3" t="s">
        <v>3734</v>
      </c>
      <c r="J2894">
        <v>2</v>
      </c>
      <c r="K2894" s="4">
        <f>Table3[[#This Row],[Sales]]-Table3[[#This Row],[Cost]]</f>
        <v>11786.619999999999</v>
      </c>
      <c r="L2894" s="6">
        <f>Table3[[#This Row],[Profit]]/Table3[[#This Row],[Sales]]</f>
        <v>0.39716279077603733</v>
      </c>
    </row>
    <row r="2895" spans="1:12" x14ac:dyDescent="0.25">
      <c r="A2895" t="s">
        <v>529</v>
      </c>
      <c r="B2895" s="2">
        <v>45021</v>
      </c>
      <c r="C2895" s="2" t="str">
        <f>TEXT(Table3[[#This Row],[Order Date]],"mmmm")</f>
        <v>April</v>
      </c>
      <c r="D2895" t="s">
        <v>3731</v>
      </c>
      <c r="E2895" t="s">
        <v>3225</v>
      </c>
      <c r="F2895" t="s">
        <v>3226</v>
      </c>
      <c r="G2895" s="4">
        <v>32046.94</v>
      </c>
      <c r="H2895" s="4">
        <v>25637.552</v>
      </c>
      <c r="I2895" s="3" t="s">
        <v>3735</v>
      </c>
      <c r="J2895">
        <v>2</v>
      </c>
      <c r="K2895" s="4">
        <f>Table3[[#This Row],[Sales]]-Table3[[#This Row],[Cost]]</f>
        <v>6409.387999999999</v>
      </c>
      <c r="L2895" s="6">
        <f>Table3[[#This Row],[Profit]]/Table3[[#This Row],[Sales]]</f>
        <v>0.19999999999999998</v>
      </c>
    </row>
    <row r="2896" spans="1:12" x14ac:dyDescent="0.25">
      <c r="A2896" t="s">
        <v>3417</v>
      </c>
      <c r="B2896" s="2">
        <v>44972</v>
      </c>
      <c r="C2896" s="2" t="str">
        <f>TEXT(Table3[[#This Row],[Order Date]],"mmmm")</f>
        <v>February</v>
      </c>
      <c r="D2896" t="s">
        <v>3216</v>
      </c>
      <c r="E2896" t="s">
        <v>3222</v>
      </c>
      <c r="F2896" t="s">
        <v>3226</v>
      </c>
      <c r="G2896" s="4">
        <v>56006.43</v>
      </c>
      <c r="H2896" s="4">
        <v>40594.97</v>
      </c>
      <c r="I2896" s="3" t="s">
        <v>3734</v>
      </c>
      <c r="J2896">
        <v>4</v>
      </c>
      <c r="K2896" s="4">
        <f>Table3[[#This Row],[Sales]]-Table3[[#This Row],[Cost]]</f>
        <v>15411.46</v>
      </c>
      <c r="L2896" s="6">
        <f>Table3[[#This Row],[Profit]]/Table3[[#This Row],[Sales]]</f>
        <v>0.27517304709477108</v>
      </c>
    </row>
    <row r="2897" spans="1:12" x14ac:dyDescent="0.25">
      <c r="A2897" t="s">
        <v>2573</v>
      </c>
      <c r="B2897" s="2">
        <v>44972</v>
      </c>
      <c r="C2897" s="2" t="str">
        <f>TEXT(Table3[[#This Row],[Order Date]],"mmmm")</f>
        <v>February</v>
      </c>
      <c r="D2897" t="s">
        <v>3730</v>
      </c>
      <c r="E2897" t="s">
        <v>3222</v>
      </c>
      <c r="F2897" t="s">
        <v>3226</v>
      </c>
      <c r="G2897" s="4">
        <v>24856.87</v>
      </c>
      <c r="H2897" s="4">
        <v>21460.97</v>
      </c>
      <c r="I2897" s="3" t="s">
        <v>3734</v>
      </c>
      <c r="J2897">
        <v>2</v>
      </c>
      <c r="K2897" s="4">
        <f>Table3[[#This Row],[Sales]]-Table3[[#This Row],[Cost]]</f>
        <v>3395.8999999999978</v>
      </c>
      <c r="L2897" s="6">
        <f>Table3[[#This Row],[Profit]]/Table3[[#This Row],[Sales]]</f>
        <v>0.13661816632584867</v>
      </c>
    </row>
    <row r="2898" spans="1:12" x14ac:dyDescent="0.25">
      <c r="A2898" t="s">
        <v>3404</v>
      </c>
      <c r="B2898" s="2">
        <v>45005</v>
      </c>
      <c r="C2898" s="2" t="str">
        <f>TEXT(Table3[[#This Row],[Order Date]],"mmmm")</f>
        <v>March</v>
      </c>
      <c r="D2898" t="s">
        <v>3730</v>
      </c>
      <c r="E2898" t="s">
        <v>3224</v>
      </c>
      <c r="F2898" t="s">
        <v>3226</v>
      </c>
      <c r="G2898" s="4">
        <v>266026.59999999998</v>
      </c>
      <c r="H2898" s="4">
        <v>156697.79999999999</v>
      </c>
      <c r="I2898" s="3" t="s">
        <v>3734</v>
      </c>
      <c r="J2898">
        <v>4</v>
      </c>
      <c r="K2898" s="4">
        <f>Table3[[#This Row],[Sales]]-Table3[[#This Row],[Cost]]</f>
        <v>109328.79999999999</v>
      </c>
      <c r="L2898" s="6">
        <f>Table3[[#This Row],[Profit]]/Table3[[#This Row],[Sales]]</f>
        <v>0.41096942937285219</v>
      </c>
    </row>
    <row r="2899" spans="1:12" x14ac:dyDescent="0.25">
      <c r="A2899" t="s">
        <v>3651</v>
      </c>
      <c r="B2899" s="2">
        <v>44972</v>
      </c>
      <c r="C2899" s="2" t="str">
        <f>TEXT(Table3[[#This Row],[Order Date]],"mmmm")</f>
        <v>February</v>
      </c>
      <c r="D2899" t="s">
        <v>3216</v>
      </c>
      <c r="E2899" t="s">
        <v>3222</v>
      </c>
      <c r="F2899" t="s">
        <v>3226</v>
      </c>
      <c r="G2899" s="4">
        <v>16171.9</v>
      </c>
      <c r="H2899" s="4">
        <v>9395.41</v>
      </c>
      <c r="I2899" s="3" t="s">
        <v>3734</v>
      </c>
      <c r="J2899">
        <v>1</v>
      </c>
      <c r="K2899" s="4">
        <f>Table3[[#This Row],[Sales]]-Table3[[#This Row],[Cost]]</f>
        <v>6776.49</v>
      </c>
      <c r="L2899" s="6">
        <f>Table3[[#This Row],[Profit]]/Table3[[#This Row],[Sales]]</f>
        <v>0.41902868555951989</v>
      </c>
    </row>
    <row r="2900" spans="1:12" x14ac:dyDescent="0.25">
      <c r="A2900" t="s">
        <v>2575</v>
      </c>
      <c r="B2900" s="2" t="s">
        <v>3729</v>
      </c>
      <c r="C2900" s="2" t="str">
        <f>TEXT(Table3[[#This Row],[Order Date]],"mmmm")</f>
        <v>Not Mentioned</v>
      </c>
      <c r="D2900" t="s">
        <v>3220</v>
      </c>
      <c r="E2900" t="s">
        <v>3222</v>
      </c>
      <c r="F2900" t="s">
        <v>3226</v>
      </c>
      <c r="G2900" s="4">
        <v>32296.12</v>
      </c>
      <c r="H2900" s="4">
        <v>18585.38</v>
      </c>
      <c r="I2900" s="3" t="s">
        <v>3734</v>
      </c>
      <c r="J2900">
        <v>2</v>
      </c>
      <c r="K2900" s="4">
        <f>Table3[[#This Row],[Sales]]-Table3[[#This Row],[Cost]]</f>
        <v>13710.739999999998</v>
      </c>
      <c r="L2900" s="6">
        <f>Table3[[#This Row],[Profit]]/Table3[[#This Row],[Sales]]</f>
        <v>0.42453211097803695</v>
      </c>
    </row>
    <row r="2901" spans="1:12" x14ac:dyDescent="0.25">
      <c r="A2901" t="s">
        <v>2576</v>
      </c>
      <c r="B2901" s="2">
        <v>44941</v>
      </c>
      <c r="C2901" s="2" t="str">
        <f>TEXT(Table3[[#This Row],[Order Date]],"mmmm")</f>
        <v>January</v>
      </c>
      <c r="D2901" t="s">
        <v>3731</v>
      </c>
      <c r="E2901" t="s">
        <v>3223</v>
      </c>
      <c r="F2901" t="s">
        <v>3226</v>
      </c>
      <c r="G2901" s="4">
        <v>17972.310000000001</v>
      </c>
      <c r="H2901" s="4">
        <v>12651.13</v>
      </c>
      <c r="I2901" s="3" t="s">
        <v>3734</v>
      </c>
      <c r="J2901">
        <v>2</v>
      </c>
      <c r="K2901" s="4">
        <f>Table3[[#This Row],[Sales]]-Table3[[#This Row],[Cost]]</f>
        <v>5321.1800000000021</v>
      </c>
      <c r="L2901" s="6">
        <f>Table3[[#This Row],[Profit]]/Table3[[#This Row],[Sales]]</f>
        <v>0.29607657557653977</v>
      </c>
    </row>
    <row r="2902" spans="1:12" x14ac:dyDescent="0.25">
      <c r="A2902" t="s">
        <v>2577</v>
      </c>
      <c r="B2902" s="2">
        <v>44972</v>
      </c>
      <c r="C2902" s="2" t="str">
        <f>TEXT(Table3[[#This Row],[Order Date]],"mmmm")</f>
        <v>February</v>
      </c>
      <c r="D2902" t="s">
        <v>3730</v>
      </c>
      <c r="E2902" t="s">
        <v>3225</v>
      </c>
      <c r="F2902" t="s">
        <v>3226</v>
      </c>
      <c r="G2902" s="4">
        <v>90672.25</v>
      </c>
      <c r="H2902" s="4">
        <v>67819.960000000006</v>
      </c>
      <c r="I2902" s="3" t="s">
        <v>3734</v>
      </c>
      <c r="J2902">
        <v>5</v>
      </c>
      <c r="K2902" s="4">
        <f>Table3[[#This Row],[Sales]]-Table3[[#This Row],[Cost]]</f>
        <v>22852.289999999994</v>
      </c>
      <c r="L2902" s="6">
        <f>Table3[[#This Row],[Profit]]/Table3[[#This Row],[Sales]]</f>
        <v>0.25203179583610191</v>
      </c>
    </row>
    <row r="2903" spans="1:12" x14ac:dyDescent="0.25">
      <c r="A2903" t="s">
        <v>2578</v>
      </c>
      <c r="B2903" s="2">
        <v>44941</v>
      </c>
      <c r="C2903" s="2" t="str">
        <f>TEXT(Table3[[#This Row],[Order Date]],"mmmm")</f>
        <v>January</v>
      </c>
      <c r="D2903" t="s">
        <v>3220</v>
      </c>
      <c r="E2903" t="s">
        <v>3225</v>
      </c>
      <c r="F2903" t="s">
        <v>3226</v>
      </c>
      <c r="G2903" s="4">
        <v>37857.47</v>
      </c>
      <c r="H2903" s="4">
        <v>28758.93</v>
      </c>
      <c r="I2903" s="3" t="s">
        <v>3734</v>
      </c>
      <c r="J2903">
        <v>2</v>
      </c>
      <c r="K2903" s="4">
        <f>Table3[[#This Row],[Sales]]-Table3[[#This Row],[Cost]]</f>
        <v>9098.5400000000009</v>
      </c>
      <c r="L2903" s="6">
        <f>Table3[[#This Row],[Profit]]/Table3[[#This Row],[Sales]]</f>
        <v>0.24033671558083519</v>
      </c>
    </row>
    <row r="2904" spans="1:12" x14ac:dyDescent="0.25">
      <c r="A2904" t="s">
        <v>2579</v>
      </c>
      <c r="B2904" s="2" t="s">
        <v>3729</v>
      </c>
      <c r="C2904" s="2" t="str">
        <f>TEXT(Table3[[#This Row],[Order Date]],"mmmm")</f>
        <v>Not Mentioned</v>
      </c>
      <c r="D2904" t="s">
        <v>3730</v>
      </c>
      <c r="E2904" t="s">
        <v>3222</v>
      </c>
      <c r="F2904" t="s">
        <v>3226</v>
      </c>
      <c r="G2904" s="4">
        <v>68602.789999999994</v>
      </c>
      <c r="H2904" s="4">
        <v>35764.71</v>
      </c>
      <c r="I2904" s="3" t="s">
        <v>3734</v>
      </c>
      <c r="J2904">
        <v>4</v>
      </c>
      <c r="K2904" s="4">
        <f>Table3[[#This Row],[Sales]]-Table3[[#This Row],[Cost]]</f>
        <v>32838.079999999994</v>
      </c>
      <c r="L2904" s="6">
        <f>Table3[[#This Row],[Profit]]/Table3[[#This Row],[Sales]]</f>
        <v>0.47866974506430421</v>
      </c>
    </row>
    <row r="2905" spans="1:12" x14ac:dyDescent="0.25">
      <c r="A2905" t="s">
        <v>2580</v>
      </c>
      <c r="B2905" s="2">
        <v>44972</v>
      </c>
      <c r="C2905" s="2" t="str">
        <f>TEXT(Table3[[#This Row],[Order Date]],"mmmm")</f>
        <v>February</v>
      </c>
      <c r="D2905" t="s">
        <v>3730</v>
      </c>
      <c r="E2905" t="s">
        <v>3223</v>
      </c>
      <c r="F2905" t="s">
        <v>3226</v>
      </c>
      <c r="G2905" s="4">
        <v>8313.42</v>
      </c>
      <c r="H2905" s="4">
        <v>6492.96</v>
      </c>
      <c r="I2905" s="3" t="s">
        <v>3734</v>
      </c>
      <c r="J2905">
        <v>1</v>
      </c>
      <c r="K2905" s="4">
        <f>Table3[[#This Row],[Sales]]-Table3[[#This Row],[Cost]]</f>
        <v>1820.46</v>
      </c>
      <c r="L2905" s="6">
        <f>Table3[[#This Row],[Profit]]/Table3[[#This Row],[Sales]]</f>
        <v>0.21897847095419215</v>
      </c>
    </row>
    <row r="2906" spans="1:12" x14ac:dyDescent="0.25">
      <c r="A2906" t="s">
        <v>1344</v>
      </c>
      <c r="B2906" s="2">
        <v>45005</v>
      </c>
      <c r="C2906" s="2" t="str">
        <f>TEXT(Table3[[#This Row],[Order Date]],"mmmm")</f>
        <v>March</v>
      </c>
      <c r="D2906" t="s">
        <v>3730</v>
      </c>
      <c r="E2906" t="s">
        <v>3222</v>
      </c>
      <c r="F2906" t="s">
        <v>3226</v>
      </c>
      <c r="G2906" s="4">
        <v>15860.53</v>
      </c>
      <c r="H2906" s="4">
        <v>9581.4</v>
      </c>
      <c r="I2906" s="3" t="s">
        <v>3734</v>
      </c>
      <c r="J2906">
        <v>1</v>
      </c>
      <c r="K2906" s="4">
        <f>Table3[[#This Row],[Sales]]-Table3[[#This Row],[Cost]]</f>
        <v>6279.130000000001</v>
      </c>
      <c r="L2906" s="6">
        <f>Table3[[#This Row],[Profit]]/Table3[[#This Row],[Sales]]</f>
        <v>0.39589660622942618</v>
      </c>
    </row>
    <row r="2907" spans="1:12" x14ac:dyDescent="0.25">
      <c r="A2907" t="s">
        <v>2581</v>
      </c>
      <c r="B2907" s="2">
        <v>44972</v>
      </c>
      <c r="C2907" s="2" t="str">
        <f>TEXT(Table3[[#This Row],[Order Date]],"mmmm")</f>
        <v>February</v>
      </c>
      <c r="D2907" t="s">
        <v>3730</v>
      </c>
      <c r="E2907" t="s">
        <v>3225</v>
      </c>
      <c r="F2907" t="s">
        <v>3226</v>
      </c>
      <c r="G2907" s="4">
        <v>19022.3</v>
      </c>
      <c r="H2907" s="4">
        <v>14743.72</v>
      </c>
      <c r="I2907" s="3" t="s">
        <v>3734</v>
      </c>
      <c r="J2907">
        <v>1</v>
      </c>
      <c r="K2907" s="4">
        <f>Table3[[#This Row],[Sales]]-Table3[[#This Row],[Cost]]</f>
        <v>4278.58</v>
      </c>
      <c r="L2907" s="6">
        <f>Table3[[#This Row],[Profit]]/Table3[[#This Row],[Sales]]</f>
        <v>0.22492443079964042</v>
      </c>
    </row>
    <row r="2908" spans="1:12" x14ac:dyDescent="0.25">
      <c r="A2908" t="s">
        <v>2582</v>
      </c>
      <c r="B2908" s="2">
        <v>44941</v>
      </c>
      <c r="C2908" s="2" t="str">
        <f>TEXT(Table3[[#This Row],[Order Date]],"mmmm")</f>
        <v>January</v>
      </c>
      <c r="D2908" t="s">
        <v>3730</v>
      </c>
      <c r="E2908" t="s">
        <v>3222</v>
      </c>
      <c r="F2908" t="s">
        <v>3226</v>
      </c>
      <c r="G2908" s="4">
        <v>71482.880000000005</v>
      </c>
      <c r="H2908" s="4">
        <v>38545.75</v>
      </c>
      <c r="I2908" s="3" t="s">
        <v>3734</v>
      </c>
      <c r="J2908">
        <v>4</v>
      </c>
      <c r="K2908" s="4">
        <f>Table3[[#This Row],[Sales]]-Table3[[#This Row],[Cost]]</f>
        <v>32937.130000000005</v>
      </c>
      <c r="L2908" s="6">
        <f>Table3[[#This Row],[Profit]]/Table3[[#This Row],[Sales]]</f>
        <v>0.46076948774307924</v>
      </c>
    </row>
    <row r="2909" spans="1:12" x14ac:dyDescent="0.25">
      <c r="A2909" t="s">
        <v>125</v>
      </c>
      <c r="B2909" s="2">
        <v>44941</v>
      </c>
      <c r="C2909" s="2" t="str">
        <f>TEXT(Table3[[#This Row],[Order Date]],"mmmm")</f>
        <v>January</v>
      </c>
      <c r="D2909" t="s">
        <v>3220</v>
      </c>
      <c r="E2909" t="s">
        <v>3222</v>
      </c>
      <c r="F2909" t="s">
        <v>3226</v>
      </c>
      <c r="G2909" s="4">
        <v>25379.43</v>
      </c>
      <c r="H2909" s="4">
        <v>18847.759999999998</v>
      </c>
      <c r="I2909" s="3" t="s">
        <v>3734</v>
      </c>
      <c r="J2909">
        <v>2</v>
      </c>
      <c r="K2909" s="4">
        <f>Table3[[#This Row],[Sales]]-Table3[[#This Row],[Cost]]</f>
        <v>6531.6700000000019</v>
      </c>
      <c r="L2909" s="6">
        <f>Table3[[#This Row],[Profit]]/Table3[[#This Row],[Sales]]</f>
        <v>0.2573607839104346</v>
      </c>
    </row>
    <row r="2910" spans="1:12" x14ac:dyDescent="0.25">
      <c r="A2910" t="s">
        <v>2583</v>
      </c>
      <c r="B2910" s="2">
        <v>45021</v>
      </c>
      <c r="C2910" s="2" t="str">
        <f>TEXT(Table3[[#This Row],[Order Date]],"mmmm")</f>
        <v>April</v>
      </c>
      <c r="D2910" t="s">
        <v>3731</v>
      </c>
      <c r="E2910" t="s">
        <v>3224</v>
      </c>
      <c r="F2910" t="s">
        <v>3226</v>
      </c>
      <c r="G2910" s="4">
        <v>255583.73</v>
      </c>
      <c r="H2910" s="4">
        <v>196049.79</v>
      </c>
      <c r="I2910" s="3" t="s">
        <v>3734</v>
      </c>
      <c r="J2910">
        <v>4</v>
      </c>
      <c r="K2910" s="4">
        <f>Table3[[#This Row],[Sales]]-Table3[[#This Row],[Cost]]</f>
        <v>59533.94</v>
      </c>
      <c r="L2910" s="6">
        <f>Table3[[#This Row],[Profit]]/Table3[[#This Row],[Sales]]</f>
        <v>0.23293321527156677</v>
      </c>
    </row>
    <row r="2911" spans="1:12" x14ac:dyDescent="0.25">
      <c r="A2911" t="s">
        <v>3292</v>
      </c>
      <c r="B2911" s="2">
        <v>44941</v>
      </c>
      <c r="C2911" s="2" t="str">
        <f>TEXT(Table3[[#This Row],[Order Date]],"mmmm")</f>
        <v>January</v>
      </c>
      <c r="D2911" t="s">
        <v>3216</v>
      </c>
      <c r="E2911" t="s">
        <v>3224</v>
      </c>
      <c r="F2911" t="s">
        <v>3226</v>
      </c>
      <c r="G2911" s="4">
        <v>102776.66</v>
      </c>
      <c r="H2911" s="4">
        <v>96180.33</v>
      </c>
      <c r="I2911" s="3" t="s">
        <v>3734</v>
      </c>
      <c r="J2911">
        <v>2</v>
      </c>
      <c r="K2911" s="4">
        <f>Table3[[#This Row],[Sales]]-Table3[[#This Row],[Cost]]</f>
        <v>6596.3300000000017</v>
      </c>
      <c r="L2911" s="6">
        <f>Table3[[#This Row],[Profit]]/Table3[[#This Row],[Sales]]</f>
        <v>6.4181206122090384E-2</v>
      </c>
    </row>
    <row r="2912" spans="1:12" x14ac:dyDescent="0.25">
      <c r="A2912" t="s">
        <v>2584</v>
      </c>
      <c r="B2912" s="2">
        <v>44972</v>
      </c>
      <c r="C2912" s="2" t="str">
        <f>TEXT(Table3[[#This Row],[Order Date]],"mmmm")</f>
        <v>February</v>
      </c>
      <c r="D2912" t="s">
        <v>3731</v>
      </c>
      <c r="E2912" t="s">
        <v>3225</v>
      </c>
      <c r="F2912" t="s">
        <v>3226</v>
      </c>
      <c r="G2912" s="4">
        <v>71802.14</v>
      </c>
      <c r="H2912" s="4">
        <v>39361.01</v>
      </c>
      <c r="I2912" s="3" t="s">
        <v>3734</v>
      </c>
      <c r="J2912">
        <v>3</v>
      </c>
      <c r="K2912" s="4">
        <f>Table3[[#This Row],[Sales]]-Table3[[#This Row],[Cost]]</f>
        <v>32441.129999999997</v>
      </c>
      <c r="L2912" s="6">
        <f>Table3[[#This Row],[Profit]]/Table3[[#This Row],[Sales]]</f>
        <v>0.45181285683128664</v>
      </c>
    </row>
    <row r="2913" spans="1:12" x14ac:dyDescent="0.25">
      <c r="A2913" t="s">
        <v>2585</v>
      </c>
      <c r="B2913" s="2">
        <v>44972</v>
      </c>
      <c r="C2913" s="2" t="str">
        <f>TEXT(Table3[[#This Row],[Order Date]],"mmmm")</f>
        <v>February</v>
      </c>
      <c r="D2913" t="s">
        <v>3220</v>
      </c>
      <c r="E2913" t="s">
        <v>3225</v>
      </c>
      <c r="F2913" t="s">
        <v>3226</v>
      </c>
      <c r="G2913" s="4">
        <v>49784.800000000003</v>
      </c>
      <c r="H2913" s="4">
        <v>44695.8</v>
      </c>
      <c r="I2913" s="3" t="s">
        <v>3734</v>
      </c>
      <c r="J2913">
        <v>3</v>
      </c>
      <c r="K2913" s="4">
        <f>Table3[[#This Row],[Sales]]-Table3[[#This Row],[Cost]]</f>
        <v>5089</v>
      </c>
      <c r="L2913" s="6">
        <f>Table3[[#This Row],[Profit]]/Table3[[#This Row],[Sales]]</f>
        <v>0.10221995468496407</v>
      </c>
    </row>
    <row r="2914" spans="1:12" x14ac:dyDescent="0.25">
      <c r="A2914" t="s">
        <v>2586</v>
      </c>
      <c r="B2914" s="2">
        <v>45102</v>
      </c>
      <c r="C2914" s="2" t="str">
        <f>TEXT(Table3[[#This Row],[Order Date]],"mmmm")</f>
        <v>June</v>
      </c>
      <c r="D2914" t="s">
        <v>3730</v>
      </c>
      <c r="E2914" t="s">
        <v>3225</v>
      </c>
      <c r="F2914" t="s">
        <v>3226</v>
      </c>
      <c r="G2914" s="4">
        <v>21050.43</v>
      </c>
      <c r="H2914" s="4">
        <v>14360.67</v>
      </c>
      <c r="I2914" s="3" t="s">
        <v>3734</v>
      </c>
      <c r="J2914">
        <v>1</v>
      </c>
      <c r="K2914" s="4">
        <f>Table3[[#This Row],[Sales]]-Table3[[#This Row],[Cost]]</f>
        <v>6689.76</v>
      </c>
      <c r="L2914" s="6">
        <f>Table3[[#This Row],[Profit]]/Table3[[#This Row],[Sales]]</f>
        <v>0.31779683360387412</v>
      </c>
    </row>
    <row r="2915" spans="1:12" x14ac:dyDescent="0.25">
      <c r="A2915" t="s">
        <v>2587</v>
      </c>
      <c r="B2915" s="2">
        <v>45005</v>
      </c>
      <c r="C2915" s="2" t="str">
        <f>TEXT(Table3[[#This Row],[Order Date]],"mmmm")</f>
        <v>March</v>
      </c>
      <c r="D2915" t="s">
        <v>3730</v>
      </c>
      <c r="E2915" t="s">
        <v>3224</v>
      </c>
      <c r="F2915" t="s">
        <v>3226</v>
      </c>
      <c r="G2915" s="4">
        <v>248775.63</v>
      </c>
      <c r="H2915" s="4">
        <v>223436.85</v>
      </c>
      <c r="I2915" s="3" t="s">
        <v>3734</v>
      </c>
      <c r="J2915">
        <v>5</v>
      </c>
      <c r="K2915" s="4">
        <f>Table3[[#This Row],[Sales]]-Table3[[#This Row],[Cost]]</f>
        <v>25338.78</v>
      </c>
      <c r="L2915" s="6">
        <f>Table3[[#This Row],[Profit]]/Table3[[#This Row],[Sales]]</f>
        <v>0.10185394767164291</v>
      </c>
    </row>
    <row r="2916" spans="1:12" x14ac:dyDescent="0.25">
      <c r="A2916" t="s">
        <v>112</v>
      </c>
      <c r="B2916" s="2">
        <v>44972</v>
      </c>
      <c r="C2916" s="2" t="str">
        <f>TEXT(Table3[[#This Row],[Order Date]],"mmmm")</f>
        <v>February</v>
      </c>
      <c r="D2916" t="s">
        <v>3220</v>
      </c>
      <c r="E2916" t="s">
        <v>3224</v>
      </c>
      <c r="F2916" t="s">
        <v>3226</v>
      </c>
      <c r="G2916" s="4">
        <v>66548.59</v>
      </c>
      <c r="H2916" s="4">
        <v>45145.66</v>
      </c>
      <c r="I2916" s="3" t="s">
        <v>3734</v>
      </c>
      <c r="J2916">
        <v>1</v>
      </c>
      <c r="K2916" s="4">
        <f>Table3[[#This Row],[Sales]]-Table3[[#This Row],[Cost]]</f>
        <v>21402.929999999993</v>
      </c>
      <c r="L2916" s="6">
        <f>Table3[[#This Row],[Profit]]/Table3[[#This Row],[Sales]]</f>
        <v>0.3216135758849285</v>
      </c>
    </row>
    <row r="2917" spans="1:12" x14ac:dyDescent="0.25">
      <c r="A2917" t="s">
        <v>2588</v>
      </c>
      <c r="B2917" s="2">
        <v>45021</v>
      </c>
      <c r="C2917" s="2" t="str">
        <f>TEXT(Table3[[#This Row],[Order Date]],"mmmm")</f>
        <v>April</v>
      </c>
      <c r="D2917" t="s">
        <v>3730</v>
      </c>
      <c r="E2917" t="s">
        <v>3225</v>
      </c>
      <c r="F2917" t="s">
        <v>3226</v>
      </c>
      <c r="G2917" s="4">
        <v>45599.41</v>
      </c>
      <c r="H2917" s="4">
        <v>25544.66</v>
      </c>
      <c r="I2917" s="3" t="s">
        <v>3734</v>
      </c>
      <c r="J2917">
        <v>2</v>
      </c>
      <c r="K2917" s="4">
        <f>Table3[[#This Row],[Sales]]-Table3[[#This Row],[Cost]]</f>
        <v>20054.750000000004</v>
      </c>
      <c r="L2917" s="6">
        <f>Table3[[#This Row],[Profit]]/Table3[[#This Row],[Sales]]</f>
        <v>0.43980283955428373</v>
      </c>
    </row>
    <row r="2918" spans="1:12" x14ac:dyDescent="0.25">
      <c r="A2918" t="s">
        <v>3628</v>
      </c>
      <c r="B2918" s="2" t="s">
        <v>3729</v>
      </c>
      <c r="C2918" s="2" t="str">
        <f>TEXT(Table3[[#This Row],[Order Date]],"mmmm")</f>
        <v>Not Mentioned</v>
      </c>
      <c r="D2918" t="s">
        <v>3216</v>
      </c>
      <c r="E2918" t="s">
        <v>3222</v>
      </c>
      <c r="F2918" t="s">
        <v>3226</v>
      </c>
      <c r="G2918" s="4">
        <v>49123</v>
      </c>
      <c r="H2918" s="4">
        <v>39298.400000000001</v>
      </c>
      <c r="I2918" s="3" t="s">
        <v>3735</v>
      </c>
      <c r="J2918">
        <v>4</v>
      </c>
      <c r="K2918" s="4">
        <f>Table3[[#This Row],[Sales]]-Table3[[#This Row],[Cost]]</f>
        <v>9824.5999999999985</v>
      </c>
      <c r="L2918" s="6">
        <f>Table3[[#This Row],[Profit]]/Table3[[#This Row],[Sales]]</f>
        <v>0.19999999999999998</v>
      </c>
    </row>
    <row r="2919" spans="1:12" x14ac:dyDescent="0.25">
      <c r="A2919" t="s">
        <v>253</v>
      </c>
      <c r="B2919" s="2">
        <v>44941</v>
      </c>
      <c r="C2919" s="2" t="str">
        <f>TEXT(Table3[[#This Row],[Order Date]],"mmmm")</f>
        <v>January</v>
      </c>
      <c r="D2919" t="s">
        <v>3731</v>
      </c>
      <c r="E2919" t="s">
        <v>3222</v>
      </c>
      <c r="F2919" t="s">
        <v>3226</v>
      </c>
      <c r="G2919" s="4">
        <v>27411.33</v>
      </c>
      <c r="H2919" s="4">
        <v>18318.73</v>
      </c>
      <c r="I2919" s="3" t="s">
        <v>3734</v>
      </c>
      <c r="J2919">
        <v>2</v>
      </c>
      <c r="K2919" s="4">
        <f>Table3[[#This Row],[Sales]]-Table3[[#This Row],[Cost]]</f>
        <v>9092.6000000000022</v>
      </c>
      <c r="L2919" s="6">
        <f>Table3[[#This Row],[Profit]]/Table3[[#This Row],[Sales]]</f>
        <v>0.33170955221800624</v>
      </c>
    </row>
    <row r="2920" spans="1:12" x14ac:dyDescent="0.25">
      <c r="A2920" t="s">
        <v>2589</v>
      </c>
      <c r="B2920" s="2" t="s">
        <v>3729</v>
      </c>
      <c r="C2920" s="2" t="str">
        <f>TEXT(Table3[[#This Row],[Order Date]],"mmmm")</f>
        <v>Not Mentioned</v>
      </c>
      <c r="D2920" t="s">
        <v>3731</v>
      </c>
      <c r="E2920" t="s">
        <v>3222</v>
      </c>
      <c r="F2920" t="s">
        <v>3226</v>
      </c>
      <c r="G2920" s="4">
        <v>31895.89</v>
      </c>
      <c r="H2920" s="4">
        <v>18924.43</v>
      </c>
      <c r="I2920" s="3" t="s">
        <v>3734</v>
      </c>
      <c r="J2920">
        <v>2</v>
      </c>
      <c r="K2920" s="4">
        <f>Table3[[#This Row],[Sales]]-Table3[[#This Row],[Cost]]</f>
        <v>12971.46</v>
      </c>
      <c r="L2920" s="6">
        <f>Table3[[#This Row],[Profit]]/Table3[[#This Row],[Sales]]</f>
        <v>0.40668123698695974</v>
      </c>
    </row>
    <row r="2921" spans="1:12" x14ac:dyDescent="0.25">
      <c r="A2921" t="s">
        <v>2590</v>
      </c>
      <c r="B2921" s="2">
        <v>44941</v>
      </c>
      <c r="C2921" s="2" t="str">
        <f>TEXT(Table3[[#This Row],[Order Date]],"mmmm")</f>
        <v>January</v>
      </c>
      <c r="D2921" t="s">
        <v>3731</v>
      </c>
      <c r="E2921" t="s">
        <v>3222</v>
      </c>
      <c r="F2921" t="s">
        <v>3226</v>
      </c>
      <c r="G2921" s="4">
        <v>24924.04</v>
      </c>
      <c r="H2921" s="4">
        <v>20768.48</v>
      </c>
      <c r="I2921" s="3" t="s">
        <v>3734</v>
      </c>
      <c r="J2921">
        <v>2</v>
      </c>
      <c r="K2921" s="4">
        <f>Table3[[#This Row],[Sales]]-Table3[[#This Row],[Cost]]</f>
        <v>4155.5600000000013</v>
      </c>
      <c r="L2921" s="6">
        <f>Table3[[#This Row],[Profit]]/Table3[[#This Row],[Sales]]</f>
        <v>0.16672898936127534</v>
      </c>
    </row>
    <row r="2922" spans="1:12" x14ac:dyDescent="0.25">
      <c r="A2922" t="s">
        <v>2591</v>
      </c>
      <c r="B2922" s="2">
        <v>44941</v>
      </c>
      <c r="C2922" s="2" t="str">
        <f>TEXT(Table3[[#This Row],[Order Date]],"mmmm")</f>
        <v>January</v>
      </c>
      <c r="D2922" t="s">
        <v>3730</v>
      </c>
      <c r="E2922" t="s">
        <v>3222</v>
      </c>
      <c r="F2922" t="s">
        <v>3226</v>
      </c>
      <c r="G2922" s="4">
        <v>14713.78</v>
      </c>
      <c r="H2922" s="4">
        <v>11771.024000000001</v>
      </c>
      <c r="I2922" s="3" t="s">
        <v>3735</v>
      </c>
      <c r="J2922">
        <v>1</v>
      </c>
      <c r="K2922" s="4">
        <f>Table3[[#This Row],[Sales]]-Table3[[#This Row],[Cost]]</f>
        <v>2942.7559999999994</v>
      </c>
      <c r="L2922" s="6">
        <f>Table3[[#This Row],[Profit]]/Table3[[#This Row],[Sales]]</f>
        <v>0.19999999999999996</v>
      </c>
    </row>
    <row r="2923" spans="1:12" x14ac:dyDescent="0.25">
      <c r="A2923" t="s">
        <v>2592</v>
      </c>
      <c r="B2923" s="2">
        <v>44941</v>
      </c>
      <c r="C2923" s="2" t="str">
        <f>TEXT(Table3[[#This Row],[Order Date]],"mmmm")</f>
        <v>January</v>
      </c>
      <c r="D2923" t="s">
        <v>3220</v>
      </c>
      <c r="E2923" t="s">
        <v>3225</v>
      </c>
      <c r="F2923" t="s">
        <v>3226</v>
      </c>
      <c r="G2923" s="4">
        <v>60235.39</v>
      </c>
      <c r="H2923" s="4">
        <v>42633.87</v>
      </c>
      <c r="I2923" s="3" t="s">
        <v>3734</v>
      </c>
      <c r="J2923">
        <v>3</v>
      </c>
      <c r="K2923" s="4">
        <f>Table3[[#This Row],[Sales]]-Table3[[#This Row],[Cost]]</f>
        <v>17601.519999999997</v>
      </c>
      <c r="L2923" s="6">
        <f>Table3[[#This Row],[Profit]]/Table3[[#This Row],[Sales]]</f>
        <v>0.29221226923242294</v>
      </c>
    </row>
    <row r="2924" spans="1:12" x14ac:dyDescent="0.25">
      <c r="A2924" t="s">
        <v>3486</v>
      </c>
      <c r="B2924" s="2">
        <v>44972</v>
      </c>
      <c r="C2924" s="2" t="str">
        <f>TEXT(Table3[[#This Row],[Order Date]],"mmmm")</f>
        <v>February</v>
      </c>
      <c r="D2924" t="s">
        <v>3730</v>
      </c>
      <c r="E2924" t="s">
        <v>3224</v>
      </c>
      <c r="F2924" t="s">
        <v>3226</v>
      </c>
      <c r="G2924" s="4">
        <v>319156.87</v>
      </c>
      <c r="H2924" s="4">
        <v>233988.55</v>
      </c>
      <c r="I2924" s="3" t="s">
        <v>3734</v>
      </c>
      <c r="J2924">
        <v>5</v>
      </c>
      <c r="K2924" s="4">
        <f>Table3[[#This Row],[Sales]]-Table3[[#This Row],[Cost]]</f>
        <v>85168.320000000007</v>
      </c>
      <c r="L2924" s="6">
        <f>Table3[[#This Row],[Profit]]/Table3[[#This Row],[Sales]]</f>
        <v>0.26685410218492245</v>
      </c>
    </row>
    <row r="2925" spans="1:12" x14ac:dyDescent="0.25">
      <c r="A2925" t="s">
        <v>2594</v>
      </c>
      <c r="B2925" s="2">
        <v>45021</v>
      </c>
      <c r="C2925" s="2" t="str">
        <f>TEXT(Table3[[#This Row],[Order Date]],"mmmm")</f>
        <v>April</v>
      </c>
      <c r="D2925" t="s">
        <v>3220</v>
      </c>
      <c r="E2925" t="s">
        <v>3223</v>
      </c>
      <c r="F2925" t="s">
        <v>3226</v>
      </c>
      <c r="G2925" s="4">
        <v>19895.759999999998</v>
      </c>
      <c r="H2925" s="4">
        <v>15215.68</v>
      </c>
      <c r="I2925" s="3" t="s">
        <v>3734</v>
      </c>
      <c r="J2925">
        <v>2</v>
      </c>
      <c r="K2925" s="4">
        <f>Table3[[#This Row],[Sales]]-Table3[[#This Row],[Cost]]</f>
        <v>4680.0799999999981</v>
      </c>
      <c r="L2925" s="6">
        <f>Table3[[#This Row],[Profit]]/Table3[[#This Row],[Sales]]</f>
        <v>0.23523001885828934</v>
      </c>
    </row>
    <row r="2926" spans="1:12" x14ac:dyDescent="0.25">
      <c r="A2926" t="s">
        <v>1657</v>
      </c>
      <c r="B2926" s="2">
        <v>45102</v>
      </c>
      <c r="C2926" s="2" t="str">
        <f>TEXT(Table3[[#This Row],[Order Date]],"mmmm")</f>
        <v>June</v>
      </c>
      <c r="D2926" t="s">
        <v>3730</v>
      </c>
      <c r="E2926" t="s">
        <v>3223</v>
      </c>
      <c r="F2926" t="s">
        <v>3226</v>
      </c>
      <c r="G2926" s="4">
        <v>24036.43</v>
      </c>
      <c r="H2926" s="4">
        <v>21234.32</v>
      </c>
      <c r="I2926" s="3" t="s">
        <v>3734</v>
      </c>
      <c r="J2926">
        <v>3</v>
      </c>
      <c r="K2926" s="4">
        <f>Table3[[#This Row],[Sales]]-Table3[[#This Row],[Cost]]</f>
        <v>2802.1100000000006</v>
      </c>
      <c r="L2926" s="6">
        <f>Table3[[#This Row],[Profit]]/Table3[[#This Row],[Sales]]</f>
        <v>0.11657762820851518</v>
      </c>
    </row>
    <row r="2927" spans="1:12" x14ac:dyDescent="0.25">
      <c r="A2927" t="s">
        <v>2596</v>
      </c>
      <c r="B2927" s="2">
        <v>45021</v>
      </c>
      <c r="C2927" s="2" t="str">
        <f>TEXT(Table3[[#This Row],[Order Date]],"mmmm")</f>
        <v>April</v>
      </c>
      <c r="D2927" t="s">
        <v>3730</v>
      </c>
      <c r="E2927" t="s">
        <v>3222</v>
      </c>
      <c r="F2927" t="s">
        <v>3226</v>
      </c>
      <c r="G2927" s="4">
        <v>85168.34</v>
      </c>
      <c r="H2927" s="4">
        <v>49684.12</v>
      </c>
      <c r="I2927" s="3" t="s">
        <v>3734</v>
      </c>
      <c r="J2927">
        <v>5</v>
      </c>
      <c r="K2927" s="4">
        <f>Table3[[#This Row],[Sales]]-Table3[[#This Row],[Cost]]</f>
        <v>35484.219999999994</v>
      </c>
      <c r="L2927" s="6">
        <f>Table3[[#This Row],[Profit]]/Table3[[#This Row],[Sales]]</f>
        <v>0.41663627587434482</v>
      </c>
    </row>
    <row r="2928" spans="1:12" x14ac:dyDescent="0.25">
      <c r="A2928" t="s">
        <v>2597</v>
      </c>
      <c r="B2928" s="2">
        <v>44972</v>
      </c>
      <c r="C2928" s="2" t="str">
        <f>TEXT(Table3[[#This Row],[Order Date]],"mmmm")</f>
        <v>February</v>
      </c>
      <c r="D2928" t="s">
        <v>3220</v>
      </c>
      <c r="E2928" t="s">
        <v>3225</v>
      </c>
      <c r="F2928" t="s">
        <v>3226</v>
      </c>
      <c r="G2928" s="4">
        <v>39968</v>
      </c>
      <c r="H2928" s="4">
        <v>28109.55</v>
      </c>
      <c r="I2928" s="3" t="s">
        <v>3734</v>
      </c>
      <c r="J2928">
        <v>2</v>
      </c>
      <c r="K2928" s="4">
        <f>Table3[[#This Row],[Sales]]-Table3[[#This Row],[Cost]]</f>
        <v>11858.45</v>
      </c>
      <c r="L2928" s="6">
        <f>Table3[[#This Row],[Profit]]/Table3[[#This Row],[Sales]]</f>
        <v>0.29669860888710969</v>
      </c>
    </row>
    <row r="2929" spans="1:12" x14ac:dyDescent="0.25">
      <c r="A2929" t="s">
        <v>3478</v>
      </c>
      <c r="B2929" s="2">
        <v>44941</v>
      </c>
      <c r="C2929" s="2" t="str">
        <f>TEXT(Table3[[#This Row],[Order Date]],"mmmm")</f>
        <v>January</v>
      </c>
      <c r="D2929" t="s">
        <v>3220</v>
      </c>
      <c r="E2929" t="s">
        <v>3224</v>
      </c>
      <c r="F2929" t="s">
        <v>3226</v>
      </c>
      <c r="G2929" s="4">
        <v>101966.8</v>
      </c>
      <c r="H2929" s="4">
        <v>81573.440000000002</v>
      </c>
      <c r="I2929" s="3" t="s">
        <v>3735</v>
      </c>
      <c r="J2929">
        <v>2</v>
      </c>
      <c r="K2929" s="4">
        <f>Table3[[#This Row],[Sales]]-Table3[[#This Row],[Cost]]</f>
        <v>20393.36</v>
      </c>
      <c r="L2929" s="6">
        <f>Table3[[#This Row],[Profit]]/Table3[[#This Row],[Sales]]</f>
        <v>0.2</v>
      </c>
    </row>
    <row r="2930" spans="1:12" x14ac:dyDescent="0.25">
      <c r="A2930" t="s">
        <v>2598</v>
      </c>
      <c r="B2930" s="2">
        <v>44941</v>
      </c>
      <c r="C2930" s="2" t="str">
        <f>TEXT(Table3[[#This Row],[Order Date]],"mmmm")</f>
        <v>January</v>
      </c>
      <c r="D2930" t="s">
        <v>3220</v>
      </c>
      <c r="E2930" t="s">
        <v>3223</v>
      </c>
      <c r="F2930" t="s">
        <v>3226</v>
      </c>
      <c r="G2930" s="4">
        <v>36843.43</v>
      </c>
      <c r="H2930" s="4">
        <v>29077.88</v>
      </c>
      <c r="I2930" s="3" t="s">
        <v>3734</v>
      </c>
      <c r="J2930">
        <v>4</v>
      </c>
      <c r="K2930" s="4">
        <f>Table3[[#This Row],[Sales]]-Table3[[#This Row],[Cost]]</f>
        <v>7765.5499999999993</v>
      </c>
      <c r="L2930" s="6">
        <f>Table3[[#This Row],[Profit]]/Table3[[#This Row],[Sales]]</f>
        <v>0.21077163553990491</v>
      </c>
    </row>
    <row r="2931" spans="1:12" x14ac:dyDescent="0.25">
      <c r="A2931" t="s">
        <v>2599</v>
      </c>
      <c r="B2931" s="2">
        <v>45102</v>
      </c>
      <c r="C2931" s="2" t="str">
        <f>TEXT(Table3[[#This Row],[Order Date]],"mmmm")</f>
        <v>June</v>
      </c>
      <c r="D2931" t="s">
        <v>3220</v>
      </c>
      <c r="E2931" t="s">
        <v>3223</v>
      </c>
      <c r="F2931" t="s">
        <v>3226</v>
      </c>
      <c r="G2931" s="4">
        <v>23368.15</v>
      </c>
      <c r="H2931" s="4">
        <v>13204.46</v>
      </c>
      <c r="I2931" s="3" t="s">
        <v>3734</v>
      </c>
      <c r="J2931">
        <v>2</v>
      </c>
      <c r="K2931" s="4">
        <f>Table3[[#This Row],[Sales]]-Table3[[#This Row],[Cost]]</f>
        <v>10163.690000000002</v>
      </c>
      <c r="L2931" s="6">
        <f>Table3[[#This Row],[Profit]]/Table3[[#This Row],[Sales]]</f>
        <v>0.43493772506595524</v>
      </c>
    </row>
    <row r="2932" spans="1:12" x14ac:dyDescent="0.25">
      <c r="A2932" t="s">
        <v>2239</v>
      </c>
      <c r="B2932" s="2">
        <v>44941</v>
      </c>
      <c r="C2932" s="2" t="str">
        <f>TEXT(Table3[[#This Row],[Order Date]],"mmmm")</f>
        <v>January</v>
      </c>
      <c r="D2932" t="s">
        <v>3730</v>
      </c>
      <c r="E2932" t="s">
        <v>3225</v>
      </c>
      <c r="F2932" t="s">
        <v>3226</v>
      </c>
      <c r="G2932" s="4">
        <v>57944.63</v>
      </c>
      <c r="H2932" s="4">
        <v>37959.15</v>
      </c>
      <c r="I2932" s="3" t="s">
        <v>3734</v>
      </c>
      <c r="J2932">
        <v>3</v>
      </c>
      <c r="K2932" s="4">
        <f>Table3[[#This Row],[Sales]]-Table3[[#This Row],[Cost]]</f>
        <v>19985.479999999996</v>
      </c>
      <c r="L2932" s="6">
        <f>Table3[[#This Row],[Profit]]/Table3[[#This Row],[Sales]]</f>
        <v>0.34490650816132568</v>
      </c>
    </row>
    <row r="2933" spans="1:12" x14ac:dyDescent="0.25">
      <c r="A2933" t="s">
        <v>3567</v>
      </c>
      <c r="B2933" s="2">
        <v>45021</v>
      </c>
      <c r="C2933" s="2" t="str">
        <f>TEXT(Table3[[#This Row],[Order Date]],"mmmm")</f>
        <v>April</v>
      </c>
      <c r="D2933" t="s">
        <v>3216</v>
      </c>
      <c r="E2933" t="s">
        <v>3225</v>
      </c>
      <c r="F2933" t="s">
        <v>3226</v>
      </c>
      <c r="G2933" s="4">
        <v>86985.61</v>
      </c>
      <c r="H2933" s="4">
        <v>59199.07</v>
      </c>
      <c r="I2933" s="3" t="s">
        <v>3734</v>
      </c>
      <c r="J2933">
        <v>4</v>
      </c>
      <c r="K2933" s="4">
        <f>Table3[[#This Row],[Sales]]-Table3[[#This Row],[Cost]]</f>
        <v>27786.54</v>
      </c>
      <c r="L2933" s="6">
        <f>Table3[[#This Row],[Profit]]/Table3[[#This Row],[Sales]]</f>
        <v>0.31943835307931967</v>
      </c>
    </row>
    <row r="2934" spans="1:12" x14ac:dyDescent="0.25">
      <c r="A2934" t="s">
        <v>2600</v>
      </c>
      <c r="B2934" s="2">
        <v>45102</v>
      </c>
      <c r="C2934" s="2" t="str">
        <f>TEXT(Table3[[#This Row],[Order Date]],"mmmm")</f>
        <v>June</v>
      </c>
      <c r="D2934" t="s">
        <v>3220</v>
      </c>
      <c r="E2934" t="s">
        <v>3225</v>
      </c>
      <c r="F2934" t="s">
        <v>3226</v>
      </c>
      <c r="G2934" s="4">
        <v>91558.49</v>
      </c>
      <c r="H2934" s="4">
        <v>66665.31</v>
      </c>
      <c r="I2934" s="3" t="s">
        <v>3734</v>
      </c>
      <c r="J2934">
        <v>5</v>
      </c>
      <c r="K2934" s="4">
        <f>Table3[[#This Row],[Sales]]-Table3[[#This Row],[Cost]]</f>
        <v>24893.180000000008</v>
      </c>
      <c r="L2934" s="6">
        <f>Table3[[#This Row],[Profit]]/Table3[[#This Row],[Sales]]</f>
        <v>0.27188281501802841</v>
      </c>
    </row>
    <row r="2935" spans="1:12" x14ac:dyDescent="0.25">
      <c r="A2935" t="s">
        <v>2601</v>
      </c>
      <c r="B2935" s="2" t="s">
        <v>3729</v>
      </c>
      <c r="C2935" s="2" t="str">
        <f>TEXT(Table3[[#This Row],[Order Date]],"mmmm")</f>
        <v>Not Mentioned</v>
      </c>
      <c r="D2935" t="s">
        <v>3220</v>
      </c>
      <c r="E2935" t="s">
        <v>3225</v>
      </c>
      <c r="F2935" t="s">
        <v>3226</v>
      </c>
      <c r="G2935" s="4">
        <v>64343.99</v>
      </c>
      <c r="H2935" s="4">
        <v>40499.58</v>
      </c>
      <c r="I2935" s="3" t="s">
        <v>3734</v>
      </c>
      <c r="J2935">
        <v>3</v>
      </c>
      <c r="K2935" s="4">
        <f>Table3[[#This Row],[Sales]]-Table3[[#This Row],[Cost]]</f>
        <v>23844.409999999996</v>
      </c>
      <c r="L2935" s="6">
        <f>Table3[[#This Row],[Profit]]/Table3[[#This Row],[Sales]]</f>
        <v>0.37057711217473455</v>
      </c>
    </row>
    <row r="2936" spans="1:12" x14ac:dyDescent="0.25">
      <c r="A2936" t="s">
        <v>923</v>
      </c>
      <c r="B2936" s="2">
        <v>44972</v>
      </c>
      <c r="C2936" s="2" t="str">
        <f>TEXT(Table3[[#This Row],[Order Date]],"mmmm")</f>
        <v>February</v>
      </c>
      <c r="D2936" t="s">
        <v>3731</v>
      </c>
      <c r="E2936" t="s">
        <v>3222</v>
      </c>
      <c r="F2936" t="s">
        <v>3226</v>
      </c>
      <c r="G2936" s="4">
        <v>54312.61</v>
      </c>
      <c r="H2936" s="4">
        <v>37670.800000000003</v>
      </c>
      <c r="I2936" s="3" t="s">
        <v>3734</v>
      </c>
      <c r="J2936">
        <v>4</v>
      </c>
      <c r="K2936" s="4">
        <f>Table3[[#This Row],[Sales]]-Table3[[#This Row],[Cost]]</f>
        <v>16641.809999999998</v>
      </c>
      <c r="L2936" s="6">
        <f>Table3[[#This Row],[Profit]]/Table3[[#This Row],[Sales]]</f>
        <v>0.3064078489323197</v>
      </c>
    </row>
    <row r="2937" spans="1:12" x14ac:dyDescent="0.25">
      <c r="A2937" t="s">
        <v>2602</v>
      </c>
      <c r="B2937" s="2" t="s">
        <v>3729</v>
      </c>
      <c r="C2937" s="2" t="str">
        <f>TEXT(Table3[[#This Row],[Order Date]],"mmmm")</f>
        <v>Not Mentioned</v>
      </c>
      <c r="D2937" t="s">
        <v>3216</v>
      </c>
      <c r="E2937" t="s">
        <v>3225</v>
      </c>
      <c r="F2937" t="s">
        <v>3226</v>
      </c>
      <c r="G2937" s="4">
        <v>21627.66</v>
      </c>
      <c r="H2937" s="4">
        <v>13251.17</v>
      </c>
      <c r="I2937" s="3" t="s">
        <v>3734</v>
      </c>
      <c r="J2937">
        <v>1</v>
      </c>
      <c r="K2937" s="4">
        <f>Table3[[#This Row],[Sales]]-Table3[[#This Row],[Cost]]</f>
        <v>8376.49</v>
      </c>
      <c r="L2937" s="6">
        <f>Table3[[#This Row],[Profit]]/Table3[[#This Row],[Sales]]</f>
        <v>0.3873044980363109</v>
      </c>
    </row>
    <row r="2938" spans="1:12" x14ac:dyDescent="0.25">
      <c r="A2938" t="s">
        <v>3501</v>
      </c>
      <c r="B2938" s="2">
        <v>45005</v>
      </c>
      <c r="C2938" s="2" t="str">
        <f>TEXT(Table3[[#This Row],[Order Date]],"mmmm")</f>
        <v>March</v>
      </c>
      <c r="D2938" t="s">
        <v>3220</v>
      </c>
      <c r="E2938" t="s">
        <v>3224</v>
      </c>
      <c r="F2938" t="s">
        <v>3226</v>
      </c>
      <c r="G2938" s="4">
        <v>188412.23</v>
      </c>
      <c r="H2938" s="4">
        <v>123386.97</v>
      </c>
      <c r="I2938" s="3" t="s">
        <v>3734</v>
      </c>
      <c r="J2938">
        <v>3</v>
      </c>
      <c r="K2938" s="4">
        <f>Table3[[#This Row],[Sales]]-Table3[[#This Row],[Cost]]</f>
        <v>65025.260000000009</v>
      </c>
      <c r="L2938" s="6">
        <f>Table3[[#This Row],[Profit]]/Table3[[#This Row],[Sales]]</f>
        <v>0.34512228850536936</v>
      </c>
    </row>
    <row r="2939" spans="1:12" x14ac:dyDescent="0.25">
      <c r="A2939" t="s">
        <v>3580</v>
      </c>
      <c r="B2939" s="2" t="s">
        <v>3729</v>
      </c>
      <c r="C2939" s="2" t="str">
        <f>TEXT(Table3[[#This Row],[Order Date]],"mmmm")</f>
        <v>Not Mentioned</v>
      </c>
      <c r="D2939" t="s">
        <v>3730</v>
      </c>
      <c r="E2939" t="s">
        <v>3222</v>
      </c>
      <c r="F2939" t="s">
        <v>3226</v>
      </c>
      <c r="G2939" s="4">
        <v>34569.85</v>
      </c>
      <c r="H2939" s="4">
        <v>21364.880000000001</v>
      </c>
      <c r="I2939" s="3" t="s">
        <v>3734</v>
      </c>
      <c r="J2939">
        <v>2</v>
      </c>
      <c r="K2939" s="4">
        <f>Table3[[#This Row],[Sales]]-Table3[[#This Row],[Cost]]</f>
        <v>13204.969999999998</v>
      </c>
      <c r="L2939" s="6">
        <f>Table3[[#This Row],[Profit]]/Table3[[#This Row],[Sales]]</f>
        <v>0.38197938376938279</v>
      </c>
    </row>
    <row r="2940" spans="1:12" x14ac:dyDescent="0.25">
      <c r="A2940" t="s">
        <v>2603</v>
      </c>
      <c r="B2940" s="2">
        <v>45005</v>
      </c>
      <c r="C2940" s="2" t="str">
        <f>TEXT(Table3[[#This Row],[Order Date]],"mmmm")</f>
        <v>March</v>
      </c>
      <c r="D2940" t="s">
        <v>3731</v>
      </c>
      <c r="E2940" t="s">
        <v>3224</v>
      </c>
      <c r="F2940" t="s">
        <v>3226</v>
      </c>
      <c r="G2940" s="4">
        <v>67127.55</v>
      </c>
      <c r="H2940" s="4">
        <v>42082.44</v>
      </c>
      <c r="I2940" s="3" t="s">
        <v>3734</v>
      </c>
      <c r="J2940">
        <v>1</v>
      </c>
      <c r="K2940" s="4">
        <f>Table3[[#This Row],[Sales]]-Table3[[#This Row],[Cost]]</f>
        <v>25045.11</v>
      </c>
      <c r="L2940" s="6">
        <f>Table3[[#This Row],[Profit]]/Table3[[#This Row],[Sales]]</f>
        <v>0.37309733484984925</v>
      </c>
    </row>
    <row r="2941" spans="1:12" x14ac:dyDescent="0.25">
      <c r="A2941" t="s">
        <v>2604</v>
      </c>
      <c r="B2941" s="2">
        <v>45102</v>
      </c>
      <c r="C2941" s="2" t="str">
        <f>TEXT(Table3[[#This Row],[Order Date]],"mmmm")</f>
        <v>June</v>
      </c>
      <c r="D2941" t="s">
        <v>3731</v>
      </c>
      <c r="E2941" t="s">
        <v>3223</v>
      </c>
      <c r="F2941" t="s">
        <v>3226</v>
      </c>
      <c r="G2941" s="4">
        <v>9984.19</v>
      </c>
      <c r="H2941" s="4">
        <v>6535.7</v>
      </c>
      <c r="I2941" s="3" t="s">
        <v>3734</v>
      </c>
      <c r="J2941">
        <v>1</v>
      </c>
      <c r="K2941" s="4">
        <f>Table3[[#This Row],[Sales]]-Table3[[#This Row],[Cost]]</f>
        <v>3448.4900000000007</v>
      </c>
      <c r="L2941" s="6">
        <f>Table3[[#This Row],[Profit]]/Table3[[#This Row],[Sales]]</f>
        <v>0.34539506960504562</v>
      </c>
    </row>
    <row r="2942" spans="1:12" x14ac:dyDescent="0.25">
      <c r="A2942" t="s">
        <v>2207</v>
      </c>
      <c r="B2942" s="2">
        <v>45005</v>
      </c>
      <c r="C2942" s="2" t="str">
        <f>TEXT(Table3[[#This Row],[Order Date]],"mmmm")</f>
        <v>March</v>
      </c>
      <c r="D2942" t="s">
        <v>3730</v>
      </c>
      <c r="E2942" t="s">
        <v>3225</v>
      </c>
      <c r="F2942" t="s">
        <v>3226</v>
      </c>
      <c r="G2942" s="4">
        <v>53907.15</v>
      </c>
      <c r="H2942" s="4">
        <v>38101.49</v>
      </c>
      <c r="I2942" s="3" t="s">
        <v>3734</v>
      </c>
      <c r="J2942">
        <v>3</v>
      </c>
      <c r="K2942" s="4">
        <f>Table3[[#This Row],[Sales]]-Table3[[#This Row],[Cost]]</f>
        <v>15805.660000000003</v>
      </c>
      <c r="L2942" s="6">
        <f>Table3[[#This Row],[Profit]]/Table3[[#This Row],[Sales]]</f>
        <v>0.29320155118569619</v>
      </c>
    </row>
    <row r="2943" spans="1:12" x14ac:dyDescent="0.25">
      <c r="A2943" t="s">
        <v>2605</v>
      </c>
      <c r="B2943" s="2">
        <v>44972</v>
      </c>
      <c r="C2943" s="2" t="str">
        <f>TEXT(Table3[[#This Row],[Order Date]],"mmmm")</f>
        <v>February</v>
      </c>
      <c r="D2943" t="s">
        <v>3730</v>
      </c>
      <c r="E2943" t="s">
        <v>3224</v>
      </c>
      <c r="F2943" t="s">
        <v>3226</v>
      </c>
      <c r="G2943" s="4">
        <v>177062.23</v>
      </c>
      <c r="H2943" s="4">
        <v>139718.54</v>
      </c>
      <c r="I2943" s="3" t="s">
        <v>3734</v>
      </c>
      <c r="J2943">
        <v>3</v>
      </c>
      <c r="K2943" s="4">
        <f>Table3[[#This Row],[Sales]]-Table3[[#This Row],[Cost]]</f>
        <v>37343.69</v>
      </c>
      <c r="L2943" s="6">
        <f>Table3[[#This Row],[Profit]]/Table3[[#This Row],[Sales]]</f>
        <v>0.21090714829469842</v>
      </c>
    </row>
    <row r="2944" spans="1:12" x14ac:dyDescent="0.25">
      <c r="A2944" t="s">
        <v>2606</v>
      </c>
      <c r="B2944" s="2" t="s">
        <v>3729</v>
      </c>
      <c r="C2944" s="2" t="str">
        <f>TEXT(Table3[[#This Row],[Order Date]],"mmmm")</f>
        <v>Not Mentioned</v>
      </c>
      <c r="D2944" t="s">
        <v>3220</v>
      </c>
      <c r="E2944" t="s">
        <v>3224</v>
      </c>
      <c r="F2944" t="s">
        <v>3226</v>
      </c>
      <c r="G2944" s="4">
        <v>54596.81</v>
      </c>
      <c r="H2944" s="4">
        <v>48592.78</v>
      </c>
      <c r="I2944" s="3" t="s">
        <v>3734</v>
      </c>
      <c r="J2944">
        <v>1</v>
      </c>
      <c r="K2944" s="4">
        <f>Table3[[#This Row],[Sales]]-Table3[[#This Row],[Cost]]</f>
        <v>6004.0299999999988</v>
      </c>
      <c r="L2944" s="6">
        <f>Table3[[#This Row],[Profit]]/Table3[[#This Row],[Sales]]</f>
        <v>0.10997034442122167</v>
      </c>
    </row>
    <row r="2945" spans="1:12" x14ac:dyDescent="0.25">
      <c r="A2945" t="s">
        <v>2607</v>
      </c>
      <c r="B2945" s="2" t="s">
        <v>3729</v>
      </c>
      <c r="C2945" s="2" t="str">
        <f>TEXT(Table3[[#This Row],[Order Date]],"mmmm")</f>
        <v>Not Mentioned</v>
      </c>
      <c r="D2945" t="s">
        <v>3220</v>
      </c>
      <c r="E2945" t="s">
        <v>3225</v>
      </c>
      <c r="F2945" t="s">
        <v>3226</v>
      </c>
      <c r="G2945" s="4">
        <v>69869.64</v>
      </c>
      <c r="H2945" s="4">
        <v>44993.66</v>
      </c>
      <c r="I2945" s="3" t="s">
        <v>3734</v>
      </c>
      <c r="J2945">
        <v>3</v>
      </c>
      <c r="K2945" s="4">
        <f>Table3[[#This Row],[Sales]]-Table3[[#This Row],[Cost]]</f>
        <v>24875.979999999996</v>
      </c>
      <c r="L2945" s="6">
        <f>Table3[[#This Row],[Profit]]/Table3[[#This Row],[Sales]]</f>
        <v>0.35603418022477284</v>
      </c>
    </row>
    <row r="2946" spans="1:12" x14ac:dyDescent="0.25">
      <c r="A2946" t="s">
        <v>2608</v>
      </c>
      <c r="B2946" s="2">
        <v>45005</v>
      </c>
      <c r="C2946" s="2" t="str">
        <f>TEXT(Table3[[#This Row],[Order Date]],"mmmm")</f>
        <v>March</v>
      </c>
      <c r="D2946" t="s">
        <v>3731</v>
      </c>
      <c r="E2946" t="s">
        <v>3223</v>
      </c>
      <c r="F2946" t="s">
        <v>3226</v>
      </c>
      <c r="G2946" s="4">
        <v>40446.01</v>
      </c>
      <c r="H2946" s="4">
        <v>32874.53</v>
      </c>
      <c r="I2946" s="3" t="s">
        <v>3734</v>
      </c>
      <c r="J2946">
        <v>5</v>
      </c>
      <c r="K2946" s="4">
        <f>Table3[[#This Row],[Sales]]-Table3[[#This Row],[Cost]]</f>
        <v>7571.4800000000032</v>
      </c>
      <c r="L2946" s="6">
        <f>Table3[[#This Row],[Profit]]/Table3[[#This Row],[Sales]]</f>
        <v>0.18719967680371941</v>
      </c>
    </row>
    <row r="2947" spans="1:12" x14ac:dyDescent="0.25">
      <c r="A2947" t="s">
        <v>3306</v>
      </c>
      <c r="B2947" s="2">
        <v>45102</v>
      </c>
      <c r="C2947" s="2" t="str">
        <f>TEXT(Table3[[#This Row],[Order Date]],"mmmm")</f>
        <v>June</v>
      </c>
      <c r="D2947" t="s">
        <v>3731</v>
      </c>
      <c r="E2947" t="s">
        <v>3225</v>
      </c>
      <c r="F2947" t="s">
        <v>3226</v>
      </c>
      <c r="G2947" s="4">
        <v>65651.45</v>
      </c>
      <c r="H2947" s="4">
        <v>52521.16</v>
      </c>
      <c r="I2947" s="3" t="s">
        <v>3735</v>
      </c>
      <c r="J2947">
        <v>3</v>
      </c>
      <c r="K2947" s="4">
        <f>Table3[[#This Row],[Sales]]-Table3[[#This Row],[Cost]]</f>
        <v>13130.289999999994</v>
      </c>
      <c r="L2947" s="6">
        <f>Table3[[#This Row],[Profit]]/Table3[[#This Row],[Sales]]</f>
        <v>0.1999999999999999</v>
      </c>
    </row>
    <row r="2948" spans="1:12" x14ac:dyDescent="0.25">
      <c r="A2948" t="s">
        <v>2609</v>
      </c>
      <c r="B2948" s="2">
        <v>44941</v>
      </c>
      <c r="C2948" s="2" t="str">
        <f>TEXT(Table3[[#This Row],[Order Date]],"mmmm")</f>
        <v>January</v>
      </c>
      <c r="D2948" t="s">
        <v>3730</v>
      </c>
      <c r="E2948" t="s">
        <v>3223</v>
      </c>
      <c r="F2948" t="s">
        <v>3226</v>
      </c>
      <c r="G2948" s="4">
        <v>46107.43</v>
      </c>
      <c r="H2948" s="4">
        <v>35784.1</v>
      </c>
      <c r="I2948" s="3" t="s">
        <v>3734</v>
      </c>
      <c r="J2948">
        <v>5</v>
      </c>
      <c r="K2948" s="4">
        <f>Table3[[#This Row],[Sales]]-Table3[[#This Row],[Cost]]</f>
        <v>10323.330000000002</v>
      </c>
      <c r="L2948" s="6">
        <f>Table3[[#This Row],[Profit]]/Table3[[#This Row],[Sales]]</f>
        <v>0.22389731980290381</v>
      </c>
    </row>
    <row r="2949" spans="1:12" x14ac:dyDescent="0.25">
      <c r="A2949" t="s">
        <v>2610</v>
      </c>
      <c r="B2949" s="2">
        <v>45005</v>
      </c>
      <c r="C2949" s="2" t="str">
        <f>TEXT(Table3[[#This Row],[Order Date]],"mmmm")</f>
        <v>March</v>
      </c>
      <c r="D2949" t="s">
        <v>3220</v>
      </c>
      <c r="E2949" t="s">
        <v>3225</v>
      </c>
      <c r="F2949" t="s">
        <v>3226</v>
      </c>
      <c r="G2949" s="4">
        <v>84884.25</v>
      </c>
      <c r="H2949" s="4">
        <v>71403.460000000006</v>
      </c>
      <c r="I2949" s="3" t="s">
        <v>3734</v>
      </c>
      <c r="J2949">
        <v>5</v>
      </c>
      <c r="K2949" s="4">
        <f>Table3[[#This Row],[Sales]]-Table3[[#This Row],[Cost]]</f>
        <v>13480.789999999994</v>
      </c>
      <c r="L2949" s="6">
        <f>Table3[[#This Row],[Profit]]/Table3[[#This Row],[Sales]]</f>
        <v>0.1588137964345564</v>
      </c>
    </row>
    <row r="2950" spans="1:12" x14ac:dyDescent="0.25">
      <c r="A2950" t="s">
        <v>2611</v>
      </c>
      <c r="B2950" s="2" t="s">
        <v>3729</v>
      </c>
      <c r="C2950" s="2" t="str">
        <f>TEXT(Table3[[#This Row],[Order Date]],"mmmm")</f>
        <v>Not Mentioned</v>
      </c>
      <c r="D2950" t="s">
        <v>3730</v>
      </c>
      <c r="E2950" t="s">
        <v>3225</v>
      </c>
      <c r="F2950" t="s">
        <v>3226</v>
      </c>
      <c r="G2950" s="4">
        <v>100479.83</v>
      </c>
      <c r="H2950" s="4">
        <v>76931.72</v>
      </c>
      <c r="I2950" s="3" t="s">
        <v>3734</v>
      </c>
      <c r="J2950">
        <v>5</v>
      </c>
      <c r="K2950" s="4">
        <f>Table3[[#This Row],[Sales]]-Table3[[#This Row],[Cost]]</f>
        <v>23548.11</v>
      </c>
      <c r="L2950" s="6">
        <f>Table3[[#This Row],[Profit]]/Table3[[#This Row],[Sales]]</f>
        <v>0.23435658678960744</v>
      </c>
    </row>
    <row r="2951" spans="1:12" x14ac:dyDescent="0.25">
      <c r="A2951" t="s">
        <v>2612</v>
      </c>
      <c r="B2951" s="2">
        <v>45102</v>
      </c>
      <c r="C2951" s="2" t="str">
        <f>TEXT(Table3[[#This Row],[Order Date]],"mmmm")</f>
        <v>June</v>
      </c>
      <c r="D2951" t="s">
        <v>3216</v>
      </c>
      <c r="E2951" t="s">
        <v>3224</v>
      </c>
      <c r="F2951" t="s">
        <v>3226</v>
      </c>
      <c r="G2951" s="4">
        <v>283418.44</v>
      </c>
      <c r="H2951" s="4">
        <v>226734.75200000001</v>
      </c>
      <c r="I2951" s="3" t="s">
        <v>3735</v>
      </c>
      <c r="J2951">
        <v>4</v>
      </c>
      <c r="K2951" s="4">
        <f>Table3[[#This Row],[Sales]]-Table3[[#This Row],[Cost]]</f>
        <v>56683.687999999995</v>
      </c>
      <c r="L2951" s="6">
        <f>Table3[[#This Row],[Profit]]/Table3[[#This Row],[Sales]]</f>
        <v>0.19999999999999998</v>
      </c>
    </row>
    <row r="2952" spans="1:12" x14ac:dyDescent="0.25">
      <c r="A2952" t="s">
        <v>2551</v>
      </c>
      <c r="B2952" s="2" t="s">
        <v>3729</v>
      </c>
      <c r="C2952" s="2" t="str">
        <f>TEXT(Table3[[#This Row],[Order Date]],"mmmm")</f>
        <v>Not Mentioned</v>
      </c>
      <c r="D2952" t="s">
        <v>3730</v>
      </c>
      <c r="E2952" t="s">
        <v>3223</v>
      </c>
      <c r="F2952" t="s">
        <v>3226</v>
      </c>
      <c r="G2952" s="4">
        <v>46696.67</v>
      </c>
      <c r="H2952" s="4">
        <v>37357.336000000003</v>
      </c>
      <c r="I2952" s="3" t="s">
        <v>3735</v>
      </c>
      <c r="J2952">
        <v>5</v>
      </c>
      <c r="K2952" s="4">
        <f>Table3[[#This Row],[Sales]]-Table3[[#This Row],[Cost]]</f>
        <v>9339.3339999999953</v>
      </c>
      <c r="L2952" s="6">
        <f>Table3[[#This Row],[Profit]]/Table3[[#This Row],[Sales]]</f>
        <v>0.1999999999999999</v>
      </c>
    </row>
    <row r="2953" spans="1:12" x14ac:dyDescent="0.25">
      <c r="A2953" t="s">
        <v>2613</v>
      </c>
      <c r="B2953" s="2">
        <v>45005</v>
      </c>
      <c r="C2953" s="2" t="str">
        <f>TEXT(Table3[[#This Row],[Order Date]],"mmmm")</f>
        <v>March</v>
      </c>
      <c r="D2953" t="s">
        <v>3730</v>
      </c>
      <c r="E2953" t="s">
        <v>3224</v>
      </c>
      <c r="F2953" t="s">
        <v>3226</v>
      </c>
      <c r="G2953" s="4">
        <v>97241.62</v>
      </c>
      <c r="H2953" s="4">
        <v>78811.78</v>
      </c>
      <c r="I2953" s="3" t="s">
        <v>3734</v>
      </c>
      <c r="J2953">
        <v>2</v>
      </c>
      <c r="K2953" s="4">
        <f>Table3[[#This Row],[Sales]]-Table3[[#This Row],[Cost]]</f>
        <v>18429.839999999997</v>
      </c>
      <c r="L2953" s="6">
        <f>Table3[[#This Row],[Profit]]/Table3[[#This Row],[Sales]]</f>
        <v>0.18952625429317196</v>
      </c>
    </row>
    <row r="2954" spans="1:12" x14ac:dyDescent="0.25">
      <c r="A2954" t="s">
        <v>115</v>
      </c>
      <c r="B2954" s="2" t="s">
        <v>3729</v>
      </c>
      <c r="C2954" s="2" t="str">
        <f>TEXT(Table3[[#This Row],[Order Date]],"mmmm")</f>
        <v>Not Mentioned</v>
      </c>
      <c r="D2954" t="s">
        <v>3730</v>
      </c>
      <c r="E2954" t="s">
        <v>3222</v>
      </c>
      <c r="F2954" t="s">
        <v>3226</v>
      </c>
      <c r="G2954" s="4">
        <v>12416.38</v>
      </c>
      <c r="H2954" s="4">
        <v>9188.6</v>
      </c>
      <c r="I2954" s="3" t="s">
        <v>3734</v>
      </c>
      <c r="J2954">
        <v>1</v>
      </c>
      <c r="K2954" s="4">
        <f>Table3[[#This Row],[Sales]]-Table3[[#This Row],[Cost]]</f>
        <v>3227.7799999999988</v>
      </c>
      <c r="L2954" s="6">
        <f>Table3[[#This Row],[Profit]]/Table3[[#This Row],[Sales]]</f>
        <v>0.25996143803588478</v>
      </c>
    </row>
    <row r="2955" spans="1:12" x14ac:dyDescent="0.25">
      <c r="A2955" t="s">
        <v>2614</v>
      </c>
      <c r="B2955" s="2">
        <v>45102</v>
      </c>
      <c r="C2955" s="2" t="str">
        <f>TEXT(Table3[[#This Row],[Order Date]],"mmmm")</f>
        <v>June</v>
      </c>
      <c r="D2955" t="s">
        <v>3731</v>
      </c>
      <c r="E2955" t="s">
        <v>3224</v>
      </c>
      <c r="F2955" t="s">
        <v>3226</v>
      </c>
      <c r="G2955" s="4">
        <v>104290.03</v>
      </c>
      <c r="H2955" s="4">
        <v>96432.65</v>
      </c>
      <c r="I2955" s="3" t="s">
        <v>3734</v>
      </c>
      <c r="J2955">
        <v>2</v>
      </c>
      <c r="K2955" s="4">
        <f>Table3[[#This Row],[Sales]]-Table3[[#This Row],[Cost]]</f>
        <v>7857.3800000000047</v>
      </c>
      <c r="L2955" s="6">
        <f>Table3[[#This Row],[Profit]]/Table3[[#This Row],[Sales]]</f>
        <v>7.534162182137645E-2</v>
      </c>
    </row>
    <row r="2956" spans="1:12" x14ac:dyDescent="0.25">
      <c r="A2956" t="s">
        <v>2615</v>
      </c>
      <c r="B2956" s="2">
        <v>45005</v>
      </c>
      <c r="C2956" s="2" t="str">
        <f>TEXT(Table3[[#This Row],[Order Date]],"mmmm")</f>
        <v>March</v>
      </c>
      <c r="D2956" t="s">
        <v>3220</v>
      </c>
      <c r="E2956" t="s">
        <v>3223</v>
      </c>
      <c r="F2956" t="s">
        <v>3226</v>
      </c>
      <c r="G2956" s="4">
        <v>33924.01</v>
      </c>
      <c r="H2956" s="4">
        <v>21828.14</v>
      </c>
      <c r="I2956" s="3" t="s">
        <v>3734</v>
      </c>
      <c r="J2956">
        <v>3</v>
      </c>
      <c r="K2956" s="4">
        <f>Table3[[#This Row],[Sales]]-Table3[[#This Row],[Cost]]</f>
        <v>12095.870000000003</v>
      </c>
      <c r="L2956" s="6">
        <f>Table3[[#This Row],[Profit]]/Table3[[#This Row],[Sales]]</f>
        <v>0.35655778901138169</v>
      </c>
    </row>
    <row r="2957" spans="1:12" x14ac:dyDescent="0.25">
      <c r="A2957" t="s">
        <v>3652</v>
      </c>
      <c r="B2957" s="2" t="s">
        <v>3729</v>
      </c>
      <c r="C2957" s="2" t="str">
        <f>TEXT(Table3[[#This Row],[Order Date]],"mmmm")</f>
        <v>Not Mentioned</v>
      </c>
      <c r="D2957" t="s">
        <v>3731</v>
      </c>
      <c r="E2957" t="s">
        <v>3222</v>
      </c>
      <c r="F2957" t="s">
        <v>3226</v>
      </c>
      <c r="G2957" s="4">
        <v>81839.289999999994</v>
      </c>
      <c r="H2957" s="4">
        <v>65471.432000000001</v>
      </c>
      <c r="I2957" s="3" t="s">
        <v>3735</v>
      </c>
      <c r="J2957">
        <v>5</v>
      </c>
      <c r="K2957" s="4">
        <f>Table3[[#This Row],[Sales]]-Table3[[#This Row],[Cost]]</f>
        <v>16367.857999999993</v>
      </c>
      <c r="L2957" s="6">
        <f>Table3[[#This Row],[Profit]]/Table3[[#This Row],[Sales]]</f>
        <v>0.19999999999999993</v>
      </c>
    </row>
    <row r="2958" spans="1:12" x14ac:dyDescent="0.25">
      <c r="A2958" t="s">
        <v>3653</v>
      </c>
      <c r="B2958" s="2" t="s">
        <v>3729</v>
      </c>
      <c r="C2958" s="2" t="str">
        <f>TEXT(Table3[[#This Row],[Order Date]],"mmmm")</f>
        <v>Not Mentioned</v>
      </c>
      <c r="D2958" t="s">
        <v>3220</v>
      </c>
      <c r="E2958" t="s">
        <v>3223</v>
      </c>
      <c r="F2958" t="s">
        <v>3226</v>
      </c>
      <c r="G2958" s="4">
        <v>36956.160000000003</v>
      </c>
      <c r="H2958" s="4">
        <v>25986.54</v>
      </c>
      <c r="I2958" s="3" t="s">
        <v>3734</v>
      </c>
      <c r="J2958">
        <v>4</v>
      </c>
      <c r="K2958" s="4">
        <f>Table3[[#This Row],[Sales]]-Table3[[#This Row],[Cost]]</f>
        <v>10969.620000000003</v>
      </c>
      <c r="L2958" s="6">
        <f>Table3[[#This Row],[Profit]]/Table3[[#This Row],[Sales]]</f>
        <v>0.29682791718620122</v>
      </c>
    </row>
    <row r="2959" spans="1:12" x14ac:dyDescent="0.25">
      <c r="A2959" t="s">
        <v>2618</v>
      </c>
      <c r="B2959" s="2">
        <v>45102</v>
      </c>
      <c r="C2959" s="2" t="str">
        <f>TEXT(Table3[[#This Row],[Order Date]],"mmmm")</f>
        <v>June</v>
      </c>
      <c r="D2959" t="s">
        <v>3220</v>
      </c>
      <c r="E2959" t="s">
        <v>3224</v>
      </c>
      <c r="F2959" t="s">
        <v>3226</v>
      </c>
      <c r="G2959" s="4">
        <v>351538.76</v>
      </c>
      <c r="H2959" s="4">
        <v>195021.71</v>
      </c>
      <c r="I2959" s="3" t="s">
        <v>3734</v>
      </c>
      <c r="J2959">
        <v>5</v>
      </c>
      <c r="K2959" s="4">
        <f>Table3[[#This Row],[Sales]]-Table3[[#This Row],[Cost]]</f>
        <v>156517.05000000002</v>
      </c>
      <c r="L2959" s="6">
        <f>Table3[[#This Row],[Profit]]/Table3[[#This Row],[Sales]]</f>
        <v>0.44523411870713775</v>
      </c>
    </row>
    <row r="2960" spans="1:12" x14ac:dyDescent="0.25">
      <c r="A2960" t="s">
        <v>2619</v>
      </c>
      <c r="B2960" s="2">
        <v>44972</v>
      </c>
      <c r="C2960" s="2" t="str">
        <f>TEXT(Table3[[#This Row],[Order Date]],"mmmm")</f>
        <v>February</v>
      </c>
      <c r="D2960" t="s">
        <v>3730</v>
      </c>
      <c r="E2960" t="s">
        <v>3222</v>
      </c>
      <c r="F2960" t="s">
        <v>3226</v>
      </c>
      <c r="G2960" s="4">
        <v>48762.63</v>
      </c>
      <c r="H2960" s="4">
        <v>40518.54</v>
      </c>
      <c r="I2960" s="3" t="s">
        <v>3734</v>
      </c>
      <c r="J2960">
        <v>4</v>
      </c>
      <c r="K2960" s="4">
        <f>Table3[[#This Row],[Sales]]-Table3[[#This Row],[Cost]]</f>
        <v>8244.0899999999965</v>
      </c>
      <c r="L2960" s="6">
        <f>Table3[[#This Row],[Profit]]/Table3[[#This Row],[Sales]]</f>
        <v>0.16906573743048717</v>
      </c>
    </row>
    <row r="2961" spans="1:12" x14ac:dyDescent="0.25">
      <c r="A2961" t="s">
        <v>3654</v>
      </c>
      <c r="B2961" s="2">
        <v>45102</v>
      </c>
      <c r="C2961" s="2" t="str">
        <f>TEXT(Table3[[#This Row],[Order Date]],"mmmm")</f>
        <v>June</v>
      </c>
      <c r="D2961" t="s">
        <v>3730</v>
      </c>
      <c r="E2961" t="s">
        <v>3224</v>
      </c>
      <c r="F2961" t="s">
        <v>3226</v>
      </c>
      <c r="G2961" s="4">
        <v>60072.53</v>
      </c>
      <c r="H2961" s="4">
        <v>40468.800000000003</v>
      </c>
      <c r="I2961" s="3" t="s">
        <v>3734</v>
      </c>
      <c r="J2961">
        <v>1</v>
      </c>
      <c r="K2961" s="4">
        <f>Table3[[#This Row],[Sales]]-Table3[[#This Row],[Cost]]</f>
        <v>19603.729999999996</v>
      </c>
      <c r="L2961" s="6">
        <f>Table3[[#This Row],[Profit]]/Table3[[#This Row],[Sales]]</f>
        <v>0.32633434949385343</v>
      </c>
    </row>
    <row r="2962" spans="1:12" x14ac:dyDescent="0.25">
      <c r="A2962" t="s">
        <v>2622</v>
      </c>
      <c r="B2962" s="2">
        <v>45102</v>
      </c>
      <c r="C2962" s="2" t="str">
        <f>TEXT(Table3[[#This Row],[Order Date]],"mmmm")</f>
        <v>June</v>
      </c>
      <c r="D2962" t="s">
        <v>3730</v>
      </c>
      <c r="E2962" t="s">
        <v>3223</v>
      </c>
      <c r="F2962" t="s">
        <v>3226</v>
      </c>
      <c r="G2962" s="4">
        <v>33564.78</v>
      </c>
      <c r="H2962" s="4">
        <v>20355.080000000002</v>
      </c>
      <c r="I2962" s="3" t="s">
        <v>3734</v>
      </c>
      <c r="J2962">
        <v>3</v>
      </c>
      <c r="K2962" s="4">
        <f>Table3[[#This Row],[Sales]]-Table3[[#This Row],[Cost]]</f>
        <v>13209.699999999997</v>
      </c>
      <c r="L2962" s="6">
        <f>Table3[[#This Row],[Profit]]/Table3[[#This Row],[Sales]]</f>
        <v>0.39355836683571283</v>
      </c>
    </row>
    <row r="2963" spans="1:12" x14ac:dyDescent="0.25">
      <c r="A2963" t="s">
        <v>2623</v>
      </c>
      <c r="B2963" s="2">
        <v>44941</v>
      </c>
      <c r="C2963" s="2" t="str">
        <f>TEXT(Table3[[#This Row],[Order Date]],"mmmm")</f>
        <v>January</v>
      </c>
      <c r="D2963" t="s">
        <v>3220</v>
      </c>
      <c r="E2963" t="s">
        <v>3224</v>
      </c>
      <c r="F2963" t="s">
        <v>3226</v>
      </c>
      <c r="G2963" s="4">
        <v>140045.66</v>
      </c>
      <c r="H2963" s="4">
        <v>82633.81</v>
      </c>
      <c r="I2963" s="3" t="s">
        <v>3734</v>
      </c>
      <c r="J2963">
        <v>2</v>
      </c>
      <c r="K2963" s="4">
        <f>Table3[[#This Row],[Sales]]-Table3[[#This Row],[Cost]]</f>
        <v>57411.850000000006</v>
      </c>
      <c r="L2963" s="6">
        <f>Table3[[#This Row],[Profit]]/Table3[[#This Row],[Sales]]</f>
        <v>0.40995094028618956</v>
      </c>
    </row>
    <row r="2964" spans="1:12" x14ac:dyDescent="0.25">
      <c r="A2964" t="s">
        <v>2624</v>
      </c>
      <c r="B2964" s="2">
        <v>44972</v>
      </c>
      <c r="C2964" s="2" t="str">
        <f>TEXT(Table3[[#This Row],[Order Date]],"mmmm")</f>
        <v>February</v>
      </c>
      <c r="D2964" t="s">
        <v>3730</v>
      </c>
      <c r="E2964" t="s">
        <v>3225</v>
      </c>
      <c r="F2964" t="s">
        <v>3226</v>
      </c>
      <c r="G2964" s="4">
        <v>44060.95</v>
      </c>
      <c r="H2964" s="4">
        <v>24317.25</v>
      </c>
      <c r="I2964" s="3" t="s">
        <v>3734</v>
      </c>
      <c r="J2964">
        <v>2</v>
      </c>
      <c r="K2964" s="4">
        <f>Table3[[#This Row],[Sales]]-Table3[[#This Row],[Cost]]</f>
        <v>19743.699999999997</v>
      </c>
      <c r="L2964" s="6">
        <f>Table3[[#This Row],[Profit]]/Table3[[#This Row],[Sales]]</f>
        <v>0.44809973457222324</v>
      </c>
    </row>
    <row r="2965" spans="1:12" x14ac:dyDescent="0.25">
      <c r="A2965" t="s">
        <v>3347</v>
      </c>
      <c r="B2965" s="2">
        <v>45021</v>
      </c>
      <c r="C2965" s="2" t="str">
        <f>TEXT(Table3[[#This Row],[Order Date]],"mmmm")</f>
        <v>April</v>
      </c>
      <c r="D2965" t="s">
        <v>3216</v>
      </c>
      <c r="E2965" t="s">
        <v>3224</v>
      </c>
      <c r="F2965" t="s">
        <v>3226</v>
      </c>
      <c r="G2965" s="4">
        <v>119946.39</v>
      </c>
      <c r="H2965" s="4">
        <v>81761.47</v>
      </c>
      <c r="I2965" s="3" t="s">
        <v>3734</v>
      </c>
      <c r="J2965" t="s">
        <v>3732</v>
      </c>
      <c r="K2965" s="4">
        <f>Table3[[#This Row],[Sales]]-Table3[[#This Row],[Cost]]</f>
        <v>38184.92</v>
      </c>
      <c r="L2965" s="6">
        <f>Table3[[#This Row],[Profit]]/Table3[[#This Row],[Sales]]</f>
        <v>0.31834988947979176</v>
      </c>
    </row>
    <row r="2966" spans="1:12" x14ac:dyDescent="0.25">
      <c r="A2966" t="s">
        <v>2625</v>
      </c>
      <c r="B2966" s="2">
        <v>45021</v>
      </c>
      <c r="C2966" s="2" t="str">
        <f>TEXT(Table3[[#This Row],[Order Date]],"mmmm")</f>
        <v>April</v>
      </c>
      <c r="D2966" t="s">
        <v>3216</v>
      </c>
      <c r="E2966" t="s">
        <v>3223</v>
      </c>
      <c r="F2966" t="s">
        <v>3226</v>
      </c>
      <c r="G2966" s="4">
        <v>22884.18</v>
      </c>
      <c r="H2966" s="4">
        <v>14876.33</v>
      </c>
      <c r="I2966" s="3" t="s">
        <v>3734</v>
      </c>
      <c r="J2966">
        <v>2</v>
      </c>
      <c r="K2966" s="4">
        <f>Table3[[#This Row],[Sales]]-Table3[[#This Row],[Cost]]</f>
        <v>8007.85</v>
      </c>
      <c r="L2966" s="6">
        <f>Table3[[#This Row],[Profit]]/Table3[[#This Row],[Sales]]</f>
        <v>0.34992951462538752</v>
      </c>
    </row>
    <row r="2967" spans="1:12" x14ac:dyDescent="0.25">
      <c r="A2967" t="s">
        <v>3309</v>
      </c>
      <c r="B2967" s="2">
        <v>45021</v>
      </c>
      <c r="C2967" s="2" t="str">
        <f>TEXT(Table3[[#This Row],[Order Date]],"mmmm")</f>
        <v>April</v>
      </c>
      <c r="D2967" t="s">
        <v>3730</v>
      </c>
      <c r="E2967" t="s">
        <v>3225</v>
      </c>
      <c r="F2967" t="s">
        <v>3226</v>
      </c>
      <c r="G2967" s="4">
        <v>64172</v>
      </c>
      <c r="H2967" s="4">
        <v>41605.39</v>
      </c>
      <c r="I2967" s="3" t="s">
        <v>3734</v>
      </c>
      <c r="J2967" t="s">
        <v>3732</v>
      </c>
      <c r="K2967" s="4">
        <f>Table3[[#This Row],[Sales]]-Table3[[#This Row],[Cost]]</f>
        <v>22566.61</v>
      </c>
      <c r="L2967" s="6">
        <f>Table3[[#This Row],[Profit]]/Table3[[#This Row],[Sales]]</f>
        <v>0.35165819983793556</v>
      </c>
    </row>
    <row r="2968" spans="1:12" x14ac:dyDescent="0.25">
      <c r="A2968" t="s">
        <v>2626</v>
      </c>
      <c r="B2968" s="2">
        <v>44941</v>
      </c>
      <c r="C2968" s="2" t="str">
        <f>TEXT(Table3[[#This Row],[Order Date]],"mmmm")</f>
        <v>January</v>
      </c>
      <c r="D2968" t="s">
        <v>3730</v>
      </c>
      <c r="E2968" t="s">
        <v>3222</v>
      </c>
      <c r="F2968" t="s">
        <v>3226</v>
      </c>
      <c r="G2968" s="4">
        <v>16061.6</v>
      </c>
      <c r="H2968" s="4">
        <v>10378.93</v>
      </c>
      <c r="I2968" s="3" t="s">
        <v>3734</v>
      </c>
      <c r="J2968">
        <v>1</v>
      </c>
      <c r="K2968" s="4">
        <f>Table3[[#This Row],[Sales]]-Table3[[#This Row],[Cost]]</f>
        <v>5682.67</v>
      </c>
      <c r="L2968" s="6">
        <f>Table3[[#This Row],[Profit]]/Table3[[#This Row],[Sales]]</f>
        <v>0.35380472680181302</v>
      </c>
    </row>
    <row r="2969" spans="1:12" x14ac:dyDescent="0.25">
      <c r="A2969" t="s">
        <v>2420</v>
      </c>
      <c r="B2969" s="2">
        <v>44972</v>
      </c>
      <c r="C2969" s="2" t="str">
        <f>TEXT(Table3[[#This Row],[Order Date]],"mmmm")</f>
        <v>February</v>
      </c>
      <c r="D2969" t="s">
        <v>3220</v>
      </c>
      <c r="E2969" t="s">
        <v>3225</v>
      </c>
      <c r="F2969" t="s">
        <v>3226</v>
      </c>
      <c r="G2969" s="4">
        <v>67509.69</v>
      </c>
      <c r="H2969" s="4">
        <v>41176.04</v>
      </c>
      <c r="I2969" s="3" t="s">
        <v>3734</v>
      </c>
      <c r="J2969">
        <v>3</v>
      </c>
      <c r="K2969" s="4">
        <f>Table3[[#This Row],[Sales]]-Table3[[#This Row],[Cost]]</f>
        <v>26333.65</v>
      </c>
      <c r="L2969" s="6">
        <f>Table3[[#This Row],[Profit]]/Table3[[#This Row],[Sales]]</f>
        <v>0.39007215112378685</v>
      </c>
    </row>
    <row r="2970" spans="1:12" x14ac:dyDescent="0.25">
      <c r="A2970" t="s">
        <v>2627</v>
      </c>
      <c r="B2970" s="2">
        <v>44972</v>
      </c>
      <c r="C2970" s="2" t="str">
        <f>TEXT(Table3[[#This Row],[Order Date]],"mmmm")</f>
        <v>February</v>
      </c>
      <c r="D2970" t="s">
        <v>3220</v>
      </c>
      <c r="E2970" t="s">
        <v>3223</v>
      </c>
      <c r="F2970" t="s">
        <v>3226</v>
      </c>
      <c r="G2970" s="4">
        <v>52653.77</v>
      </c>
      <c r="H2970" s="4">
        <v>42123.016000000003</v>
      </c>
      <c r="I2970" s="3" t="s">
        <v>3735</v>
      </c>
      <c r="J2970">
        <v>5</v>
      </c>
      <c r="K2970" s="4">
        <f>Table3[[#This Row],[Sales]]-Table3[[#This Row],[Cost]]</f>
        <v>10530.753999999994</v>
      </c>
      <c r="L2970" s="6">
        <f>Table3[[#This Row],[Profit]]/Table3[[#This Row],[Sales]]</f>
        <v>0.1999999999999999</v>
      </c>
    </row>
    <row r="2971" spans="1:12" x14ac:dyDescent="0.25">
      <c r="A2971" t="s">
        <v>3655</v>
      </c>
      <c r="B2971" s="2">
        <v>45005</v>
      </c>
      <c r="C2971" s="2" t="str">
        <f>TEXT(Table3[[#This Row],[Order Date]],"mmmm")</f>
        <v>March</v>
      </c>
      <c r="D2971" t="s">
        <v>3220</v>
      </c>
      <c r="E2971" t="s">
        <v>3223</v>
      </c>
      <c r="F2971" t="s">
        <v>3226</v>
      </c>
      <c r="G2971" s="4">
        <v>8156.76</v>
      </c>
      <c r="H2971" s="4">
        <v>6122.68</v>
      </c>
      <c r="I2971" s="3" t="s">
        <v>3734</v>
      </c>
      <c r="J2971">
        <v>1</v>
      </c>
      <c r="K2971" s="4">
        <f>Table3[[#This Row],[Sales]]-Table3[[#This Row],[Cost]]</f>
        <v>2034.08</v>
      </c>
      <c r="L2971" s="6">
        <f>Table3[[#This Row],[Profit]]/Table3[[#This Row],[Sales]]</f>
        <v>0.24937352576268026</v>
      </c>
    </row>
    <row r="2972" spans="1:12" x14ac:dyDescent="0.25">
      <c r="A2972" t="s">
        <v>113</v>
      </c>
      <c r="B2972" s="2">
        <v>45102</v>
      </c>
      <c r="C2972" s="2" t="str">
        <f>TEXT(Table3[[#This Row],[Order Date]],"mmmm")</f>
        <v>June</v>
      </c>
      <c r="D2972" t="s">
        <v>3216</v>
      </c>
      <c r="E2972" t="s">
        <v>3222</v>
      </c>
      <c r="F2972" t="s">
        <v>3226</v>
      </c>
      <c r="G2972" s="4">
        <v>44733.86</v>
      </c>
      <c r="H2972" s="4">
        <v>27928.32</v>
      </c>
      <c r="I2972" s="3" t="s">
        <v>3734</v>
      </c>
      <c r="J2972">
        <v>3</v>
      </c>
      <c r="K2972" s="4">
        <f>Table3[[#This Row],[Sales]]-Table3[[#This Row],[Cost]]</f>
        <v>16805.54</v>
      </c>
      <c r="L2972" s="6">
        <f>Table3[[#This Row],[Profit]]/Table3[[#This Row],[Sales]]</f>
        <v>0.37567828933161596</v>
      </c>
    </row>
    <row r="2973" spans="1:12" x14ac:dyDescent="0.25">
      <c r="A2973" t="s">
        <v>2629</v>
      </c>
      <c r="B2973" s="2">
        <v>45102</v>
      </c>
      <c r="C2973" s="2" t="str">
        <f>TEXT(Table3[[#This Row],[Order Date]],"mmmm")</f>
        <v>June</v>
      </c>
      <c r="D2973" t="s">
        <v>3731</v>
      </c>
      <c r="E2973" t="s">
        <v>3223</v>
      </c>
      <c r="F2973" t="s">
        <v>3226</v>
      </c>
      <c r="G2973" s="4">
        <v>45462.8</v>
      </c>
      <c r="H2973" s="4">
        <v>36370.240000000005</v>
      </c>
      <c r="I2973" s="3" t="s">
        <v>3735</v>
      </c>
      <c r="J2973">
        <v>5</v>
      </c>
      <c r="K2973" s="4">
        <f>Table3[[#This Row],[Sales]]-Table3[[#This Row],[Cost]]</f>
        <v>9092.5599999999977</v>
      </c>
      <c r="L2973" s="6">
        <f>Table3[[#This Row],[Profit]]/Table3[[#This Row],[Sales]]</f>
        <v>0.19999999999999993</v>
      </c>
    </row>
    <row r="2974" spans="1:12" x14ac:dyDescent="0.25">
      <c r="A2974" t="s">
        <v>2368</v>
      </c>
      <c r="B2974" s="2">
        <v>45102</v>
      </c>
      <c r="C2974" s="2" t="str">
        <f>TEXT(Table3[[#This Row],[Order Date]],"mmmm")</f>
        <v>June</v>
      </c>
      <c r="D2974" t="s">
        <v>3220</v>
      </c>
      <c r="E2974" t="s">
        <v>3225</v>
      </c>
      <c r="F2974" t="s">
        <v>3226</v>
      </c>
      <c r="G2974" s="4">
        <v>64293.599999999999</v>
      </c>
      <c r="H2974" s="4">
        <v>41629.65</v>
      </c>
      <c r="I2974" s="3" t="s">
        <v>3734</v>
      </c>
      <c r="J2974">
        <v>3</v>
      </c>
      <c r="K2974" s="4">
        <f>Table3[[#This Row],[Sales]]-Table3[[#This Row],[Cost]]</f>
        <v>22663.949999999997</v>
      </c>
      <c r="L2974" s="6">
        <f>Table3[[#This Row],[Profit]]/Table3[[#This Row],[Sales]]</f>
        <v>0.35250709246332446</v>
      </c>
    </row>
    <row r="2975" spans="1:12" x14ac:dyDescent="0.25">
      <c r="A2975" t="s">
        <v>2630</v>
      </c>
      <c r="B2975" s="2">
        <v>45021</v>
      </c>
      <c r="C2975" s="2" t="str">
        <f>TEXT(Table3[[#This Row],[Order Date]],"mmmm")</f>
        <v>April</v>
      </c>
      <c r="D2975" t="s">
        <v>3731</v>
      </c>
      <c r="E2975" t="s">
        <v>3222</v>
      </c>
      <c r="F2975" t="s">
        <v>3226</v>
      </c>
      <c r="G2975" s="4">
        <v>17585.939999999999</v>
      </c>
      <c r="H2975" s="4">
        <v>14068.752</v>
      </c>
      <c r="I2975" s="3" t="s">
        <v>3735</v>
      </c>
      <c r="J2975">
        <v>1</v>
      </c>
      <c r="K2975" s="4">
        <f>Table3[[#This Row],[Sales]]-Table3[[#This Row],[Cost]]</f>
        <v>3517.1879999999983</v>
      </c>
      <c r="L2975" s="6">
        <f>Table3[[#This Row],[Profit]]/Table3[[#This Row],[Sales]]</f>
        <v>0.19999999999999993</v>
      </c>
    </row>
    <row r="2976" spans="1:12" x14ac:dyDescent="0.25">
      <c r="A2976" t="s">
        <v>2631</v>
      </c>
      <c r="B2976" s="2" t="s">
        <v>3729</v>
      </c>
      <c r="C2976" s="2" t="str">
        <f>TEXT(Table3[[#This Row],[Order Date]],"mmmm")</f>
        <v>Not Mentioned</v>
      </c>
      <c r="D2976" t="s">
        <v>3216</v>
      </c>
      <c r="E2976" t="s">
        <v>3225</v>
      </c>
      <c r="F2976" t="s">
        <v>3226</v>
      </c>
      <c r="G2976" s="4">
        <v>54580.18</v>
      </c>
      <c r="H2976" s="4">
        <v>38432.25</v>
      </c>
      <c r="I2976" s="3" t="s">
        <v>3734</v>
      </c>
      <c r="J2976" t="s">
        <v>3732</v>
      </c>
      <c r="K2976" s="4">
        <f>Table3[[#This Row],[Sales]]-Table3[[#This Row],[Cost]]</f>
        <v>16147.93</v>
      </c>
      <c r="L2976" s="6">
        <f>Table3[[#This Row],[Profit]]/Table3[[#This Row],[Sales]]</f>
        <v>0.29585703088557053</v>
      </c>
    </row>
    <row r="2977" spans="1:12" x14ac:dyDescent="0.25">
      <c r="A2977" t="s">
        <v>3537</v>
      </c>
      <c r="B2977" s="2">
        <v>45021</v>
      </c>
      <c r="C2977" s="2" t="str">
        <f>TEXT(Table3[[#This Row],[Order Date]],"mmmm")</f>
        <v>April</v>
      </c>
      <c r="D2977" t="s">
        <v>3216</v>
      </c>
      <c r="E2977" t="s">
        <v>3223</v>
      </c>
      <c r="F2977" t="s">
        <v>3226</v>
      </c>
      <c r="G2977" s="4">
        <v>54113.2</v>
      </c>
      <c r="H2977" s="4">
        <v>29833.98</v>
      </c>
      <c r="I2977" s="3" t="s">
        <v>3734</v>
      </c>
      <c r="J2977">
        <v>5</v>
      </c>
      <c r="K2977" s="4">
        <f>Table3[[#This Row],[Sales]]-Table3[[#This Row],[Cost]]</f>
        <v>24279.219999999998</v>
      </c>
      <c r="L2977" s="6">
        <f>Table3[[#This Row],[Profit]]/Table3[[#This Row],[Sales]]</f>
        <v>0.44867463021961368</v>
      </c>
    </row>
    <row r="2978" spans="1:12" x14ac:dyDescent="0.25">
      <c r="A2978" t="s">
        <v>2632</v>
      </c>
      <c r="B2978" s="2" t="s">
        <v>3729</v>
      </c>
      <c r="C2978" s="2" t="str">
        <f>TEXT(Table3[[#This Row],[Order Date]],"mmmm")</f>
        <v>Not Mentioned</v>
      </c>
      <c r="D2978" t="s">
        <v>3220</v>
      </c>
      <c r="E2978" t="s">
        <v>3224</v>
      </c>
      <c r="F2978" t="s">
        <v>3226</v>
      </c>
      <c r="G2978" s="4">
        <v>52011.32</v>
      </c>
      <c r="H2978" s="4">
        <v>48558.89</v>
      </c>
      <c r="I2978" s="3" t="s">
        <v>3734</v>
      </c>
      <c r="J2978">
        <v>1</v>
      </c>
      <c r="K2978" s="4">
        <f>Table3[[#This Row],[Sales]]-Table3[[#This Row],[Cost]]</f>
        <v>3452.4300000000003</v>
      </c>
      <c r="L2978" s="6">
        <f>Table3[[#This Row],[Profit]]/Table3[[#This Row],[Sales]]</f>
        <v>6.6378434540788428E-2</v>
      </c>
    </row>
    <row r="2979" spans="1:12" x14ac:dyDescent="0.25">
      <c r="A2979" t="s">
        <v>120</v>
      </c>
      <c r="B2979" s="2">
        <v>44941</v>
      </c>
      <c r="C2979" s="2" t="str">
        <f>TEXT(Table3[[#This Row],[Order Date]],"mmmm")</f>
        <v>January</v>
      </c>
      <c r="D2979" t="s">
        <v>3730</v>
      </c>
      <c r="E2979" t="s">
        <v>3223</v>
      </c>
      <c r="F2979" t="s">
        <v>3226</v>
      </c>
      <c r="G2979" s="4">
        <v>44406.22</v>
      </c>
      <c r="H2979" s="4">
        <v>32503.87</v>
      </c>
      <c r="I2979" s="3" t="s">
        <v>3734</v>
      </c>
      <c r="J2979">
        <v>5</v>
      </c>
      <c r="K2979" s="4">
        <f>Table3[[#This Row],[Sales]]-Table3[[#This Row],[Cost]]</f>
        <v>11902.350000000002</v>
      </c>
      <c r="L2979" s="6">
        <f>Table3[[#This Row],[Profit]]/Table3[[#This Row],[Sales]]</f>
        <v>0.26803339712319585</v>
      </c>
    </row>
    <row r="2980" spans="1:12" x14ac:dyDescent="0.25">
      <c r="A2980" t="s">
        <v>2633</v>
      </c>
      <c r="B2980" s="2" t="s">
        <v>3729</v>
      </c>
      <c r="C2980" s="2" t="str">
        <f>TEXT(Table3[[#This Row],[Order Date]],"mmmm")</f>
        <v>Not Mentioned</v>
      </c>
      <c r="D2980" t="s">
        <v>3220</v>
      </c>
      <c r="E2980" t="s">
        <v>3223</v>
      </c>
      <c r="F2980" t="s">
        <v>3226</v>
      </c>
      <c r="G2980" s="4">
        <v>16556.86</v>
      </c>
      <c r="H2980" s="4">
        <v>13245.488000000001</v>
      </c>
      <c r="I2980" s="3" t="s">
        <v>3735</v>
      </c>
      <c r="J2980">
        <v>2</v>
      </c>
      <c r="K2980" s="4">
        <f>Table3[[#This Row],[Sales]]-Table3[[#This Row],[Cost]]</f>
        <v>3311.3719999999994</v>
      </c>
      <c r="L2980" s="6">
        <f>Table3[[#This Row],[Profit]]/Table3[[#This Row],[Sales]]</f>
        <v>0.19999999999999996</v>
      </c>
    </row>
    <row r="2981" spans="1:12" x14ac:dyDescent="0.25">
      <c r="A2981" t="s">
        <v>2634</v>
      </c>
      <c r="B2981" s="2">
        <v>44972</v>
      </c>
      <c r="C2981" s="2" t="str">
        <f>TEXT(Table3[[#This Row],[Order Date]],"mmmm")</f>
        <v>February</v>
      </c>
      <c r="D2981" t="s">
        <v>3730</v>
      </c>
      <c r="E2981" t="s">
        <v>3223</v>
      </c>
      <c r="F2981" t="s">
        <v>3226</v>
      </c>
      <c r="G2981" s="4">
        <v>9016.42</v>
      </c>
      <c r="H2981" s="4">
        <v>6685.19</v>
      </c>
      <c r="I2981" s="3" t="s">
        <v>3734</v>
      </c>
      <c r="J2981">
        <v>1</v>
      </c>
      <c r="K2981" s="4">
        <f>Table3[[#This Row],[Sales]]-Table3[[#This Row],[Cost]]</f>
        <v>2331.2300000000005</v>
      </c>
      <c r="L2981" s="6">
        <f>Table3[[#This Row],[Profit]]/Table3[[#This Row],[Sales]]</f>
        <v>0.25855383844142138</v>
      </c>
    </row>
    <row r="2982" spans="1:12" x14ac:dyDescent="0.25">
      <c r="A2982" t="s">
        <v>2635</v>
      </c>
      <c r="B2982" s="2">
        <v>44972</v>
      </c>
      <c r="C2982" s="2" t="str">
        <f>TEXT(Table3[[#This Row],[Order Date]],"mmmm")</f>
        <v>February</v>
      </c>
      <c r="D2982" t="s">
        <v>3731</v>
      </c>
      <c r="E2982" t="s">
        <v>3223</v>
      </c>
      <c r="F2982" t="s">
        <v>3226</v>
      </c>
      <c r="G2982" s="4">
        <v>58969.599999999999</v>
      </c>
      <c r="H2982" s="4">
        <v>38159.22</v>
      </c>
      <c r="I2982" s="3" t="s">
        <v>3734</v>
      </c>
      <c r="J2982">
        <v>5</v>
      </c>
      <c r="K2982" s="4">
        <f>Table3[[#This Row],[Sales]]-Table3[[#This Row],[Cost]]</f>
        <v>20810.379999999997</v>
      </c>
      <c r="L2982" s="6">
        <f>Table3[[#This Row],[Profit]]/Table3[[#This Row],[Sales]]</f>
        <v>0.35290013837638373</v>
      </c>
    </row>
    <row r="2983" spans="1:12" x14ac:dyDescent="0.25">
      <c r="A2983" t="s">
        <v>2636</v>
      </c>
      <c r="B2983" s="2">
        <v>44941</v>
      </c>
      <c r="C2983" s="2" t="str">
        <f>TEXT(Table3[[#This Row],[Order Date]],"mmmm")</f>
        <v>January</v>
      </c>
      <c r="D2983" t="s">
        <v>3220</v>
      </c>
      <c r="E2983" t="s">
        <v>3225</v>
      </c>
      <c r="F2983" t="s">
        <v>3226</v>
      </c>
      <c r="G2983" s="4">
        <v>67094.61</v>
      </c>
      <c r="H2983" s="4">
        <v>41309.599999999999</v>
      </c>
      <c r="I2983" s="3" t="s">
        <v>3734</v>
      </c>
      <c r="J2983">
        <v>3</v>
      </c>
      <c r="K2983" s="4">
        <f>Table3[[#This Row],[Sales]]-Table3[[#This Row],[Cost]]</f>
        <v>25785.010000000002</v>
      </c>
      <c r="L2983" s="6">
        <f>Table3[[#This Row],[Profit]]/Table3[[#This Row],[Sales]]</f>
        <v>0.3843082179030477</v>
      </c>
    </row>
    <row r="2984" spans="1:12" x14ac:dyDescent="0.25">
      <c r="A2984" t="s">
        <v>2637</v>
      </c>
      <c r="B2984" s="2">
        <v>45021</v>
      </c>
      <c r="C2984" s="2" t="str">
        <f>TEXT(Table3[[#This Row],[Order Date]],"mmmm")</f>
        <v>April</v>
      </c>
      <c r="D2984" t="s">
        <v>3220</v>
      </c>
      <c r="E2984" t="s">
        <v>3224</v>
      </c>
      <c r="F2984" t="s">
        <v>3226</v>
      </c>
      <c r="G2984" s="4">
        <v>128190.82</v>
      </c>
      <c r="H2984" s="4">
        <v>92082.15</v>
      </c>
      <c r="I2984" s="3" t="s">
        <v>3734</v>
      </c>
      <c r="J2984">
        <v>2</v>
      </c>
      <c r="K2984" s="4">
        <f>Table3[[#This Row],[Sales]]-Table3[[#This Row],[Cost]]</f>
        <v>36108.670000000013</v>
      </c>
      <c r="L2984" s="6">
        <f>Table3[[#This Row],[Profit]]/Table3[[#This Row],[Sales]]</f>
        <v>0.28167906251009245</v>
      </c>
    </row>
    <row r="2985" spans="1:12" x14ac:dyDescent="0.25">
      <c r="A2985" t="s">
        <v>2638</v>
      </c>
      <c r="B2985" s="2" t="s">
        <v>3729</v>
      </c>
      <c r="C2985" s="2" t="str">
        <f>TEXT(Table3[[#This Row],[Order Date]],"mmmm")</f>
        <v>Not Mentioned</v>
      </c>
      <c r="D2985" t="s">
        <v>3216</v>
      </c>
      <c r="E2985" t="s">
        <v>3223</v>
      </c>
      <c r="F2985" t="s">
        <v>3226</v>
      </c>
      <c r="G2985" s="4">
        <v>43579.53</v>
      </c>
      <c r="H2985" s="4">
        <v>29897.68</v>
      </c>
      <c r="I2985" s="3" t="s">
        <v>3734</v>
      </c>
      <c r="J2985">
        <v>5</v>
      </c>
      <c r="K2985" s="4">
        <f>Table3[[#This Row],[Sales]]-Table3[[#This Row],[Cost]]</f>
        <v>13681.849999999999</v>
      </c>
      <c r="L2985" s="6">
        <f>Table3[[#This Row],[Profit]]/Table3[[#This Row],[Sales]]</f>
        <v>0.31395129777673136</v>
      </c>
    </row>
    <row r="2986" spans="1:12" x14ac:dyDescent="0.25">
      <c r="A2986" t="s">
        <v>2639</v>
      </c>
      <c r="B2986" s="2">
        <v>45021</v>
      </c>
      <c r="C2986" s="2" t="str">
        <f>TEXT(Table3[[#This Row],[Order Date]],"mmmm")</f>
        <v>April</v>
      </c>
      <c r="D2986" t="s">
        <v>3220</v>
      </c>
      <c r="E2986" t="s">
        <v>3224</v>
      </c>
      <c r="F2986" t="s">
        <v>3226</v>
      </c>
      <c r="G2986" s="4">
        <v>241950.79</v>
      </c>
      <c r="H2986" s="4">
        <v>186512.42</v>
      </c>
      <c r="I2986" s="3" t="s">
        <v>3734</v>
      </c>
      <c r="J2986">
        <v>4</v>
      </c>
      <c r="K2986" s="4">
        <f>Table3[[#This Row],[Sales]]-Table3[[#This Row],[Cost]]</f>
        <v>55438.369999999995</v>
      </c>
      <c r="L2986" s="6">
        <f>Table3[[#This Row],[Profit]]/Table3[[#This Row],[Sales]]</f>
        <v>0.22913076663233872</v>
      </c>
    </row>
    <row r="2987" spans="1:12" x14ac:dyDescent="0.25">
      <c r="A2987" t="s">
        <v>2640</v>
      </c>
      <c r="B2987" s="2">
        <v>44972</v>
      </c>
      <c r="C2987" s="2" t="str">
        <f>TEXT(Table3[[#This Row],[Order Date]],"mmmm")</f>
        <v>February</v>
      </c>
      <c r="D2987" t="s">
        <v>3730</v>
      </c>
      <c r="E2987" t="s">
        <v>3225</v>
      </c>
      <c r="F2987" t="s">
        <v>3226</v>
      </c>
      <c r="G2987" s="4">
        <v>19962.86</v>
      </c>
      <c r="H2987" s="4">
        <v>12783.41</v>
      </c>
      <c r="I2987" s="3" t="s">
        <v>3734</v>
      </c>
      <c r="J2987" t="s">
        <v>3732</v>
      </c>
      <c r="K2987" s="4">
        <f>Table3[[#This Row],[Sales]]-Table3[[#This Row],[Cost]]</f>
        <v>7179.4500000000007</v>
      </c>
      <c r="L2987" s="6">
        <f>Table3[[#This Row],[Profit]]/Table3[[#This Row],[Sales]]</f>
        <v>0.35964035213391271</v>
      </c>
    </row>
    <row r="2988" spans="1:12" x14ac:dyDescent="0.25">
      <c r="A2988" t="s">
        <v>2641</v>
      </c>
      <c r="B2988" s="2" t="s">
        <v>3729</v>
      </c>
      <c r="C2988" s="2" t="str">
        <f>TEXT(Table3[[#This Row],[Order Date]],"mmmm")</f>
        <v>Not Mentioned</v>
      </c>
      <c r="D2988" t="s">
        <v>3220</v>
      </c>
      <c r="E2988" t="s">
        <v>3225</v>
      </c>
      <c r="F2988" t="s">
        <v>3226</v>
      </c>
      <c r="G2988" s="4">
        <v>22590.53</v>
      </c>
      <c r="H2988" s="4">
        <v>12632.23</v>
      </c>
      <c r="I2988" s="3" t="s">
        <v>3734</v>
      </c>
      <c r="J2988">
        <v>1</v>
      </c>
      <c r="K2988" s="4">
        <f>Table3[[#This Row],[Sales]]-Table3[[#This Row],[Cost]]</f>
        <v>9958.2999999999993</v>
      </c>
      <c r="L2988" s="6">
        <f>Table3[[#This Row],[Profit]]/Table3[[#This Row],[Sales]]</f>
        <v>0.44081745758067648</v>
      </c>
    </row>
    <row r="2989" spans="1:12" x14ac:dyDescent="0.25">
      <c r="A2989" t="s">
        <v>2642</v>
      </c>
      <c r="B2989" s="2">
        <v>44972</v>
      </c>
      <c r="C2989" s="2" t="str">
        <f>TEXT(Table3[[#This Row],[Order Date]],"mmmm")</f>
        <v>February</v>
      </c>
      <c r="D2989" t="s">
        <v>3730</v>
      </c>
      <c r="E2989" t="s">
        <v>3222</v>
      </c>
      <c r="F2989" t="s">
        <v>3226</v>
      </c>
      <c r="G2989" s="4">
        <v>34030.33</v>
      </c>
      <c r="H2989" s="4">
        <v>19948.96</v>
      </c>
      <c r="I2989" s="3" t="s">
        <v>3734</v>
      </c>
      <c r="J2989">
        <v>2</v>
      </c>
      <c r="K2989" s="4">
        <f>Table3[[#This Row],[Sales]]-Table3[[#This Row],[Cost]]</f>
        <v>14081.370000000003</v>
      </c>
      <c r="L2989" s="6">
        <f>Table3[[#This Row],[Profit]]/Table3[[#This Row],[Sales]]</f>
        <v>0.41378881721099975</v>
      </c>
    </row>
    <row r="2990" spans="1:12" x14ac:dyDescent="0.25">
      <c r="A2990" t="s">
        <v>2643</v>
      </c>
      <c r="B2990" s="2">
        <v>44941</v>
      </c>
      <c r="C2990" s="2" t="str">
        <f>TEXT(Table3[[#This Row],[Order Date]],"mmmm")</f>
        <v>January</v>
      </c>
      <c r="D2990" t="s">
        <v>3216</v>
      </c>
      <c r="E2990" t="s">
        <v>3222</v>
      </c>
      <c r="F2990" t="s">
        <v>3226</v>
      </c>
      <c r="G2990" s="4">
        <v>40118.699999999997</v>
      </c>
      <c r="H2990" s="4">
        <v>28040.91</v>
      </c>
      <c r="I2990" s="3" t="s">
        <v>3734</v>
      </c>
      <c r="J2990" t="s">
        <v>3732</v>
      </c>
      <c r="K2990" s="4">
        <f>Table3[[#This Row],[Sales]]-Table3[[#This Row],[Cost]]</f>
        <v>12077.789999999997</v>
      </c>
      <c r="L2990" s="6">
        <f>Table3[[#This Row],[Profit]]/Table3[[#This Row],[Sales]]</f>
        <v>0.30105138002976162</v>
      </c>
    </row>
    <row r="2991" spans="1:12" x14ac:dyDescent="0.25">
      <c r="A2991" t="s">
        <v>3320</v>
      </c>
      <c r="B2991" s="2">
        <v>45005</v>
      </c>
      <c r="C2991" s="2" t="str">
        <f>TEXT(Table3[[#This Row],[Order Date]],"mmmm")</f>
        <v>March</v>
      </c>
      <c r="D2991" t="s">
        <v>3731</v>
      </c>
      <c r="E2991" t="s">
        <v>3222</v>
      </c>
      <c r="F2991" t="s">
        <v>3226</v>
      </c>
      <c r="G2991" s="4">
        <v>50837.65</v>
      </c>
      <c r="H2991" s="4">
        <v>39674.980000000003</v>
      </c>
      <c r="I2991" s="3" t="s">
        <v>3734</v>
      </c>
      <c r="J2991">
        <v>4</v>
      </c>
      <c r="K2991" s="4">
        <f>Table3[[#This Row],[Sales]]-Table3[[#This Row],[Cost]]</f>
        <v>11162.669999999998</v>
      </c>
      <c r="L2991" s="6">
        <f>Table3[[#This Row],[Profit]]/Table3[[#This Row],[Sales]]</f>
        <v>0.21957486233136264</v>
      </c>
    </row>
    <row r="2992" spans="1:12" x14ac:dyDescent="0.25">
      <c r="A2992" t="s">
        <v>2412</v>
      </c>
      <c r="B2992" s="2">
        <v>45005</v>
      </c>
      <c r="C2992" s="2" t="str">
        <f>TEXT(Table3[[#This Row],[Order Date]],"mmmm")</f>
        <v>March</v>
      </c>
      <c r="D2992" t="s">
        <v>3220</v>
      </c>
      <c r="E2992" t="s">
        <v>3225</v>
      </c>
      <c r="F2992" t="s">
        <v>3226</v>
      </c>
      <c r="G2992" s="4">
        <v>118519.9</v>
      </c>
      <c r="H2992" s="4">
        <v>73422.38</v>
      </c>
      <c r="I2992" s="3" t="s">
        <v>3734</v>
      </c>
      <c r="J2992">
        <v>5</v>
      </c>
      <c r="K2992" s="4">
        <f>Table3[[#This Row],[Sales]]-Table3[[#This Row],[Cost]]</f>
        <v>45097.51999999999</v>
      </c>
      <c r="L2992" s="6">
        <f>Table3[[#This Row],[Profit]]/Table3[[#This Row],[Sales]]</f>
        <v>0.3805058897282228</v>
      </c>
    </row>
    <row r="2993" spans="1:12" x14ac:dyDescent="0.25">
      <c r="A2993" t="s">
        <v>2644</v>
      </c>
      <c r="B2993" s="2" t="s">
        <v>3729</v>
      </c>
      <c r="C2993" s="2" t="str">
        <f>TEXT(Table3[[#This Row],[Order Date]],"mmmm")</f>
        <v>Not Mentioned</v>
      </c>
      <c r="D2993" t="s">
        <v>3216</v>
      </c>
      <c r="E2993" t="s">
        <v>3222</v>
      </c>
      <c r="F2993" t="s">
        <v>3226</v>
      </c>
      <c r="G2993" s="4">
        <v>17956.080000000002</v>
      </c>
      <c r="H2993" s="4">
        <v>9370.93</v>
      </c>
      <c r="I2993" s="3" t="s">
        <v>3734</v>
      </c>
      <c r="J2993">
        <v>1</v>
      </c>
      <c r="K2993" s="4">
        <f>Table3[[#This Row],[Sales]]-Table3[[#This Row],[Cost]]</f>
        <v>8585.1500000000015</v>
      </c>
      <c r="L2993" s="6">
        <f>Table3[[#This Row],[Profit]]/Table3[[#This Row],[Sales]]</f>
        <v>0.47811938908715046</v>
      </c>
    </row>
    <row r="2994" spans="1:12" x14ac:dyDescent="0.25">
      <c r="A2994" t="s">
        <v>2245</v>
      </c>
      <c r="B2994" s="2" t="s">
        <v>3729</v>
      </c>
      <c r="C2994" s="2" t="str">
        <f>TEXT(Table3[[#This Row],[Order Date]],"mmmm")</f>
        <v>Not Mentioned</v>
      </c>
      <c r="D2994" t="s">
        <v>3730</v>
      </c>
      <c r="E2994" t="s">
        <v>3222</v>
      </c>
      <c r="F2994" t="s">
        <v>3226</v>
      </c>
      <c r="G2994" s="4">
        <v>17565.8</v>
      </c>
      <c r="H2994" s="4">
        <v>8696.58</v>
      </c>
      <c r="I2994" s="3" t="s">
        <v>3734</v>
      </c>
      <c r="J2994">
        <v>1</v>
      </c>
      <c r="K2994" s="4">
        <f>Table3[[#This Row],[Sales]]-Table3[[#This Row],[Cost]]</f>
        <v>8869.2199999999993</v>
      </c>
      <c r="L2994" s="6">
        <f>Table3[[#This Row],[Profit]]/Table3[[#This Row],[Sales]]</f>
        <v>0.50491409443350144</v>
      </c>
    </row>
    <row r="2995" spans="1:12" x14ac:dyDescent="0.25">
      <c r="A2995" t="s">
        <v>1378</v>
      </c>
      <c r="B2995" s="2" t="s">
        <v>3729</v>
      </c>
      <c r="C2995" s="2" t="str">
        <f>TEXT(Table3[[#This Row],[Order Date]],"mmmm")</f>
        <v>Not Mentioned</v>
      </c>
      <c r="D2995" t="s">
        <v>3730</v>
      </c>
      <c r="E2995" t="s">
        <v>3225</v>
      </c>
      <c r="F2995" t="s">
        <v>3226</v>
      </c>
      <c r="G2995" s="4">
        <v>34519.040000000001</v>
      </c>
      <c r="H2995" s="4">
        <v>24251.91</v>
      </c>
      <c r="I2995" s="3" t="s">
        <v>3734</v>
      </c>
      <c r="J2995">
        <v>2</v>
      </c>
      <c r="K2995" s="4">
        <f>Table3[[#This Row],[Sales]]-Table3[[#This Row],[Cost]]</f>
        <v>10267.130000000001</v>
      </c>
      <c r="L2995" s="6">
        <f>Table3[[#This Row],[Profit]]/Table3[[#This Row],[Sales]]</f>
        <v>0.29743382202981311</v>
      </c>
    </row>
    <row r="2996" spans="1:12" x14ac:dyDescent="0.25">
      <c r="A2996" t="s">
        <v>2645</v>
      </c>
      <c r="B2996" s="2">
        <v>45005</v>
      </c>
      <c r="C2996" s="2" t="str">
        <f>TEXT(Table3[[#This Row],[Order Date]],"mmmm")</f>
        <v>March</v>
      </c>
      <c r="D2996" t="s">
        <v>3731</v>
      </c>
      <c r="E2996" t="s">
        <v>3222</v>
      </c>
      <c r="F2996" t="s">
        <v>3226</v>
      </c>
      <c r="G2996" s="4">
        <v>49369.21</v>
      </c>
      <c r="H2996" s="4">
        <v>41806.68</v>
      </c>
      <c r="I2996" s="3" t="s">
        <v>3734</v>
      </c>
      <c r="J2996">
        <v>4</v>
      </c>
      <c r="K2996" s="4">
        <f>Table3[[#This Row],[Sales]]-Table3[[#This Row],[Cost]]</f>
        <v>7562.5299999999988</v>
      </c>
      <c r="L2996" s="6">
        <f>Table3[[#This Row],[Profit]]/Table3[[#This Row],[Sales]]</f>
        <v>0.15318312770246878</v>
      </c>
    </row>
    <row r="2997" spans="1:12" x14ac:dyDescent="0.25">
      <c r="A2997" t="s">
        <v>2646</v>
      </c>
      <c r="B2997" s="2">
        <v>45021</v>
      </c>
      <c r="C2997" s="2" t="str">
        <f>TEXT(Table3[[#This Row],[Order Date]],"mmmm")</f>
        <v>April</v>
      </c>
      <c r="D2997" t="s">
        <v>3220</v>
      </c>
      <c r="E2997" t="s">
        <v>3225</v>
      </c>
      <c r="F2997" t="s">
        <v>3226</v>
      </c>
      <c r="G2997" s="4">
        <v>92945.51</v>
      </c>
      <c r="H2997" s="4">
        <v>61811.519999999997</v>
      </c>
      <c r="I2997" s="3" t="s">
        <v>3734</v>
      </c>
      <c r="J2997">
        <v>5</v>
      </c>
      <c r="K2997" s="4">
        <f>Table3[[#This Row],[Sales]]-Table3[[#This Row],[Cost]]</f>
        <v>31133.989999999998</v>
      </c>
      <c r="L2997" s="6">
        <f>Table3[[#This Row],[Profit]]/Table3[[#This Row],[Sales]]</f>
        <v>0.33497034983185309</v>
      </c>
    </row>
    <row r="2998" spans="1:12" x14ac:dyDescent="0.25">
      <c r="A2998" t="s">
        <v>1056</v>
      </c>
      <c r="B2998" s="2" t="s">
        <v>3729</v>
      </c>
      <c r="C2998" s="2" t="str">
        <f>TEXT(Table3[[#This Row],[Order Date]],"mmmm")</f>
        <v>Not Mentioned</v>
      </c>
      <c r="D2998" t="s">
        <v>3220</v>
      </c>
      <c r="E2998" t="s">
        <v>3222</v>
      </c>
      <c r="F2998" t="s">
        <v>3226</v>
      </c>
      <c r="G2998" s="4">
        <v>37290.6</v>
      </c>
      <c r="H2998" s="4">
        <v>31876.04</v>
      </c>
      <c r="I2998" s="3" t="s">
        <v>3734</v>
      </c>
      <c r="J2998">
        <v>3</v>
      </c>
      <c r="K2998" s="4">
        <f>Table3[[#This Row],[Sales]]-Table3[[#This Row],[Cost]]</f>
        <v>5414.5599999999977</v>
      </c>
      <c r="L2998" s="6">
        <f>Table3[[#This Row],[Profit]]/Table3[[#This Row],[Sales]]</f>
        <v>0.14519905820769841</v>
      </c>
    </row>
    <row r="2999" spans="1:12" x14ac:dyDescent="0.25">
      <c r="A2999" t="s">
        <v>2647</v>
      </c>
      <c r="B2999" s="2" t="s">
        <v>3729</v>
      </c>
      <c r="C2999" s="2" t="str">
        <f>TEXT(Table3[[#This Row],[Order Date]],"mmmm")</f>
        <v>Not Mentioned</v>
      </c>
      <c r="D2999" t="s">
        <v>3730</v>
      </c>
      <c r="E2999" t="s">
        <v>3223</v>
      </c>
      <c r="F2999" t="s">
        <v>3226</v>
      </c>
      <c r="G2999" s="4">
        <v>22045.41</v>
      </c>
      <c r="H2999" s="4">
        <v>13440.29</v>
      </c>
      <c r="I2999" s="3" t="s">
        <v>3734</v>
      </c>
      <c r="J2999">
        <v>2</v>
      </c>
      <c r="K2999" s="4">
        <f>Table3[[#This Row],[Sales]]-Table3[[#This Row],[Cost]]</f>
        <v>8605.119999999999</v>
      </c>
      <c r="L2999" s="6">
        <f>Table3[[#This Row],[Profit]]/Table3[[#This Row],[Sales]]</f>
        <v>0.39033612892661096</v>
      </c>
    </row>
    <row r="3000" spans="1:12" x14ac:dyDescent="0.25">
      <c r="A3000" t="s">
        <v>2648</v>
      </c>
      <c r="B3000" s="2">
        <v>45021</v>
      </c>
      <c r="C3000" s="2" t="str">
        <f>TEXT(Table3[[#This Row],[Order Date]],"mmmm")</f>
        <v>April</v>
      </c>
      <c r="D3000" t="s">
        <v>3730</v>
      </c>
      <c r="E3000" t="s">
        <v>3223</v>
      </c>
      <c r="F3000" t="s">
        <v>3226</v>
      </c>
      <c r="G3000" s="4">
        <v>59298.9</v>
      </c>
      <c r="H3000" s="4">
        <v>47439.12</v>
      </c>
      <c r="I3000" s="3" t="s">
        <v>3735</v>
      </c>
      <c r="J3000">
        <v>5</v>
      </c>
      <c r="K3000" s="4">
        <f>Table3[[#This Row],[Sales]]-Table3[[#This Row],[Cost]]</f>
        <v>11859.779999999999</v>
      </c>
      <c r="L3000" s="6">
        <f>Table3[[#This Row],[Profit]]/Table3[[#This Row],[Sales]]</f>
        <v>0.19999999999999998</v>
      </c>
    </row>
    <row r="3001" spans="1:12" x14ac:dyDescent="0.25">
      <c r="A3001" t="s">
        <v>2649</v>
      </c>
      <c r="B3001" s="2">
        <v>44941</v>
      </c>
      <c r="C3001" s="2" t="str">
        <f>TEXT(Table3[[#This Row],[Order Date]],"mmmm")</f>
        <v>January</v>
      </c>
      <c r="D3001" t="s">
        <v>3730</v>
      </c>
      <c r="E3001" t="s">
        <v>3222</v>
      </c>
      <c r="F3001" t="s">
        <v>3226</v>
      </c>
      <c r="G3001" s="4">
        <v>31398.560000000001</v>
      </c>
      <c r="H3001" s="4">
        <v>18379.25</v>
      </c>
      <c r="I3001" s="3" t="s">
        <v>3734</v>
      </c>
      <c r="J3001">
        <v>2</v>
      </c>
      <c r="K3001" s="4">
        <f>Table3[[#This Row],[Sales]]-Table3[[#This Row],[Cost]]</f>
        <v>13019.310000000001</v>
      </c>
      <c r="L3001" s="6">
        <f>Table3[[#This Row],[Profit]]/Table3[[#This Row],[Sales]]</f>
        <v>0.41464672265224906</v>
      </c>
    </row>
    <row r="3002" spans="1:12" x14ac:dyDescent="0.25">
      <c r="A3002" t="s">
        <v>2650</v>
      </c>
      <c r="B3002" s="2">
        <v>44972</v>
      </c>
      <c r="C3002" s="2" t="str">
        <f>TEXT(Table3[[#This Row],[Order Date]],"mmmm")</f>
        <v>February</v>
      </c>
      <c r="D3002" t="s">
        <v>3730</v>
      </c>
      <c r="E3002" t="s">
        <v>3223</v>
      </c>
      <c r="F3002" t="s">
        <v>3226</v>
      </c>
      <c r="G3002" s="4">
        <v>16615.03</v>
      </c>
      <c r="H3002" s="4">
        <v>13519.48</v>
      </c>
      <c r="I3002" s="3" t="s">
        <v>3734</v>
      </c>
      <c r="J3002">
        <v>2</v>
      </c>
      <c r="K3002" s="4">
        <f>Table3[[#This Row],[Sales]]-Table3[[#This Row],[Cost]]</f>
        <v>3095.5499999999993</v>
      </c>
      <c r="L3002" s="6">
        <f>Table3[[#This Row],[Profit]]/Table3[[#This Row],[Sales]]</f>
        <v>0.18631022634325664</v>
      </c>
    </row>
    <row r="3003" spans="1:12" x14ac:dyDescent="0.25">
      <c r="A3003" t="s">
        <v>3506</v>
      </c>
      <c r="B3003" s="2" t="s">
        <v>3729</v>
      </c>
      <c r="C3003" s="2" t="str">
        <f>TEXT(Table3[[#This Row],[Order Date]],"mmmm")</f>
        <v>Not Mentioned</v>
      </c>
      <c r="D3003" t="s">
        <v>3216</v>
      </c>
      <c r="E3003" t="s">
        <v>3223</v>
      </c>
      <c r="F3003" t="s">
        <v>3226</v>
      </c>
      <c r="G3003" s="4">
        <v>22554.28</v>
      </c>
      <c r="H3003" s="4">
        <v>12785.29</v>
      </c>
      <c r="I3003" s="3" t="s">
        <v>3734</v>
      </c>
      <c r="J3003" t="s">
        <v>3732</v>
      </c>
      <c r="K3003" s="4">
        <f>Table3[[#This Row],[Sales]]-Table3[[#This Row],[Cost]]</f>
        <v>9768.989999999998</v>
      </c>
      <c r="L3003" s="6">
        <f>Table3[[#This Row],[Profit]]/Table3[[#This Row],[Sales]]</f>
        <v>0.43313242541992025</v>
      </c>
    </row>
    <row r="3004" spans="1:12" x14ac:dyDescent="0.25">
      <c r="A3004" t="s">
        <v>2651</v>
      </c>
      <c r="B3004" s="2" t="s">
        <v>3729</v>
      </c>
      <c r="C3004" s="2" t="str">
        <f>TEXT(Table3[[#This Row],[Order Date]],"mmmm")</f>
        <v>Not Mentioned</v>
      </c>
      <c r="D3004" t="s">
        <v>3220</v>
      </c>
      <c r="E3004" t="s">
        <v>3225</v>
      </c>
      <c r="F3004" t="s">
        <v>3226</v>
      </c>
      <c r="G3004" s="4">
        <v>93511.7</v>
      </c>
      <c r="H3004" s="4">
        <v>57655.040000000001</v>
      </c>
      <c r="I3004" s="3" t="s">
        <v>3734</v>
      </c>
      <c r="J3004">
        <v>4</v>
      </c>
      <c r="K3004" s="4">
        <f>Table3[[#This Row],[Sales]]-Table3[[#This Row],[Cost]]</f>
        <v>35856.659999999996</v>
      </c>
      <c r="L3004" s="6">
        <f>Table3[[#This Row],[Profit]]/Table3[[#This Row],[Sales]]</f>
        <v>0.38344570786329407</v>
      </c>
    </row>
    <row r="3005" spans="1:12" x14ac:dyDescent="0.25">
      <c r="A3005" t="s">
        <v>2652</v>
      </c>
      <c r="B3005" s="2" t="s">
        <v>3729</v>
      </c>
      <c r="C3005" s="2" t="str">
        <f>TEXT(Table3[[#This Row],[Order Date]],"mmmm")</f>
        <v>Not Mentioned</v>
      </c>
      <c r="D3005" t="s">
        <v>3730</v>
      </c>
      <c r="E3005" t="s">
        <v>3223</v>
      </c>
      <c r="F3005" t="s">
        <v>3226</v>
      </c>
      <c r="G3005" s="4">
        <v>46586.49</v>
      </c>
      <c r="H3005" s="4">
        <v>24445.53</v>
      </c>
      <c r="I3005" s="3" t="s">
        <v>3734</v>
      </c>
      <c r="J3005">
        <v>4</v>
      </c>
      <c r="K3005" s="4">
        <f>Table3[[#This Row],[Sales]]-Table3[[#This Row],[Cost]]</f>
        <v>22140.959999999999</v>
      </c>
      <c r="L3005" s="6">
        <f>Table3[[#This Row],[Profit]]/Table3[[#This Row],[Sales]]</f>
        <v>0.47526568324851259</v>
      </c>
    </row>
    <row r="3006" spans="1:12" x14ac:dyDescent="0.25">
      <c r="A3006" t="s">
        <v>2653</v>
      </c>
      <c r="B3006" s="2" t="s">
        <v>3729</v>
      </c>
      <c r="C3006" s="2" t="str">
        <f>TEXT(Table3[[#This Row],[Order Date]],"mmmm")</f>
        <v>Not Mentioned</v>
      </c>
      <c r="D3006" t="s">
        <v>3730</v>
      </c>
      <c r="E3006" t="s">
        <v>3225</v>
      </c>
      <c r="F3006" t="s">
        <v>3226</v>
      </c>
      <c r="G3006" s="4">
        <v>65698.880000000005</v>
      </c>
      <c r="H3006" s="4">
        <v>43919.68</v>
      </c>
      <c r="I3006" s="3" t="s">
        <v>3734</v>
      </c>
      <c r="J3006">
        <v>3</v>
      </c>
      <c r="K3006" s="4">
        <f>Table3[[#This Row],[Sales]]-Table3[[#This Row],[Cost]]</f>
        <v>21779.200000000004</v>
      </c>
      <c r="L3006" s="6">
        <f>Table3[[#This Row],[Profit]]/Table3[[#This Row],[Sales]]</f>
        <v>0.33150032390202089</v>
      </c>
    </row>
    <row r="3007" spans="1:12" x14ac:dyDescent="0.25">
      <c r="A3007" t="s">
        <v>2654</v>
      </c>
      <c r="B3007" s="2">
        <v>44972</v>
      </c>
      <c r="C3007" s="2" t="str">
        <f>TEXT(Table3[[#This Row],[Order Date]],"mmmm")</f>
        <v>February</v>
      </c>
      <c r="D3007" t="s">
        <v>3731</v>
      </c>
      <c r="E3007" t="s">
        <v>3224</v>
      </c>
      <c r="F3007" t="s">
        <v>3226</v>
      </c>
      <c r="G3007" s="4">
        <v>116763.58</v>
      </c>
      <c r="H3007" s="4">
        <v>93410.864000000001</v>
      </c>
      <c r="I3007" s="3" t="s">
        <v>3735</v>
      </c>
      <c r="J3007">
        <v>2</v>
      </c>
      <c r="K3007" s="4">
        <f>Table3[[#This Row],[Sales]]-Table3[[#This Row],[Cost]]</f>
        <v>23352.716</v>
      </c>
      <c r="L3007" s="6">
        <f>Table3[[#This Row],[Profit]]/Table3[[#This Row],[Sales]]</f>
        <v>0.2</v>
      </c>
    </row>
    <row r="3008" spans="1:12" x14ac:dyDescent="0.25">
      <c r="A3008" t="s">
        <v>2655</v>
      </c>
      <c r="B3008" s="2">
        <v>44972</v>
      </c>
      <c r="C3008" s="2" t="str">
        <f>TEXT(Table3[[#This Row],[Order Date]],"mmmm")</f>
        <v>February</v>
      </c>
      <c r="D3008" t="s">
        <v>3220</v>
      </c>
      <c r="E3008" t="s">
        <v>3225</v>
      </c>
      <c r="F3008" t="s">
        <v>3226</v>
      </c>
      <c r="G3008" s="4">
        <v>44527.51</v>
      </c>
      <c r="H3008" s="4">
        <v>35622.008000000002</v>
      </c>
      <c r="I3008" s="3" t="s">
        <v>3735</v>
      </c>
      <c r="J3008">
        <v>2</v>
      </c>
      <c r="K3008" s="4">
        <f>Table3[[#This Row],[Sales]]-Table3[[#This Row],[Cost]]</f>
        <v>8905.5020000000004</v>
      </c>
      <c r="L3008" s="6">
        <f>Table3[[#This Row],[Profit]]/Table3[[#This Row],[Sales]]</f>
        <v>0.2</v>
      </c>
    </row>
    <row r="3009" spans="1:12" x14ac:dyDescent="0.25">
      <c r="A3009" t="s">
        <v>3656</v>
      </c>
      <c r="B3009" s="2">
        <v>44941</v>
      </c>
      <c r="C3009" s="2" t="str">
        <f>TEXT(Table3[[#This Row],[Order Date]],"mmmm")</f>
        <v>January</v>
      </c>
      <c r="D3009" t="s">
        <v>3730</v>
      </c>
      <c r="E3009" t="s">
        <v>3224</v>
      </c>
      <c r="F3009" t="s">
        <v>3226</v>
      </c>
      <c r="G3009" s="4">
        <v>196717.78</v>
      </c>
      <c r="H3009" s="4">
        <v>144882.56</v>
      </c>
      <c r="I3009" s="3" t="s">
        <v>3734</v>
      </c>
      <c r="J3009">
        <v>3</v>
      </c>
      <c r="K3009" s="4">
        <f>Table3[[#This Row],[Sales]]-Table3[[#This Row],[Cost]]</f>
        <v>51835.22</v>
      </c>
      <c r="L3009" s="6">
        <f>Table3[[#This Row],[Profit]]/Table3[[#This Row],[Sales]]</f>
        <v>0.26350043193858735</v>
      </c>
    </row>
    <row r="3010" spans="1:12" x14ac:dyDescent="0.25">
      <c r="A3010" t="s">
        <v>2657</v>
      </c>
      <c r="B3010" s="2" t="s">
        <v>3729</v>
      </c>
      <c r="C3010" s="2" t="str">
        <f>TEXT(Table3[[#This Row],[Order Date]],"mmmm")</f>
        <v>Not Mentioned</v>
      </c>
      <c r="D3010" t="s">
        <v>3731</v>
      </c>
      <c r="E3010" t="s">
        <v>3225</v>
      </c>
      <c r="F3010" t="s">
        <v>3226</v>
      </c>
      <c r="G3010" s="4">
        <v>79850.73</v>
      </c>
      <c r="H3010" s="4">
        <v>55731.65</v>
      </c>
      <c r="I3010" s="3" t="s">
        <v>3734</v>
      </c>
      <c r="J3010">
        <v>4</v>
      </c>
      <c r="K3010" s="4">
        <f>Table3[[#This Row],[Sales]]-Table3[[#This Row],[Cost]]</f>
        <v>24119.079999999994</v>
      </c>
      <c r="L3010" s="6">
        <f>Table3[[#This Row],[Profit]]/Table3[[#This Row],[Sales]]</f>
        <v>0.30205209144612699</v>
      </c>
    </row>
    <row r="3011" spans="1:12" x14ac:dyDescent="0.25">
      <c r="A3011" t="s">
        <v>677</v>
      </c>
      <c r="B3011" s="2">
        <v>45102</v>
      </c>
      <c r="C3011" s="2" t="str">
        <f>TEXT(Table3[[#This Row],[Order Date]],"mmmm")</f>
        <v>June</v>
      </c>
      <c r="D3011" t="s">
        <v>3731</v>
      </c>
      <c r="E3011" t="s">
        <v>3222</v>
      </c>
      <c r="F3011" t="s">
        <v>3226</v>
      </c>
      <c r="G3011" s="4">
        <v>79107.59</v>
      </c>
      <c r="H3011" s="4">
        <v>52931.13</v>
      </c>
      <c r="I3011" s="3" t="s">
        <v>3734</v>
      </c>
      <c r="J3011">
        <v>5</v>
      </c>
      <c r="K3011" s="4">
        <f>Table3[[#This Row],[Sales]]-Table3[[#This Row],[Cost]]</f>
        <v>26176.46</v>
      </c>
      <c r="L3011" s="6">
        <f>Table3[[#This Row],[Profit]]/Table3[[#This Row],[Sales]]</f>
        <v>0.33089694680371379</v>
      </c>
    </row>
    <row r="3012" spans="1:12" x14ac:dyDescent="0.25">
      <c r="A3012" t="s">
        <v>1236</v>
      </c>
      <c r="B3012" s="2">
        <v>44972</v>
      </c>
      <c r="C3012" s="2" t="str">
        <f>TEXT(Table3[[#This Row],[Order Date]],"mmmm")</f>
        <v>February</v>
      </c>
      <c r="D3012" t="s">
        <v>3220</v>
      </c>
      <c r="E3012" t="s">
        <v>3225</v>
      </c>
      <c r="F3012" t="s">
        <v>3226</v>
      </c>
      <c r="G3012" s="4">
        <v>71549.279999999999</v>
      </c>
      <c r="H3012" s="4">
        <v>42631.68</v>
      </c>
      <c r="I3012" s="3" t="s">
        <v>3734</v>
      </c>
      <c r="J3012" t="s">
        <v>3732</v>
      </c>
      <c r="K3012" s="4">
        <f>Table3[[#This Row],[Sales]]-Table3[[#This Row],[Cost]]</f>
        <v>28917.599999999999</v>
      </c>
      <c r="L3012" s="6">
        <f>Table3[[#This Row],[Profit]]/Table3[[#This Row],[Sales]]</f>
        <v>0.40416339619350466</v>
      </c>
    </row>
    <row r="3013" spans="1:12" x14ac:dyDescent="0.25">
      <c r="A3013" t="s">
        <v>2658</v>
      </c>
      <c r="B3013" s="2">
        <v>45021</v>
      </c>
      <c r="C3013" s="2" t="str">
        <f>TEXT(Table3[[#This Row],[Order Date]],"mmmm")</f>
        <v>April</v>
      </c>
      <c r="D3013" t="s">
        <v>3216</v>
      </c>
      <c r="E3013" t="s">
        <v>3224</v>
      </c>
      <c r="F3013" t="s">
        <v>3226</v>
      </c>
      <c r="G3013" s="4">
        <v>105030.95</v>
      </c>
      <c r="H3013" s="4">
        <v>88247.35</v>
      </c>
      <c r="I3013" s="3" t="s">
        <v>3734</v>
      </c>
      <c r="J3013">
        <v>2</v>
      </c>
      <c r="K3013" s="4">
        <f>Table3[[#This Row],[Sales]]-Table3[[#This Row],[Cost]]</f>
        <v>16783.599999999991</v>
      </c>
      <c r="L3013" s="6">
        <f>Table3[[#This Row],[Profit]]/Table3[[#This Row],[Sales]]</f>
        <v>0.15979670754191971</v>
      </c>
    </row>
    <row r="3014" spans="1:12" x14ac:dyDescent="0.25">
      <c r="A3014" t="s">
        <v>3657</v>
      </c>
      <c r="B3014" s="2" t="s">
        <v>3729</v>
      </c>
      <c r="C3014" s="2" t="str">
        <f>TEXT(Table3[[#This Row],[Order Date]],"mmmm")</f>
        <v>Not Mentioned</v>
      </c>
      <c r="D3014" t="s">
        <v>3216</v>
      </c>
      <c r="E3014" t="s">
        <v>3223</v>
      </c>
      <c r="F3014" t="s">
        <v>3226</v>
      </c>
      <c r="G3014" s="4">
        <v>57972.08</v>
      </c>
      <c r="H3014" s="4">
        <v>37457.67</v>
      </c>
      <c r="I3014" s="3" t="s">
        <v>3734</v>
      </c>
      <c r="J3014">
        <v>5</v>
      </c>
      <c r="K3014" s="4">
        <f>Table3[[#This Row],[Sales]]-Table3[[#This Row],[Cost]]</f>
        <v>20514.410000000003</v>
      </c>
      <c r="L3014" s="6">
        <f>Table3[[#This Row],[Profit]]/Table3[[#This Row],[Sales]]</f>
        <v>0.35386706842328242</v>
      </c>
    </row>
    <row r="3015" spans="1:12" x14ac:dyDescent="0.25">
      <c r="A3015" t="s">
        <v>2660</v>
      </c>
      <c r="B3015" s="2">
        <v>45005</v>
      </c>
      <c r="C3015" s="2" t="str">
        <f>TEXT(Table3[[#This Row],[Order Date]],"mmmm")</f>
        <v>March</v>
      </c>
      <c r="D3015" t="s">
        <v>3730</v>
      </c>
      <c r="E3015" t="s">
        <v>3225</v>
      </c>
      <c r="F3015" t="s">
        <v>3226</v>
      </c>
      <c r="G3015" s="4">
        <v>35627.480000000003</v>
      </c>
      <c r="H3015" s="4">
        <v>28501.984000000004</v>
      </c>
      <c r="I3015" s="3" t="s">
        <v>3735</v>
      </c>
      <c r="J3015">
        <v>2</v>
      </c>
      <c r="K3015" s="4">
        <f>Table3[[#This Row],[Sales]]-Table3[[#This Row],[Cost]]</f>
        <v>7125.4959999999992</v>
      </c>
      <c r="L3015" s="6">
        <f>Table3[[#This Row],[Profit]]/Table3[[#This Row],[Sales]]</f>
        <v>0.19999999999999996</v>
      </c>
    </row>
    <row r="3016" spans="1:12" x14ac:dyDescent="0.25">
      <c r="A3016" t="s">
        <v>3658</v>
      </c>
      <c r="B3016" s="2">
        <v>45005</v>
      </c>
      <c r="C3016" s="2" t="str">
        <f>TEXT(Table3[[#This Row],[Order Date]],"mmmm")</f>
        <v>March</v>
      </c>
      <c r="D3016" t="s">
        <v>3220</v>
      </c>
      <c r="E3016" t="s">
        <v>3222</v>
      </c>
      <c r="F3016" t="s">
        <v>3226</v>
      </c>
      <c r="G3016" s="4">
        <v>39731.1</v>
      </c>
      <c r="H3016" s="4">
        <v>28586.29</v>
      </c>
      <c r="I3016" s="3" t="s">
        <v>3734</v>
      </c>
      <c r="J3016">
        <v>3</v>
      </c>
      <c r="K3016" s="4">
        <f>Table3[[#This Row],[Sales]]-Table3[[#This Row],[Cost]]</f>
        <v>11144.809999999998</v>
      </c>
      <c r="L3016" s="6">
        <f>Table3[[#This Row],[Profit]]/Table3[[#This Row],[Sales]]</f>
        <v>0.28050595125732736</v>
      </c>
    </row>
    <row r="3017" spans="1:12" x14ac:dyDescent="0.25">
      <c r="A3017" t="s">
        <v>2662</v>
      </c>
      <c r="B3017" s="2" t="s">
        <v>3729</v>
      </c>
      <c r="C3017" s="2" t="str">
        <f>TEXT(Table3[[#This Row],[Order Date]],"mmmm")</f>
        <v>Not Mentioned</v>
      </c>
      <c r="D3017" t="s">
        <v>3216</v>
      </c>
      <c r="E3017" t="s">
        <v>3224</v>
      </c>
      <c r="F3017" t="s">
        <v>3226</v>
      </c>
      <c r="G3017" s="4">
        <v>54018.96</v>
      </c>
      <c r="H3017" s="4">
        <v>43432.17</v>
      </c>
      <c r="I3017" s="3" t="s">
        <v>3734</v>
      </c>
      <c r="J3017" t="s">
        <v>3732</v>
      </c>
      <c r="K3017" s="4">
        <f>Table3[[#This Row],[Sales]]-Table3[[#This Row],[Cost]]</f>
        <v>10586.79</v>
      </c>
      <c r="L3017" s="6">
        <f>Table3[[#This Row],[Profit]]/Table3[[#This Row],[Sales]]</f>
        <v>0.19598285490872094</v>
      </c>
    </row>
    <row r="3018" spans="1:12" x14ac:dyDescent="0.25">
      <c r="A3018" t="s">
        <v>2663</v>
      </c>
      <c r="B3018" s="2">
        <v>44941</v>
      </c>
      <c r="C3018" s="2" t="str">
        <f>TEXT(Table3[[#This Row],[Order Date]],"mmmm")</f>
        <v>January</v>
      </c>
      <c r="D3018" t="s">
        <v>3731</v>
      </c>
      <c r="E3018" t="s">
        <v>3222</v>
      </c>
      <c r="F3018" t="s">
        <v>3226</v>
      </c>
      <c r="G3018" s="4">
        <v>28587.27</v>
      </c>
      <c r="H3018" s="4">
        <v>18231.93</v>
      </c>
      <c r="I3018" s="3" t="s">
        <v>3734</v>
      </c>
      <c r="J3018">
        <v>2</v>
      </c>
      <c r="K3018" s="4">
        <f>Table3[[#This Row],[Sales]]-Table3[[#This Row],[Cost]]</f>
        <v>10355.34</v>
      </c>
      <c r="L3018" s="6">
        <f>Table3[[#This Row],[Profit]]/Table3[[#This Row],[Sales]]</f>
        <v>0.36223605821752131</v>
      </c>
    </row>
    <row r="3019" spans="1:12" x14ac:dyDescent="0.25">
      <c r="A3019" t="s">
        <v>2664</v>
      </c>
      <c r="B3019" s="2" t="s">
        <v>3729</v>
      </c>
      <c r="C3019" s="2" t="str">
        <f>TEXT(Table3[[#This Row],[Order Date]],"mmmm")</f>
        <v>Not Mentioned</v>
      </c>
      <c r="D3019" t="s">
        <v>3731</v>
      </c>
      <c r="E3019" t="s">
        <v>3222</v>
      </c>
      <c r="F3019" t="s">
        <v>3226</v>
      </c>
      <c r="G3019" s="4">
        <v>72537.539999999994</v>
      </c>
      <c r="H3019" s="4">
        <v>46421.26</v>
      </c>
      <c r="I3019" s="3" t="s">
        <v>3734</v>
      </c>
      <c r="J3019">
        <v>5</v>
      </c>
      <c r="K3019" s="4">
        <f>Table3[[#This Row],[Sales]]-Table3[[#This Row],[Cost]]</f>
        <v>26116.279999999992</v>
      </c>
      <c r="L3019" s="6">
        <f>Table3[[#This Row],[Profit]]/Table3[[#This Row],[Sales]]</f>
        <v>0.36003812646527567</v>
      </c>
    </row>
    <row r="3020" spans="1:12" x14ac:dyDescent="0.25">
      <c r="A3020" t="s">
        <v>2665</v>
      </c>
      <c r="B3020" s="2">
        <v>44972</v>
      </c>
      <c r="C3020" s="2" t="str">
        <f>TEXT(Table3[[#This Row],[Order Date]],"mmmm")</f>
        <v>February</v>
      </c>
      <c r="D3020" t="s">
        <v>3730</v>
      </c>
      <c r="E3020" t="s">
        <v>3225</v>
      </c>
      <c r="F3020" t="s">
        <v>3226</v>
      </c>
      <c r="G3020" s="4">
        <v>60562.99</v>
      </c>
      <c r="H3020" s="4">
        <v>43517.8</v>
      </c>
      <c r="I3020" s="3" t="s">
        <v>3734</v>
      </c>
      <c r="J3020">
        <v>3</v>
      </c>
      <c r="K3020" s="4">
        <f>Table3[[#This Row],[Sales]]-Table3[[#This Row],[Cost]]</f>
        <v>17045.189999999995</v>
      </c>
      <c r="L3020" s="6">
        <f>Table3[[#This Row],[Profit]]/Table3[[#This Row],[Sales]]</f>
        <v>0.28144564857184223</v>
      </c>
    </row>
    <row r="3021" spans="1:12" x14ac:dyDescent="0.25">
      <c r="A3021" t="s">
        <v>3468</v>
      </c>
      <c r="B3021" s="2">
        <v>45102</v>
      </c>
      <c r="C3021" s="2" t="str">
        <f>TEXT(Table3[[#This Row],[Order Date]],"mmmm")</f>
        <v>June</v>
      </c>
      <c r="D3021" t="s">
        <v>3730</v>
      </c>
      <c r="E3021" t="s">
        <v>3222</v>
      </c>
      <c r="F3021" t="s">
        <v>3226</v>
      </c>
      <c r="G3021" s="4">
        <v>83015.13</v>
      </c>
      <c r="H3021" s="4">
        <v>44995.63</v>
      </c>
      <c r="I3021" s="3" t="s">
        <v>3734</v>
      </c>
      <c r="J3021">
        <v>5</v>
      </c>
      <c r="K3021" s="4">
        <f>Table3[[#This Row],[Sales]]-Table3[[#This Row],[Cost]]</f>
        <v>38019.500000000007</v>
      </c>
      <c r="L3021" s="6">
        <f>Table3[[#This Row],[Profit]]/Table3[[#This Row],[Sales]]</f>
        <v>0.45798277976556812</v>
      </c>
    </row>
    <row r="3022" spans="1:12" x14ac:dyDescent="0.25">
      <c r="A3022" t="s">
        <v>2666</v>
      </c>
      <c r="B3022" s="2">
        <v>44972</v>
      </c>
      <c r="C3022" s="2" t="str">
        <f>TEXT(Table3[[#This Row],[Order Date]],"mmmm")</f>
        <v>February</v>
      </c>
      <c r="D3022" t="s">
        <v>3730</v>
      </c>
      <c r="E3022" t="s">
        <v>3224</v>
      </c>
      <c r="F3022" t="s">
        <v>3226</v>
      </c>
      <c r="G3022" s="4">
        <v>212410.22</v>
      </c>
      <c r="H3022" s="4">
        <v>183269.61</v>
      </c>
      <c r="I3022" s="3" t="s">
        <v>3734</v>
      </c>
      <c r="J3022">
        <v>4</v>
      </c>
      <c r="K3022" s="4">
        <f>Table3[[#This Row],[Sales]]-Table3[[#This Row],[Cost]]</f>
        <v>29140.610000000015</v>
      </c>
      <c r="L3022" s="6">
        <f>Table3[[#This Row],[Profit]]/Table3[[#This Row],[Sales]]</f>
        <v>0.13719024442420905</v>
      </c>
    </row>
    <row r="3023" spans="1:12" x14ac:dyDescent="0.25">
      <c r="A3023" t="s">
        <v>3373</v>
      </c>
      <c r="B3023" s="2" t="s">
        <v>3729</v>
      </c>
      <c r="C3023" s="2" t="str">
        <f>TEXT(Table3[[#This Row],[Order Date]],"mmmm")</f>
        <v>Not Mentioned</v>
      </c>
      <c r="D3023" t="s">
        <v>3216</v>
      </c>
      <c r="E3023" t="s">
        <v>3222</v>
      </c>
      <c r="F3023" t="s">
        <v>3226</v>
      </c>
      <c r="G3023" s="4">
        <v>46309.02</v>
      </c>
      <c r="H3023" s="4">
        <v>27164.98</v>
      </c>
      <c r="I3023" s="3" t="s">
        <v>3734</v>
      </c>
      <c r="J3023">
        <v>3</v>
      </c>
      <c r="K3023" s="4">
        <f>Table3[[#This Row],[Sales]]-Table3[[#This Row],[Cost]]</f>
        <v>19144.039999999997</v>
      </c>
      <c r="L3023" s="6">
        <f>Table3[[#This Row],[Profit]]/Table3[[#This Row],[Sales]]</f>
        <v>0.41339764909730325</v>
      </c>
    </row>
    <row r="3024" spans="1:12" x14ac:dyDescent="0.25">
      <c r="A3024" t="s">
        <v>2667</v>
      </c>
      <c r="B3024" s="2">
        <v>45005</v>
      </c>
      <c r="C3024" s="2" t="str">
        <f>TEXT(Table3[[#This Row],[Order Date]],"mmmm")</f>
        <v>March</v>
      </c>
      <c r="D3024" t="s">
        <v>3730</v>
      </c>
      <c r="E3024" t="s">
        <v>3225</v>
      </c>
      <c r="F3024" t="s">
        <v>3226</v>
      </c>
      <c r="G3024" s="4">
        <v>35590.080000000002</v>
      </c>
      <c r="H3024" s="4">
        <v>24352.38</v>
      </c>
      <c r="I3024" s="3" t="s">
        <v>3734</v>
      </c>
      <c r="J3024">
        <v>2</v>
      </c>
      <c r="K3024" s="4">
        <f>Table3[[#This Row],[Sales]]-Table3[[#This Row],[Cost]]</f>
        <v>11237.7</v>
      </c>
      <c r="L3024" s="6">
        <f>Table3[[#This Row],[Profit]]/Table3[[#This Row],[Sales]]</f>
        <v>0.31575371564211152</v>
      </c>
    </row>
    <row r="3025" spans="1:12" x14ac:dyDescent="0.25">
      <c r="A3025" t="s">
        <v>2668</v>
      </c>
      <c r="B3025" s="2">
        <v>45102</v>
      </c>
      <c r="C3025" s="2" t="str">
        <f>TEXT(Table3[[#This Row],[Order Date]],"mmmm")</f>
        <v>June</v>
      </c>
      <c r="D3025" t="s">
        <v>3730</v>
      </c>
      <c r="E3025" t="s">
        <v>3225</v>
      </c>
      <c r="F3025" t="s">
        <v>3226</v>
      </c>
      <c r="G3025" s="4">
        <v>55142.59</v>
      </c>
      <c r="H3025" s="4">
        <v>44114.072</v>
      </c>
      <c r="I3025" s="3" t="s">
        <v>3735</v>
      </c>
      <c r="J3025">
        <v>3</v>
      </c>
      <c r="K3025" s="4">
        <f>Table3[[#This Row],[Sales]]-Table3[[#This Row],[Cost]]</f>
        <v>11028.517999999996</v>
      </c>
      <c r="L3025" s="6">
        <f>Table3[[#This Row],[Profit]]/Table3[[#This Row],[Sales]]</f>
        <v>0.19999999999999996</v>
      </c>
    </row>
    <row r="3026" spans="1:12" x14ac:dyDescent="0.25">
      <c r="A3026" t="s">
        <v>2669</v>
      </c>
      <c r="B3026" s="2">
        <v>45005</v>
      </c>
      <c r="C3026" s="2" t="str">
        <f>TEXT(Table3[[#This Row],[Order Date]],"mmmm")</f>
        <v>March</v>
      </c>
      <c r="D3026" t="s">
        <v>3731</v>
      </c>
      <c r="E3026" t="s">
        <v>3225</v>
      </c>
      <c r="F3026" t="s">
        <v>3226</v>
      </c>
      <c r="G3026" s="4">
        <v>104548.75</v>
      </c>
      <c r="H3026" s="4">
        <v>61071.11</v>
      </c>
      <c r="I3026" s="3" t="s">
        <v>3734</v>
      </c>
      <c r="J3026">
        <v>5</v>
      </c>
      <c r="K3026" s="4">
        <f>Table3[[#This Row],[Sales]]-Table3[[#This Row],[Cost]]</f>
        <v>43477.64</v>
      </c>
      <c r="L3026" s="6">
        <f>Table3[[#This Row],[Profit]]/Table3[[#This Row],[Sales]]</f>
        <v>0.41585996963139205</v>
      </c>
    </row>
    <row r="3027" spans="1:12" x14ac:dyDescent="0.25">
      <c r="A3027" t="s">
        <v>2671</v>
      </c>
      <c r="B3027" s="2">
        <v>44941</v>
      </c>
      <c r="C3027" s="2" t="str">
        <f>TEXT(Table3[[#This Row],[Order Date]],"mmmm")</f>
        <v>January</v>
      </c>
      <c r="D3027" t="s">
        <v>3731</v>
      </c>
      <c r="E3027" t="s">
        <v>3223</v>
      </c>
      <c r="F3027" t="s">
        <v>3226</v>
      </c>
      <c r="G3027" s="4">
        <v>24184.23</v>
      </c>
      <c r="H3027" s="4">
        <v>21440.639999999999</v>
      </c>
      <c r="I3027" s="3" t="s">
        <v>3734</v>
      </c>
      <c r="J3027">
        <v>3</v>
      </c>
      <c r="K3027" s="4">
        <f>Table3[[#This Row],[Sales]]-Table3[[#This Row],[Cost]]</f>
        <v>2743.59</v>
      </c>
      <c r="L3027" s="6">
        <f>Table3[[#This Row],[Profit]]/Table3[[#This Row],[Sales]]</f>
        <v>0.11344541463590117</v>
      </c>
    </row>
    <row r="3028" spans="1:12" x14ac:dyDescent="0.25">
      <c r="A3028" t="s">
        <v>2672</v>
      </c>
      <c r="B3028" s="2">
        <v>44941</v>
      </c>
      <c r="C3028" s="2" t="str">
        <f>TEXT(Table3[[#This Row],[Order Date]],"mmmm")</f>
        <v>January</v>
      </c>
      <c r="D3028" t="s">
        <v>3730</v>
      </c>
      <c r="E3028" t="s">
        <v>3225</v>
      </c>
      <c r="F3028" t="s">
        <v>3226</v>
      </c>
      <c r="G3028" s="4">
        <v>23063.58</v>
      </c>
      <c r="H3028" s="4">
        <v>12872.95</v>
      </c>
      <c r="I3028" s="3" t="s">
        <v>3734</v>
      </c>
      <c r="J3028">
        <v>1</v>
      </c>
      <c r="K3028" s="4">
        <f>Table3[[#This Row],[Sales]]-Table3[[#This Row],[Cost]]</f>
        <v>10190.630000000001</v>
      </c>
      <c r="L3028" s="6">
        <f>Table3[[#This Row],[Profit]]/Table3[[#This Row],[Sales]]</f>
        <v>0.44184944401519627</v>
      </c>
    </row>
    <row r="3029" spans="1:12" x14ac:dyDescent="0.25">
      <c r="A3029" t="s">
        <v>2673</v>
      </c>
      <c r="B3029" s="2" t="s">
        <v>3729</v>
      </c>
      <c r="C3029" s="2" t="str">
        <f>TEXT(Table3[[#This Row],[Order Date]],"mmmm")</f>
        <v>Not Mentioned</v>
      </c>
      <c r="D3029" t="s">
        <v>3220</v>
      </c>
      <c r="E3029" t="s">
        <v>3225</v>
      </c>
      <c r="F3029" t="s">
        <v>3226</v>
      </c>
      <c r="G3029" s="4">
        <v>18334.919999999998</v>
      </c>
      <c r="H3029" s="4">
        <v>15062.05</v>
      </c>
      <c r="I3029" s="3" t="s">
        <v>3734</v>
      </c>
      <c r="J3029">
        <v>1</v>
      </c>
      <c r="K3029" s="4">
        <f>Table3[[#This Row],[Sales]]-Table3[[#This Row],[Cost]]</f>
        <v>3272.869999999999</v>
      </c>
      <c r="L3029" s="6">
        <f>Table3[[#This Row],[Profit]]/Table3[[#This Row],[Sales]]</f>
        <v>0.1785047330449219</v>
      </c>
    </row>
    <row r="3030" spans="1:12" x14ac:dyDescent="0.25">
      <c r="A3030" t="s">
        <v>3479</v>
      </c>
      <c r="B3030" s="2">
        <v>45102</v>
      </c>
      <c r="C3030" s="2" t="str">
        <f>TEXT(Table3[[#This Row],[Order Date]],"mmmm")</f>
        <v>June</v>
      </c>
      <c r="D3030" t="s">
        <v>3216</v>
      </c>
      <c r="E3030" t="s">
        <v>3225</v>
      </c>
      <c r="F3030" t="s">
        <v>3226</v>
      </c>
      <c r="G3030" s="4">
        <v>49637.56</v>
      </c>
      <c r="H3030" s="4">
        <v>43945.97</v>
      </c>
      <c r="I3030" s="3" t="s">
        <v>3734</v>
      </c>
      <c r="J3030">
        <v>3</v>
      </c>
      <c r="K3030" s="4">
        <f>Table3[[#This Row],[Sales]]-Table3[[#This Row],[Cost]]</f>
        <v>5691.5899999999965</v>
      </c>
      <c r="L3030" s="6">
        <f>Table3[[#This Row],[Profit]]/Table3[[#This Row],[Sales]]</f>
        <v>0.11466296892917373</v>
      </c>
    </row>
    <row r="3031" spans="1:12" x14ac:dyDescent="0.25">
      <c r="A3031" t="s">
        <v>3476</v>
      </c>
      <c r="B3031" s="2">
        <v>44972</v>
      </c>
      <c r="C3031" s="2" t="str">
        <f>TEXT(Table3[[#This Row],[Order Date]],"mmmm")</f>
        <v>February</v>
      </c>
      <c r="D3031" t="s">
        <v>3731</v>
      </c>
      <c r="E3031" t="s">
        <v>3223</v>
      </c>
      <c r="F3031" t="s">
        <v>3226</v>
      </c>
      <c r="G3031" s="4">
        <v>8698.94</v>
      </c>
      <c r="H3031" s="4">
        <v>6615.84</v>
      </c>
      <c r="I3031" s="3" t="s">
        <v>3734</v>
      </c>
      <c r="J3031">
        <v>1</v>
      </c>
      <c r="K3031" s="4">
        <f>Table3[[#This Row],[Sales]]-Table3[[#This Row],[Cost]]</f>
        <v>2083.1000000000004</v>
      </c>
      <c r="L3031" s="6">
        <f>Table3[[#This Row],[Profit]]/Table3[[#This Row],[Sales]]</f>
        <v>0.23946595792130998</v>
      </c>
    </row>
    <row r="3032" spans="1:12" x14ac:dyDescent="0.25">
      <c r="A3032" t="s">
        <v>2674</v>
      </c>
      <c r="B3032" s="2">
        <v>44941</v>
      </c>
      <c r="C3032" s="2" t="str">
        <f>TEXT(Table3[[#This Row],[Order Date]],"mmmm")</f>
        <v>January</v>
      </c>
      <c r="D3032" t="s">
        <v>3730</v>
      </c>
      <c r="E3032" t="s">
        <v>3223</v>
      </c>
      <c r="F3032" t="s">
        <v>3226</v>
      </c>
      <c r="G3032" s="4">
        <v>10882.51</v>
      </c>
      <c r="H3032" s="4">
        <v>7218.88</v>
      </c>
      <c r="I3032" s="3" t="s">
        <v>3734</v>
      </c>
      <c r="J3032">
        <v>1</v>
      </c>
      <c r="K3032" s="4">
        <f>Table3[[#This Row],[Sales]]-Table3[[#This Row],[Cost]]</f>
        <v>3663.63</v>
      </c>
      <c r="L3032" s="6">
        <f>Table3[[#This Row],[Profit]]/Table3[[#This Row],[Sales]]</f>
        <v>0.33665303316973749</v>
      </c>
    </row>
    <row r="3033" spans="1:12" x14ac:dyDescent="0.25">
      <c r="A3033" t="s">
        <v>3447</v>
      </c>
      <c r="B3033" s="2">
        <v>45021</v>
      </c>
      <c r="C3033" s="2" t="str">
        <f>TEXT(Table3[[#This Row],[Order Date]],"mmmm")</f>
        <v>April</v>
      </c>
      <c r="D3033" t="s">
        <v>3731</v>
      </c>
      <c r="E3033" t="s">
        <v>3225</v>
      </c>
      <c r="F3033" t="s">
        <v>3226</v>
      </c>
      <c r="G3033" s="4">
        <v>119567.26</v>
      </c>
      <c r="H3033" s="4">
        <v>62914.48</v>
      </c>
      <c r="I3033" s="3" t="s">
        <v>3734</v>
      </c>
      <c r="J3033">
        <v>5</v>
      </c>
      <c r="K3033" s="4">
        <f>Table3[[#This Row],[Sales]]-Table3[[#This Row],[Cost]]</f>
        <v>56652.779999999992</v>
      </c>
      <c r="L3033" s="6">
        <f>Table3[[#This Row],[Profit]]/Table3[[#This Row],[Sales]]</f>
        <v>0.47381515642325495</v>
      </c>
    </row>
    <row r="3034" spans="1:12" x14ac:dyDescent="0.25">
      <c r="A3034" t="s">
        <v>3659</v>
      </c>
      <c r="B3034" s="2">
        <v>45021</v>
      </c>
      <c r="C3034" s="2" t="str">
        <f>TEXT(Table3[[#This Row],[Order Date]],"mmmm")</f>
        <v>April</v>
      </c>
      <c r="D3034" t="s">
        <v>3730</v>
      </c>
      <c r="E3034" t="s">
        <v>3223</v>
      </c>
      <c r="F3034" t="s">
        <v>3226</v>
      </c>
      <c r="G3034" s="4">
        <v>37366.629999999997</v>
      </c>
      <c r="H3034" s="4">
        <v>29473.41</v>
      </c>
      <c r="I3034" s="3" t="s">
        <v>3734</v>
      </c>
      <c r="J3034">
        <v>4</v>
      </c>
      <c r="K3034" s="4">
        <f>Table3[[#This Row],[Sales]]-Table3[[#This Row],[Cost]]</f>
        <v>7893.2199999999975</v>
      </c>
      <c r="L3034" s="6">
        <f>Table3[[#This Row],[Profit]]/Table3[[#This Row],[Sales]]</f>
        <v>0.21123713859130455</v>
      </c>
    </row>
    <row r="3035" spans="1:12" x14ac:dyDescent="0.25">
      <c r="A3035" t="s">
        <v>717</v>
      </c>
      <c r="B3035" s="2">
        <v>45021</v>
      </c>
      <c r="C3035" s="2" t="str">
        <f>TEXT(Table3[[#This Row],[Order Date]],"mmmm")</f>
        <v>April</v>
      </c>
      <c r="D3035" t="s">
        <v>3730</v>
      </c>
      <c r="E3035" t="s">
        <v>3225</v>
      </c>
      <c r="F3035" t="s">
        <v>3226</v>
      </c>
      <c r="G3035" s="4">
        <v>54632.14</v>
      </c>
      <c r="H3035" s="4">
        <v>41743.79</v>
      </c>
      <c r="I3035" s="3" t="s">
        <v>3734</v>
      </c>
      <c r="J3035">
        <v>3</v>
      </c>
      <c r="K3035" s="4">
        <f>Table3[[#This Row],[Sales]]-Table3[[#This Row],[Cost]]</f>
        <v>12888.349999999999</v>
      </c>
      <c r="L3035" s="6">
        <f>Table3[[#This Row],[Profit]]/Table3[[#This Row],[Sales]]</f>
        <v>0.23591149824993124</v>
      </c>
    </row>
    <row r="3036" spans="1:12" x14ac:dyDescent="0.25">
      <c r="A3036" t="s">
        <v>2676</v>
      </c>
      <c r="B3036" s="2" t="s">
        <v>3729</v>
      </c>
      <c r="C3036" s="2" t="str">
        <f>TEXT(Table3[[#This Row],[Order Date]],"mmmm")</f>
        <v>Not Mentioned</v>
      </c>
      <c r="D3036" t="s">
        <v>3216</v>
      </c>
      <c r="E3036" t="s">
        <v>3225</v>
      </c>
      <c r="F3036" t="s">
        <v>3226</v>
      </c>
      <c r="G3036" s="4">
        <v>40382.080000000002</v>
      </c>
      <c r="H3036" s="4">
        <v>25257.86</v>
      </c>
      <c r="I3036" s="3" t="s">
        <v>3734</v>
      </c>
      <c r="J3036">
        <v>2</v>
      </c>
      <c r="K3036" s="4">
        <f>Table3[[#This Row],[Sales]]-Table3[[#This Row],[Cost]]</f>
        <v>15124.220000000001</v>
      </c>
      <c r="L3036" s="6">
        <f>Table3[[#This Row],[Profit]]/Table3[[#This Row],[Sales]]</f>
        <v>0.37452800846315992</v>
      </c>
    </row>
    <row r="3037" spans="1:12" x14ac:dyDescent="0.25">
      <c r="A3037" t="s">
        <v>2677</v>
      </c>
      <c r="B3037" s="2" t="s">
        <v>3729</v>
      </c>
      <c r="C3037" s="2" t="str">
        <f>TEXT(Table3[[#This Row],[Order Date]],"mmmm")</f>
        <v>Not Mentioned</v>
      </c>
      <c r="D3037" t="s">
        <v>3730</v>
      </c>
      <c r="E3037" t="s">
        <v>3224</v>
      </c>
      <c r="F3037" t="s">
        <v>3226</v>
      </c>
      <c r="G3037" s="4">
        <v>198066.54</v>
      </c>
      <c r="H3037" s="4">
        <v>158453.23200000002</v>
      </c>
      <c r="I3037" s="3" t="s">
        <v>3735</v>
      </c>
      <c r="J3037">
        <v>3</v>
      </c>
      <c r="K3037" s="4">
        <f>Table3[[#This Row],[Sales]]-Table3[[#This Row],[Cost]]</f>
        <v>39613.30799999999</v>
      </c>
      <c r="L3037" s="6">
        <f>Table3[[#This Row],[Profit]]/Table3[[#This Row],[Sales]]</f>
        <v>0.19999999999999993</v>
      </c>
    </row>
    <row r="3038" spans="1:12" x14ac:dyDescent="0.25">
      <c r="A3038" t="s">
        <v>2678</v>
      </c>
      <c r="B3038" s="2">
        <v>45005</v>
      </c>
      <c r="C3038" s="2" t="str">
        <f>TEXT(Table3[[#This Row],[Order Date]],"mmmm")</f>
        <v>March</v>
      </c>
      <c r="D3038" t="s">
        <v>3220</v>
      </c>
      <c r="E3038" t="s">
        <v>3225</v>
      </c>
      <c r="F3038" t="s">
        <v>3226</v>
      </c>
      <c r="G3038" s="4">
        <v>64029.56</v>
      </c>
      <c r="H3038" s="4">
        <v>51381.77</v>
      </c>
      <c r="I3038" s="3" t="s">
        <v>3734</v>
      </c>
      <c r="J3038">
        <v>4</v>
      </c>
      <c r="K3038" s="4">
        <f>Table3[[#This Row],[Sales]]-Table3[[#This Row],[Cost]]</f>
        <v>12647.79</v>
      </c>
      <c r="L3038" s="6">
        <f>Table3[[#This Row],[Profit]]/Table3[[#This Row],[Sales]]</f>
        <v>0.19753048435753739</v>
      </c>
    </row>
    <row r="3039" spans="1:12" x14ac:dyDescent="0.25">
      <c r="A3039" t="s">
        <v>2679</v>
      </c>
      <c r="B3039" s="2">
        <v>45005</v>
      </c>
      <c r="C3039" s="2" t="str">
        <f>TEXT(Table3[[#This Row],[Order Date]],"mmmm")</f>
        <v>March</v>
      </c>
      <c r="D3039" t="s">
        <v>3730</v>
      </c>
      <c r="E3039" t="s">
        <v>3225</v>
      </c>
      <c r="F3039" t="s">
        <v>3226</v>
      </c>
      <c r="G3039" s="4">
        <v>87677.01</v>
      </c>
      <c r="H3039" s="4">
        <v>54714.91</v>
      </c>
      <c r="I3039" s="3" t="s">
        <v>3734</v>
      </c>
      <c r="J3039">
        <v>4</v>
      </c>
      <c r="K3039" s="4">
        <f>Table3[[#This Row],[Sales]]-Table3[[#This Row],[Cost]]</f>
        <v>32962.099999999991</v>
      </c>
      <c r="L3039" s="6">
        <f>Table3[[#This Row],[Profit]]/Table3[[#This Row],[Sales]]</f>
        <v>0.37594917983631049</v>
      </c>
    </row>
    <row r="3040" spans="1:12" x14ac:dyDescent="0.25">
      <c r="A3040" t="s">
        <v>3348</v>
      </c>
      <c r="B3040" s="2">
        <v>45005</v>
      </c>
      <c r="C3040" s="2" t="str">
        <f>TEXT(Table3[[#This Row],[Order Date]],"mmmm")</f>
        <v>March</v>
      </c>
      <c r="D3040" t="s">
        <v>3220</v>
      </c>
      <c r="E3040" t="s">
        <v>3224</v>
      </c>
      <c r="F3040" t="s">
        <v>3226</v>
      </c>
      <c r="G3040" s="4">
        <v>133968.5</v>
      </c>
      <c r="H3040" s="4">
        <v>77003.81</v>
      </c>
      <c r="I3040" s="3" t="s">
        <v>3734</v>
      </c>
      <c r="J3040">
        <v>2</v>
      </c>
      <c r="K3040" s="4">
        <f>Table3[[#This Row],[Sales]]-Table3[[#This Row],[Cost]]</f>
        <v>56964.69</v>
      </c>
      <c r="L3040" s="6">
        <f>Table3[[#This Row],[Profit]]/Table3[[#This Row],[Sales]]</f>
        <v>0.42520958284969979</v>
      </c>
    </row>
    <row r="3041" spans="1:12" x14ac:dyDescent="0.25">
      <c r="A3041" t="s">
        <v>19</v>
      </c>
      <c r="B3041" s="2">
        <v>45005</v>
      </c>
      <c r="C3041" s="2" t="str">
        <f>TEXT(Table3[[#This Row],[Order Date]],"mmmm")</f>
        <v>March</v>
      </c>
      <c r="D3041" t="s">
        <v>3730</v>
      </c>
      <c r="E3041" t="s">
        <v>3225</v>
      </c>
      <c r="F3041" t="s">
        <v>3226</v>
      </c>
      <c r="G3041" s="4">
        <v>17676.71</v>
      </c>
      <c r="H3041" s="4">
        <v>14455.99</v>
      </c>
      <c r="I3041" s="3" t="s">
        <v>3734</v>
      </c>
      <c r="J3041">
        <v>1</v>
      </c>
      <c r="K3041" s="4">
        <f>Table3[[#This Row],[Sales]]-Table3[[#This Row],[Cost]]</f>
        <v>3220.7199999999993</v>
      </c>
      <c r="L3041" s="6">
        <f>Table3[[#This Row],[Profit]]/Table3[[#This Row],[Sales]]</f>
        <v>0.18220132592546914</v>
      </c>
    </row>
    <row r="3042" spans="1:12" x14ac:dyDescent="0.25">
      <c r="A3042" t="s">
        <v>2680</v>
      </c>
      <c r="B3042" s="2">
        <v>44941</v>
      </c>
      <c r="C3042" s="2" t="str">
        <f>TEXT(Table3[[#This Row],[Order Date]],"mmmm")</f>
        <v>January</v>
      </c>
      <c r="D3042" t="s">
        <v>3220</v>
      </c>
      <c r="E3042" t="s">
        <v>3222</v>
      </c>
      <c r="F3042" t="s">
        <v>3226</v>
      </c>
      <c r="G3042" s="4">
        <v>48705.23</v>
      </c>
      <c r="H3042" s="4">
        <v>28373.66</v>
      </c>
      <c r="I3042" s="3" t="s">
        <v>3734</v>
      </c>
      <c r="J3042">
        <v>3</v>
      </c>
      <c r="K3042" s="4">
        <f>Table3[[#This Row],[Sales]]-Table3[[#This Row],[Cost]]</f>
        <v>20331.570000000003</v>
      </c>
      <c r="L3042" s="6">
        <f>Table3[[#This Row],[Profit]]/Table3[[#This Row],[Sales]]</f>
        <v>0.4174412070325918</v>
      </c>
    </row>
    <row r="3043" spans="1:12" x14ac:dyDescent="0.25">
      <c r="A3043" t="s">
        <v>2681</v>
      </c>
      <c r="B3043" s="2">
        <v>45102</v>
      </c>
      <c r="C3043" s="2" t="str">
        <f>TEXT(Table3[[#This Row],[Order Date]],"mmmm")</f>
        <v>June</v>
      </c>
      <c r="D3043" t="s">
        <v>3220</v>
      </c>
      <c r="E3043" t="s">
        <v>3222</v>
      </c>
      <c r="F3043" t="s">
        <v>3226</v>
      </c>
      <c r="G3043" s="4">
        <v>62654.79</v>
      </c>
      <c r="H3043" s="4">
        <v>42347.48</v>
      </c>
      <c r="I3043" s="3" t="s">
        <v>3734</v>
      </c>
      <c r="J3043">
        <v>4</v>
      </c>
      <c r="K3043" s="4">
        <f>Table3[[#This Row],[Sales]]-Table3[[#This Row],[Cost]]</f>
        <v>20307.309999999998</v>
      </c>
      <c r="L3043" s="6">
        <f>Table3[[#This Row],[Profit]]/Table3[[#This Row],[Sales]]</f>
        <v>0.324114245694543</v>
      </c>
    </row>
    <row r="3044" spans="1:12" x14ac:dyDescent="0.25">
      <c r="A3044" t="s">
        <v>2682</v>
      </c>
      <c r="B3044" s="2">
        <v>44972</v>
      </c>
      <c r="C3044" s="2" t="str">
        <f>TEXT(Table3[[#This Row],[Order Date]],"mmmm")</f>
        <v>February</v>
      </c>
      <c r="D3044" t="s">
        <v>3730</v>
      </c>
      <c r="E3044" t="s">
        <v>3222</v>
      </c>
      <c r="F3044" t="s">
        <v>3226</v>
      </c>
      <c r="G3044" s="4">
        <v>14011.77</v>
      </c>
      <c r="H3044" s="4">
        <v>11209.416000000001</v>
      </c>
      <c r="I3044" s="3" t="s">
        <v>3735</v>
      </c>
      <c r="J3044">
        <v>1</v>
      </c>
      <c r="K3044" s="4">
        <f>Table3[[#This Row],[Sales]]-Table3[[#This Row],[Cost]]</f>
        <v>2802.3539999999994</v>
      </c>
      <c r="L3044" s="6">
        <f>Table3[[#This Row],[Profit]]/Table3[[#This Row],[Sales]]</f>
        <v>0.19999999999999996</v>
      </c>
    </row>
    <row r="3045" spans="1:12" x14ac:dyDescent="0.25">
      <c r="A3045" t="s">
        <v>2683</v>
      </c>
      <c r="B3045" s="2">
        <v>45102</v>
      </c>
      <c r="C3045" s="2" t="str">
        <f>TEXT(Table3[[#This Row],[Order Date]],"mmmm")</f>
        <v>June</v>
      </c>
      <c r="D3045" t="s">
        <v>3730</v>
      </c>
      <c r="E3045" t="s">
        <v>3223</v>
      </c>
      <c r="F3045" t="s">
        <v>3226</v>
      </c>
      <c r="G3045" s="4">
        <v>30903.03</v>
      </c>
      <c r="H3045" s="4">
        <v>18979.54</v>
      </c>
      <c r="I3045" s="3" t="s">
        <v>3734</v>
      </c>
      <c r="J3045">
        <v>3</v>
      </c>
      <c r="K3045" s="4">
        <f>Table3[[#This Row],[Sales]]-Table3[[#This Row],[Cost]]</f>
        <v>11923.489999999998</v>
      </c>
      <c r="L3045" s="6">
        <f>Table3[[#This Row],[Profit]]/Table3[[#This Row],[Sales]]</f>
        <v>0.38583562841572488</v>
      </c>
    </row>
    <row r="3046" spans="1:12" x14ac:dyDescent="0.25">
      <c r="A3046" t="s">
        <v>2684</v>
      </c>
      <c r="B3046" s="2">
        <v>44941</v>
      </c>
      <c r="C3046" s="2" t="str">
        <f>TEXT(Table3[[#This Row],[Order Date]],"mmmm")</f>
        <v>January</v>
      </c>
      <c r="D3046" t="s">
        <v>3216</v>
      </c>
      <c r="E3046" t="s">
        <v>3222</v>
      </c>
      <c r="F3046" t="s">
        <v>3226</v>
      </c>
      <c r="G3046" s="4">
        <v>15752.56</v>
      </c>
      <c r="H3046" s="4">
        <v>9953.0400000000009</v>
      </c>
      <c r="I3046" s="3" t="s">
        <v>3734</v>
      </c>
      <c r="J3046">
        <v>1</v>
      </c>
      <c r="K3046" s="4">
        <f>Table3[[#This Row],[Sales]]-Table3[[#This Row],[Cost]]</f>
        <v>5799.5199999999986</v>
      </c>
      <c r="L3046" s="6">
        <f>Table3[[#This Row],[Profit]]/Table3[[#This Row],[Sales]]</f>
        <v>0.36816365086055847</v>
      </c>
    </row>
    <row r="3047" spans="1:12" x14ac:dyDescent="0.25">
      <c r="A3047" t="s">
        <v>3476</v>
      </c>
      <c r="B3047" s="2">
        <v>45005</v>
      </c>
      <c r="C3047" s="2" t="str">
        <f>TEXT(Table3[[#This Row],[Order Date]],"mmmm")</f>
        <v>March</v>
      </c>
      <c r="D3047" t="s">
        <v>3730</v>
      </c>
      <c r="E3047" t="s">
        <v>3225</v>
      </c>
      <c r="F3047" t="s">
        <v>3226</v>
      </c>
      <c r="G3047" s="4">
        <v>37689.040000000001</v>
      </c>
      <c r="H3047" s="4">
        <v>24817.08</v>
      </c>
      <c r="I3047" s="3" t="s">
        <v>3734</v>
      </c>
      <c r="J3047">
        <v>2</v>
      </c>
      <c r="K3047" s="4">
        <f>Table3[[#This Row],[Sales]]-Table3[[#This Row],[Cost]]</f>
        <v>12871.96</v>
      </c>
      <c r="L3047" s="6">
        <f>Table3[[#This Row],[Profit]]/Table3[[#This Row],[Sales]]</f>
        <v>0.34153058820283028</v>
      </c>
    </row>
    <row r="3048" spans="1:12" x14ac:dyDescent="0.25">
      <c r="A3048" t="s">
        <v>3541</v>
      </c>
      <c r="B3048" s="2">
        <v>45102</v>
      </c>
      <c r="C3048" s="2" t="str">
        <f>TEXT(Table3[[#This Row],[Order Date]],"mmmm")</f>
        <v>June</v>
      </c>
      <c r="D3048" t="s">
        <v>3220</v>
      </c>
      <c r="E3048" t="s">
        <v>3223</v>
      </c>
      <c r="F3048" t="s">
        <v>3226</v>
      </c>
      <c r="G3048" s="4">
        <v>33416.959999999999</v>
      </c>
      <c r="H3048" s="4">
        <v>19109.509999999998</v>
      </c>
      <c r="I3048" s="3" t="s">
        <v>3734</v>
      </c>
      <c r="J3048">
        <v>3</v>
      </c>
      <c r="K3048" s="4">
        <f>Table3[[#This Row],[Sales]]-Table3[[#This Row],[Cost]]</f>
        <v>14307.45</v>
      </c>
      <c r="L3048" s="6">
        <f>Table3[[#This Row],[Profit]]/Table3[[#This Row],[Sales]]</f>
        <v>0.42814935888842076</v>
      </c>
    </row>
    <row r="3049" spans="1:12" x14ac:dyDescent="0.25">
      <c r="A3049" t="s">
        <v>710</v>
      </c>
      <c r="B3049" s="2">
        <v>45005</v>
      </c>
      <c r="C3049" s="2" t="str">
        <f>TEXT(Table3[[#This Row],[Order Date]],"mmmm")</f>
        <v>March</v>
      </c>
      <c r="D3049" t="s">
        <v>3731</v>
      </c>
      <c r="E3049" t="s">
        <v>3224</v>
      </c>
      <c r="F3049" t="s">
        <v>3226</v>
      </c>
      <c r="G3049" s="4">
        <v>280093.74</v>
      </c>
      <c r="H3049" s="4">
        <v>214536.98</v>
      </c>
      <c r="I3049" s="3" t="s">
        <v>3734</v>
      </c>
      <c r="J3049">
        <v>5</v>
      </c>
      <c r="K3049" s="4">
        <f>Table3[[#This Row],[Sales]]-Table3[[#This Row],[Cost]]</f>
        <v>65556.75999999998</v>
      </c>
      <c r="L3049" s="6">
        <f>Table3[[#This Row],[Profit]]/Table3[[#This Row],[Sales]]</f>
        <v>0.23405292813755846</v>
      </c>
    </row>
    <row r="3050" spans="1:12" x14ac:dyDescent="0.25">
      <c r="A3050" t="s">
        <v>1048</v>
      </c>
      <c r="B3050" s="2">
        <v>45102</v>
      </c>
      <c r="C3050" s="2" t="str">
        <f>TEXT(Table3[[#This Row],[Order Date]],"mmmm")</f>
        <v>June</v>
      </c>
      <c r="D3050" t="s">
        <v>3220</v>
      </c>
      <c r="E3050" t="s">
        <v>3225</v>
      </c>
      <c r="F3050" t="s">
        <v>3226</v>
      </c>
      <c r="G3050" s="4">
        <v>111551.19</v>
      </c>
      <c r="H3050" s="4">
        <v>67161.820000000007</v>
      </c>
      <c r="I3050" s="3" t="s">
        <v>3734</v>
      </c>
      <c r="J3050">
        <v>5</v>
      </c>
      <c r="K3050" s="4">
        <f>Table3[[#This Row],[Sales]]-Table3[[#This Row],[Cost]]</f>
        <v>44389.369999999995</v>
      </c>
      <c r="L3050" s="6">
        <f>Table3[[#This Row],[Profit]]/Table3[[#This Row],[Sales]]</f>
        <v>0.39792825159462658</v>
      </c>
    </row>
    <row r="3051" spans="1:12" x14ac:dyDescent="0.25">
      <c r="A3051" t="s">
        <v>3660</v>
      </c>
      <c r="B3051" s="2">
        <v>44941</v>
      </c>
      <c r="C3051" s="2" t="str">
        <f>TEXT(Table3[[#This Row],[Order Date]],"mmmm")</f>
        <v>January</v>
      </c>
      <c r="D3051" t="s">
        <v>3731</v>
      </c>
      <c r="E3051" t="s">
        <v>3225</v>
      </c>
      <c r="F3051" t="s">
        <v>3226</v>
      </c>
      <c r="G3051" s="4">
        <v>49813.23</v>
      </c>
      <c r="H3051" s="4">
        <v>42222.94</v>
      </c>
      <c r="I3051" s="3" t="s">
        <v>3734</v>
      </c>
      <c r="J3051">
        <v>3</v>
      </c>
      <c r="K3051" s="4">
        <f>Table3[[#This Row],[Sales]]-Table3[[#This Row],[Cost]]</f>
        <v>7590.2900000000009</v>
      </c>
      <c r="L3051" s="6">
        <f>Table3[[#This Row],[Profit]]/Table3[[#This Row],[Sales]]</f>
        <v>0.15237498150591722</v>
      </c>
    </row>
    <row r="3052" spans="1:12" x14ac:dyDescent="0.25">
      <c r="A3052" t="s">
        <v>2686</v>
      </c>
      <c r="B3052" s="2" t="s">
        <v>3729</v>
      </c>
      <c r="C3052" s="2" t="str">
        <f>TEXT(Table3[[#This Row],[Order Date]],"mmmm")</f>
        <v>Not Mentioned</v>
      </c>
      <c r="D3052" t="s">
        <v>3731</v>
      </c>
      <c r="E3052" t="s">
        <v>3225</v>
      </c>
      <c r="F3052" t="s">
        <v>3226</v>
      </c>
      <c r="G3052" s="4">
        <v>17436.12</v>
      </c>
      <c r="H3052" s="4">
        <v>12155.45</v>
      </c>
      <c r="I3052" s="3" t="s">
        <v>3734</v>
      </c>
      <c r="J3052">
        <v>1</v>
      </c>
      <c r="K3052" s="4">
        <f>Table3[[#This Row],[Sales]]-Table3[[#This Row],[Cost]]</f>
        <v>5280.6699999999983</v>
      </c>
      <c r="L3052" s="6">
        <f>Table3[[#This Row],[Profit]]/Table3[[#This Row],[Sales]]</f>
        <v>0.30285808998791008</v>
      </c>
    </row>
    <row r="3053" spans="1:12" x14ac:dyDescent="0.25">
      <c r="A3053" t="s">
        <v>3661</v>
      </c>
      <c r="B3053" s="2" t="s">
        <v>3729</v>
      </c>
      <c r="C3053" s="2" t="str">
        <f>TEXT(Table3[[#This Row],[Order Date]],"mmmm")</f>
        <v>Not Mentioned</v>
      </c>
      <c r="D3053" t="s">
        <v>3730</v>
      </c>
      <c r="E3053" t="s">
        <v>3222</v>
      </c>
      <c r="F3053" t="s">
        <v>3226</v>
      </c>
      <c r="G3053" s="4">
        <v>68182.16</v>
      </c>
      <c r="H3053" s="4">
        <v>41799.129999999997</v>
      </c>
      <c r="I3053" s="3" t="s">
        <v>3734</v>
      </c>
      <c r="J3053">
        <v>4</v>
      </c>
      <c r="K3053" s="4">
        <f>Table3[[#This Row],[Sales]]-Table3[[#This Row],[Cost]]</f>
        <v>26383.030000000006</v>
      </c>
      <c r="L3053" s="6">
        <f>Table3[[#This Row],[Profit]]/Table3[[#This Row],[Sales]]</f>
        <v>0.3869491667615107</v>
      </c>
    </row>
    <row r="3054" spans="1:12" x14ac:dyDescent="0.25">
      <c r="A3054" t="s">
        <v>2688</v>
      </c>
      <c r="B3054" s="2">
        <v>44972</v>
      </c>
      <c r="C3054" s="2" t="str">
        <f>TEXT(Table3[[#This Row],[Order Date]],"mmmm")</f>
        <v>February</v>
      </c>
      <c r="D3054" t="s">
        <v>3731</v>
      </c>
      <c r="E3054" t="s">
        <v>3223</v>
      </c>
      <c r="F3054" t="s">
        <v>3226</v>
      </c>
      <c r="G3054" s="4">
        <v>18847.41</v>
      </c>
      <c r="H3054" s="4">
        <v>14674.58</v>
      </c>
      <c r="I3054" s="3" t="s">
        <v>3734</v>
      </c>
      <c r="J3054">
        <v>2</v>
      </c>
      <c r="K3054" s="4">
        <f>Table3[[#This Row],[Sales]]-Table3[[#This Row],[Cost]]</f>
        <v>4172.83</v>
      </c>
      <c r="L3054" s="6">
        <f>Table3[[#This Row],[Profit]]/Table3[[#This Row],[Sales]]</f>
        <v>0.22140071235251951</v>
      </c>
    </row>
    <row r="3055" spans="1:12" x14ac:dyDescent="0.25">
      <c r="A3055" t="s">
        <v>2689</v>
      </c>
      <c r="B3055" s="2">
        <v>45005</v>
      </c>
      <c r="C3055" s="2" t="str">
        <f>TEXT(Table3[[#This Row],[Order Date]],"mmmm")</f>
        <v>March</v>
      </c>
      <c r="D3055" t="s">
        <v>3730</v>
      </c>
      <c r="E3055" t="s">
        <v>3222</v>
      </c>
      <c r="F3055" t="s">
        <v>3226</v>
      </c>
      <c r="G3055" s="4">
        <v>61901.55</v>
      </c>
      <c r="H3055" s="4">
        <v>49094.42</v>
      </c>
      <c r="I3055" s="3" t="s">
        <v>3734</v>
      </c>
      <c r="J3055">
        <v>5</v>
      </c>
      <c r="K3055" s="4">
        <f>Table3[[#This Row],[Sales]]-Table3[[#This Row],[Cost]]</f>
        <v>12807.130000000005</v>
      </c>
      <c r="L3055" s="6">
        <f>Table3[[#This Row],[Profit]]/Table3[[#This Row],[Sales]]</f>
        <v>0.20689514236719442</v>
      </c>
    </row>
    <row r="3056" spans="1:12" x14ac:dyDescent="0.25">
      <c r="A3056" t="s">
        <v>2690</v>
      </c>
      <c r="B3056" s="2">
        <v>45021</v>
      </c>
      <c r="C3056" s="2" t="str">
        <f>TEXT(Table3[[#This Row],[Order Date]],"mmmm")</f>
        <v>April</v>
      </c>
      <c r="D3056" t="s">
        <v>3731</v>
      </c>
      <c r="E3056" t="s">
        <v>3222</v>
      </c>
      <c r="F3056" t="s">
        <v>3226</v>
      </c>
      <c r="G3056" s="4">
        <v>74199.64</v>
      </c>
      <c r="H3056" s="4">
        <v>48100.58</v>
      </c>
      <c r="I3056" s="3" t="s">
        <v>3734</v>
      </c>
      <c r="J3056">
        <v>5</v>
      </c>
      <c r="K3056" s="4">
        <f>Table3[[#This Row],[Sales]]-Table3[[#This Row],[Cost]]</f>
        <v>26099.059999999998</v>
      </c>
      <c r="L3056" s="6">
        <f>Table3[[#This Row],[Profit]]/Table3[[#This Row],[Sales]]</f>
        <v>0.3517410596601277</v>
      </c>
    </row>
    <row r="3057" spans="1:12" x14ac:dyDescent="0.25">
      <c r="A3057" t="s">
        <v>3473</v>
      </c>
      <c r="B3057" s="2">
        <v>45021</v>
      </c>
      <c r="C3057" s="2" t="str">
        <f>TEXT(Table3[[#This Row],[Order Date]],"mmmm")</f>
        <v>April</v>
      </c>
      <c r="D3057" t="s">
        <v>3220</v>
      </c>
      <c r="E3057" t="s">
        <v>3224</v>
      </c>
      <c r="F3057" t="s">
        <v>3226</v>
      </c>
      <c r="G3057" s="4">
        <v>311379.44</v>
      </c>
      <c r="H3057" s="4">
        <v>212346.45</v>
      </c>
      <c r="I3057" s="3" t="s">
        <v>3734</v>
      </c>
      <c r="J3057">
        <v>5</v>
      </c>
      <c r="K3057" s="4">
        <f>Table3[[#This Row],[Sales]]-Table3[[#This Row],[Cost]]</f>
        <v>99032.989999999991</v>
      </c>
      <c r="L3057" s="6">
        <f>Table3[[#This Row],[Profit]]/Table3[[#This Row],[Sales]]</f>
        <v>0.31804601485570144</v>
      </c>
    </row>
    <row r="3058" spans="1:12" x14ac:dyDescent="0.25">
      <c r="A3058" t="s">
        <v>2691</v>
      </c>
      <c r="B3058" s="2">
        <v>45005</v>
      </c>
      <c r="C3058" s="2" t="str">
        <f>TEXT(Table3[[#This Row],[Order Date]],"mmmm")</f>
        <v>March</v>
      </c>
      <c r="D3058" t="s">
        <v>3730</v>
      </c>
      <c r="E3058" t="s">
        <v>3224</v>
      </c>
      <c r="F3058" t="s">
        <v>3226</v>
      </c>
      <c r="G3058" s="4">
        <v>187139.94</v>
      </c>
      <c r="H3058" s="4">
        <v>126727.95</v>
      </c>
      <c r="I3058" s="3" t="s">
        <v>3734</v>
      </c>
      <c r="J3058">
        <v>3</v>
      </c>
      <c r="K3058" s="4">
        <f>Table3[[#This Row],[Sales]]-Table3[[#This Row],[Cost]]</f>
        <v>60411.990000000005</v>
      </c>
      <c r="L3058" s="6">
        <f>Table3[[#This Row],[Profit]]/Table3[[#This Row],[Sales]]</f>
        <v>0.32281719231073819</v>
      </c>
    </row>
    <row r="3059" spans="1:12" x14ac:dyDescent="0.25">
      <c r="A3059" t="s">
        <v>2692</v>
      </c>
      <c r="B3059" s="2">
        <v>44972</v>
      </c>
      <c r="C3059" s="2" t="str">
        <f>TEXT(Table3[[#This Row],[Order Date]],"mmmm")</f>
        <v>February</v>
      </c>
      <c r="D3059" t="s">
        <v>3216</v>
      </c>
      <c r="E3059" t="s">
        <v>3224</v>
      </c>
      <c r="F3059" t="s">
        <v>3226</v>
      </c>
      <c r="G3059" s="4">
        <v>175314.09</v>
      </c>
      <c r="H3059" s="4">
        <v>128975.51</v>
      </c>
      <c r="I3059" s="3" t="s">
        <v>3734</v>
      </c>
      <c r="J3059">
        <v>3</v>
      </c>
      <c r="K3059" s="4">
        <f>Table3[[#This Row],[Sales]]-Table3[[#This Row],[Cost]]</f>
        <v>46338.58</v>
      </c>
      <c r="L3059" s="6">
        <f>Table3[[#This Row],[Profit]]/Table3[[#This Row],[Sales]]</f>
        <v>0.26431748868559285</v>
      </c>
    </row>
    <row r="3060" spans="1:12" x14ac:dyDescent="0.25">
      <c r="A3060" t="s">
        <v>2693</v>
      </c>
      <c r="B3060" s="2" t="s">
        <v>3729</v>
      </c>
      <c r="C3060" s="2" t="str">
        <f>TEXT(Table3[[#This Row],[Order Date]],"mmmm")</f>
        <v>Not Mentioned</v>
      </c>
      <c r="D3060" t="s">
        <v>3731</v>
      </c>
      <c r="E3060" t="s">
        <v>3225</v>
      </c>
      <c r="F3060" t="s">
        <v>3226</v>
      </c>
      <c r="G3060" s="4">
        <v>38026.61</v>
      </c>
      <c r="H3060" s="4">
        <v>30421.288</v>
      </c>
      <c r="I3060" s="3" t="s">
        <v>3735</v>
      </c>
      <c r="J3060">
        <v>2</v>
      </c>
      <c r="K3060" s="4">
        <f>Table3[[#This Row],[Sales]]-Table3[[#This Row],[Cost]]</f>
        <v>7605.3220000000001</v>
      </c>
      <c r="L3060" s="6">
        <f>Table3[[#This Row],[Profit]]/Table3[[#This Row],[Sales]]</f>
        <v>0.2</v>
      </c>
    </row>
    <row r="3061" spans="1:12" x14ac:dyDescent="0.25">
      <c r="A3061" t="s">
        <v>2694</v>
      </c>
      <c r="B3061" s="2">
        <v>45021</v>
      </c>
      <c r="C3061" s="2" t="str">
        <f>TEXT(Table3[[#This Row],[Order Date]],"mmmm")</f>
        <v>April</v>
      </c>
      <c r="D3061" t="s">
        <v>3220</v>
      </c>
      <c r="E3061" t="s">
        <v>3225</v>
      </c>
      <c r="F3061" t="s">
        <v>3226</v>
      </c>
      <c r="G3061" s="4">
        <v>37599.83</v>
      </c>
      <c r="H3061" s="4">
        <v>25406.62</v>
      </c>
      <c r="I3061" s="3" t="s">
        <v>3734</v>
      </c>
      <c r="J3061">
        <v>2</v>
      </c>
      <c r="K3061" s="4">
        <f>Table3[[#This Row],[Sales]]-Table3[[#This Row],[Cost]]</f>
        <v>12193.210000000003</v>
      </c>
      <c r="L3061" s="6">
        <f>Table3[[#This Row],[Profit]]/Table3[[#This Row],[Sales]]</f>
        <v>0.32428896620011322</v>
      </c>
    </row>
    <row r="3062" spans="1:12" x14ac:dyDescent="0.25">
      <c r="A3062" t="s">
        <v>2695</v>
      </c>
      <c r="B3062" s="2">
        <v>45102</v>
      </c>
      <c r="C3062" s="2" t="str">
        <f>TEXT(Table3[[#This Row],[Order Date]],"mmmm")</f>
        <v>June</v>
      </c>
      <c r="D3062" t="s">
        <v>3730</v>
      </c>
      <c r="E3062" t="s">
        <v>3224</v>
      </c>
      <c r="F3062" t="s">
        <v>3226</v>
      </c>
      <c r="G3062" s="4">
        <v>119690.31</v>
      </c>
      <c r="H3062" s="4">
        <v>78630.73</v>
      </c>
      <c r="I3062" s="3" t="s">
        <v>3734</v>
      </c>
      <c r="J3062">
        <v>2</v>
      </c>
      <c r="K3062" s="4">
        <f>Table3[[#This Row],[Sales]]-Table3[[#This Row],[Cost]]</f>
        <v>41059.58</v>
      </c>
      <c r="L3062" s="6">
        <f>Table3[[#This Row],[Profit]]/Table3[[#This Row],[Sales]]</f>
        <v>0.34304848905479485</v>
      </c>
    </row>
    <row r="3063" spans="1:12" x14ac:dyDescent="0.25">
      <c r="A3063" t="s">
        <v>1715</v>
      </c>
      <c r="B3063" s="2">
        <v>45102</v>
      </c>
      <c r="C3063" s="2" t="str">
        <f>TEXT(Table3[[#This Row],[Order Date]],"mmmm")</f>
        <v>June</v>
      </c>
      <c r="D3063" t="s">
        <v>3220</v>
      </c>
      <c r="E3063" t="s">
        <v>3225</v>
      </c>
      <c r="F3063" t="s">
        <v>3226</v>
      </c>
      <c r="G3063" s="4">
        <v>52486.83</v>
      </c>
      <c r="H3063" s="4">
        <v>44240.63</v>
      </c>
      <c r="I3063" s="3" t="s">
        <v>3734</v>
      </c>
      <c r="J3063">
        <v>3</v>
      </c>
      <c r="K3063" s="4">
        <f>Table3[[#This Row],[Sales]]-Table3[[#This Row],[Cost]]</f>
        <v>8246.2000000000044</v>
      </c>
      <c r="L3063" s="6">
        <f>Table3[[#This Row],[Profit]]/Table3[[#This Row],[Sales]]</f>
        <v>0.15710988832817688</v>
      </c>
    </row>
    <row r="3064" spans="1:12" x14ac:dyDescent="0.25">
      <c r="A3064" t="s">
        <v>3460</v>
      </c>
      <c r="B3064" s="2">
        <v>45021</v>
      </c>
      <c r="C3064" s="2" t="str">
        <f>TEXT(Table3[[#This Row],[Order Date]],"mmmm")</f>
        <v>April</v>
      </c>
      <c r="D3064" t="s">
        <v>3731</v>
      </c>
      <c r="E3064" t="s">
        <v>3225</v>
      </c>
      <c r="F3064" t="s">
        <v>3226</v>
      </c>
      <c r="G3064" s="4">
        <v>41173.83</v>
      </c>
      <c r="H3064" s="4">
        <v>28677.06</v>
      </c>
      <c r="I3064" s="3" t="s">
        <v>3734</v>
      </c>
      <c r="J3064">
        <v>2</v>
      </c>
      <c r="K3064" s="4">
        <f>Table3[[#This Row],[Sales]]-Table3[[#This Row],[Cost]]</f>
        <v>12496.77</v>
      </c>
      <c r="L3064" s="6">
        <f>Table3[[#This Row],[Profit]]/Table3[[#This Row],[Sales]]</f>
        <v>0.30351244953408513</v>
      </c>
    </row>
    <row r="3065" spans="1:12" x14ac:dyDescent="0.25">
      <c r="A3065" t="s">
        <v>430</v>
      </c>
      <c r="B3065" s="2">
        <v>45005</v>
      </c>
      <c r="C3065" s="2" t="str">
        <f>TEXT(Table3[[#This Row],[Order Date]],"mmmm")</f>
        <v>March</v>
      </c>
      <c r="D3065" t="s">
        <v>3731</v>
      </c>
      <c r="E3065" t="s">
        <v>3224</v>
      </c>
      <c r="F3065" t="s">
        <v>3226</v>
      </c>
      <c r="G3065" s="4">
        <v>243048.09</v>
      </c>
      <c r="H3065" s="4">
        <v>243348.92</v>
      </c>
      <c r="I3065" s="3" t="s">
        <v>3734</v>
      </c>
      <c r="J3065">
        <v>5</v>
      </c>
      <c r="K3065" s="4">
        <f>Table3[[#This Row],[Sales]]-Table3[[#This Row],[Cost]]</f>
        <v>-300.8300000000163</v>
      </c>
      <c r="L3065" s="6">
        <f>Table3[[#This Row],[Profit]]/Table3[[#This Row],[Sales]]</f>
        <v>-1.2377385890998622E-3</v>
      </c>
    </row>
    <row r="3066" spans="1:12" x14ac:dyDescent="0.25">
      <c r="A3066" t="s">
        <v>1989</v>
      </c>
      <c r="B3066" s="2">
        <v>44972</v>
      </c>
      <c r="C3066" s="2" t="str">
        <f>TEXT(Table3[[#This Row],[Order Date]],"mmmm")</f>
        <v>February</v>
      </c>
      <c r="D3066" t="s">
        <v>3220</v>
      </c>
      <c r="E3066" t="s">
        <v>3225</v>
      </c>
      <c r="F3066" t="s">
        <v>3226</v>
      </c>
      <c r="G3066" s="4">
        <v>64584.82</v>
      </c>
      <c r="H3066" s="4">
        <v>51667.856</v>
      </c>
      <c r="I3066" s="3" t="s">
        <v>3735</v>
      </c>
      <c r="J3066">
        <v>4</v>
      </c>
      <c r="K3066" s="4">
        <f>Table3[[#This Row],[Sales]]-Table3[[#This Row],[Cost]]</f>
        <v>12916.964</v>
      </c>
      <c r="L3066" s="6">
        <f>Table3[[#This Row],[Profit]]/Table3[[#This Row],[Sales]]</f>
        <v>0.2</v>
      </c>
    </row>
    <row r="3067" spans="1:12" x14ac:dyDescent="0.25">
      <c r="A3067" t="s">
        <v>2665</v>
      </c>
      <c r="B3067" s="2" t="s">
        <v>3729</v>
      </c>
      <c r="C3067" s="2" t="str">
        <f>TEXT(Table3[[#This Row],[Order Date]],"mmmm")</f>
        <v>Not Mentioned</v>
      </c>
      <c r="D3067" t="s">
        <v>3730</v>
      </c>
      <c r="E3067" t="s">
        <v>3225</v>
      </c>
      <c r="F3067" t="s">
        <v>3226</v>
      </c>
      <c r="G3067" s="4">
        <v>21300.07</v>
      </c>
      <c r="H3067" s="4">
        <v>12018.37</v>
      </c>
      <c r="I3067" s="3" t="s">
        <v>3734</v>
      </c>
      <c r="J3067">
        <v>1</v>
      </c>
      <c r="K3067" s="4">
        <f>Table3[[#This Row],[Sales]]-Table3[[#This Row],[Cost]]</f>
        <v>9281.6999999999989</v>
      </c>
      <c r="L3067" s="6">
        <f>Table3[[#This Row],[Profit]]/Table3[[#This Row],[Sales]]</f>
        <v>0.43575913130801913</v>
      </c>
    </row>
    <row r="3068" spans="1:12" x14ac:dyDescent="0.25">
      <c r="A3068" t="s">
        <v>2696</v>
      </c>
      <c r="B3068" s="2">
        <v>44972</v>
      </c>
      <c r="C3068" s="2" t="str">
        <f>TEXT(Table3[[#This Row],[Order Date]],"mmmm")</f>
        <v>February</v>
      </c>
      <c r="D3068" t="s">
        <v>3220</v>
      </c>
      <c r="E3068" t="s">
        <v>3223</v>
      </c>
      <c r="F3068" t="s">
        <v>3226</v>
      </c>
      <c r="G3068" s="4">
        <v>41940.5</v>
      </c>
      <c r="H3068" s="4">
        <v>31336.97</v>
      </c>
      <c r="I3068" s="3" t="s">
        <v>3734</v>
      </c>
      <c r="J3068">
        <v>5</v>
      </c>
      <c r="K3068" s="4">
        <f>Table3[[#This Row],[Sales]]-Table3[[#This Row],[Cost]]</f>
        <v>10603.529999999999</v>
      </c>
      <c r="L3068" s="6">
        <f>Table3[[#This Row],[Profit]]/Table3[[#This Row],[Sales]]</f>
        <v>0.2528231661520487</v>
      </c>
    </row>
    <row r="3069" spans="1:12" x14ac:dyDescent="0.25">
      <c r="A3069" t="s">
        <v>2697</v>
      </c>
      <c r="B3069" s="2">
        <v>45005</v>
      </c>
      <c r="C3069" s="2" t="str">
        <f>TEXT(Table3[[#This Row],[Order Date]],"mmmm")</f>
        <v>March</v>
      </c>
      <c r="D3069" t="s">
        <v>3216</v>
      </c>
      <c r="E3069" t="s">
        <v>3225</v>
      </c>
      <c r="F3069" t="s">
        <v>3226</v>
      </c>
      <c r="G3069" s="4">
        <v>19565.39</v>
      </c>
      <c r="H3069" s="4">
        <v>13098.45</v>
      </c>
      <c r="I3069" s="3" t="s">
        <v>3734</v>
      </c>
      <c r="J3069">
        <v>1</v>
      </c>
      <c r="K3069" s="4">
        <f>Table3[[#This Row],[Sales]]-Table3[[#This Row],[Cost]]</f>
        <v>6466.9399999999987</v>
      </c>
      <c r="L3069" s="6">
        <f>Table3[[#This Row],[Profit]]/Table3[[#This Row],[Sales]]</f>
        <v>0.33052957288354584</v>
      </c>
    </row>
    <row r="3070" spans="1:12" x14ac:dyDescent="0.25">
      <c r="A3070" t="s">
        <v>2698</v>
      </c>
      <c r="B3070" s="2">
        <v>45021</v>
      </c>
      <c r="C3070" s="2" t="str">
        <f>TEXT(Table3[[#This Row],[Order Date]],"mmmm")</f>
        <v>April</v>
      </c>
      <c r="D3070" t="s">
        <v>3730</v>
      </c>
      <c r="E3070" t="s">
        <v>3224</v>
      </c>
      <c r="F3070" t="s">
        <v>3226</v>
      </c>
      <c r="G3070" s="4">
        <v>252474.25</v>
      </c>
      <c r="H3070" s="4">
        <v>188373.88</v>
      </c>
      <c r="I3070" s="3" t="s">
        <v>3734</v>
      </c>
      <c r="J3070">
        <v>4</v>
      </c>
      <c r="K3070" s="4">
        <f>Table3[[#This Row],[Sales]]-Table3[[#This Row],[Cost]]</f>
        <v>64100.369999999995</v>
      </c>
      <c r="L3070" s="6">
        <f>Table3[[#This Row],[Profit]]/Table3[[#This Row],[Sales]]</f>
        <v>0.25388874310944581</v>
      </c>
    </row>
    <row r="3071" spans="1:12" x14ac:dyDescent="0.25">
      <c r="A3071" t="s">
        <v>2699</v>
      </c>
      <c r="B3071" s="2">
        <v>45005</v>
      </c>
      <c r="C3071" s="2" t="str">
        <f>TEXT(Table3[[#This Row],[Order Date]],"mmmm")</f>
        <v>March</v>
      </c>
      <c r="D3071" t="s">
        <v>3216</v>
      </c>
      <c r="E3071" t="s">
        <v>3222</v>
      </c>
      <c r="F3071" t="s">
        <v>3226</v>
      </c>
      <c r="G3071" s="4">
        <v>15446.65</v>
      </c>
      <c r="H3071" s="4">
        <v>10608.02</v>
      </c>
      <c r="I3071" s="3" t="s">
        <v>3734</v>
      </c>
      <c r="J3071">
        <v>1</v>
      </c>
      <c r="K3071" s="4">
        <f>Table3[[#This Row],[Sales]]-Table3[[#This Row],[Cost]]</f>
        <v>4838.6299999999992</v>
      </c>
      <c r="L3071" s="6">
        <f>Table3[[#This Row],[Profit]]/Table3[[#This Row],[Sales]]</f>
        <v>0.31324785633130803</v>
      </c>
    </row>
    <row r="3072" spans="1:12" x14ac:dyDescent="0.25">
      <c r="A3072" t="s">
        <v>2700</v>
      </c>
      <c r="B3072" s="2">
        <v>44972</v>
      </c>
      <c r="C3072" s="2" t="str">
        <f>TEXT(Table3[[#This Row],[Order Date]],"mmmm")</f>
        <v>February</v>
      </c>
      <c r="D3072" t="s">
        <v>3731</v>
      </c>
      <c r="E3072" t="s">
        <v>3224</v>
      </c>
      <c r="F3072" t="s">
        <v>3226</v>
      </c>
      <c r="G3072" s="4">
        <v>203307.87</v>
      </c>
      <c r="H3072" s="4">
        <v>155776.12</v>
      </c>
      <c r="I3072" s="3" t="s">
        <v>3734</v>
      </c>
      <c r="J3072">
        <v>4</v>
      </c>
      <c r="K3072" s="4">
        <f>Table3[[#This Row],[Sales]]-Table3[[#This Row],[Cost]]</f>
        <v>47531.75</v>
      </c>
      <c r="L3072" s="6">
        <f>Table3[[#This Row],[Profit]]/Table3[[#This Row],[Sales]]</f>
        <v>0.23379198257303074</v>
      </c>
    </row>
    <row r="3073" spans="1:12" x14ac:dyDescent="0.25">
      <c r="A3073" t="s">
        <v>2701</v>
      </c>
      <c r="B3073" s="2">
        <v>45021</v>
      </c>
      <c r="C3073" s="2" t="str">
        <f>TEXT(Table3[[#This Row],[Order Date]],"mmmm")</f>
        <v>April</v>
      </c>
      <c r="D3073" t="s">
        <v>3730</v>
      </c>
      <c r="E3073" t="s">
        <v>3224</v>
      </c>
      <c r="F3073" t="s">
        <v>3226</v>
      </c>
      <c r="G3073" s="4">
        <v>69710.48</v>
      </c>
      <c r="H3073" s="4">
        <v>40774.800000000003</v>
      </c>
      <c r="I3073" s="3" t="s">
        <v>3734</v>
      </c>
      <c r="J3073">
        <v>1</v>
      </c>
      <c r="K3073" s="4">
        <f>Table3[[#This Row],[Sales]]-Table3[[#This Row],[Cost]]</f>
        <v>28935.679999999993</v>
      </c>
      <c r="L3073" s="6">
        <f>Table3[[#This Row],[Profit]]/Table3[[#This Row],[Sales]]</f>
        <v>0.41508364309068013</v>
      </c>
    </row>
    <row r="3074" spans="1:12" x14ac:dyDescent="0.25">
      <c r="A3074" t="s">
        <v>2702</v>
      </c>
      <c r="B3074" s="2">
        <v>45021</v>
      </c>
      <c r="C3074" s="2" t="str">
        <f>TEXT(Table3[[#This Row],[Order Date]],"mmmm")</f>
        <v>April</v>
      </c>
      <c r="D3074" t="s">
        <v>3730</v>
      </c>
      <c r="E3074" t="s">
        <v>3224</v>
      </c>
      <c r="F3074" t="s">
        <v>3226</v>
      </c>
      <c r="G3074" s="4">
        <v>214628.46</v>
      </c>
      <c r="H3074" s="4">
        <v>172108.34</v>
      </c>
      <c r="I3074" s="3" t="s">
        <v>3734</v>
      </c>
      <c r="J3074">
        <v>4</v>
      </c>
      <c r="K3074" s="4">
        <f>Table3[[#This Row],[Sales]]-Table3[[#This Row],[Cost]]</f>
        <v>42520.119999999995</v>
      </c>
      <c r="L3074" s="6">
        <f>Table3[[#This Row],[Profit]]/Table3[[#This Row],[Sales]]</f>
        <v>0.19811035311905978</v>
      </c>
    </row>
    <row r="3075" spans="1:12" x14ac:dyDescent="0.25">
      <c r="A3075" t="s">
        <v>2704</v>
      </c>
      <c r="B3075" s="2">
        <v>45102</v>
      </c>
      <c r="C3075" s="2" t="str">
        <f>TEXT(Table3[[#This Row],[Order Date]],"mmmm")</f>
        <v>June</v>
      </c>
      <c r="D3075" t="s">
        <v>3730</v>
      </c>
      <c r="E3075" t="s">
        <v>3222</v>
      </c>
      <c r="F3075" t="s">
        <v>3226</v>
      </c>
      <c r="G3075" s="4">
        <v>61020.91</v>
      </c>
      <c r="H3075" s="4">
        <v>49105.39</v>
      </c>
      <c r="I3075" s="3" t="s">
        <v>3734</v>
      </c>
      <c r="J3075">
        <v>5</v>
      </c>
      <c r="K3075" s="4">
        <f>Table3[[#This Row],[Sales]]-Table3[[#This Row],[Cost]]</f>
        <v>11915.520000000004</v>
      </c>
      <c r="L3075" s="6">
        <f>Table3[[#This Row],[Profit]]/Table3[[#This Row],[Sales]]</f>
        <v>0.19526945763345718</v>
      </c>
    </row>
    <row r="3076" spans="1:12" x14ac:dyDescent="0.25">
      <c r="A3076" t="s">
        <v>2705</v>
      </c>
      <c r="B3076" s="2">
        <v>45021</v>
      </c>
      <c r="C3076" s="2" t="str">
        <f>TEXT(Table3[[#This Row],[Order Date]],"mmmm")</f>
        <v>April</v>
      </c>
      <c r="D3076" t="s">
        <v>3216</v>
      </c>
      <c r="E3076" t="s">
        <v>3225</v>
      </c>
      <c r="F3076" t="s">
        <v>3226</v>
      </c>
      <c r="G3076" s="4">
        <v>51283.040000000001</v>
      </c>
      <c r="H3076" s="4">
        <v>42690.89</v>
      </c>
      <c r="I3076" s="3" t="s">
        <v>3734</v>
      </c>
      <c r="J3076">
        <v>3</v>
      </c>
      <c r="K3076" s="4">
        <f>Table3[[#This Row],[Sales]]-Table3[[#This Row],[Cost]]</f>
        <v>8592.1500000000015</v>
      </c>
      <c r="L3076" s="6">
        <f>Table3[[#This Row],[Profit]]/Table3[[#This Row],[Sales]]</f>
        <v>0.16754369475756509</v>
      </c>
    </row>
    <row r="3077" spans="1:12" x14ac:dyDescent="0.25">
      <c r="A3077" t="s">
        <v>1055</v>
      </c>
      <c r="B3077" s="2">
        <v>45005</v>
      </c>
      <c r="C3077" s="2" t="str">
        <f>TEXT(Table3[[#This Row],[Order Date]],"mmmm")</f>
        <v>March</v>
      </c>
      <c r="D3077" t="s">
        <v>3730</v>
      </c>
      <c r="E3077" t="s">
        <v>3224</v>
      </c>
      <c r="F3077" t="s">
        <v>3226</v>
      </c>
      <c r="G3077" s="4">
        <v>222229.46</v>
      </c>
      <c r="H3077" s="4">
        <v>176581.14</v>
      </c>
      <c r="I3077" s="3" t="s">
        <v>3734</v>
      </c>
      <c r="J3077">
        <v>4</v>
      </c>
      <c r="K3077" s="4">
        <f>Table3[[#This Row],[Sales]]-Table3[[#This Row],[Cost]]</f>
        <v>45648.319999999978</v>
      </c>
      <c r="L3077" s="6">
        <f>Table3[[#This Row],[Profit]]/Table3[[#This Row],[Sales]]</f>
        <v>0.20541074977187984</v>
      </c>
    </row>
    <row r="3078" spans="1:12" x14ac:dyDescent="0.25">
      <c r="A3078" t="s">
        <v>2706</v>
      </c>
      <c r="B3078" s="2">
        <v>45005</v>
      </c>
      <c r="C3078" s="2" t="str">
        <f>TEXT(Table3[[#This Row],[Order Date]],"mmmm")</f>
        <v>March</v>
      </c>
      <c r="D3078" t="s">
        <v>3730</v>
      </c>
      <c r="E3078" t="s">
        <v>3224</v>
      </c>
      <c r="F3078" t="s">
        <v>3226</v>
      </c>
      <c r="G3078" s="4">
        <v>224901.13</v>
      </c>
      <c r="H3078" s="4">
        <v>187021.86</v>
      </c>
      <c r="I3078" s="3" t="s">
        <v>3734</v>
      </c>
      <c r="J3078">
        <v>4</v>
      </c>
      <c r="K3078" s="4">
        <f>Table3[[#This Row],[Sales]]-Table3[[#This Row],[Cost]]</f>
        <v>37879.270000000019</v>
      </c>
      <c r="L3078" s="6">
        <f>Table3[[#This Row],[Profit]]/Table3[[#This Row],[Sales]]</f>
        <v>0.16842632137953251</v>
      </c>
    </row>
    <row r="3079" spans="1:12" x14ac:dyDescent="0.25">
      <c r="A3079" t="s">
        <v>2707</v>
      </c>
      <c r="B3079" s="2">
        <v>44972</v>
      </c>
      <c r="C3079" s="2" t="str">
        <f>TEXT(Table3[[#This Row],[Order Date]],"mmmm")</f>
        <v>February</v>
      </c>
      <c r="D3079" t="s">
        <v>3731</v>
      </c>
      <c r="E3079" t="s">
        <v>3222</v>
      </c>
      <c r="F3079" t="s">
        <v>3226</v>
      </c>
      <c r="G3079" s="4">
        <v>15255.19</v>
      </c>
      <c r="H3079" s="4">
        <v>10658.39</v>
      </c>
      <c r="I3079" s="3" t="s">
        <v>3734</v>
      </c>
      <c r="J3079" t="s">
        <v>3732</v>
      </c>
      <c r="K3079" s="4">
        <f>Table3[[#This Row],[Sales]]-Table3[[#This Row],[Cost]]</f>
        <v>4596.8000000000011</v>
      </c>
      <c r="L3079" s="6">
        <f>Table3[[#This Row],[Profit]]/Table3[[#This Row],[Sales]]</f>
        <v>0.3013269582351974</v>
      </c>
    </row>
    <row r="3080" spans="1:12" x14ac:dyDescent="0.25">
      <c r="A3080" t="s">
        <v>2708</v>
      </c>
      <c r="B3080" s="2" t="s">
        <v>3729</v>
      </c>
      <c r="C3080" s="2" t="str">
        <f>TEXT(Table3[[#This Row],[Order Date]],"mmmm")</f>
        <v>Not Mentioned</v>
      </c>
      <c r="D3080" t="s">
        <v>3730</v>
      </c>
      <c r="E3080" t="s">
        <v>3222</v>
      </c>
      <c r="F3080" t="s">
        <v>3226</v>
      </c>
      <c r="G3080" s="4">
        <v>73648.37</v>
      </c>
      <c r="H3080" s="4">
        <v>43048.45</v>
      </c>
      <c r="I3080" s="3" t="s">
        <v>3734</v>
      </c>
      <c r="J3080" t="s">
        <v>3732</v>
      </c>
      <c r="K3080" s="4">
        <f>Table3[[#This Row],[Sales]]-Table3[[#This Row],[Cost]]</f>
        <v>30599.919999999998</v>
      </c>
      <c r="L3080" s="6">
        <f>Table3[[#This Row],[Profit]]/Table3[[#This Row],[Sales]]</f>
        <v>0.4154867242818816</v>
      </c>
    </row>
    <row r="3081" spans="1:12" x14ac:dyDescent="0.25">
      <c r="A3081" t="s">
        <v>3416</v>
      </c>
      <c r="B3081" s="2">
        <v>45021</v>
      </c>
      <c r="C3081" s="2" t="str">
        <f>TEXT(Table3[[#This Row],[Order Date]],"mmmm")</f>
        <v>April</v>
      </c>
      <c r="D3081" t="s">
        <v>3730</v>
      </c>
      <c r="E3081" t="s">
        <v>3222</v>
      </c>
      <c r="F3081" t="s">
        <v>3226</v>
      </c>
      <c r="G3081" s="4">
        <v>33878.11</v>
      </c>
      <c r="H3081" s="4">
        <v>17473.099999999999</v>
      </c>
      <c r="I3081" s="3" t="s">
        <v>3734</v>
      </c>
      <c r="J3081">
        <v>2</v>
      </c>
      <c r="K3081" s="4">
        <f>Table3[[#This Row],[Sales]]-Table3[[#This Row],[Cost]]</f>
        <v>16405.010000000002</v>
      </c>
      <c r="L3081" s="6">
        <f>Table3[[#This Row],[Profit]]/Table3[[#This Row],[Sales]]</f>
        <v>0.48423628118569784</v>
      </c>
    </row>
    <row r="3082" spans="1:12" x14ac:dyDescent="0.25">
      <c r="A3082" t="s">
        <v>3662</v>
      </c>
      <c r="B3082" s="2">
        <v>45021</v>
      </c>
      <c r="C3082" s="2" t="str">
        <f>TEXT(Table3[[#This Row],[Order Date]],"mmmm")</f>
        <v>April</v>
      </c>
      <c r="D3082" t="s">
        <v>3730</v>
      </c>
      <c r="E3082" t="s">
        <v>3222</v>
      </c>
      <c r="F3082" t="s">
        <v>3226</v>
      </c>
      <c r="G3082" s="4">
        <v>25769.41</v>
      </c>
      <c r="H3082" s="4">
        <v>19103.349999999999</v>
      </c>
      <c r="I3082" s="3" t="s">
        <v>3734</v>
      </c>
      <c r="J3082">
        <v>2</v>
      </c>
      <c r="K3082" s="4">
        <f>Table3[[#This Row],[Sales]]-Table3[[#This Row],[Cost]]</f>
        <v>6666.0600000000013</v>
      </c>
      <c r="L3082" s="6">
        <f>Table3[[#This Row],[Profit]]/Table3[[#This Row],[Sales]]</f>
        <v>0.25868112618798805</v>
      </c>
    </row>
    <row r="3083" spans="1:12" x14ac:dyDescent="0.25">
      <c r="A3083" t="s">
        <v>2710</v>
      </c>
      <c r="B3083" s="2">
        <v>45005</v>
      </c>
      <c r="C3083" s="2" t="str">
        <f>TEXT(Table3[[#This Row],[Order Date]],"mmmm")</f>
        <v>March</v>
      </c>
      <c r="D3083" t="s">
        <v>3216</v>
      </c>
      <c r="E3083" t="s">
        <v>3225</v>
      </c>
      <c r="F3083" t="s">
        <v>3226</v>
      </c>
      <c r="G3083" s="4">
        <v>44844.13</v>
      </c>
      <c r="H3083" s="4">
        <v>27607.83</v>
      </c>
      <c r="I3083" s="3" t="s">
        <v>3734</v>
      </c>
      <c r="J3083">
        <v>2</v>
      </c>
      <c r="K3083" s="4">
        <f>Table3[[#This Row],[Sales]]-Table3[[#This Row],[Cost]]</f>
        <v>17236.299999999996</v>
      </c>
      <c r="L3083" s="6">
        <f>Table3[[#This Row],[Profit]]/Table3[[#This Row],[Sales]]</f>
        <v>0.38436022730288216</v>
      </c>
    </row>
    <row r="3084" spans="1:12" x14ac:dyDescent="0.25">
      <c r="A3084" t="s">
        <v>2711</v>
      </c>
      <c r="B3084" s="2">
        <v>45005</v>
      </c>
      <c r="C3084" s="2" t="str">
        <f>TEXT(Table3[[#This Row],[Order Date]],"mmmm")</f>
        <v>March</v>
      </c>
      <c r="D3084" t="s">
        <v>3220</v>
      </c>
      <c r="E3084" t="s">
        <v>3223</v>
      </c>
      <c r="F3084" t="s">
        <v>3226</v>
      </c>
      <c r="G3084" s="4">
        <v>46489.26</v>
      </c>
      <c r="H3084" s="4">
        <v>37191.408000000003</v>
      </c>
      <c r="I3084" s="3" t="s">
        <v>3735</v>
      </c>
      <c r="J3084">
        <v>4</v>
      </c>
      <c r="K3084" s="4">
        <f>Table3[[#This Row],[Sales]]-Table3[[#This Row],[Cost]]</f>
        <v>9297.851999999999</v>
      </c>
      <c r="L3084" s="6">
        <f>Table3[[#This Row],[Profit]]/Table3[[#This Row],[Sales]]</f>
        <v>0.19999999999999996</v>
      </c>
    </row>
    <row r="3085" spans="1:12" x14ac:dyDescent="0.25">
      <c r="A3085" t="s">
        <v>470</v>
      </c>
      <c r="B3085" s="2">
        <v>44972</v>
      </c>
      <c r="C3085" s="2" t="str">
        <f>TEXT(Table3[[#This Row],[Order Date]],"mmmm")</f>
        <v>February</v>
      </c>
      <c r="D3085" t="s">
        <v>3731</v>
      </c>
      <c r="E3085" t="s">
        <v>3223</v>
      </c>
      <c r="F3085" t="s">
        <v>3226</v>
      </c>
      <c r="G3085" s="4">
        <v>43781.4</v>
      </c>
      <c r="H3085" s="4">
        <v>28714.16</v>
      </c>
      <c r="I3085" s="3" t="s">
        <v>3734</v>
      </c>
      <c r="J3085">
        <v>4</v>
      </c>
      <c r="K3085" s="4">
        <f>Table3[[#This Row],[Sales]]-Table3[[#This Row],[Cost]]</f>
        <v>15067.240000000002</v>
      </c>
      <c r="L3085" s="6">
        <f>Table3[[#This Row],[Profit]]/Table3[[#This Row],[Sales]]</f>
        <v>0.34414705788302796</v>
      </c>
    </row>
    <row r="3086" spans="1:12" x14ac:dyDescent="0.25">
      <c r="A3086" t="s">
        <v>3663</v>
      </c>
      <c r="B3086" s="2" t="s">
        <v>3729</v>
      </c>
      <c r="C3086" s="2" t="str">
        <f>TEXT(Table3[[#This Row],[Order Date]],"mmmm")</f>
        <v>Not Mentioned</v>
      </c>
      <c r="D3086" t="s">
        <v>3216</v>
      </c>
      <c r="E3086" t="s">
        <v>3222</v>
      </c>
      <c r="F3086" t="s">
        <v>3226</v>
      </c>
      <c r="G3086" s="4">
        <v>16447.28</v>
      </c>
      <c r="H3086" s="4">
        <v>9071.76</v>
      </c>
      <c r="I3086" s="3" t="s">
        <v>3734</v>
      </c>
      <c r="J3086">
        <v>1</v>
      </c>
      <c r="K3086" s="4">
        <f>Table3[[#This Row],[Sales]]-Table3[[#This Row],[Cost]]</f>
        <v>7375.5199999999986</v>
      </c>
      <c r="L3086" s="6">
        <f>Table3[[#This Row],[Profit]]/Table3[[#This Row],[Sales]]</f>
        <v>0.44843402678132793</v>
      </c>
    </row>
    <row r="3087" spans="1:12" x14ac:dyDescent="0.25">
      <c r="A3087" t="s">
        <v>2713</v>
      </c>
      <c r="B3087" s="2">
        <v>44941</v>
      </c>
      <c r="C3087" s="2" t="str">
        <f>TEXT(Table3[[#This Row],[Order Date]],"mmmm")</f>
        <v>January</v>
      </c>
      <c r="D3087" t="s">
        <v>3731</v>
      </c>
      <c r="E3087" t="s">
        <v>3225</v>
      </c>
      <c r="F3087" t="s">
        <v>3226</v>
      </c>
      <c r="G3087" s="4">
        <v>17479.09</v>
      </c>
      <c r="H3087" s="4">
        <v>13983.272000000001</v>
      </c>
      <c r="I3087" s="3" t="s">
        <v>3735</v>
      </c>
      <c r="J3087">
        <v>1</v>
      </c>
      <c r="K3087" s="4">
        <f>Table3[[#This Row],[Sales]]-Table3[[#This Row],[Cost]]</f>
        <v>3495.8179999999993</v>
      </c>
      <c r="L3087" s="6">
        <f>Table3[[#This Row],[Profit]]/Table3[[#This Row],[Sales]]</f>
        <v>0.19999999999999996</v>
      </c>
    </row>
    <row r="3088" spans="1:12" x14ac:dyDescent="0.25">
      <c r="A3088" t="s">
        <v>231</v>
      </c>
      <c r="B3088" s="2">
        <v>45021</v>
      </c>
      <c r="C3088" s="2" t="str">
        <f>TEXT(Table3[[#This Row],[Order Date]],"mmmm")</f>
        <v>April</v>
      </c>
      <c r="D3088" t="s">
        <v>3730</v>
      </c>
      <c r="E3088" t="s">
        <v>3223</v>
      </c>
      <c r="F3088" t="s">
        <v>3226</v>
      </c>
      <c r="G3088" s="4">
        <v>33688.79</v>
      </c>
      <c r="H3088" s="4">
        <v>21971.61</v>
      </c>
      <c r="I3088" s="3" t="s">
        <v>3734</v>
      </c>
      <c r="J3088">
        <v>3</v>
      </c>
      <c r="K3088" s="4">
        <f>Table3[[#This Row],[Sales]]-Table3[[#This Row],[Cost]]</f>
        <v>11717.18</v>
      </c>
      <c r="L3088" s="6">
        <f>Table3[[#This Row],[Profit]]/Table3[[#This Row],[Sales]]</f>
        <v>0.34780649586999118</v>
      </c>
    </row>
    <row r="3089" spans="1:12" x14ac:dyDescent="0.25">
      <c r="A3089" t="s">
        <v>2714</v>
      </c>
      <c r="B3089" s="2">
        <v>44941</v>
      </c>
      <c r="C3089" s="2" t="str">
        <f>TEXT(Table3[[#This Row],[Order Date]],"mmmm")</f>
        <v>January</v>
      </c>
      <c r="D3089" t="s">
        <v>3220</v>
      </c>
      <c r="E3089" t="s">
        <v>3222</v>
      </c>
      <c r="F3089" t="s">
        <v>3226</v>
      </c>
      <c r="G3089" s="4">
        <v>26639.07</v>
      </c>
      <c r="H3089" s="4">
        <v>17056.560000000001</v>
      </c>
      <c r="I3089" s="3" t="s">
        <v>3734</v>
      </c>
      <c r="J3089">
        <v>2</v>
      </c>
      <c r="K3089" s="4">
        <f>Table3[[#This Row],[Sales]]-Table3[[#This Row],[Cost]]</f>
        <v>9582.5099999999984</v>
      </c>
      <c r="L3089" s="6">
        <f>Table3[[#This Row],[Profit]]/Table3[[#This Row],[Sales]]</f>
        <v>0.35971638649547444</v>
      </c>
    </row>
    <row r="3090" spans="1:12" x14ac:dyDescent="0.25">
      <c r="A3090" t="s">
        <v>2715</v>
      </c>
      <c r="B3090" s="2">
        <v>45005</v>
      </c>
      <c r="C3090" s="2" t="str">
        <f>TEXT(Table3[[#This Row],[Order Date]],"mmmm")</f>
        <v>March</v>
      </c>
      <c r="D3090" t="s">
        <v>3220</v>
      </c>
      <c r="E3090" t="s">
        <v>3223</v>
      </c>
      <c r="F3090" t="s">
        <v>3226</v>
      </c>
      <c r="G3090" s="4">
        <v>22602.21</v>
      </c>
      <c r="H3090" s="4">
        <v>14800.78</v>
      </c>
      <c r="I3090" s="3" t="s">
        <v>3734</v>
      </c>
      <c r="J3090">
        <v>2</v>
      </c>
      <c r="K3090" s="4">
        <f>Table3[[#This Row],[Sales]]-Table3[[#This Row],[Cost]]</f>
        <v>7801.4299999999985</v>
      </c>
      <c r="L3090" s="6">
        <f>Table3[[#This Row],[Profit]]/Table3[[#This Row],[Sales]]</f>
        <v>0.34516226510593429</v>
      </c>
    </row>
    <row r="3091" spans="1:12" x14ac:dyDescent="0.25">
      <c r="A3091" t="s">
        <v>3463</v>
      </c>
      <c r="B3091" s="2">
        <v>45005</v>
      </c>
      <c r="C3091" s="2" t="str">
        <f>TEXT(Table3[[#This Row],[Order Date]],"mmmm")</f>
        <v>March</v>
      </c>
      <c r="D3091" t="s">
        <v>3220</v>
      </c>
      <c r="E3091" t="s">
        <v>3224</v>
      </c>
      <c r="F3091" t="s">
        <v>3226</v>
      </c>
      <c r="G3091" s="4">
        <v>244643.67</v>
      </c>
      <c r="H3091" s="4">
        <v>192336.63</v>
      </c>
      <c r="I3091" s="3" t="s">
        <v>3734</v>
      </c>
      <c r="J3091">
        <v>4</v>
      </c>
      <c r="K3091" s="4">
        <f>Table3[[#This Row],[Sales]]-Table3[[#This Row],[Cost]]</f>
        <v>52307.040000000008</v>
      </c>
      <c r="L3091" s="6">
        <f>Table3[[#This Row],[Profit]]/Table3[[#This Row],[Sales]]</f>
        <v>0.21380908813213931</v>
      </c>
    </row>
    <row r="3092" spans="1:12" x14ac:dyDescent="0.25">
      <c r="A3092" t="s">
        <v>2716</v>
      </c>
      <c r="B3092" s="2" t="s">
        <v>3729</v>
      </c>
      <c r="C3092" s="2" t="str">
        <f>TEXT(Table3[[#This Row],[Order Date]],"mmmm")</f>
        <v>Not Mentioned</v>
      </c>
      <c r="D3092" t="s">
        <v>3220</v>
      </c>
      <c r="E3092" t="s">
        <v>3224</v>
      </c>
      <c r="F3092" t="s">
        <v>3226</v>
      </c>
      <c r="G3092" s="4">
        <v>218758.61</v>
      </c>
      <c r="H3092" s="4">
        <v>185350.69</v>
      </c>
      <c r="I3092" s="3" t="s">
        <v>3734</v>
      </c>
      <c r="J3092">
        <v>4</v>
      </c>
      <c r="K3092" s="4">
        <f>Table3[[#This Row],[Sales]]-Table3[[#This Row],[Cost]]</f>
        <v>33407.919999999984</v>
      </c>
      <c r="L3092" s="6">
        <f>Table3[[#This Row],[Profit]]/Table3[[#This Row],[Sales]]</f>
        <v>0.15271590910181768</v>
      </c>
    </row>
    <row r="3093" spans="1:12" x14ac:dyDescent="0.25">
      <c r="A3093" t="s">
        <v>2718</v>
      </c>
      <c r="B3093" s="2">
        <v>44972</v>
      </c>
      <c r="C3093" s="2" t="str">
        <f>TEXT(Table3[[#This Row],[Order Date]],"mmmm")</f>
        <v>February</v>
      </c>
      <c r="D3093" t="s">
        <v>3220</v>
      </c>
      <c r="E3093" t="s">
        <v>3222</v>
      </c>
      <c r="F3093" t="s">
        <v>3226</v>
      </c>
      <c r="G3093" s="4">
        <v>64064.08</v>
      </c>
      <c r="H3093" s="4">
        <v>49745.94</v>
      </c>
      <c r="I3093" s="3" t="s">
        <v>3734</v>
      </c>
      <c r="J3093">
        <v>5</v>
      </c>
      <c r="K3093" s="4">
        <f>Table3[[#This Row],[Sales]]-Table3[[#This Row],[Cost]]</f>
        <v>14318.14</v>
      </c>
      <c r="L3093" s="6">
        <f>Table3[[#This Row],[Profit]]/Table3[[#This Row],[Sales]]</f>
        <v>0.22349716096758118</v>
      </c>
    </row>
    <row r="3094" spans="1:12" x14ac:dyDescent="0.25">
      <c r="A3094" t="s">
        <v>2719</v>
      </c>
      <c r="B3094" s="2">
        <v>44972</v>
      </c>
      <c r="C3094" s="2" t="str">
        <f>TEXT(Table3[[#This Row],[Order Date]],"mmmm")</f>
        <v>February</v>
      </c>
      <c r="D3094" t="s">
        <v>3216</v>
      </c>
      <c r="E3094" t="s">
        <v>3223</v>
      </c>
      <c r="F3094" t="s">
        <v>3226</v>
      </c>
      <c r="G3094" s="4">
        <v>11386.32</v>
      </c>
      <c r="H3094" s="4">
        <v>7540.7</v>
      </c>
      <c r="I3094" s="3" t="s">
        <v>3734</v>
      </c>
      <c r="J3094">
        <v>1</v>
      </c>
      <c r="K3094" s="4">
        <f>Table3[[#This Row],[Sales]]-Table3[[#This Row],[Cost]]</f>
        <v>3845.62</v>
      </c>
      <c r="L3094" s="6">
        <f>Table3[[#This Row],[Profit]]/Table3[[#This Row],[Sales]]</f>
        <v>0.33774037617070307</v>
      </c>
    </row>
    <row r="3095" spans="1:12" x14ac:dyDescent="0.25">
      <c r="A3095" t="s">
        <v>2720</v>
      </c>
      <c r="B3095" s="2">
        <v>45102</v>
      </c>
      <c r="C3095" s="2" t="str">
        <f>TEXT(Table3[[#This Row],[Order Date]],"mmmm")</f>
        <v>June</v>
      </c>
      <c r="D3095" t="s">
        <v>3216</v>
      </c>
      <c r="E3095" t="s">
        <v>3225</v>
      </c>
      <c r="F3095" t="s">
        <v>3226</v>
      </c>
      <c r="G3095" s="4">
        <v>21708.03</v>
      </c>
      <c r="H3095" s="4">
        <v>17366.423999999999</v>
      </c>
      <c r="I3095" s="3" t="s">
        <v>3735</v>
      </c>
      <c r="J3095">
        <v>1</v>
      </c>
      <c r="K3095" s="4">
        <f>Table3[[#This Row],[Sales]]-Table3[[#This Row],[Cost]]</f>
        <v>4341.6059999999998</v>
      </c>
      <c r="L3095" s="6">
        <f>Table3[[#This Row],[Profit]]/Table3[[#This Row],[Sales]]</f>
        <v>0.2</v>
      </c>
    </row>
    <row r="3096" spans="1:12" x14ac:dyDescent="0.25">
      <c r="A3096" t="s">
        <v>2721</v>
      </c>
      <c r="B3096" s="2" t="s">
        <v>3729</v>
      </c>
      <c r="C3096" s="2" t="str">
        <f>TEXT(Table3[[#This Row],[Order Date]],"mmmm")</f>
        <v>Not Mentioned</v>
      </c>
      <c r="D3096" t="s">
        <v>3220</v>
      </c>
      <c r="E3096" t="s">
        <v>3225</v>
      </c>
      <c r="F3096" t="s">
        <v>3226</v>
      </c>
      <c r="G3096" s="4">
        <v>55638.58</v>
      </c>
      <c r="H3096" s="4">
        <v>42017.52</v>
      </c>
      <c r="I3096" s="3" t="s">
        <v>3734</v>
      </c>
      <c r="J3096">
        <v>3</v>
      </c>
      <c r="K3096" s="4">
        <f>Table3[[#This Row],[Sales]]-Table3[[#This Row],[Cost]]</f>
        <v>13621.060000000005</v>
      </c>
      <c r="L3096" s="6">
        <f>Table3[[#This Row],[Profit]]/Table3[[#This Row],[Sales]]</f>
        <v>0.24481322132951641</v>
      </c>
    </row>
    <row r="3097" spans="1:12" x14ac:dyDescent="0.25">
      <c r="A3097" t="s">
        <v>2722</v>
      </c>
      <c r="B3097" s="2">
        <v>44972</v>
      </c>
      <c r="C3097" s="2" t="str">
        <f>TEXT(Table3[[#This Row],[Order Date]],"mmmm")</f>
        <v>February</v>
      </c>
      <c r="D3097" t="s">
        <v>3216</v>
      </c>
      <c r="E3097" t="s">
        <v>3225</v>
      </c>
      <c r="F3097" t="s">
        <v>3226</v>
      </c>
      <c r="G3097" s="4">
        <v>55300.26</v>
      </c>
      <c r="H3097" s="4">
        <v>44240.208000000006</v>
      </c>
      <c r="I3097" s="3" t="s">
        <v>3735</v>
      </c>
      <c r="J3097">
        <v>3</v>
      </c>
      <c r="K3097" s="4">
        <f>Table3[[#This Row],[Sales]]-Table3[[#This Row],[Cost]]</f>
        <v>11060.051999999996</v>
      </c>
      <c r="L3097" s="6">
        <f>Table3[[#This Row],[Profit]]/Table3[[#This Row],[Sales]]</f>
        <v>0.19999999999999993</v>
      </c>
    </row>
    <row r="3098" spans="1:12" x14ac:dyDescent="0.25">
      <c r="A3098" t="s">
        <v>1379</v>
      </c>
      <c r="B3098" s="2">
        <v>44941</v>
      </c>
      <c r="C3098" s="2" t="str">
        <f>TEXT(Table3[[#This Row],[Order Date]],"mmmm")</f>
        <v>January</v>
      </c>
      <c r="D3098" t="s">
        <v>3216</v>
      </c>
      <c r="E3098" t="s">
        <v>3224</v>
      </c>
      <c r="F3098" t="s">
        <v>3226</v>
      </c>
      <c r="G3098" s="4">
        <v>54407.09</v>
      </c>
      <c r="H3098" s="4">
        <v>40845.22</v>
      </c>
      <c r="I3098" s="3" t="s">
        <v>3734</v>
      </c>
      <c r="J3098" t="s">
        <v>3732</v>
      </c>
      <c r="K3098" s="4">
        <f>Table3[[#This Row],[Sales]]-Table3[[#This Row],[Cost]]</f>
        <v>13561.869999999995</v>
      </c>
      <c r="L3098" s="6">
        <f>Table3[[#This Row],[Profit]]/Table3[[#This Row],[Sales]]</f>
        <v>0.24926659374724869</v>
      </c>
    </row>
    <row r="3099" spans="1:12" x14ac:dyDescent="0.25">
      <c r="A3099" t="s">
        <v>3449</v>
      </c>
      <c r="B3099" s="2">
        <v>44941</v>
      </c>
      <c r="C3099" s="2" t="str">
        <f>TEXT(Table3[[#This Row],[Order Date]],"mmmm")</f>
        <v>January</v>
      </c>
      <c r="D3099" t="s">
        <v>3220</v>
      </c>
      <c r="E3099" t="s">
        <v>3222</v>
      </c>
      <c r="F3099" t="s">
        <v>3226</v>
      </c>
      <c r="G3099" s="4">
        <v>28643.72</v>
      </c>
      <c r="H3099" s="4">
        <v>20763.55</v>
      </c>
      <c r="I3099" s="3" t="s">
        <v>3734</v>
      </c>
      <c r="J3099">
        <v>2</v>
      </c>
      <c r="K3099" s="4">
        <f>Table3[[#This Row],[Sales]]-Table3[[#This Row],[Cost]]</f>
        <v>7880.1700000000019</v>
      </c>
      <c r="L3099" s="6">
        <f>Table3[[#This Row],[Profit]]/Table3[[#This Row],[Sales]]</f>
        <v>0.27510986701448004</v>
      </c>
    </row>
    <row r="3100" spans="1:12" x14ac:dyDescent="0.25">
      <c r="A3100" t="s">
        <v>2723</v>
      </c>
      <c r="B3100" s="2">
        <v>44941</v>
      </c>
      <c r="C3100" s="2" t="str">
        <f>TEXT(Table3[[#This Row],[Order Date]],"mmmm")</f>
        <v>January</v>
      </c>
      <c r="D3100" t="s">
        <v>3730</v>
      </c>
      <c r="E3100" t="s">
        <v>3222</v>
      </c>
      <c r="F3100" t="s">
        <v>3226</v>
      </c>
      <c r="G3100" s="4">
        <v>28906.7</v>
      </c>
      <c r="H3100" s="4">
        <v>21311.45</v>
      </c>
      <c r="I3100" s="3" t="s">
        <v>3734</v>
      </c>
      <c r="J3100">
        <v>2</v>
      </c>
      <c r="K3100" s="4">
        <f>Table3[[#This Row],[Sales]]-Table3[[#This Row],[Cost]]</f>
        <v>7595.25</v>
      </c>
      <c r="L3100" s="6">
        <f>Table3[[#This Row],[Profit]]/Table3[[#This Row],[Sales]]</f>
        <v>0.26275050420836693</v>
      </c>
    </row>
    <row r="3101" spans="1:12" x14ac:dyDescent="0.25">
      <c r="A3101" t="s">
        <v>2159</v>
      </c>
      <c r="B3101" s="2">
        <v>45102</v>
      </c>
      <c r="C3101" s="2" t="str">
        <f>TEXT(Table3[[#This Row],[Order Date]],"mmmm")</f>
        <v>June</v>
      </c>
      <c r="D3101" t="s">
        <v>3220</v>
      </c>
      <c r="E3101" t="s">
        <v>3225</v>
      </c>
      <c r="F3101" t="s">
        <v>3226</v>
      </c>
      <c r="G3101" s="4">
        <v>59138.16</v>
      </c>
      <c r="H3101" s="4">
        <v>41788.959999999999</v>
      </c>
      <c r="I3101" s="3" t="s">
        <v>3734</v>
      </c>
      <c r="J3101">
        <v>3</v>
      </c>
      <c r="K3101" s="4">
        <f>Table3[[#This Row],[Sales]]-Table3[[#This Row],[Cost]]</f>
        <v>17349.200000000004</v>
      </c>
      <c r="L3101" s="6">
        <f>Table3[[#This Row],[Profit]]/Table3[[#This Row],[Sales]]</f>
        <v>0.29336726066553309</v>
      </c>
    </row>
    <row r="3102" spans="1:12" x14ac:dyDescent="0.25">
      <c r="A3102" t="s">
        <v>2724</v>
      </c>
      <c r="B3102" s="2">
        <v>44941</v>
      </c>
      <c r="C3102" s="2" t="str">
        <f>TEXT(Table3[[#This Row],[Order Date]],"mmmm")</f>
        <v>January</v>
      </c>
      <c r="D3102" t="s">
        <v>3730</v>
      </c>
      <c r="E3102" t="s">
        <v>3222</v>
      </c>
      <c r="F3102" t="s">
        <v>3226</v>
      </c>
      <c r="G3102" s="4">
        <v>56293.41</v>
      </c>
      <c r="H3102" s="4">
        <v>39399.74</v>
      </c>
      <c r="I3102" s="3" t="s">
        <v>3734</v>
      </c>
      <c r="J3102">
        <v>4</v>
      </c>
      <c r="K3102" s="4">
        <f>Table3[[#This Row],[Sales]]-Table3[[#This Row],[Cost]]</f>
        <v>16893.670000000006</v>
      </c>
      <c r="L3102" s="6">
        <f>Table3[[#This Row],[Profit]]/Table3[[#This Row],[Sales]]</f>
        <v>0.30010031369568846</v>
      </c>
    </row>
    <row r="3103" spans="1:12" x14ac:dyDescent="0.25">
      <c r="A3103" t="s">
        <v>1935</v>
      </c>
      <c r="B3103" s="2">
        <v>45021</v>
      </c>
      <c r="C3103" s="2" t="str">
        <f>TEXT(Table3[[#This Row],[Order Date]],"mmmm")</f>
        <v>April</v>
      </c>
      <c r="D3103" t="s">
        <v>3731</v>
      </c>
      <c r="E3103" t="s">
        <v>3225</v>
      </c>
      <c r="F3103" t="s">
        <v>3226</v>
      </c>
      <c r="G3103" s="4">
        <v>67054.080000000002</v>
      </c>
      <c r="H3103" s="4">
        <v>56741.08</v>
      </c>
      <c r="I3103" s="3" t="s">
        <v>3734</v>
      </c>
      <c r="J3103">
        <v>4</v>
      </c>
      <c r="K3103" s="4">
        <f>Table3[[#This Row],[Sales]]-Table3[[#This Row],[Cost]]</f>
        <v>10313</v>
      </c>
      <c r="L3103" s="6">
        <f>Table3[[#This Row],[Profit]]/Table3[[#This Row],[Sales]]</f>
        <v>0.15380123029053563</v>
      </c>
    </row>
    <row r="3104" spans="1:12" x14ac:dyDescent="0.25">
      <c r="A3104" t="s">
        <v>2726</v>
      </c>
      <c r="B3104" s="2">
        <v>45021</v>
      </c>
      <c r="C3104" s="2" t="str">
        <f>TEXT(Table3[[#This Row],[Order Date]],"mmmm")</f>
        <v>April</v>
      </c>
      <c r="D3104" t="s">
        <v>3731</v>
      </c>
      <c r="E3104" t="s">
        <v>3225</v>
      </c>
      <c r="F3104" t="s">
        <v>3226</v>
      </c>
      <c r="G3104" s="4">
        <v>65567.08</v>
      </c>
      <c r="H3104" s="4">
        <v>48813.47</v>
      </c>
      <c r="I3104" s="3" t="s">
        <v>3734</v>
      </c>
      <c r="J3104">
        <v>4</v>
      </c>
      <c r="K3104" s="4">
        <f>Table3[[#This Row],[Sales]]-Table3[[#This Row],[Cost]]</f>
        <v>16753.61</v>
      </c>
      <c r="L3104" s="6">
        <f>Table3[[#This Row],[Profit]]/Table3[[#This Row],[Sales]]</f>
        <v>0.25551862306511136</v>
      </c>
    </row>
    <row r="3105" spans="1:12" x14ac:dyDescent="0.25">
      <c r="A3105" t="s">
        <v>82</v>
      </c>
      <c r="B3105" s="2">
        <v>45102</v>
      </c>
      <c r="C3105" s="2" t="str">
        <f>TEXT(Table3[[#This Row],[Order Date]],"mmmm")</f>
        <v>June</v>
      </c>
      <c r="D3105" t="s">
        <v>3730</v>
      </c>
      <c r="E3105" t="s">
        <v>3225</v>
      </c>
      <c r="F3105" t="s">
        <v>3226</v>
      </c>
      <c r="G3105" s="4">
        <v>45683.42</v>
      </c>
      <c r="H3105" s="4">
        <v>27342.17</v>
      </c>
      <c r="I3105" s="3" t="s">
        <v>3734</v>
      </c>
      <c r="J3105">
        <v>2</v>
      </c>
      <c r="K3105" s="4">
        <f>Table3[[#This Row],[Sales]]-Table3[[#This Row],[Cost]]</f>
        <v>18341.25</v>
      </c>
      <c r="L3105" s="6">
        <f>Table3[[#This Row],[Profit]]/Table3[[#This Row],[Sales]]</f>
        <v>0.40148592202597794</v>
      </c>
    </row>
    <row r="3106" spans="1:12" x14ac:dyDescent="0.25">
      <c r="A3106" t="s">
        <v>3658</v>
      </c>
      <c r="B3106" s="2">
        <v>44941</v>
      </c>
      <c r="C3106" s="2" t="str">
        <f>TEXT(Table3[[#This Row],[Order Date]],"mmmm")</f>
        <v>January</v>
      </c>
      <c r="D3106" t="s">
        <v>3731</v>
      </c>
      <c r="E3106" t="s">
        <v>3224</v>
      </c>
      <c r="F3106" t="s">
        <v>3226</v>
      </c>
      <c r="G3106" s="4">
        <v>283618.78000000003</v>
      </c>
      <c r="H3106" s="4">
        <v>222597.44</v>
      </c>
      <c r="I3106" s="3" t="s">
        <v>3734</v>
      </c>
      <c r="J3106">
        <v>5</v>
      </c>
      <c r="K3106" s="4">
        <f>Table3[[#This Row],[Sales]]-Table3[[#This Row],[Cost]]</f>
        <v>61021.340000000026</v>
      </c>
      <c r="L3106" s="6">
        <f>Table3[[#This Row],[Profit]]/Table3[[#This Row],[Sales]]</f>
        <v>0.21515267783043146</v>
      </c>
    </row>
    <row r="3107" spans="1:12" x14ac:dyDescent="0.25">
      <c r="A3107" t="s">
        <v>3664</v>
      </c>
      <c r="B3107" s="2">
        <v>45021</v>
      </c>
      <c r="C3107" s="2" t="str">
        <f>TEXT(Table3[[#This Row],[Order Date]],"mmmm")</f>
        <v>April</v>
      </c>
      <c r="D3107" t="s">
        <v>3220</v>
      </c>
      <c r="E3107" t="s">
        <v>3223</v>
      </c>
      <c r="F3107" t="s">
        <v>3226</v>
      </c>
      <c r="G3107" s="4">
        <v>22238.26</v>
      </c>
      <c r="H3107" s="4">
        <v>12554.81</v>
      </c>
      <c r="I3107" s="3" t="s">
        <v>3734</v>
      </c>
      <c r="J3107">
        <v>2</v>
      </c>
      <c r="K3107" s="4">
        <f>Table3[[#This Row],[Sales]]-Table3[[#This Row],[Cost]]</f>
        <v>9683.4499999999989</v>
      </c>
      <c r="L3107" s="6">
        <f>Table3[[#This Row],[Profit]]/Table3[[#This Row],[Sales]]</f>
        <v>0.43544099223590332</v>
      </c>
    </row>
    <row r="3108" spans="1:12" x14ac:dyDescent="0.25">
      <c r="A3108" t="s">
        <v>2728</v>
      </c>
      <c r="B3108" s="2">
        <v>44941</v>
      </c>
      <c r="C3108" s="2" t="str">
        <f>TEXT(Table3[[#This Row],[Order Date]],"mmmm")</f>
        <v>January</v>
      </c>
      <c r="D3108" t="s">
        <v>3216</v>
      </c>
      <c r="E3108" t="s">
        <v>3223</v>
      </c>
      <c r="F3108" t="s">
        <v>3226</v>
      </c>
      <c r="G3108" s="4">
        <v>33252.35</v>
      </c>
      <c r="H3108" s="4">
        <v>22456.36</v>
      </c>
      <c r="I3108" s="3" t="s">
        <v>3734</v>
      </c>
      <c r="J3108">
        <v>3</v>
      </c>
      <c r="K3108" s="4">
        <f>Table3[[#This Row],[Sales]]-Table3[[#This Row],[Cost]]</f>
        <v>10795.989999999998</v>
      </c>
      <c r="L3108" s="6">
        <f>Table3[[#This Row],[Profit]]/Table3[[#This Row],[Sales]]</f>
        <v>0.3246684820772065</v>
      </c>
    </row>
    <row r="3109" spans="1:12" x14ac:dyDescent="0.25">
      <c r="A3109" t="s">
        <v>2729</v>
      </c>
      <c r="B3109" s="2">
        <v>45102</v>
      </c>
      <c r="C3109" s="2" t="str">
        <f>TEXT(Table3[[#This Row],[Order Date]],"mmmm")</f>
        <v>June</v>
      </c>
      <c r="D3109" t="s">
        <v>3220</v>
      </c>
      <c r="E3109" t="s">
        <v>3225</v>
      </c>
      <c r="F3109" t="s">
        <v>3226</v>
      </c>
      <c r="G3109" s="4">
        <v>78048.789999999994</v>
      </c>
      <c r="H3109" s="4">
        <v>62439.031999999999</v>
      </c>
      <c r="I3109" s="3" t="s">
        <v>3735</v>
      </c>
      <c r="J3109">
        <v>4</v>
      </c>
      <c r="K3109" s="4">
        <f>Table3[[#This Row],[Sales]]-Table3[[#This Row],[Cost]]</f>
        <v>15609.757999999994</v>
      </c>
      <c r="L3109" s="6">
        <f>Table3[[#This Row],[Profit]]/Table3[[#This Row],[Sales]]</f>
        <v>0.19999999999999996</v>
      </c>
    </row>
    <row r="3110" spans="1:12" x14ac:dyDescent="0.25">
      <c r="A3110" t="s">
        <v>2730</v>
      </c>
      <c r="B3110" s="2">
        <v>45021</v>
      </c>
      <c r="C3110" s="2" t="str">
        <f>TEXT(Table3[[#This Row],[Order Date]],"mmmm")</f>
        <v>April</v>
      </c>
      <c r="D3110" t="s">
        <v>3730</v>
      </c>
      <c r="E3110" t="s">
        <v>3224</v>
      </c>
      <c r="F3110" t="s">
        <v>3226</v>
      </c>
      <c r="G3110" s="4">
        <v>100175.8</v>
      </c>
      <c r="H3110" s="4">
        <v>81401.05</v>
      </c>
      <c r="I3110" s="3" t="s">
        <v>3734</v>
      </c>
      <c r="J3110">
        <v>2</v>
      </c>
      <c r="K3110" s="4">
        <f>Table3[[#This Row],[Sales]]-Table3[[#This Row],[Cost]]</f>
        <v>18774.75</v>
      </c>
      <c r="L3110" s="6">
        <f>Table3[[#This Row],[Profit]]/Table3[[#This Row],[Sales]]</f>
        <v>0.18741801912238285</v>
      </c>
    </row>
    <row r="3111" spans="1:12" x14ac:dyDescent="0.25">
      <c r="A3111" t="s">
        <v>2731</v>
      </c>
      <c r="B3111" s="2" t="s">
        <v>3729</v>
      </c>
      <c r="C3111" s="2" t="str">
        <f>TEXT(Table3[[#This Row],[Order Date]],"mmmm")</f>
        <v>Not Mentioned</v>
      </c>
      <c r="D3111" t="s">
        <v>3220</v>
      </c>
      <c r="E3111" t="s">
        <v>3222</v>
      </c>
      <c r="F3111" t="s">
        <v>3226</v>
      </c>
      <c r="G3111" s="4">
        <v>34240.6</v>
      </c>
      <c r="H3111" s="4">
        <v>17380.47</v>
      </c>
      <c r="I3111" s="3" t="s">
        <v>3734</v>
      </c>
      <c r="J3111">
        <v>2</v>
      </c>
      <c r="K3111" s="4">
        <f>Table3[[#This Row],[Sales]]-Table3[[#This Row],[Cost]]</f>
        <v>16860.129999999997</v>
      </c>
      <c r="L3111" s="6">
        <f>Table3[[#This Row],[Profit]]/Table3[[#This Row],[Sales]]</f>
        <v>0.49240171025040441</v>
      </c>
    </row>
    <row r="3112" spans="1:12" x14ac:dyDescent="0.25">
      <c r="A3112" t="s">
        <v>3665</v>
      </c>
      <c r="B3112" s="2">
        <v>45021</v>
      </c>
      <c r="C3112" s="2" t="str">
        <f>TEXT(Table3[[#This Row],[Order Date]],"mmmm")</f>
        <v>April</v>
      </c>
      <c r="D3112" t="s">
        <v>3730</v>
      </c>
      <c r="E3112" t="s">
        <v>3224</v>
      </c>
      <c r="F3112" t="s">
        <v>3226</v>
      </c>
      <c r="G3112" s="4">
        <v>208593.2</v>
      </c>
      <c r="H3112" s="4">
        <v>125435.45</v>
      </c>
      <c r="I3112" s="3" t="s">
        <v>3734</v>
      </c>
      <c r="J3112" t="s">
        <v>3732</v>
      </c>
      <c r="K3112" s="4">
        <f>Table3[[#This Row],[Sales]]-Table3[[#This Row],[Cost]]</f>
        <v>83157.750000000015</v>
      </c>
      <c r="L3112" s="6">
        <f>Table3[[#This Row],[Profit]]/Table3[[#This Row],[Sales]]</f>
        <v>0.3986599275527678</v>
      </c>
    </row>
    <row r="3113" spans="1:12" x14ac:dyDescent="0.25">
      <c r="A3113" t="s">
        <v>2733</v>
      </c>
      <c r="B3113" s="2">
        <v>44972</v>
      </c>
      <c r="C3113" s="2" t="str">
        <f>TEXT(Table3[[#This Row],[Order Date]],"mmmm")</f>
        <v>February</v>
      </c>
      <c r="D3113" t="s">
        <v>3220</v>
      </c>
      <c r="E3113" t="s">
        <v>3225</v>
      </c>
      <c r="F3113" t="s">
        <v>3226</v>
      </c>
      <c r="G3113" s="4">
        <v>106776.48</v>
      </c>
      <c r="H3113" s="4">
        <v>74900.39</v>
      </c>
      <c r="I3113" s="3" t="s">
        <v>3734</v>
      </c>
      <c r="J3113">
        <v>5</v>
      </c>
      <c r="K3113" s="4">
        <f>Table3[[#This Row],[Sales]]-Table3[[#This Row],[Cost]]</f>
        <v>31876.089999999997</v>
      </c>
      <c r="L3113" s="6">
        <f>Table3[[#This Row],[Profit]]/Table3[[#This Row],[Sales]]</f>
        <v>0.29853100607924138</v>
      </c>
    </row>
    <row r="3114" spans="1:12" x14ac:dyDescent="0.25">
      <c r="A3114" t="s">
        <v>1252</v>
      </c>
      <c r="B3114" s="2" t="s">
        <v>3729</v>
      </c>
      <c r="C3114" s="2" t="str">
        <f>TEXT(Table3[[#This Row],[Order Date]],"mmmm")</f>
        <v>Not Mentioned</v>
      </c>
      <c r="D3114" t="s">
        <v>3220</v>
      </c>
      <c r="E3114" t="s">
        <v>3225</v>
      </c>
      <c r="F3114" t="s">
        <v>3226</v>
      </c>
      <c r="G3114" s="4">
        <v>74983.289999999994</v>
      </c>
      <c r="H3114" s="4">
        <v>49247.15</v>
      </c>
      <c r="I3114" s="3" t="s">
        <v>3734</v>
      </c>
      <c r="J3114">
        <v>4</v>
      </c>
      <c r="K3114" s="4">
        <f>Table3[[#This Row],[Sales]]-Table3[[#This Row],[Cost]]</f>
        <v>25736.139999999992</v>
      </c>
      <c r="L3114" s="6">
        <f>Table3[[#This Row],[Profit]]/Table3[[#This Row],[Sales]]</f>
        <v>0.34322500386419419</v>
      </c>
    </row>
    <row r="3115" spans="1:12" x14ac:dyDescent="0.25">
      <c r="A3115" t="s">
        <v>3666</v>
      </c>
      <c r="B3115" s="2">
        <v>45021</v>
      </c>
      <c r="C3115" s="2" t="str">
        <f>TEXT(Table3[[#This Row],[Order Date]],"mmmm")</f>
        <v>April</v>
      </c>
      <c r="D3115" t="s">
        <v>3220</v>
      </c>
      <c r="E3115" t="s">
        <v>3224</v>
      </c>
      <c r="F3115" t="s">
        <v>3226</v>
      </c>
      <c r="G3115" s="4">
        <v>158317.10999999999</v>
      </c>
      <c r="H3115" s="4">
        <v>123162.92</v>
      </c>
      <c r="I3115" s="3" t="s">
        <v>3734</v>
      </c>
      <c r="J3115">
        <v>3</v>
      </c>
      <c r="K3115" s="4">
        <f>Table3[[#This Row],[Sales]]-Table3[[#This Row],[Cost]]</f>
        <v>35154.189999999988</v>
      </c>
      <c r="L3115" s="6">
        <f>Table3[[#This Row],[Profit]]/Table3[[#This Row],[Sales]]</f>
        <v>0.22204921502167385</v>
      </c>
    </row>
    <row r="3116" spans="1:12" x14ac:dyDescent="0.25">
      <c r="A3116" t="s">
        <v>2735</v>
      </c>
      <c r="B3116" s="2">
        <v>45102</v>
      </c>
      <c r="C3116" s="2" t="str">
        <f>TEXT(Table3[[#This Row],[Order Date]],"mmmm")</f>
        <v>June</v>
      </c>
      <c r="D3116" t="s">
        <v>3220</v>
      </c>
      <c r="E3116" t="s">
        <v>3225</v>
      </c>
      <c r="F3116" t="s">
        <v>3226</v>
      </c>
      <c r="G3116" s="4">
        <v>76095.94</v>
      </c>
      <c r="H3116" s="4">
        <v>61185.11</v>
      </c>
      <c r="I3116" s="3" t="s">
        <v>3734</v>
      </c>
      <c r="J3116">
        <v>4</v>
      </c>
      <c r="K3116" s="4">
        <f>Table3[[#This Row],[Sales]]-Table3[[#This Row],[Cost]]</f>
        <v>14910.830000000002</v>
      </c>
      <c r="L3116" s="6">
        <f>Table3[[#This Row],[Profit]]/Table3[[#This Row],[Sales]]</f>
        <v>0.19594777329776072</v>
      </c>
    </row>
    <row r="3117" spans="1:12" x14ac:dyDescent="0.25">
      <c r="A3117" t="s">
        <v>2736</v>
      </c>
      <c r="B3117" s="2">
        <v>44972</v>
      </c>
      <c r="C3117" s="2" t="str">
        <f>TEXT(Table3[[#This Row],[Order Date]],"mmmm")</f>
        <v>February</v>
      </c>
      <c r="D3117" t="s">
        <v>3216</v>
      </c>
      <c r="E3117" t="s">
        <v>3224</v>
      </c>
      <c r="F3117" t="s">
        <v>3226</v>
      </c>
      <c r="G3117" s="4">
        <v>53473.66</v>
      </c>
      <c r="H3117" s="4">
        <v>45937.46</v>
      </c>
      <c r="I3117" s="3" t="s">
        <v>3734</v>
      </c>
      <c r="J3117">
        <v>1</v>
      </c>
      <c r="K3117" s="4">
        <f>Table3[[#This Row],[Sales]]-Table3[[#This Row],[Cost]]</f>
        <v>7536.2000000000044</v>
      </c>
      <c r="L3117" s="6">
        <f>Table3[[#This Row],[Profit]]/Table3[[#This Row],[Sales]]</f>
        <v>0.14093293782396799</v>
      </c>
    </row>
    <row r="3118" spans="1:12" x14ac:dyDescent="0.25">
      <c r="A3118" t="s">
        <v>2737</v>
      </c>
      <c r="B3118" s="2">
        <v>45005</v>
      </c>
      <c r="C3118" s="2" t="str">
        <f>TEXT(Table3[[#This Row],[Order Date]],"mmmm")</f>
        <v>March</v>
      </c>
      <c r="D3118" t="s">
        <v>3731</v>
      </c>
      <c r="E3118" t="s">
        <v>3222</v>
      </c>
      <c r="F3118" t="s">
        <v>3226</v>
      </c>
      <c r="G3118" s="4">
        <v>70033.64</v>
      </c>
      <c r="H3118" s="4">
        <v>56026.912000000004</v>
      </c>
      <c r="I3118" s="3" t="s">
        <v>3735</v>
      </c>
      <c r="J3118">
        <v>5</v>
      </c>
      <c r="K3118" s="4">
        <f>Table3[[#This Row],[Sales]]-Table3[[#This Row],[Cost]]</f>
        <v>14006.727999999996</v>
      </c>
      <c r="L3118" s="6">
        <f>Table3[[#This Row],[Profit]]/Table3[[#This Row],[Sales]]</f>
        <v>0.19999999999999993</v>
      </c>
    </row>
    <row r="3119" spans="1:12" x14ac:dyDescent="0.25">
      <c r="A3119" t="s">
        <v>2738</v>
      </c>
      <c r="B3119" s="2">
        <v>44941</v>
      </c>
      <c r="C3119" s="2" t="str">
        <f>TEXT(Table3[[#This Row],[Order Date]],"mmmm")</f>
        <v>January</v>
      </c>
      <c r="D3119" t="s">
        <v>3220</v>
      </c>
      <c r="E3119" t="s">
        <v>3222</v>
      </c>
      <c r="F3119" t="s">
        <v>3226</v>
      </c>
      <c r="G3119" s="4">
        <v>16535.900000000001</v>
      </c>
      <c r="H3119" s="4">
        <v>8958.83</v>
      </c>
      <c r="I3119" s="3" t="s">
        <v>3734</v>
      </c>
      <c r="J3119">
        <v>1</v>
      </c>
      <c r="K3119" s="4">
        <f>Table3[[#This Row],[Sales]]-Table3[[#This Row],[Cost]]</f>
        <v>7577.0700000000015</v>
      </c>
      <c r="L3119" s="6">
        <f>Table3[[#This Row],[Profit]]/Table3[[#This Row],[Sales]]</f>
        <v>0.45821938932867284</v>
      </c>
    </row>
    <row r="3120" spans="1:12" x14ac:dyDescent="0.25">
      <c r="A3120" t="s">
        <v>3472</v>
      </c>
      <c r="B3120" s="2" t="s">
        <v>3729</v>
      </c>
      <c r="C3120" s="2" t="str">
        <f>TEXT(Table3[[#This Row],[Order Date]],"mmmm")</f>
        <v>Not Mentioned</v>
      </c>
      <c r="D3120" t="s">
        <v>3220</v>
      </c>
      <c r="E3120" t="s">
        <v>3223</v>
      </c>
      <c r="F3120" t="s">
        <v>3226</v>
      </c>
      <c r="G3120" s="4">
        <v>10380.61</v>
      </c>
      <c r="H3120" s="4">
        <v>7025.44</v>
      </c>
      <c r="I3120" s="3" t="s">
        <v>3734</v>
      </c>
      <c r="J3120">
        <v>1</v>
      </c>
      <c r="K3120" s="4">
        <f>Table3[[#This Row],[Sales]]-Table3[[#This Row],[Cost]]</f>
        <v>3355.170000000001</v>
      </c>
      <c r="L3120" s="6">
        <f>Table3[[#This Row],[Profit]]/Table3[[#This Row],[Sales]]</f>
        <v>0.32321510970935241</v>
      </c>
    </row>
    <row r="3121" spans="1:12" x14ac:dyDescent="0.25">
      <c r="A3121" t="s">
        <v>2325</v>
      </c>
      <c r="B3121" s="2" t="s">
        <v>3729</v>
      </c>
      <c r="C3121" s="2" t="str">
        <f>TEXT(Table3[[#This Row],[Order Date]],"mmmm")</f>
        <v>Not Mentioned</v>
      </c>
      <c r="D3121" t="s">
        <v>3220</v>
      </c>
      <c r="E3121" t="s">
        <v>3225</v>
      </c>
      <c r="F3121" t="s">
        <v>3226</v>
      </c>
      <c r="G3121" s="4">
        <v>88703.16</v>
      </c>
      <c r="H3121" s="4">
        <v>52617.78</v>
      </c>
      <c r="I3121" s="3" t="s">
        <v>3734</v>
      </c>
      <c r="J3121">
        <v>4</v>
      </c>
      <c r="K3121" s="4">
        <f>Table3[[#This Row],[Sales]]-Table3[[#This Row],[Cost]]</f>
        <v>36085.380000000005</v>
      </c>
      <c r="L3121" s="6">
        <f>Table3[[#This Row],[Profit]]/Table3[[#This Row],[Sales]]</f>
        <v>0.40681053527292604</v>
      </c>
    </row>
    <row r="3122" spans="1:12" x14ac:dyDescent="0.25">
      <c r="A3122" t="s">
        <v>1268</v>
      </c>
      <c r="B3122" s="2" t="s">
        <v>3729</v>
      </c>
      <c r="C3122" s="2" t="str">
        <f>TEXT(Table3[[#This Row],[Order Date]],"mmmm")</f>
        <v>Not Mentioned</v>
      </c>
      <c r="D3122" t="s">
        <v>3220</v>
      </c>
      <c r="E3122" t="s">
        <v>3222</v>
      </c>
      <c r="F3122" t="s">
        <v>3226</v>
      </c>
      <c r="G3122" s="4">
        <v>63295.86</v>
      </c>
      <c r="H3122" s="4">
        <v>48548.71</v>
      </c>
      <c r="I3122" s="3" t="s">
        <v>3734</v>
      </c>
      <c r="J3122">
        <v>5</v>
      </c>
      <c r="K3122" s="4">
        <f>Table3[[#This Row],[Sales]]-Table3[[#This Row],[Cost]]</f>
        <v>14747.150000000001</v>
      </c>
      <c r="L3122" s="6">
        <f>Table3[[#This Row],[Profit]]/Table3[[#This Row],[Sales]]</f>
        <v>0.23298759192149379</v>
      </c>
    </row>
    <row r="3123" spans="1:12" x14ac:dyDescent="0.25">
      <c r="A3123" t="s">
        <v>2739</v>
      </c>
      <c r="B3123" s="2">
        <v>45102</v>
      </c>
      <c r="C3123" s="2" t="str">
        <f>TEXT(Table3[[#This Row],[Order Date]],"mmmm")</f>
        <v>June</v>
      </c>
      <c r="D3123" t="s">
        <v>3220</v>
      </c>
      <c r="E3123" t="s">
        <v>3225</v>
      </c>
      <c r="F3123" t="s">
        <v>3226</v>
      </c>
      <c r="G3123" s="4">
        <v>109457.11</v>
      </c>
      <c r="H3123" s="4">
        <v>87565.688000000009</v>
      </c>
      <c r="I3123" s="3" t="s">
        <v>3735</v>
      </c>
      <c r="J3123">
        <v>5</v>
      </c>
      <c r="K3123" s="4">
        <f>Table3[[#This Row],[Sales]]-Table3[[#This Row],[Cost]]</f>
        <v>21891.421999999991</v>
      </c>
      <c r="L3123" s="6">
        <f>Table3[[#This Row],[Profit]]/Table3[[#This Row],[Sales]]</f>
        <v>0.19999999999999993</v>
      </c>
    </row>
    <row r="3124" spans="1:12" x14ac:dyDescent="0.25">
      <c r="A3124" t="s">
        <v>2740</v>
      </c>
      <c r="B3124" s="2">
        <v>44941</v>
      </c>
      <c r="C3124" s="2" t="str">
        <f>TEXT(Table3[[#This Row],[Order Date]],"mmmm")</f>
        <v>January</v>
      </c>
      <c r="D3124" t="s">
        <v>3730</v>
      </c>
      <c r="E3124" t="s">
        <v>3223</v>
      </c>
      <c r="F3124" t="s">
        <v>3226</v>
      </c>
      <c r="G3124" s="4">
        <v>16083.34</v>
      </c>
      <c r="H3124" s="4">
        <v>12683.85</v>
      </c>
      <c r="I3124" s="3" t="s">
        <v>3734</v>
      </c>
      <c r="J3124">
        <v>2</v>
      </c>
      <c r="K3124" s="4">
        <f>Table3[[#This Row],[Sales]]-Table3[[#This Row],[Cost]]</f>
        <v>3399.49</v>
      </c>
      <c r="L3124" s="6">
        <f>Table3[[#This Row],[Profit]]/Table3[[#This Row],[Sales]]</f>
        <v>0.21136716627267718</v>
      </c>
    </row>
    <row r="3125" spans="1:12" x14ac:dyDescent="0.25">
      <c r="A3125" t="s">
        <v>2371</v>
      </c>
      <c r="B3125" s="2">
        <v>45021</v>
      </c>
      <c r="C3125" s="2" t="str">
        <f>TEXT(Table3[[#This Row],[Order Date]],"mmmm")</f>
        <v>April</v>
      </c>
      <c r="D3125" t="s">
        <v>3730</v>
      </c>
      <c r="E3125" t="s">
        <v>3222</v>
      </c>
      <c r="F3125" t="s">
        <v>3226</v>
      </c>
      <c r="G3125" s="4">
        <v>65365.7</v>
      </c>
      <c r="H3125" s="4">
        <v>54333.13</v>
      </c>
      <c r="I3125" s="3" t="s">
        <v>3734</v>
      </c>
      <c r="J3125">
        <v>5</v>
      </c>
      <c r="K3125" s="4">
        <f>Table3[[#This Row],[Sales]]-Table3[[#This Row],[Cost]]</f>
        <v>11032.57</v>
      </c>
      <c r="L3125" s="6">
        <f>Table3[[#This Row],[Profit]]/Table3[[#This Row],[Sales]]</f>
        <v>0.16878225124185928</v>
      </c>
    </row>
    <row r="3126" spans="1:12" x14ac:dyDescent="0.25">
      <c r="A3126" t="s">
        <v>2742</v>
      </c>
      <c r="B3126" s="2">
        <v>45102</v>
      </c>
      <c r="C3126" s="2" t="str">
        <f>TEXT(Table3[[#This Row],[Order Date]],"mmmm")</f>
        <v>June</v>
      </c>
      <c r="D3126" t="s">
        <v>3216</v>
      </c>
      <c r="E3126" t="s">
        <v>3224</v>
      </c>
      <c r="F3126" t="s">
        <v>3226</v>
      </c>
      <c r="G3126" s="4">
        <v>63351.62</v>
      </c>
      <c r="H3126" s="4">
        <v>38328.42</v>
      </c>
      <c r="I3126" s="3" t="s">
        <v>3734</v>
      </c>
      <c r="J3126">
        <v>1</v>
      </c>
      <c r="K3126" s="4">
        <f>Table3[[#This Row],[Sales]]-Table3[[#This Row],[Cost]]</f>
        <v>25023.200000000004</v>
      </c>
      <c r="L3126" s="6">
        <f>Table3[[#This Row],[Profit]]/Table3[[#This Row],[Sales]]</f>
        <v>0.39498910998645342</v>
      </c>
    </row>
    <row r="3127" spans="1:12" x14ac:dyDescent="0.25">
      <c r="A3127" t="s">
        <v>3667</v>
      </c>
      <c r="B3127" s="2">
        <v>44941</v>
      </c>
      <c r="C3127" s="2" t="str">
        <f>TEXT(Table3[[#This Row],[Order Date]],"mmmm")</f>
        <v>January</v>
      </c>
      <c r="D3127" t="s">
        <v>3220</v>
      </c>
      <c r="E3127" t="s">
        <v>3224</v>
      </c>
      <c r="F3127" t="s">
        <v>3226</v>
      </c>
      <c r="G3127" s="4">
        <v>243122.88</v>
      </c>
      <c r="H3127" s="4">
        <v>166246.23000000001</v>
      </c>
      <c r="I3127" s="3" t="s">
        <v>3734</v>
      </c>
      <c r="J3127">
        <v>4</v>
      </c>
      <c r="K3127" s="4">
        <f>Table3[[#This Row],[Sales]]-Table3[[#This Row],[Cost]]</f>
        <v>76876.649999999994</v>
      </c>
      <c r="L3127" s="6">
        <f>Table3[[#This Row],[Profit]]/Table3[[#This Row],[Sales]]</f>
        <v>0.31620491662487704</v>
      </c>
    </row>
    <row r="3128" spans="1:12" x14ac:dyDescent="0.25">
      <c r="A3128" t="s">
        <v>1314</v>
      </c>
      <c r="B3128" s="2">
        <v>44941</v>
      </c>
      <c r="C3128" s="2" t="str">
        <f>TEXT(Table3[[#This Row],[Order Date]],"mmmm")</f>
        <v>January</v>
      </c>
      <c r="D3128" t="s">
        <v>3730</v>
      </c>
      <c r="E3128" t="s">
        <v>3222</v>
      </c>
      <c r="F3128" t="s">
        <v>3226</v>
      </c>
      <c r="G3128" s="4">
        <v>57776.57</v>
      </c>
      <c r="H3128" s="4">
        <v>37650.14</v>
      </c>
      <c r="I3128" s="3" t="s">
        <v>3734</v>
      </c>
      <c r="J3128">
        <v>4</v>
      </c>
      <c r="K3128" s="4">
        <f>Table3[[#This Row],[Sales]]-Table3[[#This Row],[Cost]]</f>
        <v>20126.43</v>
      </c>
      <c r="L3128" s="6">
        <f>Table3[[#This Row],[Profit]]/Table3[[#This Row],[Sales]]</f>
        <v>0.3483493395333091</v>
      </c>
    </row>
    <row r="3129" spans="1:12" x14ac:dyDescent="0.25">
      <c r="A3129" t="s">
        <v>1830</v>
      </c>
      <c r="B3129" s="2">
        <v>45005</v>
      </c>
      <c r="C3129" s="2" t="str">
        <f>TEXT(Table3[[#This Row],[Order Date]],"mmmm")</f>
        <v>March</v>
      </c>
      <c r="D3129" t="s">
        <v>3730</v>
      </c>
      <c r="E3129" t="s">
        <v>3224</v>
      </c>
      <c r="F3129" t="s">
        <v>3226</v>
      </c>
      <c r="G3129" s="4">
        <v>198241.2</v>
      </c>
      <c r="H3129" s="4">
        <v>118196.59</v>
      </c>
      <c r="I3129" s="3" t="s">
        <v>3734</v>
      </c>
      <c r="J3129">
        <v>3</v>
      </c>
      <c r="K3129" s="4">
        <f>Table3[[#This Row],[Sales]]-Table3[[#This Row],[Cost]]</f>
        <v>80044.610000000015</v>
      </c>
      <c r="L3129" s="6">
        <f>Table3[[#This Row],[Profit]]/Table3[[#This Row],[Sales]]</f>
        <v>0.40377383712366555</v>
      </c>
    </row>
    <row r="3130" spans="1:12" x14ac:dyDescent="0.25">
      <c r="A3130" t="s">
        <v>2744</v>
      </c>
      <c r="B3130" s="2">
        <v>45102</v>
      </c>
      <c r="C3130" s="2" t="str">
        <f>TEXT(Table3[[#This Row],[Order Date]],"mmmm")</f>
        <v>June</v>
      </c>
      <c r="D3130" t="s">
        <v>3220</v>
      </c>
      <c r="E3130" t="s">
        <v>3223</v>
      </c>
      <c r="F3130" t="s">
        <v>3226</v>
      </c>
      <c r="G3130" s="4">
        <v>18813.29</v>
      </c>
      <c r="H3130" s="4">
        <v>14432.29</v>
      </c>
      <c r="I3130" s="3" t="s">
        <v>3734</v>
      </c>
      <c r="J3130">
        <v>2</v>
      </c>
      <c r="K3130" s="4">
        <f>Table3[[#This Row],[Sales]]-Table3[[#This Row],[Cost]]</f>
        <v>4381</v>
      </c>
      <c r="L3130" s="6">
        <f>Table3[[#This Row],[Profit]]/Table3[[#This Row],[Sales]]</f>
        <v>0.23286729753275476</v>
      </c>
    </row>
    <row r="3131" spans="1:12" x14ac:dyDescent="0.25">
      <c r="A3131" t="s">
        <v>3668</v>
      </c>
      <c r="B3131" s="2" t="s">
        <v>3729</v>
      </c>
      <c r="C3131" s="2" t="str">
        <f>TEXT(Table3[[#This Row],[Order Date]],"mmmm")</f>
        <v>Not Mentioned</v>
      </c>
      <c r="D3131" t="s">
        <v>3220</v>
      </c>
      <c r="E3131" t="s">
        <v>3222</v>
      </c>
      <c r="F3131" t="s">
        <v>3226</v>
      </c>
      <c r="G3131" s="4">
        <v>15912.22</v>
      </c>
      <c r="H3131" s="4">
        <v>10138.4</v>
      </c>
      <c r="I3131" s="3" t="s">
        <v>3734</v>
      </c>
      <c r="J3131">
        <v>1</v>
      </c>
      <c r="K3131" s="4">
        <f>Table3[[#This Row],[Sales]]-Table3[[#This Row],[Cost]]</f>
        <v>5773.82</v>
      </c>
      <c r="L3131" s="6">
        <f>Table3[[#This Row],[Profit]]/Table3[[#This Row],[Sales]]</f>
        <v>0.36285446028272611</v>
      </c>
    </row>
    <row r="3132" spans="1:12" x14ac:dyDescent="0.25">
      <c r="A3132" t="s">
        <v>3526</v>
      </c>
      <c r="B3132" s="2">
        <v>45102</v>
      </c>
      <c r="C3132" s="2" t="str">
        <f>TEXT(Table3[[#This Row],[Order Date]],"mmmm")</f>
        <v>June</v>
      </c>
      <c r="D3132" t="s">
        <v>3730</v>
      </c>
      <c r="E3132" t="s">
        <v>3225</v>
      </c>
      <c r="F3132" t="s">
        <v>3226</v>
      </c>
      <c r="G3132" s="4">
        <v>71517.09</v>
      </c>
      <c r="H3132" s="4">
        <v>57213.671999999999</v>
      </c>
      <c r="I3132" s="3" t="s">
        <v>3735</v>
      </c>
      <c r="J3132">
        <v>3</v>
      </c>
      <c r="K3132" s="4">
        <f>Table3[[#This Row],[Sales]]-Table3[[#This Row],[Cost]]</f>
        <v>14303.417999999998</v>
      </c>
      <c r="L3132" s="6">
        <f>Table3[[#This Row],[Profit]]/Table3[[#This Row],[Sales]]</f>
        <v>0.19999999999999998</v>
      </c>
    </row>
    <row r="3133" spans="1:12" x14ac:dyDescent="0.25">
      <c r="A3133" t="s">
        <v>1243</v>
      </c>
      <c r="B3133" s="2" t="s">
        <v>3729</v>
      </c>
      <c r="C3133" s="2" t="str">
        <f>TEXT(Table3[[#This Row],[Order Date]],"mmmm")</f>
        <v>Not Mentioned</v>
      </c>
      <c r="D3133" t="s">
        <v>3730</v>
      </c>
      <c r="E3133" t="s">
        <v>3224</v>
      </c>
      <c r="F3133" t="s">
        <v>3226</v>
      </c>
      <c r="G3133" s="4">
        <v>196914.95</v>
      </c>
      <c r="H3133" s="4">
        <v>190497.78</v>
      </c>
      <c r="I3133" s="3" t="s">
        <v>3734</v>
      </c>
      <c r="J3133">
        <v>4</v>
      </c>
      <c r="K3133" s="4">
        <f>Table3[[#This Row],[Sales]]-Table3[[#This Row],[Cost]]</f>
        <v>6417.1700000000128</v>
      </c>
      <c r="L3133" s="6">
        <f>Table3[[#This Row],[Profit]]/Table3[[#This Row],[Sales]]</f>
        <v>3.2588536319868106E-2</v>
      </c>
    </row>
    <row r="3134" spans="1:12" x14ac:dyDescent="0.25">
      <c r="A3134" t="s">
        <v>1042</v>
      </c>
      <c r="B3134" s="2">
        <v>44941</v>
      </c>
      <c r="C3134" s="2" t="str">
        <f>TEXT(Table3[[#This Row],[Order Date]],"mmmm")</f>
        <v>January</v>
      </c>
      <c r="D3134" t="s">
        <v>3220</v>
      </c>
      <c r="E3134" t="s">
        <v>3223</v>
      </c>
      <c r="F3134" t="s">
        <v>3226</v>
      </c>
      <c r="G3134" s="4">
        <v>16008.13</v>
      </c>
      <c r="H3134" s="4">
        <v>13933.88</v>
      </c>
      <c r="I3134" s="3" t="s">
        <v>3734</v>
      </c>
      <c r="J3134">
        <v>2</v>
      </c>
      <c r="K3134" s="4">
        <f>Table3[[#This Row],[Sales]]-Table3[[#This Row],[Cost]]</f>
        <v>2074.25</v>
      </c>
      <c r="L3134" s="6">
        <f>Table3[[#This Row],[Profit]]/Table3[[#This Row],[Sales]]</f>
        <v>0.12957478481246718</v>
      </c>
    </row>
    <row r="3135" spans="1:12" x14ac:dyDescent="0.25">
      <c r="A3135" t="s">
        <v>2335</v>
      </c>
      <c r="B3135" s="2">
        <v>45102</v>
      </c>
      <c r="C3135" s="2" t="str">
        <f>TEXT(Table3[[#This Row],[Order Date]],"mmmm")</f>
        <v>June</v>
      </c>
      <c r="D3135" t="s">
        <v>3730</v>
      </c>
      <c r="E3135" t="s">
        <v>3223</v>
      </c>
      <c r="F3135" t="s">
        <v>3226</v>
      </c>
      <c r="G3135" s="4">
        <v>47811.1</v>
      </c>
      <c r="H3135" s="4">
        <v>30423.14</v>
      </c>
      <c r="I3135" s="3" t="s">
        <v>3734</v>
      </c>
      <c r="J3135">
        <v>5</v>
      </c>
      <c r="K3135" s="4">
        <f>Table3[[#This Row],[Sales]]-Table3[[#This Row],[Cost]]</f>
        <v>17387.96</v>
      </c>
      <c r="L3135" s="6">
        <f>Table3[[#This Row],[Profit]]/Table3[[#This Row],[Sales]]</f>
        <v>0.36368040057643519</v>
      </c>
    </row>
    <row r="3136" spans="1:12" x14ac:dyDescent="0.25">
      <c r="A3136" t="s">
        <v>2746</v>
      </c>
      <c r="B3136" s="2">
        <v>45021</v>
      </c>
      <c r="C3136" s="2" t="str">
        <f>TEXT(Table3[[#This Row],[Order Date]],"mmmm")</f>
        <v>April</v>
      </c>
      <c r="D3136" t="s">
        <v>3216</v>
      </c>
      <c r="E3136" t="s">
        <v>3223</v>
      </c>
      <c r="F3136" t="s">
        <v>3226</v>
      </c>
      <c r="G3136" s="4">
        <v>8720.2999999999993</v>
      </c>
      <c r="H3136" s="4">
        <v>7048.77</v>
      </c>
      <c r="I3136" s="3" t="s">
        <v>3734</v>
      </c>
      <c r="J3136">
        <v>1</v>
      </c>
      <c r="K3136" s="4">
        <f>Table3[[#This Row],[Sales]]-Table3[[#This Row],[Cost]]</f>
        <v>1671.5299999999988</v>
      </c>
      <c r="L3136" s="6">
        <f>Table3[[#This Row],[Profit]]/Table3[[#This Row],[Sales]]</f>
        <v>0.19168262559774307</v>
      </c>
    </row>
    <row r="3137" spans="1:12" x14ac:dyDescent="0.25">
      <c r="A3137" t="s">
        <v>3669</v>
      </c>
      <c r="B3137" s="2">
        <v>44972</v>
      </c>
      <c r="C3137" s="2" t="str">
        <f>TEXT(Table3[[#This Row],[Order Date]],"mmmm")</f>
        <v>February</v>
      </c>
      <c r="D3137" t="s">
        <v>3220</v>
      </c>
      <c r="E3137" t="s">
        <v>3224</v>
      </c>
      <c r="F3137" t="s">
        <v>3226</v>
      </c>
      <c r="G3137" s="4">
        <v>56921.35</v>
      </c>
      <c r="H3137" s="4">
        <v>43659.9</v>
      </c>
      <c r="I3137" s="3" t="s">
        <v>3734</v>
      </c>
      <c r="J3137">
        <v>1</v>
      </c>
      <c r="K3137" s="4">
        <f>Table3[[#This Row],[Sales]]-Table3[[#This Row],[Cost]]</f>
        <v>13261.449999999997</v>
      </c>
      <c r="L3137" s="6">
        <f>Table3[[#This Row],[Profit]]/Table3[[#This Row],[Sales]]</f>
        <v>0.23297848698247664</v>
      </c>
    </row>
    <row r="3138" spans="1:12" x14ac:dyDescent="0.25">
      <c r="A3138" t="s">
        <v>2585</v>
      </c>
      <c r="B3138" s="2" t="s">
        <v>3729</v>
      </c>
      <c r="C3138" s="2" t="str">
        <f>TEXT(Table3[[#This Row],[Order Date]],"mmmm")</f>
        <v>Not Mentioned</v>
      </c>
      <c r="D3138" t="s">
        <v>3730</v>
      </c>
      <c r="E3138" t="s">
        <v>3223</v>
      </c>
      <c r="F3138" t="s">
        <v>3226</v>
      </c>
      <c r="G3138" s="4">
        <v>53321.77</v>
      </c>
      <c r="H3138" s="4">
        <v>35821.86</v>
      </c>
      <c r="I3138" s="3" t="s">
        <v>3734</v>
      </c>
      <c r="J3138">
        <v>5</v>
      </c>
      <c r="K3138" s="4">
        <f>Table3[[#This Row],[Sales]]-Table3[[#This Row],[Cost]]</f>
        <v>17499.909999999996</v>
      </c>
      <c r="L3138" s="6">
        <f>Table3[[#This Row],[Profit]]/Table3[[#This Row],[Sales]]</f>
        <v>0.32819446916334544</v>
      </c>
    </row>
    <row r="3139" spans="1:12" x14ac:dyDescent="0.25">
      <c r="A3139" t="s">
        <v>1670</v>
      </c>
      <c r="B3139" s="2">
        <v>44941</v>
      </c>
      <c r="C3139" s="2" t="str">
        <f>TEXT(Table3[[#This Row],[Order Date]],"mmmm")</f>
        <v>January</v>
      </c>
      <c r="D3139" t="s">
        <v>3220</v>
      </c>
      <c r="E3139" t="s">
        <v>3222</v>
      </c>
      <c r="F3139" t="s">
        <v>3226</v>
      </c>
      <c r="G3139" s="4">
        <v>53054.99</v>
      </c>
      <c r="H3139" s="4">
        <v>42182.14</v>
      </c>
      <c r="I3139" s="3" t="s">
        <v>3734</v>
      </c>
      <c r="J3139">
        <v>4</v>
      </c>
      <c r="K3139" s="4">
        <f>Table3[[#This Row],[Sales]]-Table3[[#This Row],[Cost]]</f>
        <v>10872.849999999999</v>
      </c>
      <c r="L3139" s="6">
        <f>Table3[[#This Row],[Profit]]/Table3[[#This Row],[Sales]]</f>
        <v>0.20493548297719025</v>
      </c>
    </row>
    <row r="3140" spans="1:12" x14ac:dyDescent="0.25">
      <c r="A3140" t="s">
        <v>879</v>
      </c>
      <c r="B3140" s="2" t="s">
        <v>3729</v>
      </c>
      <c r="C3140" s="2" t="str">
        <f>TEXT(Table3[[#This Row],[Order Date]],"mmmm")</f>
        <v>Not Mentioned</v>
      </c>
      <c r="D3140" t="s">
        <v>3220</v>
      </c>
      <c r="E3140" t="s">
        <v>3222</v>
      </c>
      <c r="F3140" t="s">
        <v>3226</v>
      </c>
      <c r="G3140" s="4">
        <v>14408.22</v>
      </c>
      <c r="H3140" s="4">
        <v>8906.76</v>
      </c>
      <c r="I3140" s="3" t="s">
        <v>3734</v>
      </c>
      <c r="J3140">
        <v>1</v>
      </c>
      <c r="K3140" s="4">
        <f>Table3[[#This Row],[Sales]]-Table3[[#This Row],[Cost]]</f>
        <v>5501.4599999999991</v>
      </c>
      <c r="L3140" s="6">
        <f>Table3[[#This Row],[Profit]]/Table3[[#This Row],[Sales]]</f>
        <v>0.38182787325568318</v>
      </c>
    </row>
    <row r="3141" spans="1:12" x14ac:dyDescent="0.25">
      <c r="A3141" t="s">
        <v>2748</v>
      </c>
      <c r="B3141" s="2">
        <v>44972</v>
      </c>
      <c r="C3141" s="2" t="str">
        <f>TEXT(Table3[[#This Row],[Order Date]],"mmmm")</f>
        <v>February</v>
      </c>
      <c r="D3141" t="s">
        <v>3216</v>
      </c>
      <c r="E3141" t="s">
        <v>3222</v>
      </c>
      <c r="F3141" t="s">
        <v>3226</v>
      </c>
      <c r="G3141" s="4">
        <v>12531.12</v>
      </c>
      <c r="H3141" s="4">
        <v>10329</v>
      </c>
      <c r="I3141" s="3" t="s">
        <v>3734</v>
      </c>
      <c r="J3141">
        <v>1</v>
      </c>
      <c r="K3141" s="4">
        <f>Table3[[#This Row],[Sales]]-Table3[[#This Row],[Cost]]</f>
        <v>2202.1200000000008</v>
      </c>
      <c r="L3141" s="6">
        <f>Table3[[#This Row],[Profit]]/Table3[[#This Row],[Sales]]</f>
        <v>0.17573209737038673</v>
      </c>
    </row>
    <row r="3142" spans="1:12" x14ac:dyDescent="0.25">
      <c r="A3142" t="s">
        <v>2749</v>
      </c>
      <c r="B3142" s="2">
        <v>45005</v>
      </c>
      <c r="C3142" s="2" t="str">
        <f>TEXT(Table3[[#This Row],[Order Date]],"mmmm")</f>
        <v>March</v>
      </c>
      <c r="D3142" t="s">
        <v>3730</v>
      </c>
      <c r="E3142" t="s">
        <v>3223</v>
      </c>
      <c r="F3142" t="s">
        <v>3226</v>
      </c>
      <c r="G3142" s="4">
        <v>9435.84</v>
      </c>
      <c r="H3142" s="4">
        <v>7697.28</v>
      </c>
      <c r="I3142" s="3" t="s">
        <v>3734</v>
      </c>
      <c r="J3142">
        <v>1</v>
      </c>
      <c r="K3142" s="4">
        <f>Table3[[#This Row],[Sales]]-Table3[[#This Row],[Cost]]</f>
        <v>1738.5600000000004</v>
      </c>
      <c r="L3142" s="6">
        <f>Table3[[#This Row],[Profit]]/Table3[[#This Row],[Sales]]</f>
        <v>0.18425068674331066</v>
      </c>
    </row>
    <row r="3143" spans="1:12" x14ac:dyDescent="0.25">
      <c r="A3143" t="s">
        <v>2750</v>
      </c>
      <c r="B3143" s="2">
        <v>45102</v>
      </c>
      <c r="C3143" s="2" t="str">
        <f>TEXT(Table3[[#This Row],[Order Date]],"mmmm")</f>
        <v>June</v>
      </c>
      <c r="D3143" t="s">
        <v>3731</v>
      </c>
      <c r="E3143" t="s">
        <v>3223</v>
      </c>
      <c r="F3143" t="s">
        <v>3226</v>
      </c>
      <c r="G3143" s="4">
        <v>10169.030000000001</v>
      </c>
      <c r="H3143" s="4">
        <v>6165.78</v>
      </c>
      <c r="I3143" s="3" t="s">
        <v>3734</v>
      </c>
      <c r="J3143">
        <v>1</v>
      </c>
      <c r="K3143" s="4">
        <f>Table3[[#This Row],[Sales]]-Table3[[#This Row],[Cost]]</f>
        <v>4003.2500000000009</v>
      </c>
      <c r="L3143" s="6">
        <f>Table3[[#This Row],[Profit]]/Table3[[#This Row],[Sales]]</f>
        <v>0.39367078275902428</v>
      </c>
    </row>
    <row r="3144" spans="1:12" x14ac:dyDescent="0.25">
      <c r="A3144" t="s">
        <v>2751</v>
      </c>
      <c r="B3144" s="2">
        <v>45021</v>
      </c>
      <c r="C3144" s="2" t="str">
        <f>TEXT(Table3[[#This Row],[Order Date]],"mmmm")</f>
        <v>April</v>
      </c>
      <c r="D3144" t="s">
        <v>3730</v>
      </c>
      <c r="E3144" t="s">
        <v>3223</v>
      </c>
      <c r="F3144" t="s">
        <v>3226</v>
      </c>
      <c r="G3144" s="4">
        <v>11460.68</v>
      </c>
      <c r="H3144" s="4">
        <v>7406.12</v>
      </c>
      <c r="I3144" s="3" t="s">
        <v>3734</v>
      </c>
      <c r="J3144">
        <v>1</v>
      </c>
      <c r="K3144" s="4">
        <f>Table3[[#This Row],[Sales]]-Table3[[#This Row],[Cost]]</f>
        <v>4054.5600000000004</v>
      </c>
      <c r="L3144" s="6">
        <f>Table3[[#This Row],[Profit]]/Table3[[#This Row],[Sales]]</f>
        <v>0.35378005493565828</v>
      </c>
    </row>
    <row r="3145" spans="1:12" x14ac:dyDescent="0.25">
      <c r="A3145" t="s">
        <v>3670</v>
      </c>
      <c r="B3145" s="2">
        <v>45021</v>
      </c>
      <c r="C3145" s="2" t="str">
        <f>TEXT(Table3[[#This Row],[Order Date]],"mmmm")</f>
        <v>April</v>
      </c>
      <c r="D3145" t="s">
        <v>3220</v>
      </c>
      <c r="E3145" t="s">
        <v>3222</v>
      </c>
      <c r="F3145" t="s">
        <v>3226</v>
      </c>
      <c r="G3145" s="4">
        <v>63017.3</v>
      </c>
      <c r="H3145" s="4">
        <v>53516.99</v>
      </c>
      <c r="I3145" s="3" t="s">
        <v>3734</v>
      </c>
      <c r="J3145" t="s">
        <v>3732</v>
      </c>
      <c r="K3145" s="4">
        <f>Table3[[#This Row],[Sales]]-Table3[[#This Row],[Cost]]</f>
        <v>9500.3100000000049</v>
      </c>
      <c r="L3145" s="6">
        <f>Table3[[#This Row],[Profit]]/Table3[[#This Row],[Sales]]</f>
        <v>0.1507571730302632</v>
      </c>
    </row>
    <row r="3146" spans="1:12" x14ac:dyDescent="0.25">
      <c r="A3146" t="s">
        <v>502</v>
      </c>
      <c r="B3146" s="2">
        <v>44941</v>
      </c>
      <c r="C3146" s="2" t="str">
        <f>TEXT(Table3[[#This Row],[Order Date]],"mmmm")</f>
        <v>January</v>
      </c>
      <c r="D3146" t="s">
        <v>3730</v>
      </c>
      <c r="E3146" t="s">
        <v>3225</v>
      </c>
      <c r="F3146" t="s">
        <v>3226</v>
      </c>
      <c r="G3146" s="4">
        <v>19564.7</v>
      </c>
      <c r="H3146" s="4">
        <v>14310.27</v>
      </c>
      <c r="I3146" s="3" t="s">
        <v>3734</v>
      </c>
      <c r="J3146">
        <v>1</v>
      </c>
      <c r="K3146" s="4">
        <f>Table3[[#This Row],[Sales]]-Table3[[#This Row],[Cost]]</f>
        <v>5254.43</v>
      </c>
      <c r="L3146" s="6">
        <f>Table3[[#This Row],[Profit]]/Table3[[#This Row],[Sales]]</f>
        <v>0.26856685765690247</v>
      </c>
    </row>
    <row r="3147" spans="1:12" x14ac:dyDescent="0.25">
      <c r="A3147" t="s">
        <v>3366</v>
      </c>
      <c r="B3147" s="2" t="s">
        <v>3729</v>
      </c>
      <c r="C3147" s="2" t="str">
        <f>TEXT(Table3[[#This Row],[Order Date]],"mmmm")</f>
        <v>Not Mentioned</v>
      </c>
      <c r="D3147" t="s">
        <v>3730</v>
      </c>
      <c r="E3147" t="s">
        <v>3222</v>
      </c>
      <c r="F3147" t="s">
        <v>3226</v>
      </c>
      <c r="G3147" s="4">
        <v>39494.29</v>
      </c>
      <c r="H3147" s="4">
        <v>28823.81</v>
      </c>
      <c r="I3147" s="3" t="s">
        <v>3734</v>
      </c>
      <c r="J3147">
        <v>3</v>
      </c>
      <c r="K3147" s="4">
        <f>Table3[[#This Row],[Sales]]-Table3[[#This Row],[Cost]]</f>
        <v>10670.48</v>
      </c>
      <c r="L3147" s="6">
        <f>Table3[[#This Row],[Profit]]/Table3[[#This Row],[Sales]]</f>
        <v>0.27017779025778155</v>
      </c>
    </row>
    <row r="3148" spans="1:12" x14ac:dyDescent="0.25">
      <c r="A3148" t="s">
        <v>2753</v>
      </c>
      <c r="B3148" s="2" t="s">
        <v>3729</v>
      </c>
      <c r="C3148" s="2" t="str">
        <f>TEXT(Table3[[#This Row],[Order Date]],"mmmm")</f>
        <v>Not Mentioned</v>
      </c>
      <c r="D3148" t="s">
        <v>3220</v>
      </c>
      <c r="E3148" t="s">
        <v>3224</v>
      </c>
      <c r="F3148" t="s">
        <v>3226</v>
      </c>
      <c r="G3148" s="4">
        <v>268734.81</v>
      </c>
      <c r="H3148" s="4">
        <v>193713.64</v>
      </c>
      <c r="I3148" s="3" t="s">
        <v>3734</v>
      </c>
      <c r="J3148">
        <v>4</v>
      </c>
      <c r="K3148" s="4">
        <f>Table3[[#This Row],[Sales]]-Table3[[#This Row],[Cost]]</f>
        <v>75021.169999999984</v>
      </c>
      <c r="L3148" s="6">
        <f>Table3[[#This Row],[Profit]]/Table3[[#This Row],[Sales]]</f>
        <v>0.2791643181618339</v>
      </c>
    </row>
    <row r="3149" spans="1:12" x14ac:dyDescent="0.25">
      <c r="A3149" t="s">
        <v>3244</v>
      </c>
      <c r="B3149" s="2">
        <v>45005</v>
      </c>
      <c r="C3149" s="2" t="str">
        <f>TEXT(Table3[[#This Row],[Order Date]],"mmmm")</f>
        <v>March</v>
      </c>
      <c r="D3149" t="s">
        <v>3731</v>
      </c>
      <c r="E3149" t="s">
        <v>3223</v>
      </c>
      <c r="F3149" t="s">
        <v>3226</v>
      </c>
      <c r="G3149" s="4">
        <v>20932.34</v>
      </c>
      <c r="H3149" s="4">
        <v>14386.73</v>
      </c>
      <c r="I3149" s="3" t="s">
        <v>3734</v>
      </c>
      <c r="J3149">
        <v>2</v>
      </c>
      <c r="K3149" s="4">
        <f>Table3[[#This Row],[Sales]]-Table3[[#This Row],[Cost]]</f>
        <v>6545.6100000000006</v>
      </c>
      <c r="L3149" s="6">
        <f>Table3[[#This Row],[Profit]]/Table3[[#This Row],[Sales]]</f>
        <v>0.31270321426080411</v>
      </c>
    </row>
    <row r="3150" spans="1:12" x14ac:dyDescent="0.25">
      <c r="A3150" t="s">
        <v>2754</v>
      </c>
      <c r="B3150" s="2" t="s">
        <v>3729</v>
      </c>
      <c r="C3150" s="2" t="str">
        <f>TEXT(Table3[[#This Row],[Order Date]],"mmmm")</f>
        <v>Not Mentioned</v>
      </c>
      <c r="D3150" t="s">
        <v>3731</v>
      </c>
      <c r="E3150" t="s">
        <v>3225</v>
      </c>
      <c r="F3150" t="s">
        <v>3226</v>
      </c>
      <c r="G3150" s="4">
        <v>66776.149999999994</v>
      </c>
      <c r="H3150" s="4">
        <v>36254.1</v>
      </c>
      <c r="I3150" s="3" t="s">
        <v>3734</v>
      </c>
      <c r="J3150">
        <v>3</v>
      </c>
      <c r="K3150" s="4">
        <f>Table3[[#This Row],[Sales]]-Table3[[#This Row],[Cost]]</f>
        <v>30522.049999999996</v>
      </c>
      <c r="L3150" s="6">
        <f>Table3[[#This Row],[Profit]]/Table3[[#This Row],[Sales]]</f>
        <v>0.45708011018904204</v>
      </c>
    </row>
    <row r="3151" spans="1:12" x14ac:dyDescent="0.25">
      <c r="A3151" t="s">
        <v>2639</v>
      </c>
      <c r="B3151" s="2">
        <v>45021</v>
      </c>
      <c r="C3151" s="2" t="str">
        <f>TEXT(Table3[[#This Row],[Order Date]],"mmmm")</f>
        <v>April</v>
      </c>
      <c r="D3151" t="s">
        <v>3730</v>
      </c>
      <c r="E3151" t="s">
        <v>3223</v>
      </c>
      <c r="F3151" t="s">
        <v>3226</v>
      </c>
      <c r="G3151" s="4">
        <v>9422.2000000000007</v>
      </c>
      <c r="H3151" s="4">
        <v>6689.76</v>
      </c>
      <c r="I3151" s="3" t="s">
        <v>3734</v>
      </c>
      <c r="J3151">
        <v>1</v>
      </c>
      <c r="K3151" s="4">
        <f>Table3[[#This Row],[Sales]]-Table3[[#This Row],[Cost]]</f>
        <v>2732.4400000000005</v>
      </c>
      <c r="L3151" s="6">
        <f>Table3[[#This Row],[Profit]]/Table3[[#This Row],[Sales]]</f>
        <v>0.29000021226465161</v>
      </c>
    </row>
    <row r="3152" spans="1:12" x14ac:dyDescent="0.25">
      <c r="A3152" t="s">
        <v>829</v>
      </c>
      <c r="B3152" s="2">
        <v>45021</v>
      </c>
      <c r="C3152" s="2" t="str">
        <f>TEXT(Table3[[#This Row],[Order Date]],"mmmm")</f>
        <v>April</v>
      </c>
      <c r="D3152" t="s">
        <v>3731</v>
      </c>
      <c r="E3152" t="s">
        <v>3223</v>
      </c>
      <c r="F3152" t="s">
        <v>3226</v>
      </c>
      <c r="G3152" s="4">
        <v>8404.5300000000007</v>
      </c>
      <c r="H3152" s="4">
        <v>7636.08</v>
      </c>
      <c r="I3152" s="3" t="s">
        <v>3734</v>
      </c>
      <c r="J3152">
        <v>1</v>
      </c>
      <c r="K3152" s="4">
        <f>Table3[[#This Row],[Sales]]-Table3[[#This Row],[Cost]]</f>
        <v>768.45000000000073</v>
      </c>
      <c r="L3152" s="6">
        <f>Table3[[#This Row],[Profit]]/Table3[[#This Row],[Sales]]</f>
        <v>9.1432834435715107E-2</v>
      </c>
    </row>
    <row r="3153" spans="1:12" x14ac:dyDescent="0.25">
      <c r="A3153" t="s">
        <v>2755</v>
      </c>
      <c r="B3153" s="2">
        <v>45005</v>
      </c>
      <c r="C3153" s="2" t="str">
        <f>TEXT(Table3[[#This Row],[Order Date]],"mmmm")</f>
        <v>March</v>
      </c>
      <c r="D3153" t="s">
        <v>3216</v>
      </c>
      <c r="E3153" t="s">
        <v>3222</v>
      </c>
      <c r="F3153" t="s">
        <v>3226</v>
      </c>
      <c r="G3153" s="4">
        <v>36600.129999999997</v>
      </c>
      <c r="H3153" s="4">
        <v>26366.84</v>
      </c>
      <c r="I3153" s="3" t="s">
        <v>3734</v>
      </c>
      <c r="J3153">
        <v>3</v>
      </c>
      <c r="K3153" s="4">
        <f>Table3[[#This Row],[Sales]]-Table3[[#This Row],[Cost]]</f>
        <v>10233.289999999997</v>
      </c>
      <c r="L3153" s="6">
        <f>Table3[[#This Row],[Profit]]/Table3[[#This Row],[Sales]]</f>
        <v>0.27959709432726054</v>
      </c>
    </row>
    <row r="3154" spans="1:12" x14ac:dyDescent="0.25">
      <c r="A3154" t="s">
        <v>3671</v>
      </c>
      <c r="B3154" s="2">
        <v>45005</v>
      </c>
      <c r="C3154" s="2" t="str">
        <f>TEXT(Table3[[#This Row],[Order Date]],"mmmm")</f>
        <v>March</v>
      </c>
      <c r="D3154" t="s">
        <v>3216</v>
      </c>
      <c r="E3154" t="s">
        <v>3222</v>
      </c>
      <c r="F3154" t="s">
        <v>3226</v>
      </c>
      <c r="G3154" s="4">
        <v>29522.22</v>
      </c>
      <c r="H3154" s="4">
        <v>20329.48</v>
      </c>
      <c r="I3154" s="3" t="s">
        <v>3734</v>
      </c>
      <c r="J3154">
        <v>2</v>
      </c>
      <c r="K3154" s="4">
        <f>Table3[[#This Row],[Sales]]-Table3[[#This Row],[Cost]]</f>
        <v>9192.7400000000016</v>
      </c>
      <c r="L3154" s="6">
        <f>Table3[[#This Row],[Profit]]/Table3[[#This Row],[Sales]]</f>
        <v>0.31138376450009525</v>
      </c>
    </row>
    <row r="3155" spans="1:12" x14ac:dyDescent="0.25">
      <c r="A3155" t="s">
        <v>2757</v>
      </c>
      <c r="B3155" s="2">
        <v>45021</v>
      </c>
      <c r="C3155" s="2" t="str">
        <f>TEXT(Table3[[#This Row],[Order Date]],"mmmm")</f>
        <v>April</v>
      </c>
      <c r="D3155" t="s">
        <v>3730</v>
      </c>
      <c r="E3155" t="s">
        <v>3225</v>
      </c>
      <c r="F3155" t="s">
        <v>3226</v>
      </c>
      <c r="G3155" s="4">
        <v>53662.720000000001</v>
      </c>
      <c r="H3155" s="4">
        <v>41322.67</v>
      </c>
      <c r="I3155" s="3" t="s">
        <v>3734</v>
      </c>
      <c r="J3155">
        <v>3</v>
      </c>
      <c r="K3155" s="4">
        <f>Table3[[#This Row],[Sales]]-Table3[[#This Row],[Cost]]</f>
        <v>12340.050000000003</v>
      </c>
      <c r="L3155" s="6">
        <f>Table3[[#This Row],[Profit]]/Table3[[#This Row],[Sales]]</f>
        <v>0.22995573090592505</v>
      </c>
    </row>
    <row r="3156" spans="1:12" x14ac:dyDescent="0.25">
      <c r="A3156" t="s">
        <v>2758</v>
      </c>
      <c r="B3156" s="2">
        <v>44972</v>
      </c>
      <c r="C3156" s="2" t="str">
        <f>TEXT(Table3[[#This Row],[Order Date]],"mmmm")</f>
        <v>February</v>
      </c>
      <c r="D3156" t="s">
        <v>3220</v>
      </c>
      <c r="E3156" t="s">
        <v>3223</v>
      </c>
      <c r="F3156" t="s">
        <v>3226</v>
      </c>
      <c r="G3156" s="4">
        <v>29069.16</v>
      </c>
      <c r="H3156" s="4">
        <v>21216.92</v>
      </c>
      <c r="I3156" s="3" t="s">
        <v>3734</v>
      </c>
      <c r="J3156">
        <v>3</v>
      </c>
      <c r="K3156" s="4">
        <f>Table3[[#This Row],[Sales]]-Table3[[#This Row],[Cost]]</f>
        <v>7852.2400000000016</v>
      </c>
      <c r="L3156" s="6">
        <f>Table3[[#This Row],[Profit]]/Table3[[#This Row],[Sales]]</f>
        <v>0.27012270048394937</v>
      </c>
    </row>
    <row r="3157" spans="1:12" x14ac:dyDescent="0.25">
      <c r="A3157" t="s">
        <v>2759</v>
      </c>
      <c r="B3157" s="2" t="s">
        <v>3729</v>
      </c>
      <c r="C3157" s="2" t="str">
        <f>TEXT(Table3[[#This Row],[Order Date]],"mmmm")</f>
        <v>Not Mentioned</v>
      </c>
      <c r="D3157" t="s">
        <v>3216</v>
      </c>
      <c r="E3157" t="s">
        <v>3224</v>
      </c>
      <c r="F3157" t="s">
        <v>3226</v>
      </c>
      <c r="G3157" s="4">
        <v>183931.33</v>
      </c>
      <c r="H3157" s="4">
        <v>137771.89000000001</v>
      </c>
      <c r="I3157" s="3" t="s">
        <v>3734</v>
      </c>
      <c r="J3157">
        <v>3</v>
      </c>
      <c r="K3157" s="4">
        <f>Table3[[#This Row],[Sales]]-Table3[[#This Row],[Cost]]</f>
        <v>46159.439999999973</v>
      </c>
      <c r="L3157" s="6">
        <f>Table3[[#This Row],[Profit]]/Table3[[#This Row],[Sales]]</f>
        <v>0.25096018171564344</v>
      </c>
    </row>
    <row r="3158" spans="1:12" x14ac:dyDescent="0.25">
      <c r="A3158" t="s">
        <v>2760</v>
      </c>
      <c r="B3158" s="2">
        <v>45005</v>
      </c>
      <c r="C3158" s="2" t="str">
        <f>TEXT(Table3[[#This Row],[Order Date]],"mmmm")</f>
        <v>March</v>
      </c>
      <c r="D3158" t="s">
        <v>3220</v>
      </c>
      <c r="E3158" t="s">
        <v>3224</v>
      </c>
      <c r="F3158" t="s">
        <v>3226</v>
      </c>
      <c r="G3158" s="4">
        <v>50067.09</v>
      </c>
      <c r="H3158" s="4">
        <v>47203.46</v>
      </c>
      <c r="I3158" s="3" t="s">
        <v>3734</v>
      </c>
      <c r="J3158">
        <v>1</v>
      </c>
      <c r="K3158" s="4">
        <f>Table3[[#This Row],[Sales]]-Table3[[#This Row],[Cost]]</f>
        <v>2863.6299999999974</v>
      </c>
      <c r="L3158" s="6">
        <f>Table3[[#This Row],[Profit]]/Table3[[#This Row],[Sales]]</f>
        <v>5.7195854602294594E-2</v>
      </c>
    </row>
    <row r="3159" spans="1:12" x14ac:dyDescent="0.25">
      <c r="A3159" t="s">
        <v>2761</v>
      </c>
      <c r="B3159" s="2">
        <v>45021</v>
      </c>
      <c r="C3159" s="2" t="str">
        <f>TEXT(Table3[[#This Row],[Order Date]],"mmmm")</f>
        <v>April</v>
      </c>
      <c r="D3159" t="s">
        <v>3731</v>
      </c>
      <c r="E3159" t="s">
        <v>3223</v>
      </c>
      <c r="F3159" t="s">
        <v>3226</v>
      </c>
      <c r="G3159" s="4">
        <v>34347.19</v>
      </c>
      <c r="H3159" s="4">
        <v>19985.810000000001</v>
      </c>
      <c r="I3159" s="3" t="s">
        <v>3734</v>
      </c>
      <c r="J3159">
        <v>3</v>
      </c>
      <c r="K3159" s="4">
        <f>Table3[[#This Row],[Sales]]-Table3[[#This Row],[Cost]]</f>
        <v>14361.380000000001</v>
      </c>
      <c r="L3159" s="6">
        <f>Table3[[#This Row],[Profit]]/Table3[[#This Row],[Sales]]</f>
        <v>0.41812386981293082</v>
      </c>
    </row>
    <row r="3160" spans="1:12" x14ac:dyDescent="0.25">
      <c r="A3160" t="s">
        <v>3439</v>
      </c>
      <c r="B3160" s="2">
        <v>45021</v>
      </c>
      <c r="C3160" s="2" t="str">
        <f>TEXT(Table3[[#This Row],[Order Date]],"mmmm")</f>
        <v>April</v>
      </c>
      <c r="D3160" t="s">
        <v>3730</v>
      </c>
      <c r="E3160" t="s">
        <v>3225</v>
      </c>
      <c r="F3160" t="s">
        <v>3226</v>
      </c>
      <c r="G3160" s="4">
        <v>84106.4</v>
      </c>
      <c r="H3160" s="4">
        <v>67285.119999999995</v>
      </c>
      <c r="I3160" s="3" t="s">
        <v>3735</v>
      </c>
      <c r="J3160">
        <v>5</v>
      </c>
      <c r="K3160" s="4">
        <f>Table3[[#This Row],[Sales]]-Table3[[#This Row],[Cost]]</f>
        <v>16821.28</v>
      </c>
      <c r="L3160" s="6">
        <f>Table3[[#This Row],[Profit]]/Table3[[#This Row],[Sales]]</f>
        <v>0.2</v>
      </c>
    </row>
    <row r="3161" spans="1:12" x14ac:dyDescent="0.25">
      <c r="A3161" t="s">
        <v>3672</v>
      </c>
      <c r="B3161" s="2">
        <v>45021</v>
      </c>
      <c r="C3161" s="2" t="str">
        <f>TEXT(Table3[[#This Row],[Order Date]],"mmmm")</f>
        <v>April</v>
      </c>
      <c r="D3161" t="s">
        <v>3730</v>
      </c>
      <c r="E3161" t="s">
        <v>3223</v>
      </c>
      <c r="F3161" t="s">
        <v>3226</v>
      </c>
      <c r="G3161" s="4">
        <v>35490.67</v>
      </c>
      <c r="H3161" s="4">
        <v>24520.46</v>
      </c>
      <c r="I3161" s="3" t="s">
        <v>3734</v>
      </c>
      <c r="J3161">
        <v>4</v>
      </c>
      <c r="K3161" s="4">
        <f>Table3[[#This Row],[Sales]]-Table3[[#This Row],[Cost]]</f>
        <v>10970.21</v>
      </c>
      <c r="L3161" s="6">
        <f>Table3[[#This Row],[Profit]]/Table3[[#This Row],[Sales]]</f>
        <v>0.30910123702933756</v>
      </c>
    </row>
    <row r="3162" spans="1:12" x14ac:dyDescent="0.25">
      <c r="A3162" t="s">
        <v>2763</v>
      </c>
      <c r="B3162" s="2">
        <v>45005</v>
      </c>
      <c r="C3162" s="2" t="str">
        <f>TEXT(Table3[[#This Row],[Order Date]],"mmmm")</f>
        <v>March</v>
      </c>
      <c r="D3162" t="s">
        <v>3220</v>
      </c>
      <c r="E3162" t="s">
        <v>3222</v>
      </c>
      <c r="F3162" t="s">
        <v>3226</v>
      </c>
      <c r="G3162" s="4">
        <v>61448.33</v>
      </c>
      <c r="H3162" s="4">
        <v>34270.18</v>
      </c>
      <c r="I3162" s="3" t="s">
        <v>3734</v>
      </c>
      <c r="J3162">
        <v>4</v>
      </c>
      <c r="K3162" s="4">
        <f>Table3[[#This Row],[Sales]]-Table3[[#This Row],[Cost]]</f>
        <v>27178.15</v>
      </c>
      <c r="L3162" s="6">
        <f>Table3[[#This Row],[Profit]]/Table3[[#This Row],[Sales]]</f>
        <v>0.44229273602716301</v>
      </c>
    </row>
    <row r="3163" spans="1:12" x14ac:dyDescent="0.25">
      <c r="A3163" t="s">
        <v>2331</v>
      </c>
      <c r="B3163" s="2">
        <v>44941</v>
      </c>
      <c r="C3163" s="2" t="str">
        <f>TEXT(Table3[[#This Row],[Order Date]],"mmmm")</f>
        <v>January</v>
      </c>
      <c r="D3163" t="s">
        <v>3730</v>
      </c>
      <c r="E3163" t="s">
        <v>3223</v>
      </c>
      <c r="F3163" t="s">
        <v>3226</v>
      </c>
      <c r="G3163" s="4">
        <v>11969.98</v>
      </c>
      <c r="H3163" s="4">
        <v>5986.21</v>
      </c>
      <c r="I3163" s="3" t="s">
        <v>3734</v>
      </c>
      <c r="J3163">
        <v>1</v>
      </c>
      <c r="K3163" s="4">
        <f>Table3[[#This Row],[Sales]]-Table3[[#This Row],[Cost]]</f>
        <v>5983.7699999999995</v>
      </c>
      <c r="L3163" s="6">
        <f>Table3[[#This Row],[Profit]]/Table3[[#This Row],[Sales]]</f>
        <v>0.49989807835936234</v>
      </c>
    </row>
    <row r="3164" spans="1:12" x14ac:dyDescent="0.25">
      <c r="A3164" t="s">
        <v>2764</v>
      </c>
      <c r="B3164" s="2">
        <v>44941</v>
      </c>
      <c r="C3164" s="2" t="str">
        <f>TEXT(Table3[[#This Row],[Order Date]],"mmmm")</f>
        <v>January</v>
      </c>
      <c r="D3164" t="s">
        <v>3731</v>
      </c>
      <c r="E3164" t="s">
        <v>3222</v>
      </c>
      <c r="F3164" t="s">
        <v>3226</v>
      </c>
      <c r="G3164" s="4">
        <v>89133.27</v>
      </c>
      <c r="H3164" s="4">
        <v>47645.279999999999</v>
      </c>
      <c r="I3164" s="3" t="s">
        <v>3734</v>
      </c>
      <c r="J3164">
        <v>5</v>
      </c>
      <c r="K3164" s="4">
        <f>Table3[[#This Row],[Sales]]-Table3[[#This Row],[Cost]]</f>
        <v>41487.990000000005</v>
      </c>
      <c r="L3164" s="6">
        <f>Table3[[#This Row],[Profit]]/Table3[[#This Row],[Sales]]</f>
        <v>0.46546020358054857</v>
      </c>
    </row>
    <row r="3165" spans="1:12" x14ac:dyDescent="0.25">
      <c r="A3165" t="s">
        <v>2765</v>
      </c>
      <c r="B3165" s="2">
        <v>45005</v>
      </c>
      <c r="C3165" s="2" t="str">
        <f>TEXT(Table3[[#This Row],[Order Date]],"mmmm")</f>
        <v>March</v>
      </c>
      <c r="D3165" t="s">
        <v>3216</v>
      </c>
      <c r="E3165" t="s">
        <v>3224</v>
      </c>
      <c r="F3165" t="s">
        <v>3226</v>
      </c>
      <c r="G3165" s="4">
        <v>283449.18</v>
      </c>
      <c r="H3165" s="4">
        <v>175492.4</v>
      </c>
      <c r="I3165" s="3" t="s">
        <v>3734</v>
      </c>
      <c r="J3165">
        <v>4</v>
      </c>
      <c r="K3165" s="4">
        <f>Table3[[#This Row],[Sales]]-Table3[[#This Row],[Cost]]</f>
        <v>107956.78</v>
      </c>
      <c r="L3165" s="6">
        <f>Table3[[#This Row],[Profit]]/Table3[[#This Row],[Sales]]</f>
        <v>0.38086820360531648</v>
      </c>
    </row>
    <row r="3166" spans="1:12" x14ac:dyDescent="0.25">
      <c r="A3166" t="s">
        <v>2766</v>
      </c>
      <c r="B3166" s="2" t="s">
        <v>3729</v>
      </c>
      <c r="C3166" s="2" t="str">
        <f>TEXT(Table3[[#This Row],[Order Date]],"mmmm")</f>
        <v>Not Mentioned</v>
      </c>
      <c r="D3166" t="s">
        <v>3730</v>
      </c>
      <c r="E3166" t="s">
        <v>3224</v>
      </c>
      <c r="F3166" t="s">
        <v>3226</v>
      </c>
      <c r="G3166" s="4">
        <v>199515.32</v>
      </c>
      <c r="H3166" s="4">
        <v>133549.17000000001</v>
      </c>
      <c r="I3166" s="3" t="s">
        <v>3734</v>
      </c>
      <c r="J3166">
        <v>3</v>
      </c>
      <c r="K3166" s="4">
        <f>Table3[[#This Row],[Sales]]-Table3[[#This Row],[Cost]]</f>
        <v>65966.149999999994</v>
      </c>
      <c r="L3166" s="6">
        <f>Table3[[#This Row],[Profit]]/Table3[[#This Row],[Sales]]</f>
        <v>0.33063200359751821</v>
      </c>
    </row>
    <row r="3167" spans="1:12" x14ac:dyDescent="0.25">
      <c r="A3167" t="s">
        <v>2767</v>
      </c>
      <c r="B3167" s="2">
        <v>45021</v>
      </c>
      <c r="C3167" s="2" t="str">
        <f>TEXT(Table3[[#This Row],[Order Date]],"mmmm")</f>
        <v>April</v>
      </c>
      <c r="D3167" t="s">
        <v>3730</v>
      </c>
      <c r="E3167" t="s">
        <v>3222</v>
      </c>
      <c r="F3167" t="s">
        <v>3226</v>
      </c>
      <c r="G3167" s="4">
        <v>52008.32</v>
      </c>
      <c r="H3167" s="4">
        <v>40703.1</v>
      </c>
      <c r="I3167" s="3" t="s">
        <v>3734</v>
      </c>
      <c r="J3167">
        <v>4</v>
      </c>
      <c r="K3167" s="4">
        <f>Table3[[#This Row],[Sales]]-Table3[[#This Row],[Cost]]</f>
        <v>11305.220000000001</v>
      </c>
      <c r="L3167" s="6">
        <f>Table3[[#This Row],[Profit]]/Table3[[#This Row],[Sales]]</f>
        <v>0.21737329719552567</v>
      </c>
    </row>
    <row r="3168" spans="1:12" x14ac:dyDescent="0.25">
      <c r="A3168" t="s">
        <v>2768</v>
      </c>
      <c r="B3168" s="2">
        <v>45102</v>
      </c>
      <c r="C3168" s="2" t="str">
        <f>TEXT(Table3[[#This Row],[Order Date]],"mmmm")</f>
        <v>June</v>
      </c>
      <c r="D3168" t="s">
        <v>3730</v>
      </c>
      <c r="E3168" t="s">
        <v>3223</v>
      </c>
      <c r="F3168" t="s">
        <v>3226</v>
      </c>
      <c r="G3168" s="4">
        <v>32002.33</v>
      </c>
      <c r="H3168" s="4">
        <v>25601.864000000001</v>
      </c>
      <c r="I3168" s="3" t="s">
        <v>3735</v>
      </c>
      <c r="J3168">
        <v>4</v>
      </c>
      <c r="K3168" s="4">
        <f>Table3[[#This Row],[Sales]]-Table3[[#This Row],[Cost]]</f>
        <v>6400.4660000000003</v>
      </c>
      <c r="L3168" s="6">
        <f>Table3[[#This Row],[Profit]]/Table3[[#This Row],[Sales]]</f>
        <v>0.2</v>
      </c>
    </row>
    <row r="3169" spans="1:12" x14ac:dyDescent="0.25">
      <c r="A3169" t="s">
        <v>2770</v>
      </c>
      <c r="B3169" s="2">
        <v>44972</v>
      </c>
      <c r="C3169" s="2" t="str">
        <f>TEXT(Table3[[#This Row],[Order Date]],"mmmm")</f>
        <v>February</v>
      </c>
      <c r="D3169" t="s">
        <v>3216</v>
      </c>
      <c r="E3169" t="s">
        <v>3224</v>
      </c>
      <c r="F3169" t="s">
        <v>3226</v>
      </c>
      <c r="G3169" s="4">
        <v>176802.4</v>
      </c>
      <c r="H3169" s="4">
        <v>134464.72</v>
      </c>
      <c r="I3169" s="3" t="s">
        <v>3734</v>
      </c>
      <c r="J3169">
        <v>3</v>
      </c>
      <c r="K3169" s="4">
        <f>Table3[[#This Row],[Sales]]-Table3[[#This Row],[Cost]]</f>
        <v>42337.679999999993</v>
      </c>
      <c r="L3169" s="6">
        <f>Table3[[#This Row],[Profit]]/Table3[[#This Row],[Sales]]</f>
        <v>0.2394632652045447</v>
      </c>
    </row>
    <row r="3170" spans="1:12" x14ac:dyDescent="0.25">
      <c r="A3170" t="s">
        <v>2771</v>
      </c>
      <c r="B3170" s="2">
        <v>44972</v>
      </c>
      <c r="C3170" s="2" t="str">
        <f>TEXT(Table3[[#This Row],[Order Date]],"mmmm")</f>
        <v>February</v>
      </c>
      <c r="D3170" t="s">
        <v>3730</v>
      </c>
      <c r="E3170" t="s">
        <v>3225</v>
      </c>
      <c r="F3170" t="s">
        <v>3226</v>
      </c>
      <c r="G3170" s="4">
        <v>65255.15</v>
      </c>
      <c r="H3170" s="4">
        <v>54830.54</v>
      </c>
      <c r="I3170" s="3" t="s">
        <v>3734</v>
      </c>
      <c r="J3170">
        <v>4</v>
      </c>
      <c r="K3170" s="4">
        <f>Table3[[#This Row],[Sales]]-Table3[[#This Row],[Cost]]</f>
        <v>10424.61</v>
      </c>
      <c r="L3170" s="6">
        <f>Table3[[#This Row],[Profit]]/Table3[[#This Row],[Sales]]</f>
        <v>0.15975152918965016</v>
      </c>
    </row>
    <row r="3171" spans="1:12" x14ac:dyDescent="0.25">
      <c r="A3171" t="s">
        <v>2772</v>
      </c>
      <c r="B3171" s="2">
        <v>44941</v>
      </c>
      <c r="C3171" s="2" t="str">
        <f>TEXT(Table3[[#This Row],[Order Date]],"mmmm")</f>
        <v>January</v>
      </c>
      <c r="D3171" t="s">
        <v>3220</v>
      </c>
      <c r="E3171" t="s">
        <v>3225</v>
      </c>
      <c r="F3171" t="s">
        <v>3226</v>
      </c>
      <c r="G3171" s="4">
        <v>18951.330000000002</v>
      </c>
      <c r="H3171" s="4">
        <v>15161.064000000002</v>
      </c>
      <c r="I3171" s="3" t="s">
        <v>3735</v>
      </c>
      <c r="J3171">
        <v>1</v>
      </c>
      <c r="K3171" s="4">
        <f>Table3[[#This Row],[Sales]]-Table3[[#This Row],[Cost]]</f>
        <v>3790.2659999999996</v>
      </c>
      <c r="L3171" s="6">
        <f>Table3[[#This Row],[Profit]]/Table3[[#This Row],[Sales]]</f>
        <v>0.19999999999999996</v>
      </c>
    </row>
    <row r="3172" spans="1:12" x14ac:dyDescent="0.25">
      <c r="A3172" t="s">
        <v>2773</v>
      </c>
      <c r="B3172" s="2">
        <v>45005</v>
      </c>
      <c r="C3172" s="2" t="str">
        <f>TEXT(Table3[[#This Row],[Order Date]],"mmmm")</f>
        <v>March</v>
      </c>
      <c r="D3172" t="s">
        <v>3216</v>
      </c>
      <c r="E3172" t="s">
        <v>3224</v>
      </c>
      <c r="F3172" t="s">
        <v>3226</v>
      </c>
      <c r="G3172" s="4">
        <v>297022.58</v>
      </c>
      <c r="H3172" s="4">
        <v>194199.44</v>
      </c>
      <c r="I3172" s="3" t="s">
        <v>3734</v>
      </c>
      <c r="J3172">
        <v>5</v>
      </c>
      <c r="K3172" s="4">
        <f>Table3[[#This Row],[Sales]]-Table3[[#This Row],[Cost]]</f>
        <v>102823.14000000001</v>
      </c>
      <c r="L3172" s="6">
        <f>Table3[[#This Row],[Profit]]/Table3[[#This Row],[Sales]]</f>
        <v>0.34617953961614639</v>
      </c>
    </row>
    <row r="3173" spans="1:12" x14ac:dyDescent="0.25">
      <c r="A3173" t="s">
        <v>2774</v>
      </c>
      <c r="B3173" s="2">
        <v>45005</v>
      </c>
      <c r="C3173" s="2" t="str">
        <f>TEXT(Table3[[#This Row],[Order Date]],"mmmm")</f>
        <v>March</v>
      </c>
      <c r="D3173" t="s">
        <v>3220</v>
      </c>
      <c r="E3173" t="s">
        <v>3224</v>
      </c>
      <c r="F3173" t="s">
        <v>3226</v>
      </c>
      <c r="G3173" s="4">
        <v>204659.95</v>
      </c>
      <c r="H3173" s="4">
        <v>145094.79999999999</v>
      </c>
      <c r="I3173" s="3" t="s">
        <v>3734</v>
      </c>
      <c r="J3173">
        <v>3</v>
      </c>
      <c r="K3173" s="4">
        <f>Table3[[#This Row],[Sales]]-Table3[[#This Row],[Cost]]</f>
        <v>59565.150000000023</v>
      </c>
      <c r="L3173" s="6">
        <f>Table3[[#This Row],[Profit]]/Table3[[#This Row],[Sales]]</f>
        <v>0.29104448623191798</v>
      </c>
    </row>
    <row r="3174" spans="1:12" x14ac:dyDescent="0.25">
      <c r="A3174" t="s">
        <v>2775</v>
      </c>
      <c r="B3174" s="2">
        <v>44941</v>
      </c>
      <c r="C3174" s="2" t="str">
        <f>TEXT(Table3[[#This Row],[Order Date]],"mmmm")</f>
        <v>January</v>
      </c>
      <c r="D3174" t="s">
        <v>3731</v>
      </c>
      <c r="E3174" t="s">
        <v>3222</v>
      </c>
      <c r="F3174" t="s">
        <v>3226</v>
      </c>
      <c r="G3174" s="4">
        <v>62559.839999999997</v>
      </c>
      <c r="H3174" s="4">
        <v>42021.41</v>
      </c>
      <c r="I3174" s="3" t="s">
        <v>3734</v>
      </c>
      <c r="J3174">
        <v>4</v>
      </c>
      <c r="K3174" s="4">
        <f>Table3[[#This Row],[Sales]]-Table3[[#This Row],[Cost]]</f>
        <v>20538.429999999993</v>
      </c>
      <c r="L3174" s="6">
        <f>Table3[[#This Row],[Profit]]/Table3[[#This Row],[Sales]]</f>
        <v>0.32830055191957003</v>
      </c>
    </row>
    <row r="3175" spans="1:12" x14ac:dyDescent="0.25">
      <c r="A3175" t="s">
        <v>2776</v>
      </c>
      <c r="B3175" s="2">
        <v>44972</v>
      </c>
      <c r="C3175" s="2" t="str">
        <f>TEXT(Table3[[#This Row],[Order Date]],"mmmm")</f>
        <v>February</v>
      </c>
      <c r="D3175" t="s">
        <v>3730</v>
      </c>
      <c r="E3175" t="s">
        <v>3222</v>
      </c>
      <c r="F3175" t="s">
        <v>3226</v>
      </c>
      <c r="G3175" s="4">
        <v>37375.25</v>
      </c>
      <c r="H3175" s="4">
        <v>30157.26</v>
      </c>
      <c r="I3175" s="3" t="s">
        <v>3734</v>
      </c>
      <c r="J3175">
        <v>3</v>
      </c>
      <c r="K3175" s="4">
        <f>Table3[[#This Row],[Sales]]-Table3[[#This Row],[Cost]]</f>
        <v>7217.9900000000016</v>
      </c>
      <c r="L3175" s="6">
        <f>Table3[[#This Row],[Profit]]/Table3[[#This Row],[Sales]]</f>
        <v>0.19312218647366911</v>
      </c>
    </row>
    <row r="3176" spans="1:12" x14ac:dyDescent="0.25">
      <c r="A3176" t="s">
        <v>2777</v>
      </c>
      <c r="B3176" s="2">
        <v>45005</v>
      </c>
      <c r="C3176" s="2" t="str">
        <f>TEXT(Table3[[#This Row],[Order Date]],"mmmm")</f>
        <v>March</v>
      </c>
      <c r="D3176" t="s">
        <v>3220</v>
      </c>
      <c r="E3176" t="s">
        <v>3222</v>
      </c>
      <c r="F3176" t="s">
        <v>3226</v>
      </c>
      <c r="G3176" s="4">
        <v>14187.23</v>
      </c>
      <c r="H3176" s="4">
        <v>8946.66</v>
      </c>
      <c r="I3176" s="3" t="s">
        <v>3734</v>
      </c>
      <c r="J3176">
        <v>1</v>
      </c>
      <c r="K3176" s="4">
        <f>Table3[[#This Row],[Sales]]-Table3[[#This Row],[Cost]]</f>
        <v>5240.57</v>
      </c>
      <c r="L3176" s="6">
        <f>Table3[[#This Row],[Profit]]/Table3[[#This Row],[Sales]]</f>
        <v>0.36938641299252917</v>
      </c>
    </row>
    <row r="3177" spans="1:12" x14ac:dyDescent="0.25">
      <c r="A3177" t="s">
        <v>2778</v>
      </c>
      <c r="B3177" s="2">
        <v>44941</v>
      </c>
      <c r="C3177" s="2" t="str">
        <f>TEXT(Table3[[#This Row],[Order Date]],"mmmm")</f>
        <v>January</v>
      </c>
      <c r="D3177" t="s">
        <v>3220</v>
      </c>
      <c r="E3177" t="s">
        <v>3224</v>
      </c>
      <c r="F3177" t="s">
        <v>3226</v>
      </c>
      <c r="G3177" s="4">
        <v>196092.23</v>
      </c>
      <c r="H3177" s="4">
        <v>139912.38</v>
      </c>
      <c r="I3177" s="3" t="s">
        <v>3734</v>
      </c>
      <c r="J3177">
        <v>3</v>
      </c>
      <c r="K3177" s="4">
        <f>Table3[[#This Row],[Sales]]-Table3[[#This Row],[Cost]]</f>
        <v>56179.850000000006</v>
      </c>
      <c r="L3177" s="6">
        <f>Table3[[#This Row],[Profit]]/Table3[[#This Row],[Sales]]</f>
        <v>0.28649707334145774</v>
      </c>
    </row>
    <row r="3178" spans="1:12" x14ac:dyDescent="0.25">
      <c r="A3178" t="s">
        <v>2779</v>
      </c>
      <c r="B3178" s="2">
        <v>45102</v>
      </c>
      <c r="C3178" s="2" t="str">
        <f>TEXT(Table3[[#This Row],[Order Date]],"mmmm")</f>
        <v>June</v>
      </c>
      <c r="D3178" t="s">
        <v>3216</v>
      </c>
      <c r="E3178" t="s">
        <v>3225</v>
      </c>
      <c r="F3178" t="s">
        <v>3226</v>
      </c>
      <c r="G3178" s="4">
        <v>98049.27</v>
      </c>
      <c r="H3178" s="4">
        <v>62635.87</v>
      </c>
      <c r="I3178" s="3" t="s">
        <v>3734</v>
      </c>
      <c r="J3178" t="s">
        <v>3732</v>
      </c>
      <c r="K3178" s="4">
        <f>Table3[[#This Row],[Sales]]-Table3[[#This Row],[Cost]]</f>
        <v>35413.4</v>
      </c>
      <c r="L3178" s="6">
        <f>Table3[[#This Row],[Profit]]/Table3[[#This Row],[Sales]]</f>
        <v>0.36117963958324217</v>
      </c>
    </row>
    <row r="3179" spans="1:12" x14ac:dyDescent="0.25">
      <c r="A3179" t="s">
        <v>3243</v>
      </c>
      <c r="B3179" s="2">
        <v>45021</v>
      </c>
      <c r="C3179" s="2" t="str">
        <f>TEXT(Table3[[#This Row],[Order Date]],"mmmm")</f>
        <v>April</v>
      </c>
      <c r="D3179" t="s">
        <v>3220</v>
      </c>
      <c r="E3179" t="s">
        <v>3222</v>
      </c>
      <c r="F3179" t="s">
        <v>3226</v>
      </c>
      <c r="G3179" s="4">
        <v>80679.320000000007</v>
      </c>
      <c r="H3179" s="4">
        <v>54773.279999999999</v>
      </c>
      <c r="I3179" s="3" t="s">
        <v>3734</v>
      </c>
      <c r="J3179">
        <v>5</v>
      </c>
      <c r="K3179" s="4">
        <f>Table3[[#This Row],[Sales]]-Table3[[#This Row],[Cost]]</f>
        <v>25906.040000000008</v>
      </c>
      <c r="L3179" s="6">
        <f>Table3[[#This Row],[Profit]]/Table3[[#This Row],[Sales]]</f>
        <v>0.32109888878587484</v>
      </c>
    </row>
    <row r="3180" spans="1:12" x14ac:dyDescent="0.25">
      <c r="A3180" t="s">
        <v>2780</v>
      </c>
      <c r="B3180" s="2">
        <v>44972</v>
      </c>
      <c r="C3180" s="2" t="str">
        <f>TEXT(Table3[[#This Row],[Order Date]],"mmmm")</f>
        <v>February</v>
      </c>
      <c r="D3180" t="s">
        <v>3220</v>
      </c>
      <c r="E3180" t="s">
        <v>3224</v>
      </c>
      <c r="F3180" t="s">
        <v>3226</v>
      </c>
      <c r="G3180" s="4">
        <v>235582.67</v>
      </c>
      <c r="H3180" s="4">
        <v>175295.23</v>
      </c>
      <c r="I3180" s="3" t="s">
        <v>3734</v>
      </c>
      <c r="J3180">
        <v>4</v>
      </c>
      <c r="K3180" s="4">
        <f>Table3[[#This Row],[Sales]]-Table3[[#This Row],[Cost]]</f>
        <v>60287.44</v>
      </c>
      <c r="L3180" s="6">
        <f>Table3[[#This Row],[Profit]]/Table3[[#This Row],[Sales]]</f>
        <v>0.25590778812380383</v>
      </c>
    </row>
    <row r="3181" spans="1:12" x14ac:dyDescent="0.25">
      <c r="A3181" t="s">
        <v>2781</v>
      </c>
      <c r="B3181" s="2">
        <v>45021</v>
      </c>
      <c r="C3181" s="2" t="str">
        <f>TEXT(Table3[[#This Row],[Order Date]],"mmmm")</f>
        <v>April</v>
      </c>
      <c r="D3181" t="s">
        <v>3730</v>
      </c>
      <c r="E3181" t="s">
        <v>3223</v>
      </c>
      <c r="F3181" t="s">
        <v>3226</v>
      </c>
      <c r="G3181" s="4">
        <v>45380.76</v>
      </c>
      <c r="H3181" s="4">
        <v>24718.32</v>
      </c>
      <c r="I3181" s="3" t="s">
        <v>3734</v>
      </c>
      <c r="J3181">
        <v>4</v>
      </c>
      <c r="K3181" s="4">
        <f>Table3[[#This Row],[Sales]]-Table3[[#This Row],[Cost]]</f>
        <v>20662.440000000002</v>
      </c>
      <c r="L3181" s="6">
        <f>Table3[[#This Row],[Profit]]/Table3[[#This Row],[Sales]]</f>
        <v>0.45531278012972903</v>
      </c>
    </row>
    <row r="3182" spans="1:12" x14ac:dyDescent="0.25">
      <c r="A3182" t="s">
        <v>2782</v>
      </c>
      <c r="B3182" s="2">
        <v>45005</v>
      </c>
      <c r="C3182" s="2" t="str">
        <f>TEXT(Table3[[#This Row],[Order Date]],"mmmm")</f>
        <v>March</v>
      </c>
      <c r="D3182" t="s">
        <v>3730</v>
      </c>
      <c r="E3182" t="s">
        <v>3223</v>
      </c>
      <c r="F3182" t="s">
        <v>3226</v>
      </c>
      <c r="G3182" s="4">
        <v>59162.46</v>
      </c>
      <c r="H3182" s="4">
        <v>37191.86</v>
      </c>
      <c r="I3182" s="3" t="s">
        <v>3734</v>
      </c>
      <c r="J3182">
        <v>5</v>
      </c>
      <c r="K3182" s="4">
        <f>Table3[[#This Row],[Sales]]-Table3[[#This Row],[Cost]]</f>
        <v>21970.6</v>
      </c>
      <c r="L3182" s="6">
        <f>Table3[[#This Row],[Profit]]/Table3[[#This Row],[Sales]]</f>
        <v>0.37136048771467578</v>
      </c>
    </row>
    <row r="3183" spans="1:12" x14ac:dyDescent="0.25">
      <c r="A3183" t="s">
        <v>3372</v>
      </c>
      <c r="B3183" s="2">
        <v>44941</v>
      </c>
      <c r="C3183" s="2" t="str">
        <f>TEXT(Table3[[#This Row],[Order Date]],"mmmm")</f>
        <v>January</v>
      </c>
      <c r="D3183" t="s">
        <v>3216</v>
      </c>
      <c r="E3183" t="s">
        <v>3222</v>
      </c>
      <c r="F3183" t="s">
        <v>3226</v>
      </c>
      <c r="G3183" s="4">
        <v>49955.58</v>
      </c>
      <c r="H3183" s="4">
        <v>35414.480000000003</v>
      </c>
      <c r="I3183" s="3" t="s">
        <v>3734</v>
      </c>
      <c r="J3183">
        <v>4</v>
      </c>
      <c r="K3183" s="4">
        <f>Table3[[#This Row],[Sales]]-Table3[[#This Row],[Cost]]</f>
        <v>14541.099999999999</v>
      </c>
      <c r="L3183" s="6">
        <f>Table3[[#This Row],[Profit]]/Table3[[#This Row],[Sales]]</f>
        <v>0.29108059600148767</v>
      </c>
    </row>
    <row r="3184" spans="1:12" x14ac:dyDescent="0.25">
      <c r="A3184" t="s">
        <v>2783</v>
      </c>
      <c r="B3184" s="2">
        <v>45102</v>
      </c>
      <c r="C3184" s="2" t="str">
        <f>TEXT(Table3[[#This Row],[Order Date]],"mmmm")</f>
        <v>June</v>
      </c>
      <c r="D3184" t="s">
        <v>3731</v>
      </c>
      <c r="E3184" t="s">
        <v>3223</v>
      </c>
      <c r="F3184" t="s">
        <v>3226</v>
      </c>
      <c r="G3184" s="4">
        <v>20729.22</v>
      </c>
      <c r="H3184" s="4">
        <v>14495.72</v>
      </c>
      <c r="I3184" s="3" t="s">
        <v>3734</v>
      </c>
      <c r="J3184">
        <v>2</v>
      </c>
      <c r="K3184" s="4">
        <f>Table3[[#This Row],[Sales]]-Table3[[#This Row],[Cost]]</f>
        <v>6233.5000000000018</v>
      </c>
      <c r="L3184" s="6">
        <f>Table3[[#This Row],[Profit]]/Table3[[#This Row],[Sales]]</f>
        <v>0.30071078410089724</v>
      </c>
    </row>
    <row r="3185" spans="1:12" x14ac:dyDescent="0.25">
      <c r="A3185" t="s">
        <v>2784</v>
      </c>
      <c r="B3185" s="2">
        <v>44972</v>
      </c>
      <c r="C3185" s="2" t="str">
        <f>TEXT(Table3[[#This Row],[Order Date]],"mmmm")</f>
        <v>February</v>
      </c>
      <c r="D3185" t="s">
        <v>3216</v>
      </c>
      <c r="E3185" t="s">
        <v>3222</v>
      </c>
      <c r="F3185" t="s">
        <v>3226</v>
      </c>
      <c r="G3185" s="4">
        <v>68763.23</v>
      </c>
      <c r="H3185" s="4">
        <v>37970.92</v>
      </c>
      <c r="I3185" s="3" t="s">
        <v>3734</v>
      </c>
      <c r="J3185">
        <v>4</v>
      </c>
      <c r="K3185" s="4">
        <f>Table3[[#This Row],[Sales]]-Table3[[#This Row],[Cost]]</f>
        <v>30792.309999999998</v>
      </c>
      <c r="L3185" s="6">
        <f>Table3[[#This Row],[Profit]]/Table3[[#This Row],[Sales]]</f>
        <v>0.44780197207141081</v>
      </c>
    </row>
    <row r="3186" spans="1:12" x14ac:dyDescent="0.25">
      <c r="A3186" t="s">
        <v>2785</v>
      </c>
      <c r="B3186" s="2">
        <v>45102</v>
      </c>
      <c r="C3186" s="2" t="str">
        <f>TEXT(Table3[[#This Row],[Order Date]],"mmmm")</f>
        <v>June</v>
      </c>
      <c r="D3186" t="s">
        <v>3730</v>
      </c>
      <c r="E3186" t="s">
        <v>3223</v>
      </c>
      <c r="F3186" t="s">
        <v>3226</v>
      </c>
      <c r="G3186" s="4">
        <v>42050.3</v>
      </c>
      <c r="H3186" s="4">
        <v>30302.71</v>
      </c>
      <c r="I3186" s="3" t="s">
        <v>3734</v>
      </c>
      <c r="J3186">
        <v>4</v>
      </c>
      <c r="K3186" s="4">
        <f>Table3[[#This Row],[Sales]]-Table3[[#This Row],[Cost]]</f>
        <v>11747.590000000004</v>
      </c>
      <c r="L3186" s="6">
        <f>Table3[[#This Row],[Profit]]/Table3[[#This Row],[Sales]]</f>
        <v>0.27936994504200929</v>
      </c>
    </row>
    <row r="3187" spans="1:12" x14ac:dyDescent="0.25">
      <c r="A3187" t="s">
        <v>3510</v>
      </c>
      <c r="B3187" s="2" t="s">
        <v>3729</v>
      </c>
      <c r="C3187" s="2" t="str">
        <f>TEXT(Table3[[#This Row],[Order Date]],"mmmm")</f>
        <v>Not Mentioned</v>
      </c>
      <c r="D3187" t="s">
        <v>3730</v>
      </c>
      <c r="E3187" t="s">
        <v>3222</v>
      </c>
      <c r="F3187" t="s">
        <v>3226</v>
      </c>
      <c r="G3187" s="4">
        <v>44229.2</v>
      </c>
      <c r="H3187" s="4">
        <v>30667.56</v>
      </c>
      <c r="I3187" s="3" t="s">
        <v>3734</v>
      </c>
      <c r="J3187">
        <v>3</v>
      </c>
      <c r="K3187" s="4">
        <f>Table3[[#This Row],[Sales]]-Table3[[#This Row],[Cost]]</f>
        <v>13561.639999999996</v>
      </c>
      <c r="L3187" s="6">
        <f>Table3[[#This Row],[Profit]]/Table3[[#This Row],[Sales]]</f>
        <v>0.3066218697150298</v>
      </c>
    </row>
    <row r="3188" spans="1:12" x14ac:dyDescent="0.25">
      <c r="A3188" t="s">
        <v>2786</v>
      </c>
      <c r="B3188" s="2">
        <v>44941</v>
      </c>
      <c r="C3188" s="2" t="str">
        <f>TEXT(Table3[[#This Row],[Order Date]],"mmmm")</f>
        <v>January</v>
      </c>
      <c r="D3188" t="s">
        <v>3730</v>
      </c>
      <c r="E3188" t="s">
        <v>3223</v>
      </c>
      <c r="F3188" t="s">
        <v>3226</v>
      </c>
      <c r="G3188" s="4">
        <v>22316.93</v>
      </c>
      <c r="H3188" s="4">
        <v>17853.544000000002</v>
      </c>
      <c r="I3188" s="3" t="s">
        <v>3735</v>
      </c>
      <c r="J3188">
        <v>2</v>
      </c>
      <c r="K3188" s="4">
        <f>Table3[[#This Row],[Sales]]-Table3[[#This Row],[Cost]]</f>
        <v>4463.3859999999986</v>
      </c>
      <c r="L3188" s="6">
        <f>Table3[[#This Row],[Profit]]/Table3[[#This Row],[Sales]]</f>
        <v>0.19999999999999993</v>
      </c>
    </row>
    <row r="3189" spans="1:12" x14ac:dyDescent="0.25">
      <c r="A3189" t="s">
        <v>2787</v>
      </c>
      <c r="B3189" s="2">
        <v>45102</v>
      </c>
      <c r="C3189" s="2" t="str">
        <f>TEXT(Table3[[#This Row],[Order Date]],"mmmm")</f>
        <v>June</v>
      </c>
      <c r="D3189" t="s">
        <v>3730</v>
      </c>
      <c r="E3189" t="s">
        <v>3223</v>
      </c>
      <c r="F3189" t="s">
        <v>3226</v>
      </c>
      <c r="G3189" s="4">
        <v>42260.15</v>
      </c>
      <c r="H3189" s="4">
        <v>35402.21</v>
      </c>
      <c r="I3189" s="3" t="s">
        <v>3734</v>
      </c>
      <c r="J3189">
        <v>5</v>
      </c>
      <c r="K3189" s="4">
        <f>Table3[[#This Row],[Sales]]-Table3[[#This Row],[Cost]]</f>
        <v>6857.9400000000023</v>
      </c>
      <c r="L3189" s="6">
        <f>Table3[[#This Row],[Profit]]/Table3[[#This Row],[Sales]]</f>
        <v>0.16227912111054982</v>
      </c>
    </row>
    <row r="3190" spans="1:12" x14ac:dyDescent="0.25">
      <c r="A3190" t="s">
        <v>2788</v>
      </c>
      <c r="B3190" s="2">
        <v>44941</v>
      </c>
      <c r="C3190" s="2" t="str">
        <f>TEXT(Table3[[#This Row],[Order Date]],"mmmm")</f>
        <v>January</v>
      </c>
      <c r="D3190" t="s">
        <v>3220</v>
      </c>
      <c r="E3190" t="s">
        <v>3222</v>
      </c>
      <c r="F3190" t="s">
        <v>3226</v>
      </c>
      <c r="G3190" s="4">
        <v>89084.32</v>
      </c>
      <c r="H3190" s="4">
        <v>43458.36</v>
      </c>
      <c r="I3190" s="3" t="s">
        <v>3734</v>
      </c>
      <c r="J3190">
        <v>5</v>
      </c>
      <c r="K3190" s="4">
        <f>Table3[[#This Row],[Sales]]-Table3[[#This Row],[Cost]]</f>
        <v>45625.960000000006</v>
      </c>
      <c r="L3190" s="6">
        <f>Table3[[#This Row],[Profit]]/Table3[[#This Row],[Sales]]</f>
        <v>0.51216600182838012</v>
      </c>
    </row>
    <row r="3191" spans="1:12" x14ac:dyDescent="0.25">
      <c r="A3191" t="s">
        <v>2707</v>
      </c>
      <c r="B3191" s="2">
        <v>45005</v>
      </c>
      <c r="C3191" s="2" t="str">
        <f>TEXT(Table3[[#This Row],[Order Date]],"mmmm")</f>
        <v>March</v>
      </c>
      <c r="D3191" t="s">
        <v>3216</v>
      </c>
      <c r="E3191" t="s">
        <v>3225</v>
      </c>
      <c r="F3191" t="s">
        <v>3226</v>
      </c>
      <c r="G3191" s="4">
        <v>65887.78</v>
      </c>
      <c r="H3191" s="4">
        <v>43076.09</v>
      </c>
      <c r="I3191" s="3" t="s">
        <v>3734</v>
      </c>
      <c r="J3191">
        <v>3</v>
      </c>
      <c r="K3191" s="4">
        <f>Table3[[#This Row],[Sales]]-Table3[[#This Row],[Cost]]</f>
        <v>22811.690000000002</v>
      </c>
      <c r="L3191" s="6">
        <f>Table3[[#This Row],[Profit]]/Table3[[#This Row],[Sales]]</f>
        <v>0.34622034617041281</v>
      </c>
    </row>
    <row r="3192" spans="1:12" x14ac:dyDescent="0.25">
      <c r="A3192" t="s">
        <v>2789</v>
      </c>
      <c r="B3192" s="2">
        <v>44972</v>
      </c>
      <c r="C3192" s="2" t="str">
        <f>TEXT(Table3[[#This Row],[Order Date]],"mmmm")</f>
        <v>February</v>
      </c>
      <c r="D3192" t="s">
        <v>3220</v>
      </c>
      <c r="E3192" t="s">
        <v>3223</v>
      </c>
      <c r="F3192" t="s">
        <v>3226</v>
      </c>
      <c r="G3192" s="4">
        <v>40204.49</v>
      </c>
      <c r="H3192" s="4">
        <v>28568.05</v>
      </c>
      <c r="I3192" s="3" t="s">
        <v>3734</v>
      </c>
      <c r="J3192">
        <v>4</v>
      </c>
      <c r="K3192" s="4">
        <f>Table3[[#This Row],[Sales]]-Table3[[#This Row],[Cost]]</f>
        <v>11636.439999999999</v>
      </c>
      <c r="L3192" s="6">
        <f>Table3[[#This Row],[Profit]]/Table3[[#This Row],[Sales]]</f>
        <v>0.28943135455766256</v>
      </c>
    </row>
    <row r="3193" spans="1:12" x14ac:dyDescent="0.25">
      <c r="A3193" t="s">
        <v>1748</v>
      </c>
      <c r="B3193" s="2" t="s">
        <v>3729</v>
      </c>
      <c r="C3193" s="2" t="str">
        <f>TEXT(Table3[[#This Row],[Order Date]],"mmmm")</f>
        <v>Not Mentioned</v>
      </c>
      <c r="D3193" t="s">
        <v>3731</v>
      </c>
      <c r="E3193" t="s">
        <v>3225</v>
      </c>
      <c r="F3193" t="s">
        <v>3226</v>
      </c>
      <c r="G3193" s="4">
        <v>76762.100000000006</v>
      </c>
      <c r="H3193" s="4">
        <v>59285.440000000002</v>
      </c>
      <c r="I3193" s="3" t="s">
        <v>3734</v>
      </c>
      <c r="J3193">
        <v>4</v>
      </c>
      <c r="K3193" s="4">
        <f>Table3[[#This Row],[Sales]]-Table3[[#This Row],[Cost]]</f>
        <v>17476.660000000003</v>
      </c>
      <c r="L3193" s="6">
        <f>Table3[[#This Row],[Profit]]/Table3[[#This Row],[Sales]]</f>
        <v>0.22767303135271186</v>
      </c>
    </row>
    <row r="3194" spans="1:12" x14ac:dyDescent="0.25">
      <c r="A3194" t="s">
        <v>2790</v>
      </c>
      <c r="B3194" s="2" t="s">
        <v>3729</v>
      </c>
      <c r="C3194" s="2" t="str">
        <f>TEXT(Table3[[#This Row],[Order Date]],"mmmm")</f>
        <v>Not Mentioned</v>
      </c>
      <c r="D3194" t="s">
        <v>3731</v>
      </c>
      <c r="E3194" t="s">
        <v>3223</v>
      </c>
      <c r="F3194" t="s">
        <v>3226</v>
      </c>
      <c r="G3194" s="4">
        <v>35372.65</v>
      </c>
      <c r="H3194" s="4">
        <v>19623.98</v>
      </c>
      <c r="I3194" s="3" t="s">
        <v>3734</v>
      </c>
      <c r="J3194">
        <v>3</v>
      </c>
      <c r="K3194" s="4">
        <f>Table3[[#This Row],[Sales]]-Table3[[#This Row],[Cost]]</f>
        <v>15748.670000000002</v>
      </c>
      <c r="L3194" s="6">
        <f>Table3[[#This Row],[Profit]]/Table3[[#This Row],[Sales]]</f>
        <v>0.44522166136831709</v>
      </c>
    </row>
    <row r="3195" spans="1:12" x14ac:dyDescent="0.25">
      <c r="A3195" t="s">
        <v>2026</v>
      </c>
      <c r="B3195" s="2">
        <v>45021</v>
      </c>
      <c r="C3195" s="2" t="str">
        <f>TEXT(Table3[[#This Row],[Order Date]],"mmmm")</f>
        <v>April</v>
      </c>
      <c r="D3195" t="s">
        <v>3220</v>
      </c>
      <c r="E3195" t="s">
        <v>3223</v>
      </c>
      <c r="F3195" t="s">
        <v>3226</v>
      </c>
      <c r="G3195" s="4">
        <v>40915.35</v>
      </c>
      <c r="H3195" s="4">
        <v>30673.94</v>
      </c>
      <c r="I3195" s="3" t="s">
        <v>3734</v>
      </c>
      <c r="J3195">
        <v>5</v>
      </c>
      <c r="K3195" s="4">
        <f>Table3[[#This Row],[Sales]]-Table3[[#This Row],[Cost]]</f>
        <v>10241.41</v>
      </c>
      <c r="L3195" s="6">
        <f>Table3[[#This Row],[Profit]]/Table3[[#This Row],[Sales]]</f>
        <v>0.25030728076382092</v>
      </c>
    </row>
    <row r="3196" spans="1:12" x14ac:dyDescent="0.25">
      <c r="A3196" t="s">
        <v>2791</v>
      </c>
      <c r="B3196" s="2" t="s">
        <v>3729</v>
      </c>
      <c r="C3196" s="2" t="str">
        <f>TEXT(Table3[[#This Row],[Order Date]],"mmmm")</f>
        <v>Not Mentioned</v>
      </c>
      <c r="D3196" t="s">
        <v>3220</v>
      </c>
      <c r="E3196" t="s">
        <v>3222</v>
      </c>
      <c r="F3196" t="s">
        <v>3226</v>
      </c>
      <c r="G3196" s="4">
        <v>16371.59</v>
      </c>
      <c r="H3196" s="4">
        <v>9103.5</v>
      </c>
      <c r="I3196" s="3" t="s">
        <v>3734</v>
      </c>
      <c r="J3196">
        <v>1</v>
      </c>
      <c r="K3196" s="4">
        <f>Table3[[#This Row],[Sales]]-Table3[[#This Row],[Cost]]</f>
        <v>7268.09</v>
      </c>
      <c r="L3196" s="6">
        <f>Table3[[#This Row],[Profit]]/Table3[[#This Row],[Sales]]</f>
        <v>0.44394527348901358</v>
      </c>
    </row>
    <row r="3197" spans="1:12" x14ac:dyDescent="0.25">
      <c r="A3197" t="s">
        <v>2792</v>
      </c>
      <c r="B3197" s="2" t="s">
        <v>3729</v>
      </c>
      <c r="C3197" s="2" t="str">
        <f>TEXT(Table3[[#This Row],[Order Date]],"mmmm")</f>
        <v>Not Mentioned</v>
      </c>
      <c r="D3197" t="s">
        <v>3730</v>
      </c>
      <c r="E3197" t="s">
        <v>3225</v>
      </c>
      <c r="F3197" t="s">
        <v>3226</v>
      </c>
      <c r="G3197" s="4">
        <v>20639.919999999998</v>
      </c>
      <c r="H3197" s="4">
        <v>16511.935999999998</v>
      </c>
      <c r="I3197" s="3" t="s">
        <v>3735</v>
      </c>
      <c r="J3197">
        <v>1</v>
      </c>
      <c r="K3197" s="4">
        <f>Table3[[#This Row],[Sales]]-Table3[[#This Row],[Cost]]</f>
        <v>4127.9840000000004</v>
      </c>
      <c r="L3197" s="6">
        <f>Table3[[#This Row],[Profit]]/Table3[[#This Row],[Sales]]</f>
        <v>0.20000000000000004</v>
      </c>
    </row>
    <row r="3198" spans="1:12" x14ac:dyDescent="0.25">
      <c r="A3198" t="s">
        <v>1318</v>
      </c>
      <c r="B3198" s="2">
        <v>45005</v>
      </c>
      <c r="C3198" s="2" t="str">
        <f>TEXT(Table3[[#This Row],[Order Date]],"mmmm")</f>
        <v>March</v>
      </c>
      <c r="D3198" t="s">
        <v>3730</v>
      </c>
      <c r="E3198" t="s">
        <v>3223</v>
      </c>
      <c r="F3198" t="s">
        <v>3226</v>
      </c>
      <c r="G3198" s="4">
        <v>20232.95</v>
      </c>
      <c r="H3198" s="4">
        <v>16186.36</v>
      </c>
      <c r="I3198" s="3" t="s">
        <v>3735</v>
      </c>
      <c r="J3198">
        <v>2</v>
      </c>
      <c r="K3198" s="4">
        <f>Table3[[#This Row],[Sales]]-Table3[[#This Row],[Cost]]</f>
        <v>4046.59</v>
      </c>
      <c r="L3198" s="6">
        <f>Table3[[#This Row],[Profit]]/Table3[[#This Row],[Sales]]</f>
        <v>0.2</v>
      </c>
    </row>
    <row r="3199" spans="1:12" x14ac:dyDescent="0.25">
      <c r="A3199" t="s">
        <v>2793</v>
      </c>
      <c r="B3199" s="2">
        <v>44941</v>
      </c>
      <c r="C3199" s="2" t="str">
        <f>TEXT(Table3[[#This Row],[Order Date]],"mmmm")</f>
        <v>January</v>
      </c>
      <c r="D3199" t="s">
        <v>3220</v>
      </c>
      <c r="E3199" t="s">
        <v>3224</v>
      </c>
      <c r="F3199" t="s">
        <v>3226</v>
      </c>
      <c r="G3199" s="4">
        <v>240905.96</v>
      </c>
      <c r="H3199" s="4">
        <v>169047.33</v>
      </c>
      <c r="I3199" s="3" t="s">
        <v>3734</v>
      </c>
      <c r="J3199">
        <v>4</v>
      </c>
      <c r="K3199" s="4">
        <f>Table3[[#This Row],[Sales]]-Table3[[#This Row],[Cost]]</f>
        <v>71858.63</v>
      </c>
      <c r="L3199" s="6">
        <f>Table3[[#This Row],[Profit]]/Table3[[#This Row],[Sales]]</f>
        <v>0.29828498223954281</v>
      </c>
    </row>
    <row r="3200" spans="1:12" x14ac:dyDescent="0.25">
      <c r="A3200" t="s">
        <v>2797</v>
      </c>
      <c r="B3200" s="2">
        <v>44941</v>
      </c>
      <c r="C3200" s="2" t="str">
        <f>TEXT(Table3[[#This Row],[Order Date]],"mmmm")</f>
        <v>January</v>
      </c>
      <c r="D3200" t="s">
        <v>3220</v>
      </c>
      <c r="E3200" t="s">
        <v>3224</v>
      </c>
      <c r="F3200" t="s">
        <v>3226</v>
      </c>
      <c r="G3200" s="4">
        <v>191936.85</v>
      </c>
      <c r="H3200" s="4">
        <v>153549.48000000001</v>
      </c>
      <c r="I3200" s="3" t="s">
        <v>3735</v>
      </c>
      <c r="J3200">
        <v>3</v>
      </c>
      <c r="K3200" s="4">
        <f>Table3[[#This Row],[Sales]]-Table3[[#This Row],[Cost]]</f>
        <v>38387.369999999995</v>
      </c>
      <c r="L3200" s="6">
        <f>Table3[[#This Row],[Profit]]/Table3[[#This Row],[Sales]]</f>
        <v>0.19999999999999998</v>
      </c>
    </row>
    <row r="3201" spans="1:12" x14ac:dyDescent="0.25">
      <c r="A3201" t="s">
        <v>3673</v>
      </c>
      <c r="B3201" s="2" t="s">
        <v>3729</v>
      </c>
      <c r="C3201" s="2" t="str">
        <f>TEXT(Table3[[#This Row],[Order Date]],"mmmm")</f>
        <v>Not Mentioned</v>
      </c>
      <c r="D3201" t="s">
        <v>3216</v>
      </c>
      <c r="E3201" t="s">
        <v>3224</v>
      </c>
      <c r="F3201" t="s">
        <v>3226</v>
      </c>
      <c r="G3201" s="4">
        <v>109571.06</v>
      </c>
      <c r="H3201" s="4">
        <v>98736.320000000007</v>
      </c>
      <c r="I3201" s="3" t="s">
        <v>3734</v>
      </c>
      <c r="J3201">
        <v>2</v>
      </c>
      <c r="K3201" s="4">
        <f>Table3[[#This Row],[Sales]]-Table3[[#This Row],[Cost]]</f>
        <v>10834.739999999991</v>
      </c>
      <c r="L3201" s="6">
        <f>Table3[[#This Row],[Profit]]/Table3[[#This Row],[Sales]]</f>
        <v>9.8883227012680083E-2</v>
      </c>
    </row>
    <row r="3202" spans="1:12" x14ac:dyDescent="0.25">
      <c r="A3202" t="s">
        <v>3674</v>
      </c>
      <c r="B3202" s="2">
        <v>44972</v>
      </c>
      <c r="C3202" s="2" t="str">
        <f>TEXT(Table3[[#This Row],[Order Date]],"mmmm")</f>
        <v>February</v>
      </c>
      <c r="D3202" t="s">
        <v>3220</v>
      </c>
      <c r="E3202" t="s">
        <v>3225</v>
      </c>
      <c r="F3202" t="s">
        <v>3226</v>
      </c>
      <c r="G3202" s="4">
        <v>16647.189999999999</v>
      </c>
      <c r="H3202" s="4">
        <v>14170.17</v>
      </c>
      <c r="I3202" s="3" t="s">
        <v>3734</v>
      </c>
      <c r="J3202">
        <v>1</v>
      </c>
      <c r="K3202" s="4">
        <f>Table3[[#This Row],[Sales]]-Table3[[#This Row],[Cost]]</f>
        <v>2477.0199999999986</v>
      </c>
      <c r="L3202" s="6">
        <f>Table3[[#This Row],[Profit]]/Table3[[#This Row],[Sales]]</f>
        <v>0.14879508193274654</v>
      </c>
    </row>
    <row r="3203" spans="1:12" x14ac:dyDescent="0.25">
      <c r="A3203" t="s">
        <v>2801</v>
      </c>
      <c r="B3203" s="2">
        <v>45005</v>
      </c>
      <c r="C3203" s="2" t="str">
        <f>TEXT(Table3[[#This Row],[Order Date]],"mmmm")</f>
        <v>March</v>
      </c>
      <c r="D3203" t="s">
        <v>3220</v>
      </c>
      <c r="E3203" t="s">
        <v>3224</v>
      </c>
      <c r="F3203" t="s">
        <v>3226</v>
      </c>
      <c r="G3203" s="4">
        <v>248188.09</v>
      </c>
      <c r="H3203" s="4">
        <v>187738.17</v>
      </c>
      <c r="I3203" s="3" t="s">
        <v>3734</v>
      </c>
      <c r="J3203">
        <v>4</v>
      </c>
      <c r="K3203" s="4">
        <f>Table3[[#This Row],[Sales]]-Table3[[#This Row],[Cost]]</f>
        <v>60449.919999999984</v>
      </c>
      <c r="L3203" s="6">
        <f>Table3[[#This Row],[Profit]]/Table3[[#This Row],[Sales]]</f>
        <v>0.24356495108206033</v>
      </c>
    </row>
    <row r="3204" spans="1:12" x14ac:dyDescent="0.25">
      <c r="A3204" t="s">
        <v>3370</v>
      </c>
      <c r="B3204" s="2">
        <v>45102</v>
      </c>
      <c r="C3204" s="2" t="str">
        <f>TEXT(Table3[[#This Row],[Order Date]],"mmmm")</f>
        <v>June</v>
      </c>
      <c r="D3204" t="s">
        <v>3220</v>
      </c>
      <c r="E3204" t="s">
        <v>3225</v>
      </c>
      <c r="F3204" t="s">
        <v>3226</v>
      </c>
      <c r="G3204" s="4">
        <v>79342.429999999993</v>
      </c>
      <c r="H3204" s="4">
        <v>49411.03</v>
      </c>
      <c r="I3204" s="3" t="s">
        <v>3734</v>
      </c>
      <c r="J3204">
        <v>4</v>
      </c>
      <c r="K3204" s="4">
        <f>Table3[[#This Row],[Sales]]-Table3[[#This Row],[Cost]]</f>
        <v>29931.399999999994</v>
      </c>
      <c r="L3204" s="6">
        <f>Table3[[#This Row],[Profit]]/Table3[[#This Row],[Sales]]</f>
        <v>0.37724329844699739</v>
      </c>
    </row>
    <row r="3205" spans="1:12" x14ac:dyDescent="0.25">
      <c r="A3205" t="s">
        <v>3675</v>
      </c>
      <c r="B3205" s="2" t="s">
        <v>3729</v>
      </c>
      <c r="C3205" s="2" t="str">
        <f>TEXT(Table3[[#This Row],[Order Date]],"mmmm")</f>
        <v>Not Mentioned</v>
      </c>
      <c r="D3205" t="s">
        <v>3220</v>
      </c>
      <c r="E3205" t="s">
        <v>3224</v>
      </c>
      <c r="F3205" t="s">
        <v>3226</v>
      </c>
      <c r="G3205" s="4">
        <v>338653.95</v>
      </c>
      <c r="H3205" s="4">
        <v>230606.63</v>
      </c>
      <c r="I3205" s="3" t="s">
        <v>3734</v>
      </c>
      <c r="J3205">
        <v>5</v>
      </c>
      <c r="K3205" s="4">
        <f>Table3[[#This Row],[Sales]]-Table3[[#This Row],[Cost]]</f>
        <v>108047.32</v>
      </c>
      <c r="L3205" s="6">
        <f>Table3[[#This Row],[Profit]]/Table3[[#This Row],[Sales]]</f>
        <v>0.31904934225630621</v>
      </c>
    </row>
    <row r="3206" spans="1:12" x14ac:dyDescent="0.25">
      <c r="A3206" t="s">
        <v>2408</v>
      </c>
      <c r="B3206" s="2">
        <v>45021</v>
      </c>
      <c r="C3206" s="2" t="str">
        <f>TEXT(Table3[[#This Row],[Order Date]],"mmmm")</f>
        <v>April</v>
      </c>
      <c r="D3206" t="s">
        <v>3730</v>
      </c>
      <c r="E3206" t="s">
        <v>3222</v>
      </c>
      <c r="F3206" t="s">
        <v>3226</v>
      </c>
      <c r="G3206" s="4">
        <v>51796.7</v>
      </c>
      <c r="H3206" s="4">
        <v>36405.879999999997</v>
      </c>
      <c r="I3206" s="3" t="s">
        <v>3734</v>
      </c>
      <c r="J3206">
        <v>4</v>
      </c>
      <c r="K3206" s="4">
        <f>Table3[[#This Row],[Sales]]-Table3[[#This Row],[Cost]]</f>
        <v>15390.82</v>
      </c>
      <c r="L3206" s="6">
        <f>Table3[[#This Row],[Profit]]/Table3[[#This Row],[Sales]]</f>
        <v>0.29713900692515161</v>
      </c>
    </row>
    <row r="3207" spans="1:12" x14ac:dyDescent="0.25">
      <c r="A3207" t="s">
        <v>3676</v>
      </c>
      <c r="B3207" s="2">
        <v>44941</v>
      </c>
      <c r="C3207" s="2" t="str">
        <f>TEXT(Table3[[#This Row],[Order Date]],"mmmm")</f>
        <v>January</v>
      </c>
      <c r="D3207" t="s">
        <v>3731</v>
      </c>
      <c r="E3207" t="s">
        <v>3223</v>
      </c>
      <c r="F3207" t="s">
        <v>3226</v>
      </c>
      <c r="G3207" s="4">
        <v>11081.66</v>
      </c>
      <c r="H3207" s="4">
        <v>6246.56</v>
      </c>
      <c r="I3207" s="3" t="s">
        <v>3734</v>
      </c>
      <c r="J3207">
        <v>1</v>
      </c>
      <c r="K3207" s="4">
        <f>Table3[[#This Row],[Sales]]-Table3[[#This Row],[Cost]]</f>
        <v>4835.0999999999995</v>
      </c>
      <c r="L3207" s="6">
        <f>Table3[[#This Row],[Profit]]/Table3[[#This Row],[Sales]]</f>
        <v>0.436315497858624</v>
      </c>
    </row>
    <row r="3208" spans="1:12" x14ac:dyDescent="0.25">
      <c r="A3208" t="s">
        <v>2804</v>
      </c>
      <c r="B3208" s="2" t="s">
        <v>3729</v>
      </c>
      <c r="C3208" s="2" t="str">
        <f>TEXT(Table3[[#This Row],[Order Date]],"mmmm")</f>
        <v>Not Mentioned</v>
      </c>
      <c r="D3208" t="s">
        <v>3216</v>
      </c>
      <c r="E3208" t="s">
        <v>3222</v>
      </c>
      <c r="F3208" t="s">
        <v>3226</v>
      </c>
      <c r="G3208" s="4">
        <v>30208.98</v>
      </c>
      <c r="H3208" s="4">
        <v>20448.27</v>
      </c>
      <c r="I3208" s="3" t="s">
        <v>3734</v>
      </c>
      <c r="J3208">
        <v>2</v>
      </c>
      <c r="K3208" s="4">
        <f>Table3[[#This Row],[Sales]]-Table3[[#This Row],[Cost]]</f>
        <v>9760.7099999999991</v>
      </c>
      <c r="L3208" s="6">
        <f>Table3[[#This Row],[Profit]]/Table3[[#This Row],[Sales]]</f>
        <v>0.32310624191879367</v>
      </c>
    </row>
    <row r="3209" spans="1:12" x14ac:dyDescent="0.25">
      <c r="A3209" t="s">
        <v>2805</v>
      </c>
      <c r="B3209" s="2">
        <v>45021</v>
      </c>
      <c r="C3209" s="2" t="str">
        <f>TEXT(Table3[[#This Row],[Order Date]],"mmmm")</f>
        <v>April</v>
      </c>
      <c r="D3209" t="s">
        <v>3216</v>
      </c>
      <c r="E3209" t="s">
        <v>3222</v>
      </c>
      <c r="F3209" t="s">
        <v>3226</v>
      </c>
      <c r="G3209" s="4">
        <v>79203.33</v>
      </c>
      <c r="H3209" s="4">
        <v>49788.88</v>
      </c>
      <c r="I3209" s="3" t="s">
        <v>3734</v>
      </c>
      <c r="J3209">
        <v>5</v>
      </c>
      <c r="K3209" s="4">
        <f>Table3[[#This Row],[Sales]]-Table3[[#This Row],[Cost]]</f>
        <v>29414.450000000004</v>
      </c>
      <c r="L3209" s="6">
        <f>Table3[[#This Row],[Profit]]/Table3[[#This Row],[Sales]]</f>
        <v>0.37137895591006093</v>
      </c>
    </row>
    <row r="3210" spans="1:12" x14ac:dyDescent="0.25">
      <c r="A3210" t="s">
        <v>2806</v>
      </c>
      <c r="B3210" s="2" t="s">
        <v>3729</v>
      </c>
      <c r="C3210" s="2" t="str">
        <f>TEXT(Table3[[#This Row],[Order Date]],"mmmm")</f>
        <v>Not Mentioned</v>
      </c>
      <c r="D3210" t="s">
        <v>3216</v>
      </c>
      <c r="E3210" t="s">
        <v>3223</v>
      </c>
      <c r="F3210" t="s">
        <v>3226</v>
      </c>
      <c r="G3210" s="4">
        <v>31181.39</v>
      </c>
      <c r="H3210" s="4">
        <v>18004.63</v>
      </c>
      <c r="I3210" s="3" t="s">
        <v>3734</v>
      </c>
      <c r="J3210">
        <v>3</v>
      </c>
      <c r="K3210" s="4">
        <f>Table3[[#This Row],[Sales]]-Table3[[#This Row],[Cost]]</f>
        <v>13176.759999999998</v>
      </c>
      <c r="L3210" s="6">
        <f>Table3[[#This Row],[Profit]]/Table3[[#This Row],[Sales]]</f>
        <v>0.42258411186929123</v>
      </c>
    </row>
    <row r="3211" spans="1:12" x14ac:dyDescent="0.25">
      <c r="A3211" t="s">
        <v>2305</v>
      </c>
      <c r="B3211" s="2">
        <v>45021</v>
      </c>
      <c r="C3211" s="2" t="str">
        <f>TEXT(Table3[[#This Row],[Order Date]],"mmmm")</f>
        <v>April</v>
      </c>
      <c r="D3211" t="s">
        <v>3220</v>
      </c>
      <c r="E3211" t="s">
        <v>3223</v>
      </c>
      <c r="F3211" t="s">
        <v>3226</v>
      </c>
      <c r="G3211" s="4">
        <v>10327.4</v>
      </c>
      <c r="H3211" s="4">
        <v>8261.92</v>
      </c>
      <c r="I3211" s="3" t="s">
        <v>3735</v>
      </c>
      <c r="J3211">
        <v>1</v>
      </c>
      <c r="K3211" s="4">
        <f>Table3[[#This Row],[Sales]]-Table3[[#This Row],[Cost]]</f>
        <v>2065.4799999999996</v>
      </c>
      <c r="L3211" s="6">
        <f>Table3[[#This Row],[Profit]]/Table3[[#This Row],[Sales]]</f>
        <v>0.19999999999999996</v>
      </c>
    </row>
    <row r="3212" spans="1:12" x14ac:dyDescent="0.25">
      <c r="A3212" t="s">
        <v>2807</v>
      </c>
      <c r="B3212" s="2">
        <v>45021</v>
      </c>
      <c r="C3212" s="2" t="str">
        <f>TEXT(Table3[[#This Row],[Order Date]],"mmmm")</f>
        <v>April</v>
      </c>
      <c r="D3212" t="s">
        <v>3731</v>
      </c>
      <c r="E3212" t="s">
        <v>3222</v>
      </c>
      <c r="F3212" t="s">
        <v>3226</v>
      </c>
      <c r="G3212" s="4">
        <v>84815.79</v>
      </c>
      <c r="H3212" s="4">
        <v>44355.11</v>
      </c>
      <c r="I3212" s="3" t="s">
        <v>3734</v>
      </c>
      <c r="J3212">
        <v>5</v>
      </c>
      <c r="K3212" s="4">
        <f>Table3[[#This Row],[Sales]]-Table3[[#This Row],[Cost]]</f>
        <v>40460.679999999993</v>
      </c>
      <c r="L3212" s="6">
        <f>Table3[[#This Row],[Profit]]/Table3[[#This Row],[Sales]]</f>
        <v>0.47704183383777943</v>
      </c>
    </row>
    <row r="3213" spans="1:12" x14ac:dyDescent="0.25">
      <c r="A3213" t="s">
        <v>2808</v>
      </c>
      <c r="B3213" s="2">
        <v>44972</v>
      </c>
      <c r="C3213" s="2" t="str">
        <f>TEXT(Table3[[#This Row],[Order Date]],"mmmm")</f>
        <v>February</v>
      </c>
      <c r="D3213" t="s">
        <v>3730</v>
      </c>
      <c r="E3213" t="s">
        <v>3225</v>
      </c>
      <c r="F3213" t="s">
        <v>3226</v>
      </c>
      <c r="G3213" s="4">
        <v>43483.79</v>
      </c>
      <c r="H3213" s="4">
        <v>29995.89</v>
      </c>
      <c r="I3213" s="3" t="s">
        <v>3734</v>
      </c>
      <c r="J3213">
        <v>2</v>
      </c>
      <c r="K3213" s="4">
        <f>Table3[[#This Row],[Sales]]-Table3[[#This Row],[Cost]]</f>
        <v>13487.900000000001</v>
      </c>
      <c r="L3213" s="6">
        <f>Table3[[#This Row],[Profit]]/Table3[[#This Row],[Sales]]</f>
        <v>0.31018225412274325</v>
      </c>
    </row>
    <row r="3214" spans="1:12" x14ac:dyDescent="0.25">
      <c r="A3214" t="s">
        <v>2536</v>
      </c>
      <c r="B3214" s="2">
        <v>44972</v>
      </c>
      <c r="C3214" s="2" t="str">
        <f>TEXT(Table3[[#This Row],[Order Date]],"mmmm")</f>
        <v>February</v>
      </c>
      <c r="D3214" t="s">
        <v>3730</v>
      </c>
      <c r="E3214" t="s">
        <v>3223</v>
      </c>
      <c r="F3214" t="s">
        <v>3226</v>
      </c>
      <c r="G3214" s="4">
        <v>22245.81</v>
      </c>
      <c r="H3214" s="4">
        <v>14232.35</v>
      </c>
      <c r="I3214" s="3" t="s">
        <v>3734</v>
      </c>
      <c r="J3214">
        <v>2</v>
      </c>
      <c r="K3214" s="4">
        <f>Table3[[#This Row],[Sales]]-Table3[[#This Row],[Cost]]</f>
        <v>8013.4600000000009</v>
      </c>
      <c r="L3214" s="6">
        <f>Table3[[#This Row],[Profit]]/Table3[[#This Row],[Sales]]</f>
        <v>0.36022334093476482</v>
      </c>
    </row>
    <row r="3215" spans="1:12" x14ac:dyDescent="0.25">
      <c r="A3215" t="s">
        <v>2809</v>
      </c>
      <c r="B3215" s="2" t="s">
        <v>3729</v>
      </c>
      <c r="C3215" s="2" t="str">
        <f>TEXT(Table3[[#This Row],[Order Date]],"mmmm")</f>
        <v>Not Mentioned</v>
      </c>
      <c r="D3215" t="s">
        <v>3730</v>
      </c>
      <c r="E3215" t="s">
        <v>3224</v>
      </c>
      <c r="F3215" t="s">
        <v>3226</v>
      </c>
      <c r="G3215" s="4">
        <v>165547.41</v>
      </c>
      <c r="H3215" s="4">
        <v>143045.82</v>
      </c>
      <c r="I3215" s="3" t="s">
        <v>3734</v>
      </c>
      <c r="J3215">
        <v>3</v>
      </c>
      <c r="K3215" s="4">
        <f>Table3[[#This Row],[Sales]]-Table3[[#This Row],[Cost]]</f>
        <v>22501.589999999997</v>
      </c>
      <c r="L3215" s="6">
        <f>Table3[[#This Row],[Profit]]/Table3[[#This Row],[Sales]]</f>
        <v>0.1359223318564754</v>
      </c>
    </row>
    <row r="3216" spans="1:12" x14ac:dyDescent="0.25">
      <c r="A3216" t="s">
        <v>2810</v>
      </c>
      <c r="B3216" s="2" t="s">
        <v>3729</v>
      </c>
      <c r="C3216" s="2" t="str">
        <f>TEXT(Table3[[#This Row],[Order Date]],"mmmm")</f>
        <v>Not Mentioned</v>
      </c>
      <c r="D3216" t="s">
        <v>3220</v>
      </c>
      <c r="E3216" t="s">
        <v>3224</v>
      </c>
      <c r="F3216" t="s">
        <v>3226</v>
      </c>
      <c r="G3216" s="4">
        <v>108586.69</v>
      </c>
      <c r="H3216" s="4">
        <v>89345.99</v>
      </c>
      <c r="I3216" s="3" t="s">
        <v>3734</v>
      </c>
      <c r="J3216">
        <v>2</v>
      </c>
      <c r="K3216" s="4">
        <f>Table3[[#This Row],[Sales]]-Table3[[#This Row],[Cost]]</f>
        <v>19240.699999999997</v>
      </c>
      <c r="L3216" s="6">
        <f>Table3[[#This Row],[Profit]]/Table3[[#This Row],[Sales]]</f>
        <v>0.17719206654148861</v>
      </c>
    </row>
    <row r="3217" spans="1:12" x14ac:dyDescent="0.25">
      <c r="A3217" t="s">
        <v>3677</v>
      </c>
      <c r="B3217" s="2">
        <v>45021</v>
      </c>
      <c r="C3217" s="2" t="str">
        <f>TEXT(Table3[[#This Row],[Order Date]],"mmmm")</f>
        <v>April</v>
      </c>
      <c r="D3217" t="s">
        <v>3216</v>
      </c>
      <c r="E3217" t="s">
        <v>3222</v>
      </c>
      <c r="F3217" t="s">
        <v>3226</v>
      </c>
      <c r="G3217" s="4">
        <v>63341.29</v>
      </c>
      <c r="H3217" s="4">
        <v>38313.199999999997</v>
      </c>
      <c r="I3217" s="3" t="s">
        <v>3734</v>
      </c>
      <c r="J3217">
        <v>4</v>
      </c>
      <c r="K3217" s="4">
        <f>Table3[[#This Row],[Sales]]-Table3[[#This Row],[Cost]]</f>
        <v>25028.090000000004</v>
      </c>
      <c r="L3217" s="6">
        <f>Table3[[#This Row],[Profit]]/Table3[[#This Row],[Sales]]</f>
        <v>0.39513072752386325</v>
      </c>
    </row>
    <row r="3218" spans="1:12" x14ac:dyDescent="0.25">
      <c r="A3218" t="s">
        <v>2812</v>
      </c>
      <c r="B3218" s="2">
        <v>45021</v>
      </c>
      <c r="C3218" s="2" t="str">
        <f>TEXT(Table3[[#This Row],[Order Date]],"mmmm")</f>
        <v>April</v>
      </c>
      <c r="D3218" t="s">
        <v>3220</v>
      </c>
      <c r="E3218" t="s">
        <v>3223</v>
      </c>
      <c r="F3218" t="s">
        <v>3226</v>
      </c>
      <c r="G3218" s="4">
        <v>21712.59</v>
      </c>
      <c r="H3218" s="4">
        <v>14753.53</v>
      </c>
      <c r="I3218" s="3" t="s">
        <v>3734</v>
      </c>
      <c r="J3218">
        <v>2</v>
      </c>
      <c r="K3218" s="4">
        <f>Table3[[#This Row],[Sales]]-Table3[[#This Row],[Cost]]</f>
        <v>6959.0599999999995</v>
      </c>
      <c r="L3218" s="6">
        <f>Table3[[#This Row],[Profit]]/Table3[[#This Row],[Sales]]</f>
        <v>0.32050805546459449</v>
      </c>
    </row>
    <row r="3219" spans="1:12" x14ac:dyDescent="0.25">
      <c r="A3219" t="s">
        <v>2813</v>
      </c>
      <c r="B3219" s="2">
        <v>45021</v>
      </c>
      <c r="C3219" s="2" t="str">
        <f>TEXT(Table3[[#This Row],[Order Date]],"mmmm")</f>
        <v>April</v>
      </c>
      <c r="D3219" t="s">
        <v>3731</v>
      </c>
      <c r="E3219" t="s">
        <v>3225</v>
      </c>
      <c r="F3219" t="s">
        <v>3226</v>
      </c>
      <c r="G3219" s="4">
        <v>80209.440000000002</v>
      </c>
      <c r="H3219" s="4">
        <v>49892.63</v>
      </c>
      <c r="I3219" s="3" t="s">
        <v>3734</v>
      </c>
      <c r="J3219" t="s">
        <v>3732</v>
      </c>
      <c r="K3219" s="4">
        <f>Table3[[#This Row],[Sales]]-Table3[[#This Row],[Cost]]</f>
        <v>30316.810000000005</v>
      </c>
      <c r="L3219" s="6">
        <f>Table3[[#This Row],[Profit]]/Table3[[#This Row],[Sales]]</f>
        <v>0.37797059797450278</v>
      </c>
    </row>
    <row r="3220" spans="1:12" x14ac:dyDescent="0.25">
      <c r="A3220" t="s">
        <v>2814</v>
      </c>
      <c r="B3220" s="2">
        <v>45021</v>
      </c>
      <c r="C3220" s="2" t="str">
        <f>TEXT(Table3[[#This Row],[Order Date]],"mmmm")</f>
        <v>April</v>
      </c>
      <c r="D3220" t="s">
        <v>3216</v>
      </c>
      <c r="E3220" t="s">
        <v>3222</v>
      </c>
      <c r="F3220" t="s">
        <v>3226</v>
      </c>
      <c r="G3220" s="4">
        <v>67903.929999999993</v>
      </c>
      <c r="H3220" s="4">
        <v>43592.74</v>
      </c>
      <c r="I3220" s="3" t="s">
        <v>3734</v>
      </c>
      <c r="J3220">
        <v>5</v>
      </c>
      <c r="K3220" s="4">
        <f>Table3[[#This Row],[Sales]]-Table3[[#This Row],[Cost]]</f>
        <v>24311.189999999995</v>
      </c>
      <c r="L3220" s="6">
        <f>Table3[[#This Row],[Profit]]/Table3[[#This Row],[Sales]]</f>
        <v>0.35802331323091313</v>
      </c>
    </row>
    <row r="3221" spans="1:12" x14ac:dyDescent="0.25">
      <c r="A3221" t="s">
        <v>3678</v>
      </c>
      <c r="B3221" s="2">
        <v>45021</v>
      </c>
      <c r="C3221" s="2" t="str">
        <f>TEXT(Table3[[#This Row],[Order Date]],"mmmm")</f>
        <v>April</v>
      </c>
      <c r="D3221" t="s">
        <v>3220</v>
      </c>
      <c r="E3221" t="s">
        <v>3223</v>
      </c>
      <c r="F3221" t="s">
        <v>3226</v>
      </c>
      <c r="G3221" s="4">
        <v>9794.5499999999993</v>
      </c>
      <c r="H3221" s="4">
        <v>6779.56</v>
      </c>
      <c r="I3221" s="3" t="s">
        <v>3734</v>
      </c>
      <c r="J3221">
        <v>1</v>
      </c>
      <c r="K3221" s="4">
        <f>Table3[[#This Row],[Sales]]-Table3[[#This Row],[Cost]]</f>
        <v>3014.9899999999989</v>
      </c>
      <c r="L3221" s="6">
        <f>Table3[[#This Row],[Profit]]/Table3[[#This Row],[Sales]]</f>
        <v>0.3078232282238591</v>
      </c>
    </row>
    <row r="3222" spans="1:12" x14ac:dyDescent="0.25">
      <c r="A3222" t="s">
        <v>2816</v>
      </c>
      <c r="B3222" s="2" t="s">
        <v>3729</v>
      </c>
      <c r="C3222" s="2" t="str">
        <f>TEXT(Table3[[#This Row],[Order Date]],"mmmm")</f>
        <v>Not Mentioned</v>
      </c>
      <c r="D3222" t="s">
        <v>3730</v>
      </c>
      <c r="E3222" t="s">
        <v>3224</v>
      </c>
      <c r="F3222" t="s">
        <v>3226</v>
      </c>
      <c r="G3222" s="4">
        <v>318609.53999999998</v>
      </c>
      <c r="H3222" s="4">
        <v>197217.78</v>
      </c>
      <c r="I3222" s="3" t="s">
        <v>3734</v>
      </c>
      <c r="J3222">
        <v>5</v>
      </c>
      <c r="K3222" s="4">
        <f>Table3[[#This Row],[Sales]]-Table3[[#This Row],[Cost]]</f>
        <v>121391.75999999998</v>
      </c>
      <c r="L3222" s="6">
        <f>Table3[[#This Row],[Profit]]/Table3[[#This Row],[Sales]]</f>
        <v>0.38100478723895082</v>
      </c>
    </row>
    <row r="3223" spans="1:12" x14ac:dyDescent="0.25">
      <c r="A3223" t="s">
        <v>2338</v>
      </c>
      <c r="B3223" s="2">
        <v>45102</v>
      </c>
      <c r="C3223" s="2" t="str">
        <f>TEXT(Table3[[#This Row],[Order Date]],"mmmm")</f>
        <v>June</v>
      </c>
      <c r="D3223" t="s">
        <v>3216</v>
      </c>
      <c r="E3223" t="s">
        <v>3225</v>
      </c>
      <c r="F3223" t="s">
        <v>3226</v>
      </c>
      <c r="G3223" s="4">
        <v>78852.2</v>
      </c>
      <c r="H3223" s="4">
        <v>56578.54</v>
      </c>
      <c r="I3223" s="3" t="s">
        <v>3734</v>
      </c>
      <c r="J3223">
        <v>4</v>
      </c>
      <c r="K3223" s="4">
        <f>Table3[[#This Row],[Sales]]-Table3[[#This Row],[Cost]]</f>
        <v>22273.659999999996</v>
      </c>
      <c r="L3223" s="6">
        <f>Table3[[#This Row],[Profit]]/Table3[[#This Row],[Sales]]</f>
        <v>0.2824735391022698</v>
      </c>
    </row>
    <row r="3224" spans="1:12" x14ac:dyDescent="0.25">
      <c r="A3224" t="s">
        <v>1213</v>
      </c>
      <c r="B3224" s="2">
        <v>45102</v>
      </c>
      <c r="C3224" s="2" t="str">
        <f>TEXT(Table3[[#This Row],[Order Date]],"mmmm")</f>
        <v>June</v>
      </c>
      <c r="D3224" t="s">
        <v>3216</v>
      </c>
      <c r="E3224" t="s">
        <v>3225</v>
      </c>
      <c r="F3224" t="s">
        <v>3226</v>
      </c>
      <c r="G3224" s="4">
        <v>56916.72</v>
      </c>
      <c r="H3224" s="4">
        <v>38654.550000000003</v>
      </c>
      <c r="I3224" s="3" t="s">
        <v>3734</v>
      </c>
      <c r="J3224">
        <v>3</v>
      </c>
      <c r="K3224" s="4">
        <f>Table3[[#This Row],[Sales]]-Table3[[#This Row],[Cost]]</f>
        <v>18262.169999999998</v>
      </c>
      <c r="L3224" s="6">
        <f>Table3[[#This Row],[Profit]]/Table3[[#This Row],[Sales]]</f>
        <v>0.32085773741002638</v>
      </c>
    </row>
    <row r="3225" spans="1:12" x14ac:dyDescent="0.25">
      <c r="A3225" t="s">
        <v>3679</v>
      </c>
      <c r="B3225" s="2">
        <v>44972</v>
      </c>
      <c r="C3225" s="2" t="str">
        <f>TEXT(Table3[[#This Row],[Order Date]],"mmmm")</f>
        <v>February</v>
      </c>
      <c r="D3225" t="s">
        <v>3220</v>
      </c>
      <c r="E3225" t="s">
        <v>3222</v>
      </c>
      <c r="F3225" t="s">
        <v>3226</v>
      </c>
      <c r="G3225" s="4">
        <v>25931.31</v>
      </c>
      <c r="H3225" s="4">
        <v>18906.689999999999</v>
      </c>
      <c r="I3225" s="3" t="s">
        <v>3734</v>
      </c>
      <c r="J3225">
        <v>2</v>
      </c>
      <c r="K3225" s="4">
        <f>Table3[[#This Row],[Sales]]-Table3[[#This Row],[Cost]]</f>
        <v>7024.6200000000026</v>
      </c>
      <c r="L3225" s="6">
        <f>Table3[[#This Row],[Profit]]/Table3[[#This Row],[Sales]]</f>
        <v>0.27089337175792516</v>
      </c>
    </row>
    <row r="3226" spans="1:12" x14ac:dyDescent="0.25">
      <c r="A3226" t="s">
        <v>2818</v>
      </c>
      <c r="B3226" s="2">
        <v>45102</v>
      </c>
      <c r="C3226" s="2" t="str">
        <f>TEXT(Table3[[#This Row],[Order Date]],"mmmm")</f>
        <v>June</v>
      </c>
      <c r="D3226" t="s">
        <v>3731</v>
      </c>
      <c r="E3226" t="s">
        <v>3224</v>
      </c>
      <c r="F3226" t="s">
        <v>3226</v>
      </c>
      <c r="G3226" s="4">
        <v>291507.95</v>
      </c>
      <c r="H3226" s="4">
        <v>224038.01</v>
      </c>
      <c r="I3226" s="3" t="s">
        <v>3734</v>
      </c>
      <c r="J3226">
        <v>5</v>
      </c>
      <c r="K3226" s="4">
        <f>Table3[[#This Row],[Sales]]-Table3[[#This Row],[Cost]]</f>
        <v>67469.94</v>
      </c>
      <c r="L3226" s="6">
        <f>Table3[[#This Row],[Profit]]/Table3[[#This Row],[Sales]]</f>
        <v>0.23145145784188734</v>
      </c>
    </row>
    <row r="3227" spans="1:12" x14ac:dyDescent="0.25">
      <c r="A3227" t="s">
        <v>1584</v>
      </c>
      <c r="B3227" s="2" t="s">
        <v>3729</v>
      </c>
      <c r="C3227" s="2" t="str">
        <f>TEXT(Table3[[#This Row],[Order Date]],"mmmm")</f>
        <v>Not Mentioned</v>
      </c>
      <c r="D3227" t="s">
        <v>3730</v>
      </c>
      <c r="E3227" t="s">
        <v>3222</v>
      </c>
      <c r="F3227" t="s">
        <v>3226</v>
      </c>
      <c r="G3227" s="4">
        <v>17813.78</v>
      </c>
      <c r="H3227" s="4">
        <v>14251.023999999999</v>
      </c>
      <c r="I3227" s="3" t="s">
        <v>3735</v>
      </c>
      <c r="J3227">
        <v>1</v>
      </c>
      <c r="K3227" s="4">
        <f>Table3[[#This Row],[Sales]]-Table3[[#This Row],[Cost]]</f>
        <v>3562.7559999999994</v>
      </c>
      <c r="L3227" s="6">
        <f>Table3[[#This Row],[Profit]]/Table3[[#This Row],[Sales]]</f>
        <v>0.19999999999999998</v>
      </c>
    </row>
    <row r="3228" spans="1:12" x14ac:dyDescent="0.25">
      <c r="A3228" t="s">
        <v>795</v>
      </c>
      <c r="B3228" s="2" t="s">
        <v>3729</v>
      </c>
      <c r="C3228" s="2" t="str">
        <f>TEXT(Table3[[#This Row],[Order Date]],"mmmm")</f>
        <v>Not Mentioned</v>
      </c>
      <c r="D3228" t="s">
        <v>3220</v>
      </c>
      <c r="E3228" t="s">
        <v>3224</v>
      </c>
      <c r="F3228" t="s">
        <v>3226</v>
      </c>
      <c r="G3228" s="4">
        <v>243492.43</v>
      </c>
      <c r="H3228" s="4">
        <v>220473</v>
      </c>
      <c r="I3228" s="3" t="s">
        <v>3734</v>
      </c>
      <c r="J3228">
        <v>5</v>
      </c>
      <c r="K3228" s="4">
        <f>Table3[[#This Row],[Sales]]-Table3[[#This Row],[Cost]]</f>
        <v>23019.429999999993</v>
      </c>
      <c r="L3228" s="6">
        <f>Table3[[#This Row],[Profit]]/Table3[[#This Row],[Sales]]</f>
        <v>9.4538585860759583E-2</v>
      </c>
    </row>
    <row r="3229" spans="1:12" x14ac:dyDescent="0.25">
      <c r="A3229" t="s">
        <v>2819</v>
      </c>
      <c r="B3229" s="2">
        <v>45102</v>
      </c>
      <c r="C3229" s="2" t="str">
        <f>TEXT(Table3[[#This Row],[Order Date]],"mmmm")</f>
        <v>June</v>
      </c>
      <c r="D3229" t="s">
        <v>3731</v>
      </c>
      <c r="E3229" t="s">
        <v>3225</v>
      </c>
      <c r="F3229" t="s">
        <v>3226</v>
      </c>
      <c r="G3229" s="4">
        <v>43244.72</v>
      </c>
      <c r="H3229" s="4">
        <v>23931.67</v>
      </c>
      <c r="I3229" s="3" t="s">
        <v>3734</v>
      </c>
      <c r="J3229">
        <v>2</v>
      </c>
      <c r="K3229" s="4">
        <f>Table3[[#This Row],[Sales]]-Table3[[#This Row],[Cost]]</f>
        <v>19313.050000000003</v>
      </c>
      <c r="L3229" s="6">
        <f>Table3[[#This Row],[Profit]]/Table3[[#This Row],[Sales]]</f>
        <v>0.44659902989312922</v>
      </c>
    </row>
    <row r="3230" spans="1:12" x14ac:dyDescent="0.25">
      <c r="A3230" t="s">
        <v>2023</v>
      </c>
      <c r="B3230" s="2">
        <v>45005</v>
      </c>
      <c r="C3230" s="2" t="str">
        <f>TEXT(Table3[[#This Row],[Order Date]],"mmmm")</f>
        <v>March</v>
      </c>
      <c r="D3230" t="s">
        <v>3220</v>
      </c>
      <c r="E3230" t="s">
        <v>3222</v>
      </c>
      <c r="F3230" t="s">
        <v>3226</v>
      </c>
      <c r="G3230" s="4">
        <v>15279.37</v>
      </c>
      <c r="H3230" s="4">
        <v>10847.1</v>
      </c>
      <c r="I3230" s="3" t="s">
        <v>3734</v>
      </c>
      <c r="J3230">
        <v>1</v>
      </c>
      <c r="K3230" s="4">
        <f>Table3[[#This Row],[Sales]]-Table3[[#This Row],[Cost]]</f>
        <v>4432.2700000000004</v>
      </c>
      <c r="L3230" s="6">
        <f>Table3[[#This Row],[Profit]]/Table3[[#This Row],[Sales]]</f>
        <v>0.29008198636462107</v>
      </c>
    </row>
    <row r="3231" spans="1:12" x14ac:dyDescent="0.25">
      <c r="A3231" t="s">
        <v>2820</v>
      </c>
      <c r="B3231" s="2">
        <v>45005</v>
      </c>
      <c r="C3231" s="2" t="str">
        <f>TEXT(Table3[[#This Row],[Order Date]],"mmmm")</f>
        <v>March</v>
      </c>
      <c r="D3231" t="s">
        <v>3730</v>
      </c>
      <c r="E3231" t="s">
        <v>3222</v>
      </c>
      <c r="F3231" t="s">
        <v>3226</v>
      </c>
      <c r="G3231" s="4">
        <v>70319.350000000006</v>
      </c>
      <c r="H3231" s="4">
        <v>47283.32</v>
      </c>
      <c r="I3231" s="3" t="s">
        <v>3734</v>
      </c>
      <c r="J3231">
        <v>5</v>
      </c>
      <c r="K3231" s="4">
        <f>Table3[[#This Row],[Sales]]-Table3[[#This Row],[Cost]]</f>
        <v>23036.030000000006</v>
      </c>
      <c r="L3231" s="6">
        <f>Table3[[#This Row],[Profit]]/Table3[[#This Row],[Sales]]</f>
        <v>0.32759162307387657</v>
      </c>
    </row>
    <row r="3232" spans="1:12" x14ac:dyDescent="0.25">
      <c r="A3232" t="s">
        <v>2699</v>
      </c>
      <c r="B3232" s="2">
        <v>44972</v>
      </c>
      <c r="C3232" s="2" t="str">
        <f>TEXT(Table3[[#This Row],[Order Date]],"mmmm")</f>
        <v>February</v>
      </c>
      <c r="D3232" t="s">
        <v>3731</v>
      </c>
      <c r="E3232" t="s">
        <v>3224</v>
      </c>
      <c r="F3232" t="s">
        <v>3226</v>
      </c>
      <c r="G3232" s="4">
        <v>203548.75</v>
      </c>
      <c r="H3232" s="4">
        <v>189824.5</v>
      </c>
      <c r="I3232" s="3" t="s">
        <v>3734</v>
      </c>
      <c r="J3232">
        <v>4</v>
      </c>
      <c r="K3232" s="4">
        <f>Table3[[#This Row],[Sales]]-Table3[[#This Row],[Cost]]</f>
        <v>13724.25</v>
      </c>
      <c r="L3232" s="6">
        <f>Table3[[#This Row],[Profit]]/Table3[[#This Row],[Sales]]</f>
        <v>6.7424879789239681E-2</v>
      </c>
    </row>
    <row r="3233" spans="1:12" x14ac:dyDescent="0.25">
      <c r="A3233" t="s">
        <v>1055</v>
      </c>
      <c r="B3233" s="2">
        <v>45102</v>
      </c>
      <c r="C3233" s="2" t="str">
        <f>TEXT(Table3[[#This Row],[Order Date]],"mmmm")</f>
        <v>June</v>
      </c>
      <c r="D3233" t="s">
        <v>3730</v>
      </c>
      <c r="E3233" t="s">
        <v>3223</v>
      </c>
      <c r="F3233" t="s">
        <v>3226</v>
      </c>
      <c r="G3233" s="4">
        <v>9592.77</v>
      </c>
      <c r="H3233" s="4">
        <v>6758.45</v>
      </c>
      <c r="I3233" s="3" t="s">
        <v>3734</v>
      </c>
      <c r="J3233">
        <v>1</v>
      </c>
      <c r="K3233" s="4">
        <f>Table3[[#This Row],[Sales]]-Table3[[#This Row],[Cost]]</f>
        <v>2834.3200000000006</v>
      </c>
      <c r="L3233" s="6">
        <f>Table3[[#This Row],[Profit]]/Table3[[#This Row],[Sales]]</f>
        <v>0.29546418813335468</v>
      </c>
    </row>
    <row r="3234" spans="1:12" x14ac:dyDescent="0.25">
      <c r="A3234" t="s">
        <v>2821</v>
      </c>
      <c r="B3234" s="2">
        <v>44941</v>
      </c>
      <c r="C3234" s="2" t="str">
        <f>TEXT(Table3[[#This Row],[Order Date]],"mmmm")</f>
        <v>January</v>
      </c>
      <c r="D3234" t="s">
        <v>3220</v>
      </c>
      <c r="E3234" t="s">
        <v>3223</v>
      </c>
      <c r="F3234" t="s">
        <v>3226</v>
      </c>
      <c r="G3234" s="4">
        <v>34343.15</v>
      </c>
      <c r="H3234" s="4">
        <v>21273.13</v>
      </c>
      <c r="I3234" s="3" t="s">
        <v>3734</v>
      </c>
      <c r="J3234">
        <v>3</v>
      </c>
      <c r="K3234" s="4">
        <f>Table3[[#This Row],[Sales]]-Table3[[#This Row],[Cost]]</f>
        <v>13070.02</v>
      </c>
      <c r="L3234" s="6">
        <f>Table3[[#This Row],[Profit]]/Table3[[#This Row],[Sales]]</f>
        <v>0.38057138031892823</v>
      </c>
    </row>
    <row r="3235" spans="1:12" x14ac:dyDescent="0.25">
      <c r="A3235" t="s">
        <v>3680</v>
      </c>
      <c r="B3235" s="2">
        <v>45005</v>
      </c>
      <c r="C3235" s="2" t="str">
        <f>TEXT(Table3[[#This Row],[Order Date]],"mmmm")</f>
        <v>March</v>
      </c>
      <c r="D3235" t="s">
        <v>3216</v>
      </c>
      <c r="E3235" t="s">
        <v>3222</v>
      </c>
      <c r="F3235" t="s">
        <v>3226</v>
      </c>
      <c r="G3235" s="4">
        <v>38409.279999999999</v>
      </c>
      <c r="H3235" s="4">
        <v>29070.04</v>
      </c>
      <c r="I3235" s="3" t="s">
        <v>3734</v>
      </c>
      <c r="J3235">
        <v>3</v>
      </c>
      <c r="K3235" s="4">
        <f>Table3[[#This Row],[Sales]]-Table3[[#This Row],[Cost]]</f>
        <v>9339.239999999998</v>
      </c>
      <c r="L3235" s="6">
        <f>Table3[[#This Row],[Profit]]/Table3[[#This Row],[Sales]]</f>
        <v>0.24315061360171286</v>
      </c>
    </row>
    <row r="3236" spans="1:12" x14ac:dyDescent="0.25">
      <c r="A3236" t="s">
        <v>3681</v>
      </c>
      <c r="B3236" s="2">
        <v>45102</v>
      </c>
      <c r="C3236" s="2" t="str">
        <f>TEXT(Table3[[#This Row],[Order Date]],"mmmm")</f>
        <v>June</v>
      </c>
      <c r="D3236" t="s">
        <v>3220</v>
      </c>
      <c r="E3236" t="s">
        <v>3223</v>
      </c>
      <c r="F3236" t="s">
        <v>3226</v>
      </c>
      <c r="G3236" s="4">
        <v>8852.4</v>
      </c>
      <c r="H3236" s="4">
        <v>7105.72</v>
      </c>
      <c r="I3236" s="3" t="s">
        <v>3734</v>
      </c>
      <c r="J3236">
        <v>1</v>
      </c>
      <c r="K3236" s="4">
        <f>Table3[[#This Row],[Sales]]-Table3[[#This Row],[Cost]]</f>
        <v>1746.6799999999994</v>
      </c>
      <c r="L3236" s="6">
        <f>Table3[[#This Row],[Profit]]/Table3[[#This Row],[Sales]]</f>
        <v>0.19731146355790513</v>
      </c>
    </row>
    <row r="3237" spans="1:12" x14ac:dyDescent="0.25">
      <c r="A3237" t="s">
        <v>2824</v>
      </c>
      <c r="B3237" s="2">
        <v>45102</v>
      </c>
      <c r="C3237" s="2" t="str">
        <f>TEXT(Table3[[#This Row],[Order Date]],"mmmm")</f>
        <v>June</v>
      </c>
      <c r="D3237" t="s">
        <v>3730</v>
      </c>
      <c r="E3237" t="s">
        <v>3225</v>
      </c>
      <c r="F3237" t="s">
        <v>3226</v>
      </c>
      <c r="G3237" s="4">
        <v>34913.699999999997</v>
      </c>
      <c r="H3237" s="4">
        <v>27930.959999999999</v>
      </c>
      <c r="I3237" s="3" t="s">
        <v>3735</v>
      </c>
      <c r="J3237">
        <v>2</v>
      </c>
      <c r="K3237" s="4">
        <f>Table3[[#This Row],[Sales]]-Table3[[#This Row],[Cost]]</f>
        <v>6982.739999999998</v>
      </c>
      <c r="L3237" s="6">
        <f>Table3[[#This Row],[Profit]]/Table3[[#This Row],[Sales]]</f>
        <v>0.19999999999999996</v>
      </c>
    </row>
    <row r="3238" spans="1:12" x14ac:dyDescent="0.25">
      <c r="A3238" t="s">
        <v>2825</v>
      </c>
      <c r="B3238" s="2">
        <v>45005</v>
      </c>
      <c r="C3238" s="2" t="str">
        <f>TEXT(Table3[[#This Row],[Order Date]],"mmmm")</f>
        <v>March</v>
      </c>
      <c r="D3238" t="s">
        <v>3216</v>
      </c>
      <c r="E3238" t="s">
        <v>3224</v>
      </c>
      <c r="F3238" t="s">
        <v>3226</v>
      </c>
      <c r="G3238" s="4">
        <v>279094.26</v>
      </c>
      <c r="H3238" s="4">
        <v>196774.04</v>
      </c>
      <c r="I3238" s="3" t="s">
        <v>3734</v>
      </c>
      <c r="J3238">
        <v>5</v>
      </c>
      <c r="K3238" s="4">
        <f>Table3[[#This Row],[Sales]]-Table3[[#This Row],[Cost]]</f>
        <v>82320.22</v>
      </c>
      <c r="L3238" s="6">
        <f>Table3[[#This Row],[Profit]]/Table3[[#This Row],[Sales]]</f>
        <v>0.29495490161639298</v>
      </c>
    </row>
    <row r="3239" spans="1:12" x14ac:dyDescent="0.25">
      <c r="A3239" t="s">
        <v>2826</v>
      </c>
      <c r="B3239" s="2">
        <v>45021</v>
      </c>
      <c r="C3239" s="2" t="str">
        <f>TEXT(Table3[[#This Row],[Order Date]],"mmmm")</f>
        <v>April</v>
      </c>
      <c r="D3239" t="s">
        <v>3220</v>
      </c>
      <c r="E3239" t="s">
        <v>3222</v>
      </c>
      <c r="F3239" t="s">
        <v>3226</v>
      </c>
      <c r="G3239" s="4">
        <v>33894.94</v>
      </c>
      <c r="H3239" s="4">
        <v>19952.580000000002</v>
      </c>
      <c r="I3239" s="3" t="s">
        <v>3734</v>
      </c>
      <c r="J3239">
        <v>2</v>
      </c>
      <c r="K3239" s="4">
        <f>Table3[[#This Row],[Sales]]-Table3[[#This Row],[Cost]]</f>
        <v>13942.36</v>
      </c>
      <c r="L3239" s="6">
        <f>Table3[[#This Row],[Profit]]/Table3[[#This Row],[Sales]]</f>
        <v>0.41134045376684542</v>
      </c>
    </row>
    <row r="3240" spans="1:12" x14ac:dyDescent="0.25">
      <c r="A3240" t="s">
        <v>2827</v>
      </c>
      <c r="B3240" s="2">
        <v>45102</v>
      </c>
      <c r="C3240" s="2" t="str">
        <f>TEXT(Table3[[#This Row],[Order Date]],"mmmm")</f>
        <v>June</v>
      </c>
      <c r="D3240" t="s">
        <v>3730</v>
      </c>
      <c r="E3240" t="s">
        <v>3223</v>
      </c>
      <c r="F3240" t="s">
        <v>3226</v>
      </c>
      <c r="G3240" s="4">
        <v>55628.7</v>
      </c>
      <c r="H3240" s="4">
        <v>44502.96</v>
      </c>
      <c r="I3240" s="3" t="s">
        <v>3735</v>
      </c>
      <c r="J3240">
        <v>5</v>
      </c>
      <c r="K3240" s="4">
        <f>Table3[[#This Row],[Sales]]-Table3[[#This Row],[Cost]]</f>
        <v>11125.739999999998</v>
      </c>
      <c r="L3240" s="6">
        <f>Table3[[#This Row],[Profit]]/Table3[[#This Row],[Sales]]</f>
        <v>0.19999999999999998</v>
      </c>
    </row>
    <row r="3241" spans="1:12" x14ac:dyDescent="0.25">
      <c r="A3241" t="s">
        <v>2828</v>
      </c>
      <c r="B3241" s="2">
        <v>44941</v>
      </c>
      <c r="C3241" s="2" t="str">
        <f>TEXT(Table3[[#This Row],[Order Date]],"mmmm")</f>
        <v>January</v>
      </c>
      <c r="D3241" t="s">
        <v>3220</v>
      </c>
      <c r="E3241" t="s">
        <v>3224</v>
      </c>
      <c r="F3241" t="s">
        <v>3226</v>
      </c>
      <c r="G3241" s="4">
        <v>138957.23000000001</v>
      </c>
      <c r="H3241" s="4">
        <v>91833.48</v>
      </c>
      <c r="I3241" s="3" t="s">
        <v>3734</v>
      </c>
      <c r="J3241">
        <v>2</v>
      </c>
      <c r="K3241" s="4">
        <f>Table3[[#This Row],[Sales]]-Table3[[#This Row],[Cost]]</f>
        <v>47123.750000000015</v>
      </c>
      <c r="L3241" s="6">
        <f>Table3[[#This Row],[Profit]]/Table3[[#This Row],[Sales]]</f>
        <v>0.33912413193613611</v>
      </c>
    </row>
    <row r="3242" spans="1:12" x14ac:dyDescent="0.25">
      <c r="A3242" t="s">
        <v>1777</v>
      </c>
      <c r="B3242" s="2">
        <v>45021</v>
      </c>
      <c r="C3242" s="2" t="str">
        <f>TEXT(Table3[[#This Row],[Order Date]],"mmmm")</f>
        <v>April</v>
      </c>
      <c r="D3242" t="s">
        <v>3731</v>
      </c>
      <c r="E3242" t="s">
        <v>3223</v>
      </c>
      <c r="F3242" t="s">
        <v>3226</v>
      </c>
      <c r="G3242" s="4">
        <v>23864.92</v>
      </c>
      <c r="H3242" s="4">
        <v>13528.25</v>
      </c>
      <c r="I3242" s="3" t="s">
        <v>3734</v>
      </c>
      <c r="J3242">
        <v>2</v>
      </c>
      <c r="K3242" s="4">
        <f>Table3[[#This Row],[Sales]]-Table3[[#This Row],[Cost]]</f>
        <v>10336.669999999998</v>
      </c>
      <c r="L3242" s="6">
        <f>Table3[[#This Row],[Profit]]/Table3[[#This Row],[Sales]]</f>
        <v>0.43313239684021565</v>
      </c>
    </row>
    <row r="3243" spans="1:12" x14ac:dyDescent="0.25">
      <c r="A3243" t="s">
        <v>2829</v>
      </c>
      <c r="B3243" s="2">
        <v>45021</v>
      </c>
      <c r="C3243" s="2" t="str">
        <f>TEXT(Table3[[#This Row],[Order Date]],"mmmm")</f>
        <v>April</v>
      </c>
      <c r="D3243" t="s">
        <v>3730</v>
      </c>
      <c r="E3243" t="s">
        <v>3223</v>
      </c>
      <c r="F3243" t="s">
        <v>3226</v>
      </c>
      <c r="G3243" s="4">
        <v>10254.780000000001</v>
      </c>
      <c r="H3243" s="4">
        <v>6872.43</v>
      </c>
      <c r="I3243" s="3" t="s">
        <v>3734</v>
      </c>
      <c r="J3243">
        <v>1</v>
      </c>
      <c r="K3243" s="4">
        <f>Table3[[#This Row],[Sales]]-Table3[[#This Row],[Cost]]</f>
        <v>3382.3500000000004</v>
      </c>
      <c r="L3243" s="6">
        <f>Table3[[#This Row],[Profit]]/Table3[[#This Row],[Sales]]</f>
        <v>0.32983155172514672</v>
      </c>
    </row>
    <row r="3244" spans="1:12" x14ac:dyDescent="0.25">
      <c r="A3244" t="s">
        <v>547</v>
      </c>
      <c r="B3244" s="2">
        <v>45021</v>
      </c>
      <c r="C3244" s="2" t="str">
        <f>TEXT(Table3[[#This Row],[Order Date]],"mmmm")</f>
        <v>April</v>
      </c>
      <c r="D3244" t="s">
        <v>3220</v>
      </c>
      <c r="E3244" t="s">
        <v>3224</v>
      </c>
      <c r="F3244" t="s">
        <v>3226</v>
      </c>
      <c r="G3244" s="4">
        <v>181908.38</v>
      </c>
      <c r="H3244" s="4">
        <v>145526.704</v>
      </c>
      <c r="I3244" s="3" t="s">
        <v>3735</v>
      </c>
      <c r="J3244">
        <v>3</v>
      </c>
      <c r="K3244" s="4">
        <f>Table3[[#This Row],[Sales]]-Table3[[#This Row],[Cost]]</f>
        <v>36381.676000000007</v>
      </c>
      <c r="L3244" s="6">
        <f>Table3[[#This Row],[Profit]]/Table3[[#This Row],[Sales]]</f>
        <v>0.20000000000000004</v>
      </c>
    </row>
    <row r="3245" spans="1:12" x14ac:dyDescent="0.25">
      <c r="A3245" t="s">
        <v>2830</v>
      </c>
      <c r="B3245" s="2">
        <v>44972</v>
      </c>
      <c r="C3245" s="2" t="str">
        <f>TEXT(Table3[[#This Row],[Order Date]],"mmmm")</f>
        <v>February</v>
      </c>
      <c r="D3245" t="s">
        <v>3216</v>
      </c>
      <c r="E3245" t="s">
        <v>3223</v>
      </c>
      <c r="F3245" t="s">
        <v>3226</v>
      </c>
      <c r="G3245" s="4">
        <v>18244.849999999999</v>
      </c>
      <c r="H3245" s="4">
        <v>13734.66</v>
      </c>
      <c r="I3245" s="3" t="s">
        <v>3734</v>
      </c>
      <c r="J3245">
        <v>2</v>
      </c>
      <c r="K3245" s="4">
        <f>Table3[[#This Row],[Sales]]-Table3[[#This Row],[Cost]]</f>
        <v>4510.1899999999987</v>
      </c>
      <c r="L3245" s="6">
        <f>Table3[[#This Row],[Profit]]/Table3[[#This Row],[Sales]]</f>
        <v>0.24720345741400993</v>
      </c>
    </row>
    <row r="3246" spans="1:12" x14ac:dyDescent="0.25">
      <c r="A3246" t="s">
        <v>38</v>
      </c>
      <c r="B3246" s="2">
        <v>44941</v>
      </c>
      <c r="C3246" s="2" t="str">
        <f>TEXT(Table3[[#This Row],[Order Date]],"mmmm")</f>
        <v>January</v>
      </c>
      <c r="D3246" t="s">
        <v>3731</v>
      </c>
      <c r="E3246" t="s">
        <v>3224</v>
      </c>
      <c r="F3246" t="s">
        <v>3226</v>
      </c>
      <c r="G3246" s="4">
        <v>170290.29</v>
      </c>
      <c r="H3246" s="4">
        <v>122954.68</v>
      </c>
      <c r="I3246" s="3" t="s">
        <v>3734</v>
      </c>
      <c r="J3246">
        <v>3</v>
      </c>
      <c r="K3246" s="4">
        <f>Table3[[#This Row],[Sales]]-Table3[[#This Row],[Cost]]</f>
        <v>47335.610000000015</v>
      </c>
      <c r="L3246" s="6">
        <f>Table3[[#This Row],[Profit]]/Table3[[#This Row],[Sales]]</f>
        <v>0.27797010622273305</v>
      </c>
    </row>
    <row r="3247" spans="1:12" x14ac:dyDescent="0.25">
      <c r="A3247" t="s">
        <v>2831</v>
      </c>
      <c r="B3247" s="2">
        <v>44972</v>
      </c>
      <c r="C3247" s="2" t="str">
        <f>TEXT(Table3[[#This Row],[Order Date]],"mmmm")</f>
        <v>February</v>
      </c>
      <c r="D3247" t="s">
        <v>3220</v>
      </c>
      <c r="E3247" t="s">
        <v>3222</v>
      </c>
      <c r="F3247" t="s">
        <v>3226</v>
      </c>
      <c r="G3247" s="4">
        <v>50656.2</v>
      </c>
      <c r="H3247" s="4">
        <v>40275.47</v>
      </c>
      <c r="I3247" s="3" t="s">
        <v>3734</v>
      </c>
      <c r="J3247">
        <v>4</v>
      </c>
      <c r="K3247" s="4">
        <f>Table3[[#This Row],[Sales]]-Table3[[#This Row],[Cost]]</f>
        <v>10380.729999999996</v>
      </c>
      <c r="L3247" s="6">
        <f>Table3[[#This Row],[Profit]]/Table3[[#This Row],[Sales]]</f>
        <v>0.20492516217165907</v>
      </c>
    </row>
    <row r="3248" spans="1:12" x14ac:dyDescent="0.25">
      <c r="A3248" t="s">
        <v>2832</v>
      </c>
      <c r="B3248" s="2">
        <v>44941</v>
      </c>
      <c r="C3248" s="2" t="str">
        <f>TEXT(Table3[[#This Row],[Order Date]],"mmmm")</f>
        <v>January</v>
      </c>
      <c r="D3248" t="s">
        <v>3730</v>
      </c>
      <c r="E3248" t="s">
        <v>3223</v>
      </c>
      <c r="F3248" t="s">
        <v>3226</v>
      </c>
      <c r="G3248" s="4">
        <v>16960.21</v>
      </c>
      <c r="H3248" s="4">
        <v>14187.96</v>
      </c>
      <c r="I3248" s="3" t="s">
        <v>3734</v>
      </c>
      <c r="J3248">
        <v>2</v>
      </c>
      <c r="K3248" s="4">
        <f>Table3[[#This Row],[Sales]]-Table3[[#This Row],[Cost]]</f>
        <v>2772.25</v>
      </c>
      <c r="L3248" s="6">
        <f>Table3[[#This Row],[Profit]]/Table3[[#This Row],[Sales]]</f>
        <v>0.163456112866527</v>
      </c>
    </row>
    <row r="3249" spans="1:12" x14ac:dyDescent="0.25">
      <c r="A3249" t="s">
        <v>83</v>
      </c>
      <c r="B3249" s="2">
        <v>44941</v>
      </c>
      <c r="C3249" s="2" t="str">
        <f>TEXT(Table3[[#This Row],[Order Date]],"mmmm")</f>
        <v>January</v>
      </c>
      <c r="D3249" t="s">
        <v>3220</v>
      </c>
      <c r="E3249" t="s">
        <v>3223</v>
      </c>
      <c r="F3249" t="s">
        <v>3226</v>
      </c>
      <c r="G3249" s="4">
        <v>39727.85</v>
      </c>
      <c r="H3249" s="4">
        <v>27321.93</v>
      </c>
      <c r="I3249" s="3" t="s">
        <v>3734</v>
      </c>
      <c r="J3249">
        <v>4</v>
      </c>
      <c r="K3249" s="4">
        <f>Table3[[#This Row],[Sales]]-Table3[[#This Row],[Cost]]</f>
        <v>12405.919999999998</v>
      </c>
      <c r="L3249" s="6">
        <f>Table3[[#This Row],[Profit]]/Table3[[#This Row],[Sales]]</f>
        <v>0.31227262487146923</v>
      </c>
    </row>
    <row r="3250" spans="1:12" x14ac:dyDescent="0.25">
      <c r="A3250" t="s">
        <v>3682</v>
      </c>
      <c r="B3250" s="2">
        <v>44941</v>
      </c>
      <c r="C3250" s="2" t="str">
        <f>TEXT(Table3[[#This Row],[Order Date]],"mmmm")</f>
        <v>January</v>
      </c>
      <c r="D3250" t="s">
        <v>3220</v>
      </c>
      <c r="E3250" t="s">
        <v>3225</v>
      </c>
      <c r="F3250" t="s">
        <v>3226</v>
      </c>
      <c r="G3250" s="4">
        <v>87976.9</v>
      </c>
      <c r="H3250" s="4">
        <v>55530.22</v>
      </c>
      <c r="I3250" s="3" t="s">
        <v>3734</v>
      </c>
      <c r="J3250">
        <v>4</v>
      </c>
      <c r="K3250" s="4">
        <f>Table3[[#This Row],[Sales]]-Table3[[#This Row],[Cost]]</f>
        <v>32446.679999999993</v>
      </c>
      <c r="L3250" s="6">
        <f>Table3[[#This Row],[Profit]]/Table3[[#This Row],[Sales]]</f>
        <v>0.36880908511211458</v>
      </c>
    </row>
    <row r="3251" spans="1:12" x14ac:dyDescent="0.25">
      <c r="A3251" t="s">
        <v>2834</v>
      </c>
      <c r="B3251" s="2">
        <v>44972</v>
      </c>
      <c r="C3251" s="2" t="str">
        <f>TEXT(Table3[[#This Row],[Order Date]],"mmmm")</f>
        <v>February</v>
      </c>
      <c r="D3251" t="s">
        <v>3216</v>
      </c>
      <c r="E3251" t="s">
        <v>3223</v>
      </c>
      <c r="F3251" t="s">
        <v>3226</v>
      </c>
      <c r="G3251" s="4">
        <v>25624.03</v>
      </c>
      <c r="H3251" s="4">
        <v>20499.224000000002</v>
      </c>
      <c r="I3251" s="3" t="s">
        <v>3735</v>
      </c>
      <c r="J3251" t="s">
        <v>3732</v>
      </c>
      <c r="K3251" s="4">
        <f>Table3[[#This Row],[Sales]]-Table3[[#This Row],[Cost]]</f>
        <v>5124.8059999999969</v>
      </c>
      <c r="L3251" s="6">
        <f>Table3[[#This Row],[Profit]]/Table3[[#This Row],[Sales]]</f>
        <v>0.1999999999999999</v>
      </c>
    </row>
    <row r="3252" spans="1:12" x14ac:dyDescent="0.25">
      <c r="A3252" t="s">
        <v>2344</v>
      </c>
      <c r="B3252" s="2">
        <v>45005</v>
      </c>
      <c r="C3252" s="2" t="str">
        <f>TEXT(Table3[[#This Row],[Order Date]],"mmmm")</f>
        <v>March</v>
      </c>
      <c r="D3252" t="s">
        <v>3220</v>
      </c>
      <c r="E3252" t="s">
        <v>3222</v>
      </c>
      <c r="F3252" t="s">
        <v>3226</v>
      </c>
      <c r="G3252" s="4">
        <v>29948.79</v>
      </c>
      <c r="H3252" s="4">
        <v>20347.060000000001</v>
      </c>
      <c r="I3252" s="3" t="s">
        <v>3734</v>
      </c>
      <c r="J3252">
        <v>2</v>
      </c>
      <c r="K3252" s="4">
        <f>Table3[[#This Row],[Sales]]-Table3[[#This Row],[Cost]]</f>
        <v>9601.73</v>
      </c>
      <c r="L3252" s="6">
        <f>Table3[[#This Row],[Profit]]/Table3[[#This Row],[Sales]]</f>
        <v>0.3206049392980484</v>
      </c>
    </row>
    <row r="3253" spans="1:12" x14ac:dyDescent="0.25">
      <c r="A3253" t="s">
        <v>3683</v>
      </c>
      <c r="B3253" s="2">
        <v>44941</v>
      </c>
      <c r="C3253" s="2" t="str">
        <f>TEXT(Table3[[#This Row],[Order Date]],"mmmm")</f>
        <v>January</v>
      </c>
      <c r="D3253" t="s">
        <v>3730</v>
      </c>
      <c r="E3253" t="s">
        <v>3223</v>
      </c>
      <c r="F3253" t="s">
        <v>3226</v>
      </c>
      <c r="G3253" s="4">
        <v>42037.95</v>
      </c>
      <c r="H3253" s="4">
        <v>28079.65</v>
      </c>
      <c r="I3253" s="3" t="s">
        <v>3734</v>
      </c>
      <c r="J3253">
        <v>4</v>
      </c>
      <c r="K3253" s="4">
        <f>Table3[[#This Row],[Sales]]-Table3[[#This Row],[Cost]]</f>
        <v>13958.299999999996</v>
      </c>
      <c r="L3253" s="6">
        <f>Table3[[#This Row],[Profit]]/Table3[[#This Row],[Sales]]</f>
        <v>0.33204045392318121</v>
      </c>
    </row>
    <row r="3254" spans="1:12" x14ac:dyDescent="0.25">
      <c r="A3254" t="s">
        <v>3684</v>
      </c>
      <c r="B3254" s="2">
        <v>45005</v>
      </c>
      <c r="C3254" s="2" t="str">
        <f>TEXT(Table3[[#This Row],[Order Date]],"mmmm")</f>
        <v>March</v>
      </c>
      <c r="D3254" t="s">
        <v>3730</v>
      </c>
      <c r="E3254" t="s">
        <v>3222</v>
      </c>
      <c r="F3254" t="s">
        <v>3226</v>
      </c>
      <c r="G3254" s="4">
        <v>58124.26</v>
      </c>
      <c r="H3254" s="4">
        <v>35313.660000000003</v>
      </c>
      <c r="I3254" s="3" t="s">
        <v>3734</v>
      </c>
      <c r="J3254">
        <v>4</v>
      </c>
      <c r="K3254" s="4">
        <f>Table3[[#This Row],[Sales]]-Table3[[#This Row],[Cost]]</f>
        <v>22810.6</v>
      </c>
      <c r="L3254" s="6">
        <f>Table3[[#This Row],[Profit]]/Table3[[#This Row],[Sales]]</f>
        <v>0.39244542640198771</v>
      </c>
    </row>
    <row r="3255" spans="1:12" x14ac:dyDescent="0.25">
      <c r="A3255" t="s">
        <v>3667</v>
      </c>
      <c r="B3255" s="2">
        <v>45021</v>
      </c>
      <c r="C3255" s="2" t="str">
        <f>TEXT(Table3[[#This Row],[Order Date]],"mmmm")</f>
        <v>April</v>
      </c>
      <c r="D3255" t="s">
        <v>3730</v>
      </c>
      <c r="E3255" t="s">
        <v>3224</v>
      </c>
      <c r="F3255" t="s">
        <v>3226</v>
      </c>
      <c r="G3255" s="4">
        <v>322847.71000000002</v>
      </c>
      <c r="H3255" s="4">
        <v>242609.14</v>
      </c>
      <c r="I3255" s="3" t="s">
        <v>3734</v>
      </c>
      <c r="J3255">
        <v>5</v>
      </c>
      <c r="K3255" s="4">
        <f>Table3[[#This Row],[Sales]]-Table3[[#This Row],[Cost]]</f>
        <v>80238.570000000007</v>
      </c>
      <c r="L3255" s="6">
        <f>Table3[[#This Row],[Profit]]/Table3[[#This Row],[Sales]]</f>
        <v>0.24853380561379854</v>
      </c>
    </row>
    <row r="3256" spans="1:12" x14ac:dyDescent="0.25">
      <c r="A3256" t="s">
        <v>2837</v>
      </c>
      <c r="B3256" s="2" t="s">
        <v>3729</v>
      </c>
      <c r="C3256" s="2" t="str">
        <f>TEXT(Table3[[#This Row],[Order Date]],"mmmm")</f>
        <v>Not Mentioned</v>
      </c>
      <c r="D3256" t="s">
        <v>3220</v>
      </c>
      <c r="E3256" t="s">
        <v>3222</v>
      </c>
      <c r="F3256" t="s">
        <v>3226</v>
      </c>
      <c r="G3256" s="4">
        <v>27816.84</v>
      </c>
      <c r="H3256" s="4">
        <v>18229.04</v>
      </c>
      <c r="I3256" s="3" t="s">
        <v>3734</v>
      </c>
      <c r="J3256">
        <v>2</v>
      </c>
      <c r="K3256" s="4">
        <f>Table3[[#This Row],[Sales]]-Table3[[#This Row],[Cost]]</f>
        <v>9587.7999999999993</v>
      </c>
      <c r="L3256" s="6">
        <f>Table3[[#This Row],[Profit]]/Table3[[#This Row],[Sales]]</f>
        <v>0.34467610267737092</v>
      </c>
    </row>
    <row r="3257" spans="1:12" x14ac:dyDescent="0.25">
      <c r="A3257" t="s">
        <v>2838</v>
      </c>
      <c r="B3257" s="2">
        <v>44941</v>
      </c>
      <c r="C3257" s="2" t="str">
        <f>TEXT(Table3[[#This Row],[Order Date]],"mmmm")</f>
        <v>January</v>
      </c>
      <c r="D3257" t="s">
        <v>3731</v>
      </c>
      <c r="E3257" t="s">
        <v>3223</v>
      </c>
      <c r="F3257" t="s">
        <v>3226</v>
      </c>
      <c r="G3257" s="4">
        <v>32717.46</v>
      </c>
      <c r="H3257" s="4">
        <v>30143.63</v>
      </c>
      <c r="I3257" s="3" t="s">
        <v>3734</v>
      </c>
      <c r="J3257">
        <v>4</v>
      </c>
      <c r="K3257" s="4">
        <f>Table3[[#This Row],[Sales]]-Table3[[#This Row],[Cost]]</f>
        <v>2573.8299999999981</v>
      </c>
      <c r="L3257" s="6">
        <f>Table3[[#This Row],[Profit]]/Table3[[#This Row],[Sales]]</f>
        <v>7.866839296204528E-2</v>
      </c>
    </row>
    <row r="3258" spans="1:12" x14ac:dyDescent="0.25">
      <c r="A3258" t="s">
        <v>3597</v>
      </c>
      <c r="B3258" s="2">
        <v>44972</v>
      </c>
      <c r="C3258" s="2" t="str">
        <f>TEXT(Table3[[#This Row],[Order Date]],"mmmm")</f>
        <v>February</v>
      </c>
      <c r="D3258" t="s">
        <v>3220</v>
      </c>
      <c r="E3258" t="s">
        <v>3225</v>
      </c>
      <c r="F3258" t="s">
        <v>3226</v>
      </c>
      <c r="G3258" s="4">
        <v>16985.689999999999</v>
      </c>
      <c r="H3258" s="4">
        <v>13588.552</v>
      </c>
      <c r="I3258" s="3" t="s">
        <v>3735</v>
      </c>
      <c r="J3258">
        <v>1</v>
      </c>
      <c r="K3258" s="4">
        <f>Table3[[#This Row],[Sales]]-Table3[[#This Row],[Cost]]</f>
        <v>3397.137999999999</v>
      </c>
      <c r="L3258" s="6">
        <f>Table3[[#This Row],[Profit]]/Table3[[#This Row],[Sales]]</f>
        <v>0.19999999999999996</v>
      </c>
    </row>
    <row r="3259" spans="1:12" x14ac:dyDescent="0.25">
      <c r="A3259" t="s">
        <v>851</v>
      </c>
      <c r="B3259" s="2">
        <v>44972</v>
      </c>
      <c r="C3259" s="2" t="str">
        <f>TEXT(Table3[[#This Row],[Order Date]],"mmmm")</f>
        <v>February</v>
      </c>
      <c r="D3259" t="s">
        <v>3731</v>
      </c>
      <c r="E3259" t="s">
        <v>3225</v>
      </c>
      <c r="F3259" t="s">
        <v>3226</v>
      </c>
      <c r="G3259" s="4">
        <v>92459.17</v>
      </c>
      <c r="H3259" s="4">
        <v>54753.17</v>
      </c>
      <c r="I3259" s="3" t="s">
        <v>3734</v>
      </c>
      <c r="J3259">
        <v>4</v>
      </c>
      <c r="K3259" s="4">
        <f>Table3[[#This Row],[Sales]]-Table3[[#This Row],[Cost]]</f>
        <v>37706</v>
      </c>
      <c r="L3259" s="6">
        <f>Table3[[#This Row],[Profit]]/Table3[[#This Row],[Sales]]</f>
        <v>0.40781244304918596</v>
      </c>
    </row>
    <row r="3260" spans="1:12" x14ac:dyDescent="0.25">
      <c r="A3260" t="s">
        <v>2839</v>
      </c>
      <c r="B3260" s="2">
        <v>44941</v>
      </c>
      <c r="C3260" s="2" t="str">
        <f>TEXT(Table3[[#This Row],[Order Date]],"mmmm")</f>
        <v>January</v>
      </c>
      <c r="D3260" t="s">
        <v>3220</v>
      </c>
      <c r="E3260" t="s">
        <v>3222</v>
      </c>
      <c r="F3260" t="s">
        <v>3226</v>
      </c>
      <c r="G3260" s="4">
        <v>70490.789999999994</v>
      </c>
      <c r="H3260" s="4">
        <v>38053.89</v>
      </c>
      <c r="I3260" s="3" t="s">
        <v>3734</v>
      </c>
      <c r="J3260">
        <v>4</v>
      </c>
      <c r="K3260" s="4">
        <f>Table3[[#This Row],[Sales]]-Table3[[#This Row],[Cost]]</f>
        <v>32436.899999999994</v>
      </c>
      <c r="L3260" s="6">
        <f>Table3[[#This Row],[Profit]]/Table3[[#This Row],[Sales]]</f>
        <v>0.46015798659654683</v>
      </c>
    </row>
    <row r="3261" spans="1:12" x14ac:dyDescent="0.25">
      <c r="A3261" t="s">
        <v>2840</v>
      </c>
      <c r="B3261" s="2">
        <v>44941</v>
      </c>
      <c r="C3261" s="2" t="str">
        <f>TEXT(Table3[[#This Row],[Order Date]],"mmmm")</f>
        <v>January</v>
      </c>
      <c r="D3261" t="s">
        <v>3220</v>
      </c>
      <c r="E3261" t="s">
        <v>3223</v>
      </c>
      <c r="F3261" t="s">
        <v>3226</v>
      </c>
      <c r="G3261" s="4">
        <v>51947.45</v>
      </c>
      <c r="H3261" s="4">
        <v>29757.13</v>
      </c>
      <c r="I3261" s="3" t="s">
        <v>3734</v>
      </c>
      <c r="J3261">
        <v>5</v>
      </c>
      <c r="K3261" s="4">
        <f>Table3[[#This Row],[Sales]]-Table3[[#This Row],[Cost]]</f>
        <v>22190.319999999996</v>
      </c>
      <c r="L3261" s="6">
        <f>Table3[[#This Row],[Profit]]/Table3[[#This Row],[Sales]]</f>
        <v>0.4271686098162662</v>
      </c>
    </row>
    <row r="3262" spans="1:12" x14ac:dyDescent="0.25">
      <c r="A3262" t="s">
        <v>2841</v>
      </c>
      <c r="B3262" s="2" t="s">
        <v>3729</v>
      </c>
      <c r="C3262" s="2" t="str">
        <f>TEXT(Table3[[#This Row],[Order Date]],"mmmm")</f>
        <v>Not Mentioned</v>
      </c>
      <c r="D3262" t="s">
        <v>3730</v>
      </c>
      <c r="E3262" t="s">
        <v>3225</v>
      </c>
      <c r="F3262" t="s">
        <v>3226</v>
      </c>
      <c r="G3262" s="4">
        <v>68994.97</v>
      </c>
      <c r="H3262" s="4">
        <v>41934.839999999997</v>
      </c>
      <c r="I3262" s="3" t="s">
        <v>3734</v>
      </c>
      <c r="J3262">
        <v>3</v>
      </c>
      <c r="K3262" s="4">
        <f>Table3[[#This Row],[Sales]]-Table3[[#This Row],[Cost]]</f>
        <v>27060.130000000005</v>
      </c>
      <c r="L3262" s="6">
        <f>Table3[[#This Row],[Profit]]/Table3[[#This Row],[Sales]]</f>
        <v>0.39220438823293935</v>
      </c>
    </row>
    <row r="3263" spans="1:12" x14ac:dyDescent="0.25">
      <c r="A3263" t="s">
        <v>2842</v>
      </c>
      <c r="B3263" s="2">
        <v>45102</v>
      </c>
      <c r="C3263" s="2" t="str">
        <f>TEXT(Table3[[#This Row],[Order Date]],"mmmm")</f>
        <v>June</v>
      </c>
      <c r="D3263" t="s">
        <v>3730</v>
      </c>
      <c r="E3263" t="s">
        <v>3222</v>
      </c>
      <c r="F3263" t="s">
        <v>3226</v>
      </c>
      <c r="G3263" s="4">
        <v>30766.87</v>
      </c>
      <c r="H3263" s="4">
        <v>18195.78</v>
      </c>
      <c r="I3263" s="3" t="s">
        <v>3734</v>
      </c>
      <c r="J3263">
        <v>2</v>
      </c>
      <c r="K3263" s="4">
        <f>Table3[[#This Row],[Sales]]-Table3[[#This Row],[Cost]]</f>
        <v>12571.09</v>
      </c>
      <c r="L3263" s="6">
        <f>Table3[[#This Row],[Profit]]/Table3[[#This Row],[Sales]]</f>
        <v>0.40859177420387582</v>
      </c>
    </row>
    <row r="3264" spans="1:12" x14ac:dyDescent="0.25">
      <c r="A3264" t="s">
        <v>2843</v>
      </c>
      <c r="B3264" s="2">
        <v>45005</v>
      </c>
      <c r="C3264" s="2" t="str">
        <f>TEXT(Table3[[#This Row],[Order Date]],"mmmm")</f>
        <v>March</v>
      </c>
      <c r="D3264" t="s">
        <v>3220</v>
      </c>
      <c r="E3264" t="s">
        <v>3222</v>
      </c>
      <c r="F3264" t="s">
        <v>3226</v>
      </c>
      <c r="G3264" s="4">
        <v>55168.51</v>
      </c>
      <c r="H3264" s="4">
        <v>40238.47</v>
      </c>
      <c r="I3264" s="3" t="s">
        <v>3734</v>
      </c>
      <c r="J3264">
        <v>4</v>
      </c>
      <c r="K3264" s="4">
        <f>Table3[[#This Row],[Sales]]-Table3[[#This Row],[Cost]]</f>
        <v>14930.04</v>
      </c>
      <c r="L3264" s="6">
        <f>Table3[[#This Row],[Profit]]/Table3[[#This Row],[Sales]]</f>
        <v>0.27062612348965015</v>
      </c>
    </row>
    <row r="3265" spans="1:12" x14ac:dyDescent="0.25">
      <c r="A3265" t="s">
        <v>2276</v>
      </c>
      <c r="B3265" s="2">
        <v>44972</v>
      </c>
      <c r="C3265" s="2" t="str">
        <f>TEXT(Table3[[#This Row],[Order Date]],"mmmm")</f>
        <v>February</v>
      </c>
      <c r="D3265" t="s">
        <v>3220</v>
      </c>
      <c r="E3265" t="s">
        <v>3225</v>
      </c>
      <c r="F3265" t="s">
        <v>3226</v>
      </c>
      <c r="G3265" s="4">
        <v>61130.06</v>
      </c>
      <c r="H3265" s="4">
        <v>37055.769999999997</v>
      </c>
      <c r="I3265" s="3" t="s">
        <v>3734</v>
      </c>
      <c r="J3265">
        <v>3</v>
      </c>
      <c r="K3265" s="4">
        <f>Table3[[#This Row],[Sales]]-Table3[[#This Row],[Cost]]</f>
        <v>24074.29</v>
      </c>
      <c r="L3265" s="6">
        <f>Table3[[#This Row],[Profit]]/Table3[[#This Row],[Sales]]</f>
        <v>0.39382081417881809</v>
      </c>
    </row>
    <row r="3266" spans="1:12" x14ac:dyDescent="0.25">
      <c r="A3266" t="s">
        <v>2844</v>
      </c>
      <c r="B3266" s="2">
        <v>44972</v>
      </c>
      <c r="C3266" s="2" t="str">
        <f>TEXT(Table3[[#This Row],[Order Date]],"mmmm")</f>
        <v>February</v>
      </c>
      <c r="D3266" t="s">
        <v>3730</v>
      </c>
      <c r="E3266" t="s">
        <v>3224</v>
      </c>
      <c r="F3266" t="s">
        <v>3226</v>
      </c>
      <c r="G3266" s="4">
        <v>223791.29</v>
      </c>
      <c r="H3266" s="4">
        <v>186838.46</v>
      </c>
      <c r="I3266" s="3" t="s">
        <v>3734</v>
      </c>
      <c r="J3266">
        <v>4</v>
      </c>
      <c r="K3266" s="4">
        <f>Table3[[#This Row],[Sales]]-Table3[[#This Row],[Cost]]</f>
        <v>36952.830000000016</v>
      </c>
      <c r="L3266" s="6">
        <f>Table3[[#This Row],[Profit]]/Table3[[#This Row],[Sales]]</f>
        <v>0.16512184187329193</v>
      </c>
    </row>
    <row r="3267" spans="1:12" x14ac:dyDescent="0.25">
      <c r="A3267" t="s">
        <v>1291</v>
      </c>
      <c r="B3267" s="2">
        <v>44972</v>
      </c>
      <c r="C3267" s="2" t="str">
        <f>TEXT(Table3[[#This Row],[Order Date]],"mmmm")</f>
        <v>February</v>
      </c>
      <c r="D3267" t="s">
        <v>3731</v>
      </c>
      <c r="E3267" t="s">
        <v>3222</v>
      </c>
      <c r="F3267" t="s">
        <v>3226</v>
      </c>
      <c r="G3267" s="4">
        <v>25712.01</v>
      </c>
      <c r="H3267" s="4">
        <v>19297.09</v>
      </c>
      <c r="I3267" s="3" t="s">
        <v>3734</v>
      </c>
      <c r="J3267">
        <v>2</v>
      </c>
      <c r="K3267" s="4">
        <f>Table3[[#This Row],[Sales]]-Table3[[#This Row],[Cost]]</f>
        <v>6414.9199999999983</v>
      </c>
      <c r="L3267" s="6">
        <f>Table3[[#This Row],[Profit]]/Table3[[#This Row],[Sales]]</f>
        <v>0.24949119108152176</v>
      </c>
    </row>
    <row r="3268" spans="1:12" x14ac:dyDescent="0.25">
      <c r="A3268" t="s">
        <v>2845</v>
      </c>
      <c r="B3268" s="2">
        <v>45021</v>
      </c>
      <c r="C3268" s="2" t="str">
        <f>TEXT(Table3[[#This Row],[Order Date]],"mmmm")</f>
        <v>April</v>
      </c>
      <c r="D3268" t="s">
        <v>3220</v>
      </c>
      <c r="E3268" t="s">
        <v>3224</v>
      </c>
      <c r="F3268" t="s">
        <v>3226</v>
      </c>
      <c r="G3268" s="4">
        <v>280685.40000000002</v>
      </c>
      <c r="H3268" s="4">
        <v>196791.6</v>
      </c>
      <c r="I3268" s="3" t="s">
        <v>3734</v>
      </c>
      <c r="J3268">
        <v>5</v>
      </c>
      <c r="K3268" s="4">
        <f>Table3[[#This Row],[Sales]]-Table3[[#This Row],[Cost]]</f>
        <v>83893.800000000017</v>
      </c>
      <c r="L3268" s="6">
        <f>Table3[[#This Row],[Profit]]/Table3[[#This Row],[Sales]]</f>
        <v>0.29888907652482105</v>
      </c>
    </row>
    <row r="3269" spans="1:12" x14ac:dyDescent="0.25">
      <c r="A3269" t="s">
        <v>3297</v>
      </c>
      <c r="B3269" s="2">
        <v>44941</v>
      </c>
      <c r="C3269" s="2" t="str">
        <f>TEXT(Table3[[#This Row],[Order Date]],"mmmm")</f>
        <v>January</v>
      </c>
      <c r="D3269" t="s">
        <v>3220</v>
      </c>
      <c r="E3269" t="s">
        <v>3222</v>
      </c>
      <c r="F3269" t="s">
        <v>3226</v>
      </c>
      <c r="G3269" s="4">
        <v>42523.95</v>
      </c>
      <c r="H3269" s="4">
        <v>30537.11</v>
      </c>
      <c r="I3269" s="3" t="s">
        <v>3734</v>
      </c>
      <c r="J3269">
        <v>3</v>
      </c>
      <c r="K3269" s="4">
        <f>Table3[[#This Row],[Sales]]-Table3[[#This Row],[Cost]]</f>
        <v>11986.839999999997</v>
      </c>
      <c r="L3269" s="6">
        <f>Table3[[#This Row],[Profit]]/Table3[[#This Row],[Sales]]</f>
        <v>0.28188444394276629</v>
      </c>
    </row>
    <row r="3270" spans="1:12" x14ac:dyDescent="0.25">
      <c r="A3270" t="s">
        <v>2846</v>
      </c>
      <c r="B3270" s="2">
        <v>45021</v>
      </c>
      <c r="C3270" s="2" t="str">
        <f>TEXT(Table3[[#This Row],[Order Date]],"mmmm")</f>
        <v>April</v>
      </c>
      <c r="D3270" t="s">
        <v>3220</v>
      </c>
      <c r="E3270" t="s">
        <v>3225</v>
      </c>
      <c r="F3270" t="s">
        <v>3226</v>
      </c>
      <c r="G3270" s="4">
        <v>65341.7</v>
      </c>
      <c r="H3270" s="4">
        <v>42746.28</v>
      </c>
      <c r="I3270" s="3" t="s">
        <v>3734</v>
      </c>
      <c r="J3270">
        <v>3</v>
      </c>
      <c r="K3270" s="4">
        <f>Table3[[#This Row],[Sales]]-Table3[[#This Row],[Cost]]</f>
        <v>22595.42</v>
      </c>
      <c r="L3270" s="6">
        <f>Table3[[#This Row],[Profit]]/Table3[[#This Row],[Sales]]</f>
        <v>0.34580398122485334</v>
      </c>
    </row>
    <row r="3271" spans="1:12" x14ac:dyDescent="0.25">
      <c r="A3271" t="s">
        <v>2847</v>
      </c>
      <c r="B3271" s="2">
        <v>44972</v>
      </c>
      <c r="C3271" s="2" t="str">
        <f>TEXT(Table3[[#This Row],[Order Date]],"mmmm")</f>
        <v>February</v>
      </c>
      <c r="D3271" t="s">
        <v>3220</v>
      </c>
      <c r="E3271" t="s">
        <v>3223</v>
      </c>
      <c r="F3271" t="s">
        <v>3226</v>
      </c>
      <c r="G3271" s="4">
        <v>9395.9599999999991</v>
      </c>
      <c r="H3271" s="4">
        <v>6180.02</v>
      </c>
      <c r="I3271" s="3" t="s">
        <v>3734</v>
      </c>
      <c r="J3271">
        <v>1</v>
      </c>
      <c r="K3271" s="4">
        <f>Table3[[#This Row],[Sales]]-Table3[[#This Row],[Cost]]</f>
        <v>3215.9399999999987</v>
      </c>
      <c r="L3271" s="6">
        <f>Table3[[#This Row],[Profit]]/Table3[[#This Row],[Sales]]</f>
        <v>0.34226837917573072</v>
      </c>
    </row>
    <row r="3272" spans="1:12" x14ac:dyDescent="0.25">
      <c r="A3272" t="s">
        <v>632</v>
      </c>
      <c r="B3272" s="2">
        <v>45005</v>
      </c>
      <c r="C3272" s="2" t="str">
        <f>TEXT(Table3[[#This Row],[Order Date]],"mmmm")</f>
        <v>March</v>
      </c>
      <c r="D3272" t="s">
        <v>3730</v>
      </c>
      <c r="E3272" t="s">
        <v>3222</v>
      </c>
      <c r="F3272" t="s">
        <v>3226</v>
      </c>
      <c r="G3272" s="4">
        <v>69856.460000000006</v>
      </c>
      <c r="H3272" s="4">
        <v>47182.57</v>
      </c>
      <c r="I3272" s="3" t="s">
        <v>3734</v>
      </c>
      <c r="J3272">
        <v>5</v>
      </c>
      <c r="K3272" s="4">
        <f>Table3[[#This Row],[Sales]]-Table3[[#This Row],[Cost]]</f>
        <v>22673.890000000007</v>
      </c>
      <c r="L3272" s="6">
        <f>Table3[[#This Row],[Profit]]/Table3[[#This Row],[Sales]]</f>
        <v>0.32457828524376992</v>
      </c>
    </row>
    <row r="3273" spans="1:12" x14ac:dyDescent="0.25">
      <c r="A3273" t="s">
        <v>2848</v>
      </c>
      <c r="B3273" s="2" t="s">
        <v>3729</v>
      </c>
      <c r="C3273" s="2" t="str">
        <f>TEXT(Table3[[#This Row],[Order Date]],"mmmm")</f>
        <v>Not Mentioned</v>
      </c>
      <c r="D3273" t="s">
        <v>3216</v>
      </c>
      <c r="E3273" t="s">
        <v>3224</v>
      </c>
      <c r="F3273" t="s">
        <v>3226</v>
      </c>
      <c r="G3273" s="4">
        <v>143450.14000000001</v>
      </c>
      <c r="H3273" s="4">
        <v>84224.21</v>
      </c>
      <c r="I3273" s="3" t="s">
        <v>3734</v>
      </c>
      <c r="J3273">
        <v>2</v>
      </c>
      <c r="K3273" s="4">
        <f>Table3[[#This Row],[Sales]]-Table3[[#This Row],[Cost]]</f>
        <v>59225.930000000008</v>
      </c>
      <c r="L3273" s="6">
        <f>Table3[[#This Row],[Profit]]/Table3[[#This Row],[Sales]]</f>
        <v>0.41286770441632192</v>
      </c>
    </row>
    <row r="3274" spans="1:12" x14ac:dyDescent="0.25">
      <c r="A3274" t="s">
        <v>2849</v>
      </c>
      <c r="B3274" s="2">
        <v>44941</v>
      </c>
      <c r="C3274" s="2" t="str">
        <f>TEXT(Table3[[#This Row],[Order Date]],"mmmm")</f>
        <v>January</v>
      </c>
      <c r="D3274" t="s">
        <v>3220</v>
      </c>
      <c r="E3274" t="s">
        <v>3224</v>
      </c>
      <c r="F3274" t="s">
        <v>3226</v>
      </c>
      <c r="G3274" s="4">
        <v>290034.12</v>
      </c>
      <c r="H3274" s="4">
        <v>232027.296</v>
      </c>
      <c r="I3274" s="3" t="s">
        <v>3735</v>
      </c>
      <c r="J3274">
        <v>5</v>
      </c>
      <c r="K3274" s="4">
        <f>Table3[[#This Row],[Sales]]-Table3[[#This Row],[Cost]]</f>
        <v>58006.823999999993</v>
      </c>
      <c r="L3274" s="6">
        <f>Table3[[#This Row],[Profit]]/Table3[[#This Row],[Sales]]</f>
        <v>0.19999999999999998</v>
      </c>
    </row>
    <row r="3275" spans="1:12" x14ac:dyDescent="0.25">
      <c r="A3275" t="s">
        <v>2850</v>
      </c>
      <c r="B3275" s="2">
        <v>45102</v>
      </c>
      <c r="C3275" s="2" t="str">
        <f>TEXT(Table3[[#This Row],[Order Date]],"mmmm")</f>
        <v>June</v>
      </c>
      <c r="D3275" t="s">
        <v>3220</v>
      </c>
      <c r="E3275" t="s">
        <v>3224</v>
      </c>
      <c r="F3275" t="s">
        <v>3226</v>
      </c>
      <c r="G3275" s="4">
        <v>137026.19</v>
      </c>
      <c r="H3275" s="4">
        <v>93236.45</v>
      </c>
      <c r="I3275" s="3" t="s">
        <v>3734</v>
      </c>
      <c r="J3275">
        <v>2</v>
      </c>
      <c r="K3275" s="4">
        <f>Table3[[#This Row],[Sales]]-Table3[[#This Row],[Cost]]</f>
        <v>43789.740000000005</v>
      </c>
      <c r="L3275" s="6">
        <f>Table3[[#This Row],[Profit]]/Table3[[#This Row],[Sales]]</f>
        <v>0.31957204677441592</v>
      </c>
    </row>
    <row r="3276" spans="1:12" x14ac:dyDescent="0.25">
      <c r="A3276" t="s">
        <v>2851</v>
      </c>
      <c r="B3276" s="2">
        <v>45005</v>
      </c>
      <c r="C3276" s="2" t="str">
        <f>TEXT(Table3[[#This Row],[Order Date]],"mmmm")</f>
        <v>March</v>
      </c>
      <c r="D3276" t="s">
        <v>3730</v>
      </c>
      <c r="E3276" t="s">
        <v>3225</v>
      </c>
      <c r="F3276" t="s">
        <v>3226</v>
      </c>
      <c r="G3276" s="4">
        <v>46058.26</v>
      </c>
      <c r="H3276" s="4">
        <v>24012.76</v>
      </c>
      <c r="I3276" s="3" t="s">
        <v>3734</v>
      </c>
      <c r="J3276">
        <v>2</v>
      </c>
      <c r="K3276" s="4">
        <f>Table3[[#This Row],[Sales]]-Table3[[#This Row],[Cost]]</f>
        <v>22045.500000000004</v>
      </c>
      <c r="L3276" s="6">
        <f>Table3[[#This Row],[Profit]]/Table3[[#This Row],[Sales]]</f>
        <v>0.4786437872381632</v>
      </c>
    </row>
    <row r="3277" spans="1:12" x14ac:dyDescent="0.25">
      <c r="A3277" t="s">
        <v>2852</v>
      </c>
      <c r="B3277" s="2">
        <v>44972</v>
      </c>
      <c r="C3277" s="2" t="str">
        <f>TEXT(Table3[[#This Row],[Order Date]],"mmmm")</f>
        <v>February</v>
      </c>
      <c r="D3277" t="s">
        <v>3731</v>
      </c>
      <c r="E3277" t="s">
        <v>3223</v>
      </c>
      <c r="F3277" t="s">
        <v>3226</v>
      </c>
      <c r="G3277" s="4">
        <v>25717.23</v>
      </c>
      <c r="H3277" s="4">
        <v>19801.96</v>
      </c>
      <c r="I3277" s="3" t="s">
        <v>3734</v>
      </c>
      <c r="J3277" t="s">
        <v>3732</v>
      </c>
      <c r="K3277" s="4">
        <f>Table3[[#This Row],[Sales]]-Table3[[#This Row],[Cost]]</f>
        <v>5915.27</v>
      </c>
      <c r="L3277" s="6">
        <f>Table3[[#This Row],[Profit]]/Table3[[#This Row],[Sales]]</f>
        <v>0.23001194141048631</v>
      </c>
    </row>
    <row r="3278" spans="1:12" x14ac:dyDescent="0.25">
      <c r="A3278" t="s">
        <v>151</v>
      </c>
      <c r="B3278" s="2">
        <v>45021</v>
      </c>
      <c r="C3278" s="2" t="str">
        <f>TEXT(Table3[[#This Row],[Order Date]],"mmmm")</f>
        <v>April</v>
      </c>
      <c r="D3278" t="s">
        <v>3216</v>
      </c>
      <c r="E3278" t="s">
        <v>3223</v>
      </c>
      <c r="F3278" t="s">
        <v>3226</v>
      </c>
      <c r="G3278" s="4">
        <v>48111.02</v>
      </c>
      <c r="H3278" s="4">
        <v>36071.480000000003</v>
      </c>
      <c r="I3278" s="3" t="s">
        <v>3734</v>
      </c>
      <c r="J3278">
        <v>5</v>
      </c>
      <c r="K3278" s="4">
        <f>Table3[[#This Row],[Sales]]-Table3[[#This Row],[Cost]]</f>
        <v>12039.539999999994</v>
      </c>
      <c r="L3278" s="6">
        <f>Table3[[#This Row],[Profit]]/Table3[[#This Row],[Sales]]</f>
        <v>0.25024495427450916</v>
      </c>
    </row>
    <row r="3279" spans="1:12" x14ac:dyDescent="0.25">
      <c r="A3279" t="s">
        <v>1732</v>
      </c>
      <c r="B3279" s="2">
        <v>44972</v>
      </c>
      <c r="C3279" s="2" t="str">
        <f>TEXT(Table3[[#This Row],[Order Date]],"mmmm")</f>
        <v>February</v>
      </c>
      <c r="D3279" t="s">
        <v>3220</v>
      </c>
      <c r="E3279" t="s">
        <v>3222</v>
      </c>
      <c r="F3279" t="s">
        <v>3226</v>
      </c>
      <c r="G3279" s="4">
        <v>86125.19</v>
      </c>
      <c r="H3279" s="4">
        <v>68900.152000000002</v>
      </c>
      <c r="I3279" s="3" t="s">
        <v>3735</v>
      </c>
      <c r="J3279">
        <v>5</v>
      </c>
      <c r="K3279" s="4">
        <f>Table3[[#This Row],[Sales]]-Table3[[#This Row],[Cost]]</f>
        <v>17225.038</v>
      </c>
      <c r="L3279" s="6">
        <f>Table3[[#This Row],[Profit]]/Table3[[#This Row],[Sales]]</f>
        <v>0.2</v>
      </c>
    </row>
    <row r="3280" spans="1:12" x14ac:dyDescent="0.25">
      <c r="A3280" t="s">
        <v>350</v>
      </c>
      <c r="B3280" s="2">
        <v>44941</v>
      </c>
      <c r="C3280" s="2" t="str">
        <f>TEXT(Table3[[#This Row],[Order Date]],"mmmm")</f>
        <v>January</v>
      </c>
      <c r="D3280" t="s">
        <v>3731</v>
      </c>
      <c r="E3280" t="s">
        <v>3222</v>
      </c>
      <c r="F3280" t="s">
        <v>3226</v>
      </c>
      <c r="G3280" s="4">
        <v>27309.79</v>
      </c>
      <c r="H3280" s="4">
        <v>18539.41</v>
      </c>
      <c r="I3280" s="3" t="s">
        <v>3734</v>
      </c>
      <c r="J3280">
        <v>2</v>
      </c>
      <c r="K3280" s="4">
        <f>Table3[[#This Row],[Sales]]-Table3[[#This Row],[Cost]]</f>
        <v>8770.380000000001</v>
      </c>
      <c r="L3280" s="6">
        <f>Table3[[#This Row],[Profit]]/Table3[[#This Row],[Sales]]</f>
        <v>0.32114417576993454</v>
      </c>
    </row>
    <row r="3281" spans="1:12" x14ac:dyDescent="0.25">
      <c r="A3281" t="s">
        <v>2854</v>
      </c>
      <c r="B3281" s="2" t="s">
        <v>3729</v>
      </c>
      <c r="C3281" s="2" t="str">
        <f>TEXT(Table3[[#This Row],[Order Date]],"mmmm")</f>
        <v>Not Mentioned</v>
      </c>
      <c r="D3281" t="s">
        <v>3220</v>
      </c>
      <c r="E3281" t="s">
        <v>3225</v>
      </c>
      <c r="F3281" t="s">
        <v>3226</v>
      </c>
      <c r="G3281" s="4">
        <v>21462.39</v>
      </c>
      <c r="H3281" s="4">
        <v>13323.06</v>
      </c>
      <c r="I3281" s="3" t="s">
        <v>3734</v>
      </c>
      <c r="J3281">
        <v>1</v>
      </c>
      <c r="K3281" s="4">
        <f>Table3[[#This Row],[Sales]]-Table3[[#This Row],[Cost]]</f>
        <v>8139.33</v>
      </c>
      <c r="L3281" s="6">
        <f>Table3[[#This Row],[Profit]]/Table3[[#This Row],[Sales]]</f>
        <v>0.37923688834281738</v>
      </c>
    </row>
    <row r="3282" spans="1:12" x14ac:dyDescent="0.25">
      <c r="A3282" t="s">
        <v>2855</v>
      </c>
      <c r="B3282" s="2">
        <v>45021</v>
      </c>
      <c r="C3282" s="2" t="str">
        <f>TEXT(Table3[[#This Row],[Order Date]],"mmmm")</f>
        <v>April</v>
      </c>
      <c r="D3282" t="s">
        <v>3730</v>
      </c>
      <c r="E3282" t="s">
        <v>3222</v>
      </c>
      <c r="F3282" t="s">
        <v>3226</v>
      </c>
      <c r="G3282" s="4">
        <v>35507.160000000003</v>
      </c>
      <c r="H3282" s="4">
        <v>18052.22</v>
      </c>
      <c r="I3282" s="3" t="s">
        <v>3734</v>
      </c>
      <c r="J3282">
        <v>2</v>
      </c>
      <c r="K3282" s="4">
        <f>Table3[[#This Row],[Sales]]-Table3[[#This Row],[Cost]]</f>
        <v>17454.940000000002</v>
      </c>
      <c r="L3282" s="6">
        <f>Table3[[#This Row],[Profit]]/Table3[[#This Row],[Sales]]</f>
        <v>0.49158930198866935</v>
      </c>
    </row>
    <row r="3283" spans="1:12" x14ac:dyDescent="0.25">
      <c r="A3283" t="s">
        <v>2663</v>
      </c>
      <c r="B3283" s="2">
        <v>45102</v>
      </c>
      <c r="C3283" s="2" t="str">
        <f>TEXT(Table3[[#This Row],[Order Date]],"mmmm")</f>
        <v>June</v>
      </c>
      <c r="D3283" t="s">
        <v>3730</v>
      </c>
      <c r="E3283" t="s">
        <v>3224</v>
      </c>
      <c r="F3283" t="s">
        <v>3226</v>
      </c>
      <c r="G3283" s="4">
        <v>146044.12</v>
      </c>
      <c r="H3283" s="4">
        <v>117372.82</v>
      </c>
      <c r="I3283" s="3" t="s">
        <v>3734</v>
      </c>
      <c r="J3283">
        <v>3</v>
      </c>
      <c r="K3283" s="4">
        <f>Table3[[#This Row],[Sales]]-Table3[[#This Row],[Cost]]</f>
        <v>28671.299999999988</v>
      </c>
      <c r="L3283" s="6">
        <f>Table3[[#This Row],[Profit]]/Table3[[#This Row],[Sales]]</f>
        <v>0.19631944100180129</v>
      </c>
    </row>
    <row r="3284" spans="1:12" x14ac:dyDescent="0.25">
      <c r="A3284" t="s">
        <v>3685</v>
      </c>
      <c r="B3284" s="2" t="s">
        <v>3729</v>
      </c>
      <c r="C3284" s="2" t="str">
        <f>TEXT(Table3[[#This Row],[Order Date]],"mmmm")</f>
        <v>Not Mentioned</v>
      </c>
      <c r="D3284" t="s">
        <v>3216</v>
      </c>
      <c r="E3284" t="s">
        <v>3222</v>
      </c>
      <c r="F3284" t="s">
        <v>3226</v>
      </c>
      <c r="G3284" s="4">
        <v>50500.98</v>
      </c>
      <c r="H3284" s="4">
        <v>27549.84</v>
      </c>
      <c r="I3284" s="3" t="s">
        <v>3734</v>
      </c>
      <c r="J3284">
        <v>3</v>
      </c>
      <c r="K3284" s="4">
        <f>Table3[[#This Row],[Sales]]-Table3[[#This Row],[Cost]]</f>
        <v>22951.140000000003</v>
      </c>
      <c r="L3284" s="6">
        <f>Table3[[#This Row],[Profit]]/Table3[[#This Row],[Sales]]</f>
        <v>0.45446920039967542</v>
      </c>
    </row>
    <row r="3285" spans="1:12" x14ac:dyDescent="0.25">
      <c r="A3285" t="s">
        <v>960</v>
      </c>
      <c r="B3285" s="2">
        <v>44972</v>
      </c>
      <c r="C3285" s="2" t="str">
        <f>TEXT(Table3[[#This Row],[Order Date]],"mmmm")</f>
        <v>February</v>
      </c>
      <c r="D3285" t="s">
        <v>3730</v>
      </c>
      <c r="E3285" t="s">
        <v>3225</v>
      </c>
      <c r="F3285" t="s">
        <v>3226</v>
      </c>
      <c r="G3285" s="4">
        <v>113109.82</v>
      </c>
      <c r="H3285" s="4">
        <v>66260.149999999994</v>
      </c>
      <c r="I3285" s="3" t="s">
        <v>3734</v>
      </c>
      <c r="J3285">
        <v>5</v>
      </c>
      <c r="K3285" s="4">
        <f>Table3[[#This Row],[Sales]]-Table3[[#This Row],[Cost]]</f>
        <v>46849.670000000013</v>
      </c>
      <c r="L3285" s="6">
        <f>Table3[[#This Row],[Profit]]/Table3[[#This Row],[Sales]]</f>
        <v>0.4141963093920582</v>
      </c>
    </row>
    <row r="3286" spans="1:12" x14ac:dyDescent="0.25">
      <c r="A3286" t="s">
        <v>3686</v>
      </c>
      <c r="B3286" s="2" t="s">
        <v>3729</v>
      </c>
      <c r="C3286" s="2" t="str">
        <f>TEXT(Table3[[#This Row],[Order Date]],"mmmm")</f>
        <v>Not Mentioned</v>
      </c>
      <c r="D3286" t="s">
        <v>3730</v>
      </c>
      <c r="E3286" t="s">
        <v>3224</v>
      </c>
      <c r="F3286" t="s">
        <v>3226</v>
      </c>
      <c r="G3286" s="4">
        <v>156200.95999999999</v>
      </c>
      <c r="H3286" s="4">
        <v>125384.17</v>
      </c>
      <c r="I3286" s="3" t="s">
        <v>3734</v>
      </c>
      <c r="J3286">
        <v>3</v>
      </c>
      <c r="K3286" s="4">
        <f>Table3[[#This Row],[Sales]]-Table3[[#This Row],[Cost]]</f>
        <v>30816.789999999994</v>
      </c>
      <c r="L3286" s="6">
        <f>Table3[[#This Row],[Profit]]/Table3[[#This Row],[Sales]]</f>
        <v>0.19728937645453648</v>
      </c>
    </row>
    <row r="3287" spans="1:12" x14ac:dyDescent="0.25">
      <c r="A3287" t="s">
        <v>2858</v>
      </c>
      <c r="B3287" s="2">
        <v>45021</v>
      </c>
      <c r="C3287" s="2" t="str">
        <f>TEXT(Table3[[#This Row],[Order Date]],"mmmm")</f>
        <v>April</v>
      </c>
      <c r="D3287" t="s">
        <v>3730</v>
      </c>
      <c r="E3287" t="s">
        <v>3224</v>
      </c>
      <c r="F3287" t="s">
        <v>3226</v>
      </c>
      <c r="G3287" s="4">
        <v>115953.43</v>
      </c>
      <c r="H3287" s="4">
        <v>85011</v>
      </c>
      <c r="I3287" s="3" t="s">
        <v>3734</v>
      </c>
      <c r="J3287">
        <v>2</v>
      </c>
      <c r="K3287" s="4">
        <f>Table3[[#This Row],[Sales]]-Table3[[#This Row],[Cost]]</f>
        <v>30942.429999999993</v>
      </c>
      <c r="L3287" s="6">
        <f>Table3[[#This Row],[Profit]]/Table3[[#This Row],[Sales]]</f>
        <v>0.26685221817069144</v>
      </c>
    </row>
    <row r="3288" spans="1:12" x14ac:dyDescent="0.25">
      <c r="A3288" t="s">
        <v>2859</v>
      </c>
      <c r="B3288" s="2">
        <v>44941</v>
      </c>
      <c r="C3288" s="2" t="str">
        <f>TEXT(Table3[[#This Row],[Order Date]],"mmmm")</f>
        <v>January</v>
      </c>
      <c r="D3288" t="s">
        <v>3220</v>
      </c>
      <c r="E3288" t="s">
        <v>3224</v>
      </c>
      <c r="F3288" t="s">
        <v>3226</v>
      </c>
      <c r="G3288" s="4">
        <v>147562.81</v>
      </c>
      <c r="H3288" s="4">
        <v>118102.09</v>
      </c>
      <c r="I3288" s="3" t="s">
        <v>3734</v>
      </c>
      <c r="J3288">
        <v>3</v>
      </c>
      <c r="K3288" s="4">
        <f>Table3[[#This Row],[Sales]]-Table3[[#This Row],[Cost]]</f>
        <v>29460.720000000001</v>
      </c>
      <c r="L3288" s="6">
        <f>Table3[[#This Row],[Profit]]/Table3[[#This Row],[Sales]]</f>
        <v>0.19964867841700765</v>
      </c>
    </row>
    <row r="3289" spans="1:12" x14ac:dyDescent="0.25">
      <c r="A3289" t="s">
        <v>2860</v>
      </c>
      <c r="B3289" s="2">
        <v>45102</v>
      </c>
      <c r="C3289" s="2" t="str">
        <f>TEXT(Table3[[#This Row],[Order Date]],"mmmm")</f>
        <v>June</v>
      </c>
      <c r="D3289" t="s">
        <v>3730</v>
      </c>
      <c r="E3289" t="s">
        <v>3222</v>
      </c>
      <c r="F3289" t="s">
        <v>3226</v>
      </c>
      <c r="G3289" s="4">
        <v>83002.149999999994</v>
      </c>
      <c r="H3289" s="4">
        <v>66401.72</v>
      </c>
      <c r="I3289" s="3" t="s">
        <v>3735</v>
      </c>
      <c r="J3289">
        <v>5</v>
      </c>
      <c r="K3289" s="4">
        <f>Table3[[#This Row],[Sales]]-Table3[[#This Row],[Cost]]</f>
        <v>16600.429999999993</v>
      </c>
      <c r="L3289" s="6">
        <f>Table3[[#This Row],[Profit]]/Table3[[#This Row],[Sales]]</f>
        <v>0.19999999999999993</v>
      </c>
    </row>
    <row r="3290" spans="1:12" x14ac:dyDescent="0.25">
      <c r="A3290" t="s">
        <v>2861</v>
      </c>
      <c r="B3290" s="2" t="s">
        <v>3729</v>
      </c>
      <c r="C3290" s="2" t="str">
        <f>TEXT(Table3[[#This Row],[Order Date]],"mmmm")</f>
        <v>Not Mentioned</v>
      </c>
      <c r="D3290" t="s">
        <v>3731</v>
      </c>
      <c r="E3290" t="s">
        <v>3224</v>
      </c>
      <c r="F3290" t="s">
        <v>3226</v>
      </c>
      <c r="G3290" s="4">
        <v>99780.15</v>
      </c>
      <c r="H3290" s="4">
        <v>77280.44</v>
      </c>
      <c r="I3290" s="3" t="s">
        <v>3734</v>
      </c>
      <c r="J3290">
        <v>2</v>
      </c>
      <c r="K3290" s="4">
        <f>Table3[[#This Row],[Sales]]-Table3[[#This Row],[Cost]]</f>
        <v>22499.709999999992</v>
      </c>
      <c r="L3290" s="6">
        <f>Table3[[#This Row],[Profit]]/Table3[[#This Row],[Sales]]</f>
        <v>0.22549284602197925</v>
      </c>
    </row>
    <row r="3291" spans="1:12" x14ac:dyDescent="0.25">
      <c r="A3291" t="s">
        <v>94</v>
      </c>
      <c r="B3291" s="2" t="s">
        <v>3729</v>
      </c>
      <c r="C3291" s="2" t="str">
        <f>TEXT(Table3[[#This Row],[Order Date]],"mmmm")</f>
        <v>Not Mentioned</v>
      </c>
      <c r="D3291" t="s">
        <v>3730</v>
      </c>
      <c r="E3291" t="s">
        <v>3225</v>
      </c>
      <c r="F3291" t="s">
        <v>3226</v>
      </c>
      <c r="G3291" s="4">
        <v>43310.71</v>
      </c>
      <c r="H3291" s="4">
        <v>34648.567999999999</v>
      </c>
      <c r="I3291" s="3" t="s">
        <v>3735</v>
      </c>
      <c r="J3291">
        <v>2</v>
      </c>
      <c r="K3291" s="4">
        <f>Table3[[#This Row],[Sales]]-Table3[[#This Row],[Cost]]</f>
        <v>8662.1419999999998</v>
      </c>
      <c r="L3291" s="6">
        <f>Table3[[#This Row],[Profit]]/Table3[[#This Row],[Sales]]</f>
        <v>0.2</v>
      </c>
    </row>
    <row r="3292" spans="1:12" x14ac:dyDescent="0.25">
      <c r="A3292" t="s">
        <v>3558</v>
      </c>
      <c r="B3292" s="2">
        <v>45102</v>
      </c>
      <c r="C3292" s="2" t="str">
        <f>TEXT(Table3[[#This Row],[Order Date]],"mmmm")</f>
        <v>June</v>
      </c>
      <c r="D3292" t="s">
        <v>3216</v>
      </c>
      <c r="E3292" t="s">
        <v>3223</v>
      </c>
      <c r="F3292" t="s">
        <v>3226</v>
      </c>
      <c r="G3292" s="4">
        <v>34372.199999999997</v>
      </c>
      <c r="H3292" s="4">
        <v>19149.169999999998</v>
      </c>
      <c r="I3292" s="3" t="s">
        <v>3734</v>
      </c>
      <c r="J3292">
        <v>3</v>
      </c>
      <c r="K3292" s="4">
        <f>Table3[[#This Row],[Sales]]-Table3[[#This Row],[Cost]]</f>
        <v>15223.029999999999</v>
      </c>
      <c r="L3292" s="6">
        <f>Table3[[#This Row],[Profit]]/Table3[[#This Row],[Sales]]</f>
        <v>0.44288785704726497</v>
      </c>
    </row>
    <row r="3293" spans="1:12" x14ac:dyDescent="0.25">
      <c r="A3293" t="s">
        <v>2423</v>
      </c>
      <c r="B3293" s="2">
        <v>44972</v>
      </c>
      <c r="C3293" s="2" t="str">
        <f>TEXT(Table3[[#This Row],[Order Date]],"mmmm")</f>
        <v>February</v>
      </c>
      <c r="D3293" t="s">
        <v>3220</v>
      </c>
      <c r="E3293" t="s">
        <v>3222</v>
      </c>
      <c r="F3293" t="s">
        <v>3226</v>
      </c>
      <c r="G3293" s="4">
        <v>61743.9</v>
      </c>
      <c r="H3293" s="4">
        <v>42801.8</v>
      </c>
      <c r="I3293" s="3" t="s">
        <v>3734</v>
      </c>
      <c r="J3293">
        <v>4</v>
      </c>
      <c r="K3293" s="4">
        <f>Table3[[#This Row],[Sales]]-Table3[[#This Row],[Cost]]</f>
        <v>18942.099999999999</v>
      </c>
      <c r="L3293" s="6">
        <f>Table3[[#This Row],[Profit]]/Table3[[#This Row],[Sales]]</f>
        <v>0.30678496175330677</v>
      </c>
    </row>
    <row r="3294" spans="1:12" x14ac:dyDescent="0.25">
      <c r="A3294" t="s">
        <v>3491</v>
      </c>
      <c r="B3294" s="2">
        <v>45021</v>
      </c>
      <c r="C3294" s="2" t="str">
        <f>TEXT(Table3[[#This Row],[Order Date]],"mmmm")</f>
        <v>April</v>
      </c>
      <c r="D3294" t="s">
        <v>3731</v>
      </c>
      <c r="E3294" t="s">
        <v>3222</v>
      </c>
      <c r="F3294" t="s">
        <v>3226</v>
      </c>
      <c r="G3294" s="4">
        <v>13704.12</v>
      </c>
      <c r="H3294" s="4">
        <v>10614.99</v>
      </c>
      <c r="I3294" s="3" t="s">
        <v>3734</v>
      </c>
      <c r="J3294" t="s">
        <v>3732</v>
      </c>
      <c r="K3294" s="4">
        <f>Table3[[#This Row],[Sales]]-Table3[[#This Row],[Cost]]</f>
        <v>3089.130000000001</v>
      </c>
      <c r="L3294" s="6">
        <f>Table3[[#This Row],[Profit]]/Table3[[#This Row],[Sales]]</f>
        <v>0.22541615222283523</v>
      </c>
    </row>
    <row r="3295" spans="1:12" x14ac:dyDescent="0.25">
      <c r="A3295" t="s">
        <v>2862</v>
      </c>
      <c r="B3295" s="2">
        <v>45021</v>
      </c>
      <c r="C3295" s="2" t="str">
        <f>TEXT(Table3[[#This Row],[Order Date]],"mmmm")</f>
        <v>April</v>
      </c>
      <c r="D3295" t="s">
        <v>3730</v>
      </c>
      <c r="E3295" t="s">
        <v>3225</v>
      </c>
      <c r="F3295" t="s">
        <v>3226</v>
      </c>
      <c r="G3295" s="4">
        <v>39035.33</v>
      </c>
      <c r="H3295" s="4">
        <v>27465.84</v>
      </c>
      <c r="I3295" s="3" t="s">
        <v>3734</v>
      </c>
      <c r="J3295" t="s">
        <v>3732</v>
      </c>
      <c r="K3295" s="4">
        <f>Table3[[#This Row],[Sales]]-Table3[[#This Row],[Cost]]</f>
        <v>11569.490000000002</v>
      </c>
      <c r="L3295" s="6">
        <f>Table3[[#This Row],[Profit]]/Table3[[#This Row],[Sales]]</f>
        <v>0.29638509524576839</v>
      </c>
    </row>
    <row r="3296" spans="1:12" x14ac:dyDescent="0.25">
      <c r="A3296" t="s">
        <v>2863</v>
      </c>
      <c r="B3296" s="2">
        <v>45005</v>
      </c>
      <c r="C3296" s="2" t="str">
        <f>TEXT(Table3[[#This Row],[Order Date]],"mmmm")</f>
        <v>March</v>
      </c>
      <c r="D3296" t="s">
        <v>3730</v>
      </c>
      <c r="E3296" t="s">
        <v>3224</v>
      </c>
      <c r="F3296" t="s">
        <v>3226</v>
      </c>
      <c r="G3296" s="4">
        <v>48215.17</v>
      </c>
      <c r="H3296" s="4">
        <v>48996.02</v>
      </c>
      <c r="I3296" s="3" t="s">
        <v>3734</v>
      </c>
      <c r="J3296">
        <v>1</v>
      </c>
      <c r="K3296" s="4">
        <f>Table3[[#This Row],[Sales]]-Table3[[#This Row],[Cost]]</f>
        <v>-780.84999999999854</v>
      </c>
      <c r="L3296" s="6">
        <f>Table3[[#This Row],[Profit]]/Table3[[#This Row],[Sales]]</f>
        <v>-1.6195110377086683E-2</v>
      </c>
    </row>
    <row r="3297" spans="1:12" x14ac:dyDescent="0.25">
      <c r="A3297" t="s">
        <v>2864</v>
      </c>
      <c r="B3297" s="2">
        <v>45102</v>
      </c>
      <c r="C3297" s="2" t="str">
        <f>TEXT(Table3[[#This Row],[Order Date]],"mmmm")</f>
        <v>June</v>
      </c>
      <c r="D3297" t="s">
        <v>3730</v>
      </c>
      <c r="E3297" t="s">
        <v>3222</v>
      </c>
      <c r="F3297" t="s">
        <v>3226</v>
      </c>
      <c r="G3297" s="4">
        <v>53348.61</v>
      </c>
      <c r="H3297" s="4">
        <v>31452.67</v>
      </c>
      <c r="I3297" s="3" t="s">
        <v>3734</v>
      </c>
      <c r="J3297">
        <v>3</v>
      </c>
      <c r="K3297" s="4">
        <f>Table3[[#This Row],[Sales]]-Table3[[#This Row],[Cost]]</f>
        <v>21895.940000000002</v>
      </c>
      <c r="L3297" s="6">
        <f>Table3[[#This Row],[Profit]]/Table3[[#This Row],[Sales]]</f>
        <v>0.41043131208104583</v>
      </c>
    </row>
    <row r="3298" spans="1:12" x14ac:dyDescent="0.25">
      <c r="A3298" t="s">
        <v>2865</v>
      </c>
      <c r="B3298" s="2">
        <v>44941</v>
      </c>
      <c r="C3298" s="2" t="str">
        <f>TEXT(Table3[[#This Row],[Order Date]],"mmmm")</f>
        <v>January</v>
      </c>
      <c r="D3298" t="s">
        <v>3220</v>
      </c>
      <c r="E3298" t="s">
        <v>3224</v>
      </c>
      <c r="F3298" t="s">
        <v>3226</v>
      </c>
      <c r="G3298" s="4">
        <v>200860.27</v>
      </c>
      <c r="H3298" s="4">
        <v>172467.61</v>
      </c>
      <c r="I3298" s="3" t="s">
        <v>3734</v>
      </c>
      <c r="J3298">
        <v>4</v>
      </c>
      <c r="K3298" s="4">
        <f>Table3[[#This Row],[Sales]]-Table3[[#This Row],[Cost]]</f>
        <v>28392.660000000003</v>
      </c>
      <c r="L3298" s="6">
        <f>Table3[[#This Row],[Profit]]/Table3[[#This Row],[Sales]]</f>
        <v>0.14135528146009166</v>
      </c>
    </row>
    <row r="3299" spans="1:12" x14ac:dyDescent="0.25">
      <c r="A3299" t="s">
        <v>3590</v>
      </c>
      <c r="B3299" s="2">
        <v>45102</v>
      </c>
      <c r="C3299" s="2" t="str">
        <f>TEXT(Table3[[#This Row],[Order Date]],"mmmm")</f>
        <v>June</v>
      </c>
      <c r="D3299" t="s">
        <v>3731</v>
      </c>
      <c r="E3299" t="s">
        <v>3224</v>
      </c>
      <c r="F3299" t="s">
        <v>3226</v>
      </c>
      <c r="G3299" s="4">
        <v>142995.99</v>
      </c>
      <c r="H3299" s="4">
        <v>86908.34</v>
      </c>
      <c r="I3299" s="3" t="s">
        <v>3734</v>
      </c>
      <c r="J3299">
        <v>2</v>
      </c>
      <c r="K3299" s="4">
        <f>Table3[[#This Row],[Sales]]-Table3[[#This Row],[Cost]]</f>
        <v>56087.649999999994</v>
      </c>
      <c r="L3299" s="6">
        <f>Table3[[#This Row],[Profit]]/Table3[[#This Row],[Sales]]</f>
        <v>0.39223232763380284</v>
      </c>
    </row>
    <row r="3300" spans="1:12" x14ac:dyDescent="0.25">
      <c r="A3300" t="s">
        <v>2483</v>
      </c>
      <c r="B3300" s="2">
        <v>44972</v>
      </c>
      <c r="C3300" s="2" t="str">
        <f>TEXT(Table3[[#This Row],[Order Date]],"mmmm")</f>
        <v>February</v>
      </c>
      <c r="D3300" t="s">
        <v>3731</v>
      </c>
      <c r="E3300" t="s">
        <v>3223</v>
      </c>
      <c r="F3300" t="s">
        <v>3226</v>
      </c>
      <c r="G3300" s="4">
        <v>54169.25</v>
      </c>
      <c r="H3300" s="4">
        <v>38421.949999999997</v>
      </c>
      <c r="I3300" s="3" t="s">
        <v>3734</v>
      </c>
      <c r="J3300">
        <v>5</v>
      </c>
      <c r="K3300" s="4">
        <f>Table3[[#This Row],[Sales]]-Table3[[#This Row],[Cost]]</f>
        <v>15747.300000000003</v>
      </c>
      <c r="L3300" s="6">
        <f>Table3[[#This Row],[Profit]]/Table3[[#This Row],[Sales]]</f>
        <v>0.29070552019826751</v>
      </c>
    </row>
    <row r="3301" spans="1:12" x14ac:dyDescent="0.25">
      <c r="A3301" t="s">
        <v>2082</v>
      </c>
      <c r="B3301" s="2">
        <v>45005</v>
      </c>
      <c r="C3301" s="2" t="str">
        <f>TEXT(Table3[[#This Row],[Order Date]],"mmmm")</f>
        <v>March</v>
      </c>
      <c r="D3301" t="s">
        <v>3220</v>
      </c>
      <c r="E3301" t="s">
        <v>3222</v>
      </c>
      <c r="F3301" t="s">
        <v>3226</v>
      </c>
      <c r="G3301" s="4">
        <v>53575.03</v>
      </c>
      <c r="H3301" s="4">
        <v>42645.02</v>
      </c>
      <c r="I3301" s="3" t="s">
        <v>3734</v>
      </c>
      <c r="J3301">
        <v>4</v>
      </c>
      <c r="K3301" s="4">
        <f>Table3[[#This Row],[Sales]]-Table3[[#This Row],[Cost]]</f>
        <v>10930.010000000002</v>
      </c>
      <c r="L3301" s="6">
        <f>Table3[[#This Row],[Profit]]/Table3[[#This Row],[Sales]]</f>
        <v>0.20401313821009531</v>
      </c>
    </row>
    <row r="3302" spans="1:12" x14ac:dyDescent="0.25">
      <c r="A3302" t="s">
        <v>2866</v>
      </c>
      <c r="B3302" s="2">
        <v>44972</v>
      </c>
      <c r="C3302" s="2" t="str">
        <f>TEXT(Table3[[#This Row],[Order Date]],"mmmm")</f>
        <v>February</v>
      </c>
      <c r="D3302" t="s">
        <v>3220</v>
      </c>
      <c r="E3302" t="s">
        <v>3224</v>
      </c>
      <c r="F3302" t="s">
        <v>3226</v>
      </c>
      <c r="G3302" s="4">
        <v>122335.78</v>
      </c>
      <c r="H3302" s="4">
        <v>82029.42</v>
      </c>
      <c r="I3302" s="3" t="s">
        <v>3734</v>
      </c>
      <c r="J3302">
        <v>2</v>
      </c>
      <c r="K3302" s="4">
        <f>Table3[[#This Row],[Sales]]-Table3[[#This Row],[Cost]]</f>
        <v>40306.36</v>
      </c>
      <c r="L3302" s="6">
        <f>Table3[[#This Row],[Profit]]/Table3[[#This Row],[Sales]]</f>
        <v>0.32947319255249774</v>
      </c>
    </row>
    <row r="3303" spans="1:12" x14ac:dyDescent="0.25">
      <c r="A3303" t="s">
        <v>2867</v>
      </c>
      <c r="B3303" s="2">
        <v>45102</v>
      </c>
      <c r="C3303" s="2" t="str">
        <f>TEXT(Table3[[#This Row],[Order Date]],"mmmm")</f>
        <v>June</v>
      </c>
      <c r="D3303" t="s">
        <v>3730</v>
      </c>
      <c r="E3303" t="s">
        <v>3223</v>
      </c>
      <c r="F3303" t="s">
        <v>3226</v>
      </c>
      <c r="G3303" s="4">
        <v>40111.699999999997</v>
      </c>
      <c r="H3303" s="4">
        <v>26226.59</v>
      </c>
      <c r="I3303" s="3" t="s">
        <v>3734</v>
      </c>
      <c r="J3303">
        <v>4</v>
      </c>
      <c r="K3303" s="4">
        <f>Table3[[#This Row],[Sales]]-Table3[[#This Row],[Cost]]</f>
        <v>13885.109999999997</v>
      </c>
      <c r="L3303" s="6">
        <f>Table3[[#This Row],[Profit]]/Table3[[#This Row],[Sales]]</f>
        <v>0.34616109514181642</v>
      </c>
    </row>
    <row r="3304" spans="1:12" x14ac:dyDescent="0.25">
      <c r="A3304" t="s">
        <v>3467</v>
      </c>
      <c r="B3304" s="2">
        <v>44941</v>
      </c>
      <c r="C3304" s="2" t="str">
        <f>TEXT(Table3[[#This Row],[Order Date]],"mmmm")</f>
        <v>January</v>
      </c>
      <c r="D3304" t="s">
        <v>3731</v>
      </c>
      <c r="E3304" t="s">
        <v>3225</v>
      </c>
      <c r="F3304" t="s">
        <v>3226</v>
      </c>
      <c r="G3304" s="4">
        <v>17873.27</v>
      </c>
      <c r="H3304" s="4">
        <v>12694.93</v>
      </c>
      <c r="I3304" s="3" t="s">
        <v>3734</v>
      </c>
      <c r="J3304">
        <v>1</v>
      </c>
      <c r="K3304" s="4">
        <f>Table3[[#This Row],[Sales]]-Table3[[#This Row],[Cost]]</f>
        <v>5178.34</v>
      </c>
      <c r="L3304" s="6">
        <f>Table3[[#This Row],[Profit]]/Table3[[#This Row],[Sales]]</f>
        <v>0.28972538321191366</v>
      </c>
    </row>
    <row r="3305" spans="1:12" x14ac:dyDescent="0.25">
      <c r="A3305" t="s">
        <v>2868</v>
      </c>
      <c r="B3305" s="2">
        <v>44941</v>
      </c>
      <c r="C3305" s="2" t="str">
        <f>TEXT(Table3[[#This Row],[Order Date]],"mmmm")</f>
        <v>January</v>
      </c>
      <c r="D3305" t="s">
        <v>3730</v>
      </c>
      <c r="E3305" t="s">
        <v>3223</v>
      </c>
      <c r="F3305" t="s">
        <v>3226</v>
      </c>
      <c r="G3305" s="4">
        <v>46879.44</v>
      </c>
      <c r="H3305" s="4">
        <v>32466.09</v>
      </c>
      <c r="I3305" s="3" t="s">
        <v>3734</v>
      </c>
      <c r="J3305">
        <v>5</v>
      </c>
      <c r="K3305" s="4">
        <f>Table3[[#This Row],[Sales]]-Table3[[#This Row],[Cost]]</f>
        <v>14413.350000000002</v>
      </c>
      <c r="L3305" s="6">
        <f>Table3[[#This Row],[Profit]]/Table3[[#This Row],[Sales]]</f>
        <v>0.30745567779819899</v>
      </c>
    </row>
    <row r="3306" spans="1:12" x14ac:dyDescent="0.25">
      <c r="A3306" t="s">
        <v>58</v>
      </c>
      <c r="B3306" s="2">
        <v>45102</v>
      </c>
      <c r="C3306" s="2" t="str">
        <f>TEXT(Table3[[#This Row],[Order Date]],"mmmm")</f>
        <v>June</v>
      </c>
      <c r="D3306" t="s">
        <v>3220</v>
      </c>
      <c r="E3306" t="s">
        <v>3222</v>
      </c>
      <c r="F3306" t="s">
        <v>3226</v>
      </c>
      <c r="G3306" s="4">
        <v>15281.78</v>
      </c>
      <c r="H3306" s="4">
        <v>9092.42</v>
      </c>
      <c r="I3306" s="3" t="s">
        <v>3734</v>
      </c>
      <c r="J3306">
        <v>1</v>
      </c>
      <c r="K3306" s="4">
        <f>Table3[[#This Row],[Sales]]-Table3[[#This Row],[Cost]]</f>
        <v>6189.3600000000006</v>
      </c>
      <c r="L3306" s="6">
        <f>Table3[[#This Row],[Profit]]/Table3[[#This Row],[Sales]]</f>
        <v>0.40501564608311336</v>
      </c>
    </row>
    <row r="3307" spans="1:12" x14ac:dyDescent="0.25">
      <c r="A3307" t="s">
        <v>2869</v>
      </c>
      <c r="B3307" s="2">
        <v>44972</v>
      </c>
      <c r="C3307" s="2" t="str">
        <f>TEXT(Table3[[#This Row],[Order Date]],"mmmm")</f>
        <v>February</v>
      </c>
      <c r="D3307" t="s">
        <v>3731</v>
      </c>
      <c r="E3307" t="s">
        <v>3223</v>
      </c>
      <c r="F3307" t="s">
        <v>3226</v>
      </c>
      <c r="G3307" s="4">
        <v>9709.2099999999991</v>
      </c>
      <c r="H3307" s="4">
        <v>7294.13</v>
      </c>
      <c r="I3307" s="3" t="s">
        <v>3734</v>
      </c>
      <c r="J3307">
        <v>1</v>
      </c>
      <c r="K3307" s="4">
        <f>Table3[[#This Row],[Sales]]-Table3[[#This Row],[Cost]]</f>
        <v>2415.079999999999</v>
      </c>
      <c r="L3307" s="6">
        <f>Table3[[#This Row],[Profit]]/Table3[[#This Row],[Sales]]</f>
        <v>0.2487411437181809</v>
      </c>
    </row>
    <row r="3308" spans="1:12" x14ac:dyDescent="0.25">
      <c r="A3308" t="s">
        <v>2870</v>
      </c>
      <c r="B3308" s="2">
        <v>45102</v>
      </c>
      <c r="C3308" s="2" t="str">
        <f>TEXT(Table3[[#This Row],[Order Date]],"mmmm")</f>
        <v>June</v>
      </c>
      <c r="D3308" t="s">
        <v>3730</v>
      </c>
      <c r="E3308" t="s">
        <v>3223</v>
      </c>
      <c r="F3308" t="s">
        <v>3226</v>
      </c>
      <c r="G3308" s="4">
        <v>22190.95</v>
      </c>
      <c r="H3308" s="4">
        <v>12802.26</v>
      </c>
      <c r="I3308" s="3" t="s">
        <v>3734</v>
      </c>
      <c r="J3308">
        <v>2</v>
      </c>
      <c r="K3308" s="4">
        <f>Table3[[#This Row],[Sales]]-Table3[[#This Row],[Cost]]</f>
        <v>9388.69</v>
      </c>
      <c r="L3308" s="6">
        <f>Table3[[#This Row],[Profit]]/Table3[[#This Row],[Sales]]</f>
        <v>0.42308643839042492</v>
      </c>
    </row>
    <row r="3309" spans="1:12" x14ac:dyDescent="0.25">
      <c r="A3309" t="s">
        <v>2871</v>
      </c>
      <c r="B3309" s="2">
        <v>45102</v>
      </c>
      <c r="C3309" s="2" t="str">
        <f>TEXT(Table3[[#This Row],[Order Date]],"mmmm")</f>
        <v>June</v>
      </c>
      <c r="D3309" t="s">
        <v>3220</v>
      </c>
      <c r="E3309" t="s">
        <v>3222</v>
      </c>
      <c r="F3309" t="s">
        <v>3226</v>
      </c>
      <c r="G3309" s="4">
        <v>40052.11</v>
      </c>
      <c r="H3309" s="4">
        <v>32899.96</v>
      </c>
      <c r="I3309" s="3" t="s">
        <v>3734</v>
      </c>
      <c r="J3309">
        <v>3</v>
      </c>
      <c r="K3309" s="4">
        <f>Table3[[#This Row],[Sales]]-Table3[[#This Row],[Cost]]</f>
        <v>7152.1500000000015</v>
      </c>
      <c r="L3309" s="6">
        <f>Table3[[#This Row],[Profit]]/Table3[[#This Row],[Sales]]</f>
        <v>0.1785711164780083</v>
      </c>
    </row>
    <row r="3310" spans="1:12" x14ac:dyDescent="0.25">
      <c r="A3310" t="s">
        <v>2104</v>
      </c>
      <c r="B3310" s="2" t="s">
        <v>3729</v>
      </c>
      <c r="C3310" s="2" t="str">
        <f>TEXT(Table3[[#This Row],[Order Date]],"mmmm")</f>
        <v>Not Mentioned</v>
      </c>
      <c r="D3310" t="s">
        <v>3216</v>
      </c>
      <c r="E3310" t="s">
        <v>3224</v>
      </c>
      <c r="F3310" t="s">
        <v>3226</v>
      </c>
      <c r="G3310" s="4">
        <v>198176.93</v>
      </c>
      <c r="H3310" s="4">
        <v>144096.95999999999</v>
      </c>
      <c r="I3310" s="3" t="s">
        <v>3734</v>
      </c>
      <c r="J3310">
        <v>3</v>
      </c>
      <c r="K3310" s="4">
        <f>Table3[[#This Row],[Sales]]-Table3[[#This Row],[Cost]]</f>
        <v>54079.97</v>
      </c>
      <c r="L3310" s="6">
        <f>Table3[[#This Row],[Profit]]/Table3[[#This Row],[Sales]]</f>
        <v>0.272887313371945</v>
      </c>
    </row>
    <row r="3311" spans="1:12" x14ac:dyDescent="0.25">
      <c r="A3311" t="s">
        <v>3518</v>
      </c>
      <c r="B3311" s="2">
        <v>44941</v>
      </c>
      <c r="C3311" s="2" t="str">
        <f>TEXT(Table3[[#This Row],[Order Date]],"mmmm")</f>
        <v>January</v>
      </c>
      <c r="D3311" t="s">
        <v>3216</v>
      </c>
      <c r="E3311" t="s">
        <v>3222</v>
      </c>
      <c r="F3311" t="s">
        <v>3226</v>
      </c>
      <c r="G3311" s="4">
        <v>68857.87</v>
      </c>
      <c r="H3311" s="4">
        <v>47186.63</v>
      </c>
      <c r="I3311" s="3" t="s">
        <v>3734</v>
      </c>
      <c r="J3311">
        <v>5</v>
      </c>
      <c r="K3311" s="4">
        <f>Table3[[#This Row],[Sales]]-Table3[[#This Row],[Cost]]</f>
        <v>21671.239999999998</v>
      </c>
      <c r="L3311" s="6">
        <f>Table3[[#This Row],[Profit]]/Table3[[#This Row],[Sales]]</f>
        <v>0.31472422832713237</v>
      </c>
    </row>
    <row r="3312" spans="1:12" x14ac:dyDescent="0.25">
      <c r="A3312" t="s">
        <v>1270</v>
      </c>
      <c r="B3312" s="2">
        <v>45005</v>
      </c>
      <c r="C3312" s="2" t="str">
        <f>TEXT(Table3[[#This Row],[Order Date]],"mmmm")</f>
        <v>March</v>
      </c>
      <c r="D3312" t="s">
        <v>3731</v>
      </c>
      <c r="E3312" t="s">
        <v>3223</v>
      </c>
      <c r="F3312" t="s">
        <v>3226</v>
      </c>
      <c r="G3312" s="4">
        <v>26303.49</v>
      </c>
      <c r="H3312" s="4">
        <v>21538.73</v>
      </c>
      <c r="I3312" s="3" t="s">
        <v>3734</v>
      </c>
      <c r="J3312">
        <v>3</v>
      </c>
      <c r="K3312" s="4">
        <f>Table3[[#This Row],[Sales]]-Table3[[#This Row],[Cost]]</f>
        <v>4764.760000000002</v>
      </c>
      <c r="L3312" s="6">
        <f>Table3[[#This Row],[Profit]]/Table3[[#This Row],[Sales]]</f>
        <v>0.18114554380426331</v>
      </c>
    </row>
    <row r="3313" spans="1:12" x14ac:dyDescent="0.25">
      <c r="A3313" t="s">
        <v>1344</v>
      </c>
      <c r="B3313" s="2">
        <v>45021</v>
      </c>
      <c r="C3313" s="2" t="str">
        <f>TEXT(Table3[[#This Row],[Order Date]],"mmmm")</f>
        <v>April</v>
      </c>
      <c r="D3313" t="s">
        <v>3220</v>
      </c>
      <c r="E3313" t="s">
        <v>3224</v>
      </c>
      <c r="F3313" t="s">
        <v>3226</v>
      </c>
      <c r="G3313" s="4">
        <v>103278.07</v>
      </c>
      <c r="H3313" s="4">
        <v>86165.86</v>
      </c>
      <c r="I3313" s="3" t="s">
        <v>3734</v>
      </c>
      <c r="J3313">
        <v>2</v>
      </c>
      <c r="K3313" s="4">
        <f>Table3[[#This Row],[Sales]]-Table3[[#This Row],[Cost]]</f>
        <v>17112.210000000006</v>
      </c>
      <c r="L3313" s="6">
        <f>Table3[[#This Row],[Profit]]/Table3[[#This Row],[Sales]]</f>
        <v>0.16569064468381337</v>
      </c>
    </row>
    <row r="3314" spans="1:12" x14ac:dyDescent="0.25">
      <c r="A3314" t="s">
        <v>2872</v>
      </c>
      <c r="B3314" s="2">
        <v>45005</v>
      </c>
      <c r="C3314" s="2" t="str">
        <f>TEXT(Table3[[#This Row],[Order Date]],"mmmm")</f>
        <v>March</v>
      </c>
      <c r="D3314" t="s">
        <v>3220</v>
      </c>
      <c r="E3314" t="s">
        <v>3225</v>
      </c>
      <c r="F3314" t="s">
        <v>3226</v>
      </c>
      <c r="G3314" s="4">
        <v>83296.58</v>
      </c>
      <c r="H3314" s="4">
        <v>58102.04</v>
      </c>
      <c r="I3314" s="3" t="s">
        <v>3734</v>
      </c>
      <c r="J3314">
        <v>4</v>
      </c>
      <c r="K3314" s="4">
        <f>Table3[[#This Row],[Sales]]-Table3[[#This Row],[Cost]]</f>
        <v>25194.54</v>
      </c>
      <c r="L3314" s="6">
        <f>Table3[[#This Row],[Profit]]/Table3[[#This Row],[Sales]]</f>
        <v>0.30246788043398659</v>
      </c>
    </row>
    <row r="3315" spans="1:12" x14ac:dyDescent="0.25">
      <c r="A3315" t="s">
        <v>3687</v>
      </c>
      <c r="B3315" s="2">
        <v>44972</v>
      </c>
      <c r="C3315" s="2" t="str">
        <f>TEXT(Table3[[#This Row],[Order Date]],"mmmm")</f>
        <v>February</v>
      </c>
      <c r="D3315" t="s">
        <v>3730</v>
      </c>
      <c r="E3315" t="s">
        <v>3222</v>
      </c>
      <c r="F3315" t="s">
        <v>3226</v>
      </c>
      <c r="G3315" s="4">
        <v>35192.93</v>
      </c>
      <c r="H3315" s="4">
        <v>17288.38</v>
      </c>
      <c r="I3315" s="3" t="s">
        <v>3734</v>
      </c>
      <c r="J3315">
        <v>2</v>
      </c>
      <c r="K3315" s="4">
        <f>Table3[[#This Row],[Sales]]-Table3[[#This Row],[Cost]]</f>
        <v>17904.55</v>
      </c>
      <c r="L3315" s="6">
        <f>Table3[[#This Row],[Profit]]/Table3[[#This Row],[Sales]]</f>
        <v>0.50875417306828385</v>
      </c>
    </row>
    <row r="3316" spans="1:12" x14ac:dyDescent="0.25">
      <c r="A3316" t="s">
        <v>3688</v>
      </c>
      <c r="B3316" s="2">
        <v>45005</v>
      </c>
      <c r="C3316" s="2" t="str">
        <f>TEXT(Table3[[#This Row],[Order Date]],"mmmm")</f>
        <v>March</v>
      </c>
      <c r="D3316" t="s">
        <v>3220</v>
      </c>
      <c r="E3316" t="s">
        <v>3225</v>
      </c>
      <c r="F3316" t="s">
        <v>3226</v>
      </c>
      <c r="G3316" s="4">
        <v>41387.47</v>
      </c>
      <c r="H3316" s="4">
        <v>24667.01</v>
      </c>
      <c r="I3316" s="3" t="s">
        <v>3734</v>
      </c>
      <c r="J3316">
        <v>2</v>
      </c>
      <c r="K3316" s="4">
        <f>Table3[[#This Row],[Sales]]-Table3[[#This Row],[Cost]]</f>
        <v>16720.460000000003</v>
      </c>
      <c r="L3316" s="6">
        <f>Table3[[#This Row],[Profit]]/Table3[[#This Row],[Sales]]</f>
        <v>0.4039981182710613</v>
      </c>
    </row>
    <row r="3317" spans="1:12" x14ac:dyDescent="0.25">
      <c r="A3317" t="s">
        <v>3689</v>
      </c>
      <c r="B3317" s="2">
        <v>44941</v>
      </c>
      <c r="C3317" s="2" t="str">
        <f>TEXT(Table3[[#This Row],[Order Date]],"mmmm")</f>
        <v>January</v>
      </c>
      <c r="D3317" t="s">
        <v>3730</v>
      </c>
      <c r="E3317" t="s">
        <v>3222</v>
      </c>
      <c r="F3317" t="s">
        <v>3226</v>
      </c>
      <c r="G3317" s="4">
        <v>37669.57</v>
      </c>
      <c r="H3317" s="4">
        <v>30135.656000000003</v>
      </c>
      <c r="I3317" s="3" t="s">
        <v>3735</v>
      </c>
      <c r="J3317">
        <v>3</v>
      </c>
      <c r="K3317" s="4">
        <f>Table3[[#This Row],[Sales]]-Table3[[#This Row],[Cost]]</f>
        <v>7533.913999999997</v>
      </c>
      <c r="L3317" s="6">
        <f>Table3[[#This Row],[Profit]]/Table3[[#This Row],[Sales]]</f>
        <v>0.19999999999999993</v>
      </c>
    </row>
    <row r="3318" spans="1:12" x14ac:dyDescent="0.25">
      <c r="A3318" t="s">
        <v>2876</v>
      </c>
      <c r="B3318" s="2" t="s">
        <v>3729</v>
      </c>
      <c r="C3318" s="2" t="str">
        <f>TEXT(Table3[[#This Row],[Order Date]],"mmmm")</f>
        <v>Not Mentioned</v>
      </c>
      <c r="D3318" t="s">
        <v>3220</v>
      </c>
      <c r="E3318" t="s">
        <v>3222</v>
      </c>
      <c r="F3318" t="s">
        <v>3226</v>
      </c>
      <c r="G3318" s="4">
        <v>61185.99</v>
      </c>
      <c r="H3318" s="4">
        <v>39348.75</v>
      </c>
      <c r="I3318" s="3" t="s">
        <v>3734</v>
      </c>
      <c r="J3318">
        <v>4</v>
      </c>
      <c r="K3318" s="4">
        <f>Table3[[#This Row],[Sales]]-Table3[[#This Row],[Cost]]</f>
        <v>21837.239999999998</v>
      </c>
      <c r="L3318" s="6">
        <f>Table3[[#This Row],[Profit]]/Table3[[#This Row],[Sales]]</f>
        <v>0.35689934901764275</v>
      </c>
    </row>
    <row r="3319" spans="1:12" x14ac:dyDescent="0.25">
      <c r="A3319" t="s">
        <v>2877</v>
      </c>
      <c r="B3319" s="2">
        <v>44941</v>
      </c>
      <c r="C3319" s="2" t="str">
        <f>TEXT(Table3[[#This Row],[Order Date]],"mmmm")</f>
        <v>January</v>
      </c>
      <c r="D3319" t="s">
        <v>3730</v>
      </c>
      <c r="E3319" t="s">
        <v>3222</v>
      </c>
      <c r="F3319" t="s">
        <v>3226</v>
      </c>
      <c r="G3319" s="4">
        <v>63431.81</v>
      </c>
      <c r="H3319" s="4">
        <v>37961.660000000003</v>
      </c>
      <c r="I3319" s="3" t="s">
        <v>3734</v>
      </c>
      <c r="J3319">
        <v>4</v>
      </c>
      <c r="K3319" s="4">
        <f>Table3[[#This Row],[Sales]]-Table3[[#This Row],[Cost]]</f>
        <v>25470.149999999994</v>
      </c>
      <c r="L3319" s="6">
        <f>Table3[[#This Row],[Profit]]/Table3[[#This Row],[Sales]]</f>
        <v>0.40153591707378355</v>
      </c>
    </row>
    <row r="3320" spans="1:12" x14ac:dyDescent="0.25">
      <c r="A3320" t="s">
        <v>2880</v>
      </c>
      <c r="B3320" s="2">
        <v>44972</v>
      </c>
      <c r="C3320" s="2" t="str">
        <f>TEXT(Table3[[#This Row],[Order Date]],"mmmm")</f>
        <v>February</v>
      </c>
      <c r="D3320" t="s">
        <v>3216</v>
      </c>
      <c r="E3320" t="s">
        <v>3224</v>
      </c>
      <c r="F3320" t="s">
        <v>3226</v>
      </c>
      <c r="G3320" s="4">
        <v>71077.210000000006</v>
      </c>
      <c r="H3320" s="4">
        <v>44286.03</v>
      </c>
      <c r="I3320" s="3" t="s">
        <v>3734</v>
      </c>
      <c r="J3320" t="s">
        <v>3732</v>
      </c>
      <c r="K3320" s="4">
        <f>Table3[[#This Row],[Sales]]-Table3[[#This Row],[Cost]]</f>
        <v>26791.180000000008</v>
      </c>
      <c r="L3320" s="6">
        <f>Table3[[#This Row],[Profit]]/Table3[[#This Row],[Sales]]</f>
        <v>0.37693066455478491</v>
      </c>
    </row>
    <row r="3321" spans="1:12" x14ac:dyDescent="0.25">
      <c r="A3321" t="s">
        <v>265</v>
      </c>
      <c r="B3321" s="2" t="s">
        <v>3729</v>
      </c>
      <c r="C3321" s="2" t="str">
        <f>TEXT(Table3[[#This Row],[Order Date]],"mmmm")</f>
        <v>Not Mentioned</v>
      </c>
      <c r="D3321" t="s">
        <v>3730</v>
      </c>
      <c r="E3321" t="s">
        <v>3224</v>
      </c>
      <c r="F3321" t="s">
        <v>3226</v>
      </c>
      <c r="G3321" s="4">
        <v>112675.15</v>
      </c>
      <c r="H3321" s="4">
        <v>79572.11</v>
      </c>
      <c r="I3321" s="3" t="s">
        <v>3734</v>
      </c>
      <c r="J3321">
        <v>2</v>
      </c>
      <c r="K3321" s="4">
        <f>Table3[[#This Row],[Sales]]-Table3[[#This Row],[Cost]]</f>
        <v>33103.039999999994</v>
      </c>
      <c r="L3321" s="6">
        <f>Table3[[#This Row],[Profit]]/Table3[[#This Row],[Sales]]</f>
        <v>0.29379184318813861</v>
      </c>
    </row>
    <row r="3322" spans="1:12" x14ac:dyDescent="0.25">
      <c r="A3322" t="s">
        <v>3654</v>
      </c>
      <c r="B3322" s="2">
        <v>45102</v>
      </c>
      <c r="C3322" s="2" t="str">
        <f>TEXT(Table3[[#This Row],[Order Date]],"mmmm")</f>
        <v>June</v>
      </c>
      <c r="D3322" t="s">
        <v>3216</v>
      </c>
      <c r="E3322" t="s">
        <v>3223</v>
      </c>
      <c r="F3322" t="s">
        <v>3226</v>
      </c>
      <c r="G3322" s="4">
        <v>10544.25</v>
      </c>
      <c r="H3322" s="4">
        <v>6073.82</v>
      </c>
      <c r="I3322" s="3" t="s">
        <v>3734</v>
      </c>
      <c r="J3322">
        <v>1</v>
      </c>
      <c r="K3322" s="4">
        <f>Table3[[#This Row],[Sales]]-Table3[[#This Row],[Cost]]</f>
        <v>4470.43</v>
      </c>
      <c r="L3322" s="6">
        <f>Table3[[#This Row],[Profit]]/Table3[[#This Row],[Sales]]</f>
        <v>0.42396851364487759</v>
      </c>
    </row>
    <row r="3323" spans="1:12" x14ac:dyDescent="0.25">
      <c r="A3323" t="s">
        <v>1346</v>
      </c>
      <c r="B3323" s="2">
        <v>44972</v>
      </c>
      <c r="C3323" s="2" t="str">
        <f>TEXT(Table3[[#This Row],[Order Date]],"mmmm")</f>
        <v>February</v>
      </c>
      <c r="D3323" t="s">
        <v>3731</v>
      </c>
      <c r="E3323" t="s">
        <v>3223</v>
      </c>
      <c r="F3323" t="s">
        <v>3226</v>
      </c>
      <c r="G3323" s="4">
        <v>54435.06</v>
      </c>
      <c r="H3323" s="4">
        <v>37811.11</v>
      </c>
      <c r="I3323" s="3" t="s">
        <v>3734</v>
      </c>
      <c r="J3323">
        <v>5</v>
      </c>
      <c r="K3323" s="4">
        <f>Table3[[#This Row],[Sales]]-Table3[[#This Row],[Cost]]</f>
        <v>16623.949999999997</v>
      </c>
      <c r="L3323" s="6">
        <f>Table3[[#This Row],[Profit]]/Table3[[#This Row],[Sales]]</f>
        <v>0.30539049649251782</v>
      </c>
    </row>
    <row r="3324" spans="1:12" x14ac:dyDescent="0.25">
      <c r="A3324" t="s">
        <v>3690</v>
      </c>
      <c r="B3324" s="2">
        <v>45021</v>
      </c>
      <c r="C3324" s="2" t="str">
        <f>TEXT(Table3[[#This Row],[Order Date]],"mmmm")</f>
        <v>April</v>
      </c>
      <c r="D3324" t="s">
        <v>3220</v>
      </c>
      <c r="E3324" t="s">
        <v>3225</v>
      </c>
      <c r="F3324" t="s">
        <v>3226</v>
      </c>
      <c r="G3324" s="4">
        <v>71508.27</v>
      </c>
      <c r="H3324" s="4">
        <v>36629.120000000003</v>
      </c>
      <c r="I3324" s="3" t="s">
        <v>3734</v>
      </c>
      <c r="J3324">
        <v>3</v>
      </c>
      <c r="K3324" s="4">
        <f>Table3[[#This Row],[Sales]]-Table3[[#This Row],[Cost]]</f>
        <v>34879.15</v>
      </c>
      <c r="L3324" s="6">
        <f>Table3[[#This Row],[Profit]]/Table3[[#This Row],[Sales]]</f>
        <v>0.48776386283712359</v>
      </c>
    </row>
    <row r="3325" spans="1:12" x14ac:dyDescent="0.25">
      <c r="A3325" t="s">
        <v>2882</v>
      </c>
      <c r="B3325" s="2">
        <v>44972</v>
      </c>
      <c r="C3325" s="2" t="str">
        <f>TEXT(Table3[[#This Row],[Order Date]],"mmmm")</f>
        <v>February</v>
      </c>
      <c r="D3325" t="s">
        <v>3730</v>
      </c>
      <c r="E3325" t="s">
        <v>3223</v>
      </c>
      <c r="F3325" t="s">
        <v>3226</v>
      </c>
      <c r="G3325" s="4">
        <v>9951.8799999999992</v>
      </c>
      <c r="H3325" s="4">
        <v>6753.14</v>
      </c>
      <c r="I3325" s="3" t="s">
        <v>3734</v>
      </c>
      <c r="J3325">
        <v>1</v>
      </c>
      <c r="K3325" s="4">
        <f>Table3[[#This Row],[Sales]]-Table3[[#This Row],[Cost]]</f>
        <v>3198.7399999999989</v>
      </c>
      <c r="L3325" s="6">
        <f>Table3[[#This Row],[Profit]]/Table3[[#This Row],[Sales]]</f>
        <v>0.32142067629432824</v>
      </c>
    </row>
    <row r="3326" spans="1:12" x14ac:dyDescent="0.25">
      <c r="A3326" t="s">
        <v>3691</v>
      </c>
      <c r="B3326" s="2">
        <v>44972</v>
      </c>
      <c r="C3326" s="2" t="str">
        <f>TEXT(Table3[[#This Row],[Order Date]],"mmmm")</f>
        <v>February</v>
      </c>
      <c r="D3326" t="s">
        <v>3216</v>
      </c>
      <c r="E3326" t="s">
        <v>3222</v>
      </c>
      <c r="F3326" t="s">
        <v>3226</v>
      </c>
      <c r="G3326" s="4">
        <v>79709.47</v>
      </c>
      <c r="H3326" s="4">
        <v>49255.69</v>
      </c>
      <c r="I3326" s="3" t="s">
        <v>3734</v>
      </c>
      <c r="J3326">
        <v>5</v>
      </c>
      <c r="K3326" s="4">
        <f>Table3[[#This Row],[Sales]]-Table3[[#This Row],[Cost]]</f>
        <v>30453.78</v>
      </c>
      <c r="L3326" s="6">
        <f>Table3[[#This Row],[Profit]]/Table3[[#This Row],[Sales]]</f>
        <v>0.38205974773135487</v>
      </c>
    </row>
    <row r="3327" spans="1:12" x14ac:dyDescent="0.25">
      <c r="A3327" t="s">
        <v>3692</v>
      </c>
      <c r="B3327" s="2">
        <v>45005</v>
      </c>
      <c r="C3327" s="2" t="str">
        <f>TEXT(Table3[[#This Row],[Order Date]],"mmmm")</f>
        <v>March</v>
      </c>
      <c r="D3327" t="s">
        <v>3730</v>
      </c>
      <c r="E3327" t="s">
        <v>3222</v>
      </c>
      <c r="F3327" t="s">
        <v>3226</v>
      </c>
      <c r="G3327" s="4">
        <v>16973.169999999998</v>
      </c>
      <c r="H3327" s="4">
        <v>13578.536</v>
      </c>
      <c r="I3327" s="3" t="s">
        <v>3735</v>
      </c>
      <c r="J3327">
        <v>1</v>
      </c>
      <c r="K3327" s="4">
        <f>Table3[[#This Row],[Sales]]-Table3[[#This Row],[Cost]]</f>
        <v>3394.6339999999982</v>
      </c>
      <c r="L3327" s="6">
        <f>Table3[[#This Row],[Profit]]/Table3[[#This Row],[Sales]]</f>
        <v>0.19999999999999993</v>
      </c>
    </row>
    <row r="3328" spans="1:12" x14ac:dyDescent="0.25">
      <c r="A3328" t="s">
        <v>3437</v>
      </c>
      <c r="B3328" s="2">
        <v>45005</v>
      </c>
      <c r="C3328" s="2" t="str">
        <f>TEXT(Table3[[#This Row],[Order Date]],"mmmm")</f>
        <v>March</v>
      </c>
      <c r="D3328" t="s">
        <v>3220</v>
      </c>
      <c r="E3328" t="s">
        <v>3222</v>
      </c>
      <c r="F3328" t="s">
        <v>3226</v>
      </c>
      <c r="G3328" s="4">
        <v>32151.22</v>
      </c>
      <c r="H3328" s="4">
        <v>17546.41</v>
      </c>
      <c r="I3328" s="3" t="s">
        <v>3734</v>
      </c>
      <c r="J3328">
        <v>2</v>
      </c>
      <c r="K3328" s="4">
        <f>Table3[[#This Row],[Sales]]-Table3[[#This Row],[Cost]]</f>
        <v>14604.810000000001</v>
      </c>
      <c r="L3328" s="6">
        <f>Table3[[#This Row],[Profit]]/Table3[[#This Row],[Sales]]</f>
        <v>0.45425367995366894</v>
      </c>
    </row>
    <row r="3329" spans="1:12" x14ac:dyDescent="0.25">
      <c r="A3329" t="s">
        <v>612</v>
      </c>
      <c r="B3329" s="2">
        <v>44972</v>
      </c>
      <c r="C3329" s="2" t="str">
        <f>TEXT(Table3[[#This Row],[Order Date]],"mmmm")</f>
        <v>February</v>
      </c>
      <c r="D3329" t="s">
        <v>3220</v>
      </c>
      <c r="E3329" t="s">
        <v>3225</v>
      </c>
      <c r="F3329" t="s">
        <v>3226</v>
      </c>
      <c r="G3329" s="4">
        <v>51815.35</v>
      </c>
      <c r="H3329" s="4">
        <v>38949.18</v>
      </c>
      <c r="I3329" s="3" t="s">
        <v>3734</v>
      </c>
      <c r="J3329">
        <v>3</v>
      </c>
      <c r="K3329" s="4">
        <f>Table3[[#This Row],[Sales]]-Table3[[#This Row],[Cost]]</f>
        <v>12866.169999999998</v>
      </c>
      <c r="L3329" s="6">
        <f>Table3[[#This Row],[Profit]]/Table3[[#This Row],[Sales]]</f>
        <v>0.24830807859061066</v>
      </c>
    </row>
    <row r="3330" spans="1:12" x14ac:dyDescent="0.25">
      <c r="A3330" t="s">
        <v>2886</v>
      </c>
      <c r="B3330" s="2">
        <v>44972</v>
      </c>
      <c r="C3330" s="2" t="str">
        <f>TEXT(Table3[[#This Row],[Order Date]],"mmmm")</f>
        <v>February</v>
      </c>
      <c r="D3330" t="s">
        <v>3730</v>
      </c>
      <c r="E3330" t="s">
        <v>3222</v>
      </c>
      <c r="F3330" t="s">
        <v>3226</v>
      </c>
      <c r="G3330" s="4">
        <v>64400.47</v>
      </c>
      <c r="H3330" s="4">
        <v>36614.67</v>
      </c>
      <c r="I3330" s="3" t="s">
        <v>3734</v>
      </c>
      <c r="J3330">
        <v>4</v>
      </c>
      <c r="K3330" s="4">
        <f>Table3[[#This Row],[Sales]]-Table3[[#This Row],[Cost]]</f>
        <v>27785.800000000003</v>
      </c>
      <c r="L3330" s="6">
        <f>Table3[[#This Row],[Profit]]/Table3[[#This Row],[Sales]]</f>
        <v>0.43145337293345842</v>
      </c>
    </row>
    <row r="3331" spans="1:12" x14ac:dyDescent="0.25">
      <c r="A3331" t="s">
        <v>2887</v>
      </c>
      <c r="B3331" s="2" t="s">
        <v>3729</v>
      </c>
      <c r="C3331" s="2" t="str">
        <f>TEXT(Table3[[#This Row],[Order Date]],"mmmm")</f>
        <v>Not Mentioned</v>
      </c>
      <c r="D3331" t="s">
        <v>3220</v>
      </c>
      <c r="E3331" t="s">
        <v>3224</v>
      </c>
      <c r="F3331" t="s">
        <v>3226</v>
      </c>
      <c r="G3331" s="4">
        <v>48556.23</v>
      </c>
      <c r="H3331" s="4">
        <v>47156.97</v>
      </c>
      <c r="I3331" s="3" t="s">
        <v>3734</v>
      </c>
      <c r="J3331">
        <v>1</v>
      </c>
      <c r="K3331" s="4">
        <f>Table3[[#This Row],[Sales]]-Table3[[#This Row],[Cost]]</f>
        <v>1399.260000000002</v>
      </c>
      <c r="L3331" s="6">
        <f>Table3[[#This Row],[Profit]]/Table3[[#This Row],[Sales]]</f>
        <v>2.8817311393409289E-2</v>
      </c>
    </row>
    <row r="3332" spans="1:12" x14ac:dyDescent="0.25">
      <c r="A3332" t="s">
        <v>2888</v>
      </c>
      <c r="B3332" s="2">
        <v>44972</v>
      </c>
      <c r="C3332" s="2" t="str">
        <f>TEXT(Table3[[#This Row],[Order Date]],"mmmm")</f>
        <v>February</v>
      </c>
      <c r="D3332" t="s">
        <v>3730</v>
      </c>
      <c r="E3332" t="s">
        <v>3225</v>
      </c>
      <c r="F3332" t="s">
        <v>3226</v>
      </c>
      <c r="G3332" s="4">
        <v>115561.65</v>
      </c>
      <c r="H3332" s="4">
        <v>60261.52</v>
      </c>
      <c r="I3332" s="3" t="s">
        <v>3734</v>
      </c>
      <c r="J3332">
        <v>5</v>
      </c>
      <c r="K3332" s="4">
        <f>Table3[[#This Row],[Sales]]-Table3[[#This Row],[Cost]]</f>
        <v>55300.13</v>
      </c>
      <c r="L3332" s="6">
        <f>Table3[[#This Row],[Profit]]/Table3[[#This Row],[Sales]]</f>
        <v>0.47853357926267059</v>
      </c>
    </row>
    <row r="3333" spans="1:12" x14ac:dyDescent="0.25">
      <c r="A3333" t="s">
        <v>1918</v>
      </c>
      <c r="B3333" s="2">
        <v>44941</v>
      </c>
      <c r="C3333" s="2" t="str">
        <f>TEXT(Table3[[#This Row],[Order Date]],"mmmm")</f>
        <v>January</v>
      </c>
      <c r="D3333" t="s">
        <v>3730</v>
      </c>
      <c r="E3333" t="s">
        <v>3225</v>
      </c>
      <c r="F3333" t="s">
        <v>3226</v>
      </c>
      <c r="G3333" s="4">
        <v>75168.23</v>
      </c>
      <c r="H3333" s="4">
        <v>53160.4</v>
      </c>
      <c r="I3333" s="3" t="s">
        <v>3734</v>
      </c>
      <c r="J3333">
        <v>4</v>
      </c>
      <c r="K3333" s="4">
        <f>Table3[[#This Row],[Sales]]-Table3[[#This Row],[Cost]]</f>
        <v>22007.829999999994</v>
      </c>
      <c r="L3333" s="6">
        <f>Table3[[#This Row],[Profit]]/Table3[[#This Row],[Sales]]</f>
        <v>0.29278100601810092</v>
      </c>
    </row>
    <row r="3334" spans="1:12" x14ac:dyDescent="0.25">
      <c r="A3334" t="s">
        <v>3585</v>
      </c>
      <c r="B3334" s="2">
        <v>45005</v>
      </c>
      <c r="C3334" s="2" t="str">
        <f>TEXT(Table3[[#This Row],[Order Date]],"mmmm")</f>
        <v>March</v>
      </c>
      <c r="D3334" t="s">
        <v>3730</v>
      </c>
      <c r="E3334" t="s">
        <v>3222</v>
      </c>
      <c r="F3334" t="s">
        <v>3226</v>
      </c>
      <c r="G3334" s="4">
        <v>63997.59</v>
      </c>
      <c r="H3334" s="4">
        <v>36995.279999999999</v>
      </c>
      <c r="I3334" s="3" t="s">
        <v>3734</v>
      </c>
      <c r="J3334">
        <v>4</v>
      </c>
      <c r="K3334" s="4">
        <f>Table3[[#This Row],[Sales]]-Table3[[#This Row],[Cost]]</f>
        <v>27002.309999999998</v>
      </c>
      <c r="L3334" s="6">
        <f>Table3[[#This Row],[Profit]]/Table3[[#This Row],[Sales]]</f>
        <v>0.42192698193791356</v>
      </c>
    </row>
    <row r="3335" spans="1:12" x14ac:dyDescent="0.25">
      <c r="A3335" t="s">
        <v>2889</v>
      </c>
      <c r="B3335" s="2">
        <v>44972</v>
      </c>
      <c r="C3335" s="2" t="str">
        <f>TEXT(Table3[[#This Row],[Order Date]],"mmmm")</f>
        <v>February</v>
      </c>
      <c r="D3335" t="s">
        <v>3730</v>
      </c>
      <c r="E3335" t="s">
        <v>3224</v>
      </c>
      <c r="F3335" t="s">
        <v>3226</v>
      </c>
      <c r="G3335" s="4">
        <v>339777.07</v>
      </c>
      <c r="H3335" s="4">
        <v>221905.25</v>
      </c>
      <c r="I3335" s="3" t="s">
        <v>3734</v>
      </c>
      <c r="J3335">
        <v>5</v>
      </c>
      <c r="K3335" s="4">
        <f>Table3[[#This Row],[Sales]]-Table3[[#This Row],[Cost]]</f>
        <v>117871.82</v>
      </c>
      <c r="L3335" s="6">
        <f>Table3[[#This Row],[Profit]]/Table3[[#This Row],[Sales]]</f>
        <v>0.3469092837842177</v>
      </c>
    </row>
    <row r="3336" spans="1:12" x14ac:dyDescent="0.25">
      <c r="A3336" t="s">
        <v>2890</v>
      </c>
      <c r="B3336" s="2">
        <v>45021</v>
      </c>
      <c r="C3336" s="2" t="str">
        <f>TEXT(Table3[[#This Row],[Order Date]],"mmmm")</f>
        <v>April</v>
      </c>
      <c r="D3336" t="s">
        <v>3220</v>
      </c>
      <c r="E3336" t="s">
        <v>3222</v>
      </c>
      <c r="F3336" t="s">
        <v>3226</v>
      </c>
      <c r="G3336" s="4">
        <v>87253.33</v>
      </c>
      <c r="H3336" s="4">
        <v>44506.239999999998</v>
      </c>
      <c r="I3336" s="3" t="s">
        <v>3734</v>
      </c>
      <c r="J3336">
        <v>5</v>
      </c>
      <c r="K3336" s="4">
        <f>Table3[[#This Row],[Sales]]-Table3[[#This Row],[Cost]]</f>
        <v>42747.090000000004</v>
      </c>
      <c r="L3336" s="6">
        <f>Table3[[#This Row],[Profit]]/Table3[[#This Row],[Sales]]</f>
        <v>0.48991929591684358</v>
      </c>
    </row>
    <row r="3337" spans="1:12" x14ac:dyDescent="0.25">
      <c r="A3337" t="s">
        <v>2891</v>
      </c>
      <c r="B3337" s="2" t="s">
        <v>3729</v>
      </c>
      <c r="C3337" s="2" t="str">
        <f>TEXT(Table3[[#This Row],[Order Date]],"mmmm")</f>
        <v>Not Mentioned</v>
      </c>
      <c r="D3337" t="s">
        <v>3730</v>
      </c>
      <c r="E3337" t="s">
        <v>3224</v>
      </c>
      <c r="F3337" t="s">
        <v>3226</v>
      </c>
      <c r="G3337" s="4">
        <v>63725.83</v>
      </c>
      <c r="H3337" s="4">
        <v>45867.8</v>
      </c>
      <c r="I3337" s="3" t="s">
        <v>3734</v>
      </c>
      <c r="J3337">
        <v>1</v>
      </c>
      <c r="K3337" s="4">
        <f>Table3[[#This Row],[Sales]]-Table3[[#This Row],[Cost]]</f>
        <v>17858.03</v>
      </c>
      <c r="L3337" s="6">
        <f>Table3[[#This Row],[Profit]]/Table3[[#This Row],[Sales]]</f>
        <v>0.28023220725410714</v>
      </c>
    </row>
    <row r="3338" spans="1:12" x14ac:dyDescent="0.25">
      <c r="A3338" t="s">
        <v>1822</v>
      </c>
      <c r="B3338" s="2">
        <v>45102</v>
      </c>
      <c r="C3338" s="2" t="str">
        <f>TEXT(Table3[[#This Row],[Order Date]],"mmmm")</f>
        <v>June</v>
      </c>
      <c r="D3338" t="s">
        <v>3220</v>
      </c>
      <c r="E3338" t="s">
        <v>3225</v>
      </c>
      <c r="F3338" t="s">
        <v>3226</v>
      </c>
      <c r="G3338" s="4">
        <v>61565.84</v>
      </c>
      <c r="H3338" s="4">
        <v>39088.18</v>
      </c>
      <c r="I3338" s="3" t="s">
        <v>3734</v>
      </c>
      <c r="J3338">
        <v>3</v>
      </c>
      <c r="K3338" s="4">
        <f>Table3[[#This Row],[Sales]]-Table3[[#This Row],[Cost]]</f>
        <v>22477.659999999996</v>
      </c>
      <c r="L3338" s="6">
        <f>Table3[[#This Row],[Profit]]/Table3[[#This Row],[Sales]]</f>
        <v>0.36509954221366908</v>
      </c>
    </row>
    <row r="3339" spans="1:12" x14ac:dyDescent="0.25">
      <c r="A3339" t="s">
        <v>2892</v>
      </c>
      <c r="B3339" s="2">
        <v>45005</v>
      </c>
      <c r="C3339" s="2" t="str">
        <f>TEXT(Table3[[#This Row],[Order Date]],"mmmm")</f>
        <v>March</v>
      </c>
      <c r="D3339" t="s">
        <v>3220</v>
      </c>
      <c r="E3339" t="s">
        <v>3225</v>
      </c>
      <c r="F3339" t="s">
        <v>3226</v>
      </c>
      <c r="G3339" s="4">
        <v>20174</v>
      </c>
      <c r="H3339" s="4">
        <v>12989.73</v>
      </c>
      <c r="I3339" s="3" t="s">
        <v>3734</v>
      </c>
      <c r="J3339">
        <v>1</v>
      </c>
      <c r="K3339" s="4">
        <f>Table3[[#This Row],[Sales]]-Table3[[#This Row],[Cost]]</f>
        <v>7184.27</v>
      </c>
      <c r="L3339" s="6">
        <f>Table3[[#This Row],[Profit]]/Table3[[#This Row],[Sales]]</f>
        <v>0.35611529691682364</v>
      </c>
    </row>
    <row r="3340" spans="1:12" x14ac:dyDescent="0.25">
      <c r="A3340" t="s">
        <v>2893</v>
      </c>
      <c r="B3340" s="2">
        <v>44972</v>
      </c>
      <c r="C3340" s="2" t="str">
        <f>TEXT(Table3[[#This Row],[Order Date]],"mmmm")</f>
        <v>February</v>
      </c>
      <c r="D3340" t="s">
        <v>3216</v>
      </c>
      <c r="E3340" t="s">
        <v>3225</v>
      </c>
      <c r="F3340" t="s">
        <v>3226</v>
      </c>
      <c r="G3340" s="4">
        <v>54290.85</v>
      </c>
      <c r="H3340" s="4">
        <v>37212.5</v>
      </c>
      <c r="I3340" s="3" t="s">
        <v>3734</v>
      </c>
      <c r="J3340">
        <v>3</v>
      </c>
      <c r="K3340" s="4">
        <f>Table3[[#This Row],[Sales]]-Table3[[#This Row],[Cost]]</f>
        <v>17078.349999999999</v>
      </c>
      <c r="L3340" s="6">
        <f>Table3[[#This Row],[Profit]]/Table3[[#This Row],[Sales]]</f>
        <v>0.31457142409816752</v>
      </c>
    </row>
    <row r="3341" spans="1:12" x14ac:dyDescent="0.25">
      <c r="A3341" t="s">
        <v>3693</v>
      </c>
      <c r="B3341" s="2">
        <v>45102</v>
      </c>
      <c r="C3341" s="2" t="str">
        <f>TEXT(Table3[[#This Row],[Order Date]],"mmmm")</f>
        <v>June</v>
      </c>
      <c r="D3341" t="s">
        <v>3220</v>
      </c>
      <c r="E3341" t="s">
        <v>3225</v>
      </c>
      <c r="F3341" t="s">
        <v>3226</v>
      </c>
      <c r="G3341" s="4">
        <v>57578.27</v>
      </c>
      <c r="H3341" s="4">
        <v>41181.83</v>
      </c>
      <c r="I3341" s="3" t="s">
        <v>3734</v>
      </c>
      <c r="J3341">
        <v>3</v>
      </c>
      <c r="K3341" s="4">
        <f>Table3[[#This Row],[Sales]]-Table3[[#This Row],[Cost]]</f>
        <v>16396.439999999995</v>
      </c>
      <c r="L3341" s="6">
        <f>Table3[[#This Row],[Profit]]/Table3[[#This Row],[Sales]]</f>
        <v>0.28476784731462051</v>
      </c>
    </row>
    <row r="3342" spans="1:12" x14ac:dyDescent="0.25">
      <c r="A3342" t="s">
        <v>2896</v>
      </c>
      <c r="B3342" s="2">
        <v>45021</v>
      </c>
      <c r="C3342" s="2" t="str">
        <f>TEXT(Table3[[#This Row],[Order Date]],"mmmm")</f>
        <v>April</v>
      </c>
      <c r="D3342" t="s">
        <v>3730</v>
      </c>
      <c r="E3342" t="s">
        <v>3225</v>
      </c>
      <c r="F3342" t="s">
        <v>3226</v>
      </c>
      <c r="G3342" s="4">
        <v>33437.81</v>
      </c>
      <c r="H3342" s="4">
        <v>29942.52</v>
      </c>
      <c r="I3342" s="3" t="s">
        <v>3734</v>
      </c>
      <c r="J3342">
        <v>2</v>
      </c>
      <c r="K3342" s="4">
        <f>Table3[[#This Row],[Sales]]-Table3[[#This Row],[Cost]]</f>
        <v>3495.2899999999972</v>
      </c>
      <c r="L3342" s="6">
        <f>Table3[[#This Row],[Profit]]/Table3[[#This Row],[Sales]]</f>
        <v>0.10453106827271276</v>
      </c>
    </row>
    <row r="3343" spans="1:12" x14ac:dyDescent="0.25">
      <c r="A3343" t="s">
        <v>2897</v>
      </c>
      <c r="B3343" s="2">
        <v>44941</v>
      </c>
      <c r="C3343" s="2" t="str">
        <f>TEXT(Table3[[#This Row],[Order Date]],"mmmm")</f>
        <v>January</v>
      </c>
      <c r="D3343" t="s">
        <v>3731</v>
      </c>
      <c r="E3343" t="s">
        <v>3222</v>
      </c>
      <c r="F3343" t="s">
        <v>3226</v>
      </c>
      <c r="G3343" s="4">
        <v>78509.75</v>
      </c>
      <c r="H3343" s="4">
        <v>43060.22</v>
      </c>
      <c r="I3343" s="3" t="s">
        <v>3734</v>
      </c>
      <c r="J3343">
        <v>5</v>
      </c>
      <c r="K3343" s="4">
        <f>Table3[[#This Row],[Sales]]-Table3[[#This Row],[Cost]]</f>
        <v>35449.53</v>
      </c>
      <c r="L3343" s="6">
        <f>Table3[[#This Row],[Profit]]/Table3[[#This Row],[Sales]]</f>
        <v>0.45153028763943331</v>
      </c>
    </row>
    <row r="3344" spans="1:12" x14ac:dyDescent="0.25">
      <c r="A3344" t="s">
        <v>2898</v>
      </c>
      <c r="B3344" s="2">
        <v>45102</v>
      </c>
      <c r="C3344" s="2" t="str">
        <f>TEXT(Table3[[#This Row],[Order Date]],"mmmm")</f>
        <v>June</v>
      </c>
      <c r="D3344" t="s">
        <v>3730</v>
      </c>
      <c r="E3344" t="s">
        <v>3222</v>
      </c>
      <c r="F3344" t="s">
        <v>3226</v>
      </c>
      <c r="G3344" s="4">
        <v>82523.38</v>
      </c>
      <c r="H3344" s="4">
        <v>46512.23</v>
      </c>
      <c r="I3344" s="3" t="s">
        <v>3734</v>
      </c>
      <c r="J3344">
        <v>5</v>
      </c>
      <c r="K3344" s="4">
        <f>Table3[[#This Row],[Sales]]-Table3[[#This Row],[Cost]]</f>
        <v>36011.15</v>
      </c>
      <c r="L3344" s="6">
        <f>Table3[[#This Row],[Profit]]/Table3[[#This Row],[Sales]]</f>
        <v>0.43637512181396348</v>
      </c>
    </row>
    <row r="3345" spans="1:12" x14ac:dyDescent="0.25">
      <c r="A3345" t="s">
        <v>3618</v>
      </c>
      <c r="B3345" s="2">
        <v>44972</v>
      </c>
      <c r="C3345" s="2" t="str">
        <f>TEXT(Table3[[#This Row],[Order Date]],"mmmm")</f>
        <v>February</v>
      </c>
      <c r="D3345" t="s">
        <v>3220</v>
      </c>
      <c r="E3345" t="s">
        <v>3225</v>
      </c>
      <c r="F3345" t="s">
        <v>3226</v>
      </c>
      <c r="G3345" s="4">
        <v>67881.990000000005</v>
      </c>
      <c r="H3345" s="4">
        <v>57310.36</v>
      </c>
      <c r="I3345" s="3" t="s">
        <v>3734</v>
      </c>
      <c r="J3345">
        <v>4</v>
      </c>
      <c r="K3345" s="4">
        <f>Table3[[#This Row],[Sales]]-Table3[[#This Row],[Cost]]</f>
        <v>10571.630000000005</v>
      </c>
      <c r="L3345" s="6">
        <f>Table3[[#This Row],[Profit]]/Table3[[#This Row],[Sales]]</f>
        <v>0.1557354167136232</v>
      </c>
    </row>
    <row r="3346" spans="1:12" x14ac:dyDescent="0.25">
      <c r="A3346" t="s">
        <v>2899</v>
      </c>
      <c r="B3346" s="2">
        <v>45102</v>
      </c>
      <c r="C3346" s="2" t="str">
        <f>TEXT(Table3[[#This Row],[Order Date]],"mmmm")</f>
        <v>June</v>
      </c>
      <c r="D3346" t="s">
        <v>3220</v>
      </c>
      <c r="E3346" t="s">
        <v>3223</v>
      </c>
      <c r="F3346" t="s">
        <v>3226</v>
      </c>
      <c r="G3346" s="4">
        <v>45224.03</v>
      </c>
      <c r="H3346" s="4">
        <v>27345.3</v>
      </c>
      <c r="I3346" s="3" t="s">
        <v>3734</v>
      </c>
      <c r="J3346">
        <v>4</v>
      </c>
      <c r="K3346" s="4">
        <f>Table3[[#This Row],[Sales]]-Table3[[#This Row],[Cost]]</f>
        <v>17878.73</v>
      </c>
      <c r="L3346" s="6">
        <f>Table3[[#This Row],[Profit]]/Table3[[#This Row],[Sales]]</f>
        <v>0.39533694807826725</v>
      </c>
    </row>
    <row r="3347" spans="1:12" x14ac:dyDescent="0.25">
      <c r="A3347" t="s">
        <v>977</v>
      </c>
      <c r="B3347" s="2">
        <v>44941</v>
      </c>
      <c r="C3347" s="2" t="str">
        <f>TEXT(Table3[[#This Row],[Order Date]],"mmmm")</f>
        <v>January</v>
      </c>
      <c r="D3347" t="s">
        <v>3731</v>
      </c>
      <c r="E3347" t="s">
        <v>3224</v>
      </c>
      <c r="F3347" t="s">
        <v>3226</v>
      </c>
      <c r="G3347" s="4">
        <v>164485.65</v>
      </c>
      <c r="H3347" s="4">
        <v>131588.51999999999</v>
      </c>
      <c r="I3347" s="3" t="s">
        <v>3735</v>
      </c>
      <c r="J3347">
        <v>3</v>
      </c>
      <c r="K3347" s="4">
        <f>Table3[[#This Row],[Sales]]-Table3[[#This Row],[Cost]]</f>
        <v>32897.130000000005</v>
      </c>
      <c r="L3347" s="6">
        <f>Table3[[#This Row],[Profit]]/Table3[[#This Row],[Sales]]</f>
        <v>0.20000000000000004</v>
      </c>
    </row>
    <row r="3348" spans="1:12" x14ac:dyDescent="0.25">
      <c r="A3348" t="s">
        <v>2902</v>
      </c>
      <c r="B3348" s="2">
        <v>44941</v>
      </c>
      <c r="C3348" s="2" t="str">
        <f>TEXT(Table3[[#This Row],[Order Date]],"mmmm")</f>
        <v>January</v>
      </c>
      <c r="D3348" t="s">
        <v>3731</v>
      </c>
      <c r="E3348" t="s">
        <v>3223</v>
      </c>
      <c r="F3348" t="s">
        <v>3226</v>
      </c>
      <c r="G3348" s="4">
        <v>18964.580000000002</v>
      </c>
      <c r="H3348" s="4">
        <v>14392.22</v>
      </c>
      <c r="I3348" s="3" t="s">
        <v>3734</v>
      </c>
      <c r="J3348">
        <v>2</v>
      </c>
      <c r="K3348" s="4">
        <f>Table3[[#This Row],[Sales]]-Table3[[#This Row],[Cost]]</f>
        <v>4572.3600000000024</v>
      </c>
      <c r="L3348" s="6">
        <f>Table3[[#This Row],[Profit]]/Table3[[#This Row],[Sales]]</f>
        <v>0.24109998745028902</v>
      </c>
    </row>
    <row r="3349" spans="1:12" x14ac:dyDescent="0.25">
      <c r="A3349" t="s">
        <v>2903</v>
      </c>
      <c r="B3349" s="2">
        <v>44941</v>
      </c>
      <c r="C3349" s="2" t="str">
        <f>TEXT(Table3[[#This Row],[Order Date]],"mmmm")</f>
        <v>January</v>
      </c>
      <c r="D3349" t="s">
        <v>3730</v>
      </c>
      <c r="E3349" t="s">
        <v>3223</v>
      </c>
      <c r="F3349" t="s">
        <v>3226</v>
      </c>
      <c r="G3349" s="4">
        <v>48270.79</v>
      </c>
      <c r="H3349" s="4">
        <v>38616.632000000005</v>
      </c>
      <c r="I3349" s="3" t="s">
        <v>3735</v>
      </c>
      <c r="J3349">
        <v>5</v>
      </c>
      <c r="K3349" s="4">
        <f>Table3[[#This Row],[Sales]]-Table3[[#This Row],[Cost]]</f>
        <v>9654.1579999999958</v>
      </c>
      <c r="L3349" s="6">
        <f>Table3[[#This Row],[Profit]]/Table3[[#This Row],[Sales]]</f>
        <v>0.1999999999999999</v>
      </c>
    </row>
    <row r="3350" spans="1:12" x14ac:dyDescent="0.25">
      <c r="A3350" t="s">
        <v>140</v>
      </c>
      <c r="B3350" s="2">
        <v>44972</v>
      </c>
      <c r="C3350" s="2" t="str">
        <f>TEXT(Table3[[#This Row],[Order Date]],"mmmm")</f>
        <v>February</v>
      </c>
      <c r="D3350" t="s">
        <v>3730</v>
      </c>
      <c r="E3350" t="s">
        <v>3224</v>
      </c>
      <c r="F3350" t="s">
        <v>3226</v>
      </c>
      <c r="G3350" s="4">
        <v>244255.8</v>
      </c>
      <c r="H3350" s="4">
        <v>192327.27</v>
      </c>
      <c r="I3350" s="3" t="s">
        <v>3734</v>
      </c>
      <c r="J3350">
        <v>4</v>
      </c>
      <c r="K3350" s="4">
        <f>Table3[[#This Row],[Sales]]-Table3[[#This Row],[Cost]]</f>
        <v>51928.53</v>
      </c>
      <c r="L3350" s="6">
        <f>Table3[[#This Row],[Profit]]/Table3[[#This Row],[Sales]]</f>
        <v>0.21259896387311991</v>
      </c>
    </row>
    <row r="3351" spans="1:12" x14ac:dyDescent="0.25">
      <c r="A3351" t="s">
        <v>690</v>
      </c>
      <c r="B3351" s="2">
        <v>44972</v>
      </c>
      <c r="C3351" s="2" t="str">
        <f>TEXT(Table3[[#This Row],[Order Date]],"mmmm")</f>
        <v>February</v>
      </c>
      <c r="D3351" t="s">
        <v>3730</v>
      </c>
      <c r="E3351" t="s">
        <v>3224</v>
      </c>
      <c r="F3351" t="s">
        <v>3226</v>
      </c>
      <c r="G3351" s="4">
        <v>227806.09</v>
      </c>
      <c r="H3351" s="4">
        <v>193116.76</v>
      </c>
      <c r="I3351" s="3" t="s">
        <v>3734</v>
      </c>
      <c r="J3351">
        <v>4</v>
      </c>
      <c r="K3351" s="4">
        <f>Table3[[#This Row],[Sales]]-Table3[[#This Row],[Cost]]</f>
        <v>34689.329999999987</v>
      </c>
      <c r="L3351" s="6">
        <f>Table3[[#This Row],[Profit]]/Table3[[#This Row],[Sales]]</f>
        <v>0.15227569201508173</v>
      </c>
    </row>
    <row r="3352" spans="1:12" x14ac:dyDescent="0.25">
      <c r="A3352" t="s">
        <v>3694</v>
      </c>
      <c r="B3352" s="2">
        <v>45005</v>
      </c>
      <c r="C3352" s="2" t="str">
        <f>TEXT(Table3[[#This Row],[Order Date]],"mmmm")</f>
        <v>March</v>
      </c>
      <c r="D3352" t="s">
        <v>3731</v>
      </c>
      <c r="E3352" t="s">
        <v>3222</v>
      </c>
      <c r="F3352" t="s">
        <v>3226</v>
      </c>
      <c r="G3352" s="4">
        <v>51416.6</v>
      </c>
      <c r="H3352" s="4">
        <v>26964.880000000001</v>
      </c>
      <c r="I3352" s="3" t="s">
        <v>3734</v>
      </c>
      <c r="J3352">
        <v>3</v>
      </c>
      <c r="K3352" s="4">
        <f>Table3[[#This Row],[Sales]]-Table3[[#This Row],[Cost]]</f>
        <v>24451.719999999998</v>
      </c>
      <c r="L3352" s="6">
        <f>Table3[[#This Row],[Profit]]/Table3[[#This Row],[Sales]]</f>
        <v>0.4755608110999171</v>
      </c>
    </row>
    <row r="3353" spans="1:12" x14ac:dyDescent="0.25">
      <c r="A3353" t="s">
        <v>2905</v>
      </c>
      <c r="B3353" s="2">
        <v>45005</v>
      </c>
      <c r="C3353" s="2" t="str">
        <f>TEXT(Table3[[#This Row],[Order Date]],"mmmm")</f>
        <v>March</v>
      </c>
      <c r="D3353" t="s">
        <v>3216</v>
      </c>
      <c r="E3353" t="s">
        <v>3222</v>
      </c>
      <c r="F3353" t="s">
        <v>3226</v>
      </c>
      <c r="G3353" s="4">
        <v>34188.68</v>
      </c>
      <c r="H3353" s="4">
        <v>17390.23</v>
      </c>
      <c r="I3353" s="3" t="s">
        <v>3734</v>
      </c>
      <c r="J3353">
        <v>2</v>
      </c>
      <c r="K3353" s="4">
        <f>Table3[[#This Row],[Sales]]-Table3[[#This Row],[Cost]]</f>
        <v>16798.45</v>
      </c>
      <c r="L3353" s="6">
        <f>Table3[[#This Row],[Profit]]/Table3[[#This Row],[Sales]]</f>
        <v>0.4913453809857532</v>
      </c>
    </row>
    <row r="3354" spans="1:12" x14ac:dyDescent="0.25">
      <c r="A3354" t="s">
        <v>2906</v>
      </c>
      <c r="B3354" s="2" t="s">
        <v>3729</v>
      </c>
      <c r="C3354" s="2" t="str">
        <f>TEXT(Table3[[#This Row],[Order Date]],"mmmm")</f>
        <v>Not Mentioned</v>
      </c>
      <c r="D3354" t="s">
        <v>3220</v>
      </c>
      <c r="E3354" t="s">
        <v>3224</v>
      </c>
      <c r="F3354" t="s">
        <v>3226</v>
      </c>
      <c r="G3354" s="4">
        <v>337776.98</v>
      </c>
      <c r="H3354" s="4">
        <v>196128.52</v>
      </c>
      <c r="I3354" s="3" t="s">
        <v>3734</v>
      </c>
      <c r="J3354">
        <v>5</v>
      </c>
      <c r="K3354" s="4">
        <f>Table3[[#This Row],[Sales]]-Table3[[#This Row],[Cost]]</f>
        <v>141648.46</v>
      </c>
      <c r="L3354" s="6">
        <f>Table3[[#This Row],[Profit]]/Table3[[#This Row],[Sales]]</f>
        <v>0.41935498387131059</v>
      </c>
    </row>
    <row r="3355" spans="1:12" x14ac:dyDescent="0.25">
      <c r="A3355" t="s">
        <v>2907</v>
      </c>
      <c r="B3355" s="2" t="s">
        <v>3729</v>
      </c>
      <c r="C3355" s="2" t="str">
        <f>TEXT(Table3[[#This Row],[Order Date]],"mmmm")</f>
        <v>Not Mentioned</v>
      </c>
      <c r="D3355" t="s">
        <v>3730</v>
      </c>
      <c r="E3355" t="s">
        <v>3224</v>
      </c>
      <c r="F3355" t="s">
        <v>3226</v>
      </c>
      <c r="G3355" s="4">
        <v>123256.6</v>
      </c>
      <c r="H3355" s="4">
        <v>90364.94</v>
      </c>
      <c r="I3355" s="3" t="s">
        <v>3734</v>
      </c>
      <c r="J3355">
        <v>2</v>
      </c>
      <c r="K3355" s="4">
        <f>Table3[[#This Row],[Sales]]-Table3[[#This Row],[Cost]]</f>
        <v>32891.660000000003</v>
      </c>
      <c r="L3355" s="6">
        <f>Table3[[#This Row],[Profit]]/Table3[[#This Row],[Sales]]</f>
        <v>0.26685516231990825</v>
      </c>
    </row>
    <row r="3356" spans="1:12" x14ac:dyDescent="0.25">
      <c r="A3356" t="s">
        <v>2908</v>
      </c>
      <c r="B3356" s="2">
        <v>44972</v>
      </c>
      <c r="C3356" s="2" t="str">
        <f>TEXT(Table3[[#This Row],[Order Date]],"mmmm")</f>
        <v>February</v>
      </c>
      <c r="D3356" t="s">
        <v>3731</v>
      </c>
      <c r="E3356" t="s">
        <v>3222</v>
      </c>
      <c r="F3356" t="s">
        <v>3226</v>
      </c>
      <c r="G3356" s="4">
        <v>25164.43</v>
      </c>
      <c r="H3356" s="4">
        <v>21737.15</v>
      </c>
      <c r="I3356" s="3" t="s">
        <v>3734</v>
      </c>
      <c r="J3356">
        <v>2</v>
      </c>
      <c r="K3356" s="4">
        <f>Table3[[#This Row],[Sales]]-Table3[[#This Row],[Cost]]</f>
        <v>3427.2799999999988</v>
      </c>
      <c r="L3356" s="6">
        <f>Table3[[#This Row],[Profit]]/Table3[[#This Row],[Sales]]</f>
        <v>0.13619541551308728</v>
      </c>
    </row>
    <row r="3357" spans="1:12" x14ac:dyDescent="0.25">
      <c r="A3357" t="s">
        <v>2909</v>
      </c>
      <c r="B3357" s="2">
        <v>45102</v>
      </c>
      <c r="C3357" s="2" t="str">
        <f>TEXT(Table3[[#This Row],[Order Date]],"mmmm")</f>
        <v>June</v>
      </c>
      <c r="D3357" t="s">
        <v>3730</v>
      </c>
      <c r="E3357" t="s">
        <v>3224</v>
      </c>
      <c r="F3357" t="s">
        <v>3226</v>
      </c>
      <c r="G3357" s="4">
        <v>53775.62</v>
      </c>
      <c r="H3357" s="4">
        <v>46836.97</v>
      </c>
      <c r="I3357" s="3" t="s">
        <v>3734</v>
      </c>
      <c r="J3357">
        <v>1</v>
      </c>
      <c r="K3357" s="4">
        <f>Table3[[#This Row],[Sales]]-Table3[[#This Row],[Cost]]</f>
        <v>6938.6500000000015</v>
      </c>
      <c r="L3357" s="6">
        <f>Table3[[#This Row],[Profit]]/Table3[[#This Row],[Sales]]</f>
        <v>0.12902966065291299</v>
      </c>
    </row>
    <row r="3358" spans="1:12" x14ac:dyDescent="0.25">
      <c r="A3358" t="s">
        <v>2910</v>
      </c>
      <c r="B3358" s="2">
        <v>45021</v>
      </c>
      <c r="C3358" s="2" t="str">
        <f>TEXT(Table3[[#This Row],[Order Date]],"mmmm")</f>
        <v>April</v>
      </c>
      <c r="D3358" t="s">
        <v>3731</v>
      </c>
      <c r="E3358" t="s">
        <v>3223</v>
      </c>
      <c r="F3358" t="s">
        <v>3226</v>
      </c>
      <c r="G3358" s="4">
        <v>18405.689999999999</v>
      </c>
      <c r="H3358" s="4">
        <v>13626.53</v>
      </c>
      <c r="I3358" s="3" t="s">
        <v>3734</v>
      </c>
      <c r="J3358">
        <v>2</v>
      </c>
      <c r="K3358" s="4">
        <f>Table3[[#This Row],[Sales]]-Table3[[#This Row],[Cost]]</f>
        <v>4779.159999999998</v>
      </c>
      <c r="L3358" s="6">
        <f>Table3[[#This Row],[Profit]]/Table3[[#This Row],[Sales]]</f>
        <v>0.25965666052182768</v>
      </c>
    </row>
    <row r="3359" spans="1:12" x14ac:dyDescent="0.25">
      <c r="A3359" t="s">
        <v>3695</v>
      </c>
      <c r="B3359" s="2">
        <v>44972</v>
      </c>
      <c r="C3359" s="2" t="str">
        <f>TEXT(Table3[[#This Row],[Order Date]],"mmmm")</f>
        <v>February</v>
      </c>
      <c r="D3359" t="s">
        <v>3731</v>
      </c>
      <c r="E3359" t="s">
        <v>3222</v>
      </c>
      <c r="F3359" t="s">
        <v>3226</v>
      </c>
      <c r="G3359" s="4">
        <v>16377.46</v>
      </c>
      <c r="H3359" s="4">
        <v>8641.27</v>
      </c>
      <c r="I3359" s="3" t="s">
        <v>3734</v>
      </c>
      <c r="J3359">
        <v>1</v>
      </c>
      <c r="K3359" s="4">
        <f>Table3[[#This Row],[Sales]]-Table3[[#This Row],[Cost]]</f>
        <v>7736.1899999999987</v>
      </c>
      <c r="L3359" s="6">
        <f>Table3[[#This Row],[Profit]]/Table3[[#This Row],[Sales]]</f>
        <v>0.47236812057547378</v>
      </c>
    </row>
    <row r="3360" spans="1:12" x14ac:dyDescent="0.25">
      <c r="A3360" t="s">
        <v>2912</v>
      </c>
      <c r="B3360" s="2">
        <v>44941</v>
      </c>
      <c r="C3360" s="2" t="str">
        <f>TEXT(Table3[[#This Row],[Order Date]],"mmmm")</f>
        <v>January</v>
      </c>
      <c r="D3360" t="s">
        <v>3216</v>
      </c>
      <c r="E3360" t="s">
        <v>3224</v>
      </c>
      <c r="F3360" t="s">
        <v>3226</v>
      </c>
      <c r="G3360" s="4">
        <v>120084.96</v>
      </c>
      <c r="H3360" s="4">
        <v>79525.490000000005</v>
      </c>
      <c r="I3360" s="3" t="s">
        <v>3734</v>
      </c>
      <c r="J3360">
        <v>2</v>
      </c>
      <c r="K3360" s="4">
        <f>Table3[[#This Row],[Sales]]-Table3[[#This Row],[Cost]]</f>
        <v>40559.47</v>
      </c>
      <c r="L3360" s="6">
        <f>Table3[[#This Row],[Profit]]/Table3[[#This Row],[Sales]]</f>
        <v>0.33775645176548336</v>
      </c>
    </row>
    <row r="3361" spans="1:12" x14ac:dyDescent="0.25">
      <c r="A3361" t="s">
        <v>2913</v>
      </c>
      <c r="B3361" s="2">
        <v>44941</v>
      </c>
      <c r="C3361" s="2" t="str">
        <f>TEXT(Table3[[#This Row],[Order Date]],"mmmm")</f>
        <v>January</v>
      </c>
      <c r="D3361" t="s">
        <v>3731</v>
      </c>
      <c r="E3361" t="s">
        <v>3224</v>
      </c>
      <c r="F3361" t="s">
        <v>3226</v>
      </c>
      <c r="G3361" s="4">
        <v>323209.63</v>
      </c>
      <c r="H3361" s="4">
        <v>258567.70400000003</v>
      </c>
      <c r="I3361" s="3" t="s">
        <v>3735</v>
      </c>
      <c r="J3361">
        <v>5</v>
      </c>
      <c r="K3361" s="4">
        <f>Table3[[#This Row],[Sales]]-Table3[[#This Row],[Cost]]</f>
        <v>64641.925999999978</v>
      </c>
      <c r="L3361" s="6">
        <f>Table3[[#This Row],[Profit]]/Table3[[#This Row],[Sales]]</f>
        <v>0.19999999999999993</v>
      </c>
    </row>
    <row r="3362" spans="1:12" x14ac:dyDescent="0.25">
      <c r="A3362" t="s">
        <v>2914</v>
      </c>
      <c r="B3362" s="2">
        <v>45102</v>
      </c>
      <c r="C3362" s="2" t="str">
        <f>TEXT(Table3[[#This Row],[Order Date]],"mmmm")</f>
        <v>June</v>
      </c>
      <c r="D3362" t="s">
        <v>3220</v>
      </c>
      <c r="E3362" t="s">
        <v>3223</v>
      </c>
      <c r="F3362" t="s">
        <v>3226</v>
      </c>
      <c r="G3362" s="4">
        <v>58575.24</v>
      </c>
      <c r="H3362" s="4">
        <v>33872.199999999997</v>
      </c>
      <c r="I3362" s="3" t="s">
        <v>3734</v>
      </c>
      <c r="J3362">
        <v>5</v>
      </c>
      <c r="K3362" s="4">
        <f>Table3[[#This Row],[Sales]]-Table3[[#This Row],[Cost]]</f>
        <v>24703.040000000001</v>
      </c>
      <c r="L3362" s="6">
        <f>Table3[[#This Row],[Profit]]/Table3[[#This Row],[Sales]]</f>
        <v>0.42173177608832679</v>
      </c>
    </row>
    <row r="3363" spans="1:12" x14ac:dyDescent="0.25">
      <c r="A3363" t="s">
        <v>3696</v>
      </c>
      <c r="B3363" s="2">
        <v>45005</v>
      </c>
      <c r="C3363" s="2" t="str">
        <f>TEXT(Table3[[#This Row],[Order Date]],"mmmm")</f>
        <v>March</v>
      </c>
      <c r="D3363" t="s">
        <v>3220</v>
      </c>
      <c r="E3363" t="s">
        <v>3222</v>
      </c>
      <c r="F3363" t="s">
        <v>3226</v>
      </c>
      <c r="G3363" s="4">
        <v>24983.98</v>
      </c>
      <c r="H3363" s="4">
        <v>18851.759999999998</v>
      </c>
      <c r="I3363" s="3" t="s">
        <v>3734</v>
      </c>
      <c r="J3363">
        <v>2</v>
      </c>
      <c r="K3363" s="4">
        <f>Table3[[#This Row],[Sales]]-Table3[[#This Row],[Cost]]</f>
        <v>6132.2200000000012</v>
      </c>
      <c r="L3363" s="6">
        <f>Table3[[#This Row],[Profit]]/Table3[[#This Row],[Sales]]</f>
        <v>0.24544608184924904</v>
      </c>
    </row>
    <row r="3364" spans="1:12" x14ac:dyDescent="0.25">
      <c r="A3364" t="s">
        <v>3577</v>
      </c>
      <c r="B3364" s="2">
        <v>44941</v>
      </c>
      <c r="C3364" s="2" t="str">
        <f>TEXT(Table3[[#This Row],[Order Date]],"mmmm")</f>
        <v>January</v>
      </c>
      <c r="D3364" t="s">
        <v>3220</v>
      </c>
      <c r="E3364" t="s">
        <v>3223</v>
      </c>
      <c r="F3364" t="s">
        <v>3226</v>
      </c>
      <c r="G3364" s="4">
        <v>35792.07</v>
      </c>
      <c r="H3364" s="4">
        <v>29398.1</v>
      </c>
      <c r="I3364" s="3" t="s">
        <v>3734</v>
      </c>
      <c r="J3364">
        <v>4</v>
      </c>
      <c r="K3364" s="4">
        <f>Table3[[#This Row],[Sales]]-Table3[[#This Row],[Cost]]</f>
        <v>6393.9700000000012</v>
      </c>
      <c r="L3364" s="6">
        <f>Table3[[#This Row],[Profit]]/Table3[[#This Row],[Sales]]</f>
        <v>0.17864208468523898</v>
      </c>
    </row>
    <row r="3365" spans="1:12" x14ac:dyDescent="0.25">
      <c r="A3365" t="s">
        <v>2916</v>
      </c>
      <c r="B3365" s="2">
        <v>45102</v>
      </c>
      <c r="C3365" s="2" t="str">
        <f>TEXT(Table3[[#This Row],[Order Date]],"mmmm")</f>
        <v>June</v>
      </c>
      <c r="D3365" t="s">
        <v>3731</v>
      </c>
      <c r="E3365" t="s">
        <v>3225</v>
      </c>
      <c r="F3365" t="s">
        <v>3226</v>
      </c>
      <c r="G3365" s="4">
        <v>118141.01</v>
      </c>
      <c r="H3365" s="4">
        <v>72369.149999999994</v>
      </c>
      <c r="I3365" s="3" t="s">
        <v>3734</v>
      </c>
      <c r="J3365">
        <v>5</v>
      </c>
      <c r="K3365" s="4">
        <f>Table3[[#This Row],[Sales]]-Table3[[#This Row],[Cost]]</f>
        <v>45771.86</v>
      </c>
      <c r="L3365" s="6">
        <f>Table3[[#This Row],[Profit]]/Table3[[#This Row],[Sales]]</f>
        <v>0.38743413485291855</v>
      </c>
    </row>
    <row r="3366" spans="1:12" x14ac:dyDescent="0.25">
      <c r="A3366" t="s">
        <v>2265</v>
      </c>
      <c r="B3366" s="2">
        <v>44941</v>
      </c>
      <c r="C3366" s="2" t="str">
        <f>TEXT(Table3[[#This Row],[Order Date]],"mmmm")</f>
        <v>January</v>
      </c>
      <c r="D3366" t="s">
        <v>3220</v>
      </c>
      <c r="E3366" t="s">
        <v>3224</v>
      </c>
      <c r="F3366" t="s">
        <v>3226</v>
      </c>
      <c r="G3366" s="4">
        <v>214983.98</v>
      </c>
      <c r="H3366" s="4">
        <v>170017.45</v>
      </c>
      <c r="I3366" s="3" t="s">
        <v>3734</v>
      </c>
      <c r="J3366">
        <v>4</v>
      </c>
      <c r="K3366" s="4">
        <f>Table3[[#This Row],[Sales]]-Table3[[#This Row],[Cost]]</f>
        <v>44966.53</v>
      </c>
      <c r="L3366" s="6">
        <f>Table3[[#This Row],[Profit]]/Table3[[#This Row],[Sales]]</f>
        <v>0.20916223618150523</v>
      </c>
    </row>
    <row r="3367" spans="1:12" x14ac:dyDescent="0.25">
      <c r="A3367" t="s">
        <v>148</v>
      </c>
      <c r="B3367" s="2">
        <v>45102</v>
      </c>
      <c r="C3367" s="2" t="str">
        <f>TEXT(Table3[[#This Row],[Order Date]],"mmmm")</f>
        <v>June</v>
      </c>
      <c r="D3367" t="s">
        <v>3220</v>
      </c>
      <c r="E3367" t="s">
        <v>3225</v>
      </c>
      <c r="F3367" t="s">
        <v>3226</v>
      </c>
      <c r="G3367" s="4">
        <v>34101.360000000001</v>
      </c>
      <c r="H3367" s="4">
        <v>30628.59</v>
      </c>
      <c r="I3367" s="3" t="s">
        <v>3734</v>
      </c>
      <c r="J3367">
        <v>2</v>
      </c>
      <c r="K3367" s="4">
        <f>Table3[[#This Row],[Sales]]-Table3[[#This Row],[Cost]]</f>
        <v>3472.7700000000004</v>
      </c>
      <c r="L3367" s="6">
        <f>Table3[[#This Row],[Profit]]/Table3[[#This Row],[Sales]]</f>
        <v>0.10183670094095955</v>
      </c>
    </row>
    <row r="3368" spans="1:12" x14ac:dyDescent="0.25">
      <c r="A3368" t="s">
        <v>2917</v>
      </c>
      <c r="B3368" s="2">
        <v>44941</v>
      </c>
      <c r="C3368" s="2" t="str">
        <f>TEXT(Table3[[#This Row],[Order Date]],"mmmm")</f>
        <v>January</v>
      </c>
      <c r="D3368" t="s">
        <v>3731</v>
      </c>
      <c r="E3368" t="s">
        <v>3223</v>
      </c>
      <c r="F3368" t="s">
        <v>3226</v>
      </c>
      <c r="G3368" s="4">
        <v>56361.7</v>
      </c>
      <c r="H3368" s="4">
        <v>31859.95</v>
      </c>
      <c r="I3368" s="3" t="s">
        <v>3734</v>
      </c>
      <c r="J3368">
        <v>5</v>
      </c>
      <c r="K3368" s="4">
        <f>Table3[[#This Row],[Sales]]-Table3[[#This Row],[Cost]]</f>
        <v>24501.749999999996</v>
      </c>
      <c r="L3368" s="6">
        <f>Table3[[#This Row],[Profit]]/Table3[[#This Row],[Sales]]</f>
        <v>0.43472340259431491</v>
      </c>
    </row>
    <row r="3369" spans="1:12" x14ac:dyDescent="0.25">
      <c r="A3369" t="s">
        <v>2918</v>
      </c>
      <c r="B3369" s="2">
        <v>45021</v>
      </c>
      <c r="C3369" s="2" t="str">
        <f>TEXT(Table3[[#This Row],[Order Date]],"mmmm")</f>
        <v>April</v>
      </c>
      <c r="D3369" t="s">
        <v>3220</v>
      </c>
      <c r="E3369" t="s">
        <v>3225</v>
      </c>
      <c r="F3369" t="s">
        <v>3226</v>
      </c>
      <c r="G3369" s="4">
        <v>19917.439999999999</v>
      </c>
      <c r="H3369" s="4">
        <v>15933.951999999999</v>
      </c>
      <c r="I3369" s="3" t="s">
        <v>3735</v>
      </c>
      <c r="J3369">
        <v>1</v>
      </c>
      <c r="K3369" s="4">
        <f>Table3[[#This Row],[Sales]]-Table3[[#This Row],[Cost]]</f>
        <v>3983.4879999999994</v>
      </c>
      <c r="L3369" s="6">
        <f>Table3[[#This Row],[Profit]]/Table3[[#This Row],[Sales]]</f>
        <v>0.19999999999999998</v>
      </c>
    </row>
    <row r="3370" spans="1:12" x14ac:dyDescent="0.25">
      <c r="A3370" t="s">
        <v>419</v>
      </c>
      <c r="B3370" s="2">
        <v>45005</v>
      </c>
      <c r="C3370" s="2" t="str">
        <f>TEXT(Table3[[#This Row],[Order Date]],"mmmm")</f>
        <v>March</v>
      </c>
      <c r="D3370" t="s">
        <v>3731</v>
      </c>
      <c r="E3370" t="s">
        <v>3224</v>
      </c>
      <c r="F3370" t="s">
        <v>3226</v>
      </c>
      <c r="G3370" s="4">
        <v>117483.06</v>
      </c>
      <c r="H3370" s="4">
        <v>98688.67</v>
      </c>
      <c r="I3370" s="3" t="s">
        <v>3734</v>
      </c>
      <c r="J3370" t="s">
        <v>3732</v>
      </c>
      <c r="K3370" s="4">
        <f>Table3[[#This Row],[Sales]]-Table3[[#This Row],[Cost]]</f>
        <v>18794.39</v>
      </c>
      <c r="L3370" s="6">
        <f>Table3[[#This Row],[Profit]]/Table3[[#This Row],[Sales]]</f>
        <v>0.15997531899492573</v>
      </c>
    </row>
    <row r="3371" spans="1:12" x14ac:dyDescent="0.25">
      <c r="A3371" t="s">
        <v>2919</v>
      </c>
      <c r="B3371" s="2">
        <v>45102</v>
      </c>
      <c r="C3371" s="2" t="str">
        <f>TEXT(Table3[[#This Row],[Order Date]],"mmmm")</f>
        <v>June</v>
      </c>
      <c r="D3371" t="s">
        <v>3731</v>
      </c>
      <c r="E3371" t="s">
        <v>3225</v>
      </c>
      <c r="F3371" t="s">
        <v>3226</v>
      </c>
      <c r="G3371" s="4">
        <v>18121.71</v>
      </c>
      <c r="H3371" s="4">
        <v>12141.09</v>
      </c>
      <c r="I3371" s="3" t="s">
        <v>3734</v>
      </c>
      <c r="J3371">
        <v>1</v>
      </c>
      <c r="K3371" s="4">
        <f>Table3[[#This Row],[Sales]]-Table3[[#This Row],[Cost]]</f>
        <v>5980.619999999999</v>
      </c>
      <c r="L3371" s="6">
        <f>Table3[[#This Row],[Profit]]/Table3[[#This Row],[Sales]]</f>
        <v>0.33002514663351301</v>
      </c>
    </row>
    <row r="3372" spans="1:12" x14ac:dyDescent="0.25">
      <c r="A3372" t="s">
        <v>2920</v>
      </c>
      <c r="B3372" s="2" t="s">
        <v>3729</v>
      </c>
      <c r="C3372" s="2" t="str">
        <f>TEXT(Table3[[#This Row],[Order Date]],"mmmm")</f>
        <v>Not Mentioned</v>
      </c>
      <c r="D3372" t="s">
        <v>3730</v>
      </c>
      <c r="E3372" t="s">
        <v>3224</v>
      </c>
      <c r="F3372" t="s">
        <v>3226</v>
      </c>
      <c r="G3372" s="4">
        <v>273454.84999999998</v>
      </c>
      <c r="H3372" s="4">
        <v>218763.88</v>
      </c>
      <c r="I3372" s="3" t="s">
        <v>3735</v>
      </c>
      <c r="J3372">
        <v>4</v>
      </c>
      <c r="K3372" s="4">
        <f>Table3[[#This Row],[Sales]]-Table3[[#This Row],[Cost]]</f>
        <v>54690.969999999972</v>
      </c>
      <c r="L3372" s="6">
        <f>Table3[[#This Row],[Profit]]/Table3[[#This Row],[Sales]]</f>
        <v>0.19999999999999993</v>
      </c>
    </row>
    <row r="3373" spans="1:12" x14ac:dyDescent="0.25">
      <c r="A3373" t="s">
        <v>3697</v>
      </c>
      <c r="B3373" s="2">
        <v>45102</v>
      </c>
      <c r="C3373" s="2" t="str">
        <f>TEXT(Table3[[#This Row],[Order Date]],"mmmm")</f>
        <v>June</v>
      </c>
      <c r="D3373" t="s">
        <v>3730</v>
      </c>
      <c r="E3373" t="s">
        <v>3225</v>
      </c>
      <c r="F3373" t="s">
        <v>3226</v>
      </c>
      <c r="G3373" s="4">
        <v>63557.919999999998</v>
      </c>
      <c r="H3373" s="4">
        <v>40904.129999999997</v>
      </c>
      <c r="I3373" s="3" t="s">
        <v>3734</v>
      </c>
      <c r="J3373">
        <v>3</v>
      </c>
      <c r="K3373" s="4">
        <f>Table3[[#This Row],[Sales]]-Table3[[#This Row],[Cost]]</f>
        <v>22653.79</v>
      </c>
      <c r="L3373" s="6">
        <f>Table3[[#This Row],[Profit]]/Table3[[#This Row],[Sales]]</f>
        <v>0.35642749164856247</v>
      </c>
    </row>
    <row r="3374" spans="1:12" x14ac:dyDescent="0.25">
      <c r="A3374" t="s">
        <v>3698</v>
      </c>
      <c r="B3374" s="2">
        <v>45005</v>
      </c>
      <c r="C3374" s="2" t="str">
        <f>TEXT(Table3[[#This Row],[Order Date]],"mmmm")</f>
        <v>March</v>
      </c>
      <c r="D3374" t="s">
        <v>3216</v>
      </c>
      <c r="E3374" t="s">
        <v>3225</v>
      </c>
      <c r="F3374" t="s">
        <v>3226</v>
      </c>
      <c r="G3374" s="4">
        <v>34967.22</v>
      </c>
      <c r="H3374" s="4">
        <v>27973.776000000002</v>
      </c>
      <c r="I3374" s="3" t="s">
        <v>3735</v>
      </c>
      <c r="J3374">
        <v>2</v>
      </c>
      <c r="K3374" s="4">
        <f>Table3[[#This Row],[Sales]]-Table3[[#This Row],[Cost]]</f>
        <v>6993.4439999999995</v>
      </c>
      <c r="L3374" s="6">
        <f>Table3[[#This Row],[Profit]]/Table3[[#This Row],[Sales]]</f>
        <v>0.19999999999999998</v>
      </c>
    </row>
    <row r="3375" spans="1:12" x14ac:dyDescent="0.25">
      <c r="A3375" t="s">
        <v>3699</v>
      </c>
      <c r="B3375" s="2">
        <v>44972</v>
      </c>
      <c r="C3375" s="2" t="str">
        <f>TEXT(Table3[[#This Row],[Order Date]],"mmmm")</f>
        <v>February</v>
      </c>
      <c r="D3375" t="s">
        <v>3220</v>
      </c>
      <c r="E3375" t="s">
        <v>3224</v>
      </c>
      <c r="F3375" t="s">
        <v>3226</v>
      </c>
      <c r="G3375" s="4">
        <v>119382.93</v>
      </c>
      <c r="H3375" s="4">
        <v>80437.66</v>
      </c>
      <c r="I3375" s="3" t="s">
        <v>3734</v>
      </c>
      <c r="J3375">
        <v>2</v>
      </c>
      <c r="K3375" s="4">
        <f>Table3[[#This Row],[Sales]]-Table3[[#This Row],[Cost]]</f>
        <v>38945.26999999999</v>
      </c>
      <c r="L3375" s="6">
        <f>Table3[[#This Row],[Profit]]/Table3[[#This Row],[Sales]]</f>
        <v>0.32622142880895949</v>
      </c>
    </row>
    <row r="3376" spans="1:12" x14ac:dyDescent="0.25">
      <c r="A3376" t="s">
        <v>827</v>
      </c>
      <c r="B3376" s="2">
        <v>45005</v>
      </c>
      <c r="C3376" s="2" t="str">
        <f>TEXT(Table3[[#This Row],[Order Date]],"mmmm")</f>
        <v>March</v>
      </c>
      <c r="D3376" t="s">
        <v>3730</v>
      </c>
      <c r="E3376" t="s">
        <v>3223</v>
      </c>
      <c r="F3376" t="s">
        <v>3226</v>
      </c>
      <c r="G3376" s="4">
        <v>23430.76</v>
      </c>
      <c r="H3376" s="4">
        <v>14787.49</v>
      </c>
      <c r="I3376" s="3" t="s">
        <v>3734</v>
      </c>
      <c r="J3376">
        <v>2</v>
      </c>
      <c r="K3376" s="4">
        <f>Table3[[#This Row],[Sales]]-Table3[[#This Row],[Cost]]</f>
        <v>8643.2699999999986</v>
      </c>
      <c r="L3376" s="6">
        <f>Table3[[#This Row],[Profit]]/Table3[[#This Row],[Sales]]</f>
        <v>0.36888560166208861</v>
      </c>
    </row>
    <row r="3377" spans="1:12" x14ac:dyDescent="0.25">
      <c r="A3377" t="s">
        <v>300</v>
      </c>
      <c r="B3377" s="2">
        <v>45102</v>
      </c>
      <c r="C3377" s="2" t="str">
        <f>TEXT(Table3[[#This Row],[Order Date]],"mmmm")</f>
        <v>June</v>
      </c>
      <c r="D3377" t="s">
        <v>3730</v>
      </c>
      <c r="E3377" t="s">
        <v>3225</v>
      </c>
      <c r="F3377" t="s">
        <v>3226</v>
      </c>
      <c r="G3377" s="4">
        <v>84100.52</v>
      </c>
      <c r="H3377" s="4">
        <v>53433.09</v>
      </c>
      <c r="I3377" s="3" t="s">
        <v>3734</v>
      </c>
      <c r="J3377">
        <v>4</v>
      </c>
      <c r="K3377" s="4">
        <f>Table3[[#This Row],[Sales]]-Table3[[#This Row],[Cost]]</f>
        <v>30667.430000000008</v>
      </c>
      <c r="L3377" s="6">
        <f>Table3[[#This Row],[Profit]]/Table3[[#This Row],[Sales]]</f>
        <v>0.36465208538544119</v>
      </c>
    </row>
    <row r="3378" spans="1:12" x14ac:dyDescent="0.25">
      <c r="A3378" t="s">
        <v>2924</v>
      </c>
      <c r="B3378" s="2" t="s">
        <v>3729</v>
      </c>
      <c r="C3378" s="2" t="str">
        <f>TEXT(Table3[[#This Row],[Order Date]],"mmmm")</f>
        <v>Not Mentioned</v>
      </c>
      <c r="D3378" t="s">
        <v>3730</v>
      </c>
      <c r="E3378" t="s">
        <v>3222</v>
      </c>
      <c r="F3378" t="s">
        <v>3226</v>
      </c>
      <c r="G3378" s="4">
        <v>13362.91</v>
      </c>
      <c r="H3378" s="4">
        <v>9012.25</v>
      </c>
      <c r="I3378" s="3" t="s">
        <v>3734</v>
      </c>
      <c r="J3378">
        <v>1</v>
      </c>
      <c r="K3378" s="4">
        <f>Table3[[#This Row],[Sales]]-Table3[[#This Row],[Cost]]</f>
        <v>4350.66</v>
      </c>
      <c r="L3378" s="6">
        <f>Table3[[#This Row],[Profit]]/Table3[[#This Row],[Sales]]</f>
        <v>0.32557728818049364</v>
      </c>
    </row>
    <row r="3379" spans="1:12" x14ac:dyDescent="0.25">
      <c r="A3379" t="s">
        <v>1897</v>
      </c>
      <c r="B3379" s="2" t="s">
        <v>3729</v>
      </c>
      <c r="C3379" s="2" t="str">
        <f>TEXT(Table3[[#This Row],[Order Date]],"mmmm")</f>
        <v>Not Mentioned</v>
      </c>
      <c r="D3379" t="s">
        <v>3220</v>
      </c>
      <c r="E3379" t="s">
        <v>3223</v>
      </c>
      <c r="F3379" t="s">
        <v>3226</v>
      </c>
      <c r="G3379" s="4">
        <v>22020.2</v>
      </c>
      <c r="H3379" s="4">
        <v>12813.5</v>
      </c>
      <c r="I3379" s="3" t="s">
        <v>3734</v>
      </c>
      <c r="J3379">
        <v>2</v>
      </c>
      <c r="K3379" s="4">
        <f>Table3[[#This Row],[Sales]]-Table3[[#This Row],[Cost]]</f>
        <v>9206.7000000000007</v>
      </c>
      <c r="L3379" s="6">
        <f>Table3[[#This Row],[Profit]]/Table3[[#This Row],[Sales]]</f>
        <v>0.41810246955068531</v>
      </c>
    </row>
    <row r="3380" spans="1:12" x14ac:dyDescent="0.25">
      <c r="A3380" t="s">
        <v>453</v>
      </c>
      <c r="B3380" s="2">
        <v>45005</v>
      </c>
      <c r="C3380" s="2" t="str">
        <f>TEXT(Table3[[#This Row],[Order Date]],"mmmm")</f>
        <v>March</v>
      </c>
      <c r="D3380" t="s">
        <v>3220</v>
      </c>
      <c r="E3380" t="s">
        <v>3222</v>
      </c>
      <c r="F3380" t="s">
        <v>3226</v>
      </c>
      <c r="G3380" s="4">
        <v>14388.89</v>
      </c>
      <c r="H3380" s="4">
        <v>9765.0499999999993</v>
      </c>
      <c r="I3380" s="3" t="s">
        <v>3734</v>
      </c>
      <c r="J3380">
        <v>1</v>
      </c>
      <c r="K3380" s="4">
        <f>Table3[[#This Row],[Sales]]-Table3[[#This Row],[Cost]]</f>
        <v>4623.84</v>
      </c>
      <c r="L3380" s="6">
        <f>Table3[[#This Row],[Profit]]/Table3[[#This Row],[Sales]]</f>
        <v>0.32134792885344182</v>
      </c>
    </row>
    <row r="3381" spans="1:12" x14ac:dyDescent="0.25">
      <c r="A3381" t="s">
        <v>3411</v>
      </c>
      <c r="B3381" s="2" t="s">
        <v>3729</v>
      </c>
      <c r="C3381" s="2" t="str">
        <f>TEXT(Table3[[#This Row],[Order Date]],"mmmm")</f>
        <v>Not Mentioned</v>
      </c>
      <c r="D3381" t="s">
        <v>3730</v>
      </c>
      <c r="E3381" t="s">
        <v>3224</v>
      </c>
      <c r="F3381" t="s">
        <v>3226</v>
      </c>
      <c r="G3381" s="4">
        <v>185555.48</v>
      </c>
      <c r="H3381" s="4">
        <v>148444.38400000002</v>
      </c>
      <c r="I3381" s="3" t="s">
        <v>3735</v>
      </c>
      <c r="J3381">
        <v>3</v>
      </c>
      <c r="K3381" s="4">
        <f>Table3[[#This Row],[Sales]]-Table3[[#This Row],[Cost]]</f>
        <v>37111.09599999999</v>
      </c>
      <c r="L3381" s="6">
        <f>Table3[[#This Row],[Profit]]/Table3[[#This Row],[Sales]]</f>
        <v>0.19999999999999993</v>
      </c>
    </row>
    <row r="3382" spans="1:12" x14ac:dyDescent="0.25">
      <c r="A3382" t="s">
        <v>2925</v>
      </c>
      <c r="B3382" s="2">
        <v>45102</v>
      </c>
      <c r="C3382" s="2" t="str">
        <f>TEXT(Table3[[#This Row],[Order Date]],"mmmm")</f>
        <v>June</v>
      </c>
      <c r="D3382" t="s">
        <v>3216</v>
      </c>
      <c r="E3382" t="s">
        <v>3224</v>
      </c>
      <c r="F3382" t="s">
        <v>3226</v>
      </c>
      <c r="G3382" s="4">
        <v>242437.53</v>
      </c>
      <c r="H3382" s="4">
        <v>239006.34</v>
      </c>
      <c r="I3382" s="3" t="s">
        <v>3734</v>
      </c>
      <c r="J3382">
        <v>5</v>
      </c>
      <c r="K3382" s="4">
        <f>Table3[[#This Row],[Sales]]-Table3[[#This Row],[Cost]]</f>
        <v>3431.1900000000023</v>
      </c>
      <c r="L3382" s="6">
        <f>Table3[[#This Row],[Profit]]/Table3[[#This Row],[Sales]]</f>
        <v>1.4152883012790975E-2</v>
      </c>
    </row>
    <row r="3383" spans="1:12" x14ac:dyDescent="0.25">
      <c r="A3383" t="s">
        <v>3368</v>
      </c>
      <c r="B3383" s="2" t="s">
        <v>3729</v>
      </c>
      <c r="C3383" s="2" t="str">
        <f>TEXT(Table3[[#This Row],[Order Date]],"mmmm")</f>
        <v>Not Mentioned</v>
      </c>
      <c r="D3383" t="s">
        <v>3220</v>
      </c>
      <c r="E3383" t="s">
        <v>3224</v>
      </c>
      <c r="F3383" t="s">
        <v>3226</v>
      </c>
      <c r="G3383" s="4">
        <v>209694.69</v>
      </c>
      <c r="H3383" s="4">
        <v>196318.1</v>
      </c>
      <c r="I3383" s="3" t="s">
        <v>3734</v>
      </c>
      <c r="J3383">
        <v>4</v>
      </c>
      <c r="K3383" s="4">
        <f>Table3[[#This Row],[Sales]]-Table3[[#This Row],[Cost]]</f>
        <v>13376.589999999997</v>
      </c>
      <c r="L3383" s="6">
        <f>Table3[[#This Row],[Profit]]/Table3[[#This Row],[Sales]]</f>
        <v>6.3790790315195856E-2</v>
      </c>
    </row>
    <row r="3384" spans="1:12" x14ac:dyDescent="0.25">
      <c r="A3384" t="s">
        <v>2926</v>
      </c>
      <c r="B3384" s="2">
        <v>45005</v>
      </c>
      <c r="C3384" s="2" t="str">
        <f>TEXT(Table3[[#This Row],[Order Date]],"mmmm")</f>
        <v>March</v>
      </c>
      <c r="D3384" t="s">
        <v>3216</v>
      </c>
      <c r="E3384" t="s">
        <v>3222</v>
      </c>
      <c r="F3384" t="s">
        <v>3226</v>
      </c>
      <c r="G3384" s="4">
        <v>28805.439999999999</v>
      </c>
      <c r="H3384" s="4">
        <v>19024.66</v>
      </c>
      <c r="I3384" s="3" t="s">
        <v>3734</v>
      </c>
      <c r="J3384">
        <v>2</v>
      </c>
      <c r="K3384" s="4">
        <f>Table3[[#This Row],[Sales]]-Table3[[#This Row],[Cost]]</f>
        <v>9780.7799999999988</v>
      </c>
      <c r="L3384" s="6">
        <f>Table3[[#This Row],[Profit]]/Table3[[#This Row],[Sales]]</f>
        <v>0.33954628014708332</v>
      </c>
    </row>
    <row r="3385" spans="1:12" x14ac:dyDescent="0.25">
      <c r="A3385" t="s">
        <v>249</v>
      </c>
      <c r="B3385" s="2">
        <v>44972</v>
      </c>
      <c r="C3385" s="2" t="str">
        <f>TEXT(Table3[[#This Row],[Order Date]],"mmmm")</f>
        <v>February</v>
      </c>
      <c r="D3385" t="s">
        <v>3730</v>
      </c>
      <c r="E3385" t="s">
        <v>3223</v>
      </c>
      <c r="F3385" t="s">
        <v>3226</v>
      </c>
      <c r="G3385" s="4">
        <v>18632.48</v>
      </c>
      <c r="H3385" s="4">
        <v>13184.39</v>
      </c>
      <c r="I3385" s="3" t="s">
        <v>3734</v>
      </c>
      <c r="J3385">
        <v>2</v>
      </c>
      <c r="K3385" s="4">
        <f>Table3[[#This Row],[Sales]]-Table3[[#This Row],[Cost]]</f>
        <v>5448.09</v>
      </c>
      <c r="L3385" s="6">
        <f>Table3[[#This Row],[Profit]]/Table3[[#This Row],[Sales]]</f>
        <v>0.29239746936532335</v>
      </c>
    </row>
    <row r="3386" spans="1:12" x14ac:dyDescent="0.25">
      <c r="A3386" t="s">
        <v>2927</v>
      </c>
      <c r="B3386" s="2">
        <v>44972</v>
      </c>
      <c r="C3386" s="2" t="str">
        <f>TEXT(Table3[[#This Row],[Order Date]],"mmmm")</f>
        <v>February</v>
      </c>
      <c r="D3386" t="s">
        <v>3216</v>
      </c>
      <c r="E3386" t="s">
        <v>3222</v>
      </c>
      <c r="F3386" t="s">
        <v>3226</v>
      </c>
      <c r="G3386" s="4">
        <v>43833.96</v>
      </c>
      <c r="H3386" s="4">
        <v>27269.58</v>
      </c>
      <c r="I3386" s="3" t="s">
        <v>3734</v>
      </c>
      <c r="J3386" t="s">
        <v>3732</v>
      </c>
      <c r="K3386" s="4">
        <f>Table3[[#This Row],[Sales]]-Table3[[#This Row],[Cost]]</f>
        <v>16564.379999999997</v>
      </c>
      <c r="L3386" s="6">
        <f>Table3[[#This Row],[Profit]]/Table3[[#This Row],[Sales]]</f>
        <v>0.37788919823807837</v>
      </c>
    </row>
    <row r="3387" spans="1:12" x14ac:dyDescent="0.25">
      <c r="A3387" t="s">
        <v>1342</v>
      </c>
      <c r="B3387" s="2">
        <v>45102</v>
      </c>
      <c r="C3387" s="2" t="str">
        <f>TEXT(Table3[[#This Row],[Order Date]],"mmmm")</f>
        <v>June</v>
      </c>
      <c r="D3387" t="s">
        <v>3730</v>
      </c>
      <c r="E3387" t="s">
        <v>3222</v>
      </c>
      <c r="F3387" t="s">
        <v>3226</v>
      </c>
      <c r="G3387" s="4">
        <v>33749.089999999997</v>
      </c>
      <c r="H3387" s="4">
        <v>17692.25</v>
      </c>
      <c r="I3387" s="3" t="s">
        <v>3734</v>
      </c>
      <c r="J3387">
        <v>2</v>
      </c>
      <c r="K3387" s="4">
        <f>Table3[[#This Row],[Sales]]-Table3[[#This Row],[Cost]]</f>
        <v>16056.839999999997</v>
      </c>
      <c r="L3387" s="6">
        <f>Table3[[#This Row],[Profit]]/Table3[[#This Row],[Sales]]</f>
        <v>0.47577105041943346</v>
      </c>
    </row>
    <row r="3388" spans="1:12" x14ac:dyDescent="0.25">
      <c r="A3388" t="s">
        <v>2928</v>
      </c>
      <c r="B3388" s="2">
        <v>44941</v>
      </c>
      <c r="C3388" s="2" t="str">
        <f>TEXT(Table3[[#This Row],[Order Date]],"mmmm")</f>
        <v>January</v>
      </c>
      <c r="D3388" t="s">
        <v>3730</v>
      </c>
      <c r="E3388" t="s">
        <v>3223</v>
      </c>
      <c r="F3388" t="s">
        <v>3226</v>
      </c>
      <c r="G3388" s="4">
        <v>38240.89</v>
      </c>
      <c r="H3388" s="4">
        <v>24400.37</v>
      </c>
      <c r="I3388" s="3" t="s">
        <v>3734</v>
      </c>
      <c r="J3388">
        <v>4</v>
      </c>
      <c r="K3388" s="4">
        <f>Table3[[#This Row],[Sales]]-Table3[[#This Row],[Cost]]</f>
        <v>13840.52</v>
      </c>
      <c r="L3388" s="6">
        <f>Table3[[#This Row],[Profit]]/Table3[[#This Row],[Sales]]</f>
        <v>0.36192986094204399</v>
      </c>
    </row>
    <row r="3389" spans="1:12" x14ac:dyDescent="0.25">
      <c r="A3389" t="s">
        <v>2929</v>
      </c>
      <c r="B3389" s="2">
        <v>44972</v>
      </c>
      <c r="C3389" s="2" t="str">
        <f>TEXT(Table3[[#This Row],[Order Date]],"mmmm")</f>
        <v>February</v>
      </c>
      <c r="D3389" t="s">
        <v>3216</v>
      </c>
      <c r="E3389" t="s">
        <v>3223</v>
      </c>
      <c r="F3389" t="s">
        <v>3226</v>
      </c>
      <c r="G3389" s="4">
        <v>42299.99</v>
      </c>
      <c r="H3389" s="4">
        <v>29986.21</v>
      </c>
      <c r="I3389" s="3" t="s">
        <v>3734</v>
      </c>
      <c r="J3389">
        <v>5</v>
      </c>
      <c r="K3389" s="4">
        <f>Table3[[#This Row],[Sales]]-Table3[[#This Row],[Cost]]</f>
        <v>12313.779999999999</v>
      </c>
      <c r="L3389" s="6">
        <f>Table3[[#This Row],[Profit]]/Table3[[#This Row],[Sales]]</f>
        <v>0.29110597898486501</v>
      </c>
    </row>
    <row r="3390" spans="1:12" x14ac:dyDescent="0.25">
      <c r="A3390" t="s">
        <v>72</v>
      </c>
      <c r="B3390" s="2">
        <v>45102</v>
      </c>
      <c r="C3390" s="2" t="str">
        <f>TEXT(Table3[[#This Row],[Order Date]],"mmmm")</f>
        <v>June</v>
      </c>
      <c r="D3390" t="s">
        <v>3216</v>
      </c>
      <c r="E3390" t="s">
        <v>3223</v>
      </c>
      <c r="F3390" t="s">
        <v>3226</v>
      </c>
      <c r="G3390" s="4">
        <v>40052.43</v>
      </c>
      <c r="H3390" s="4">
        <v>25711.37</v>
      </c>
      <c r="I3390" s="3" t="s">
        <v>3734</v>
      </c>
      <c r="J3390">
        <v>4</v>
      </c>
      <c r="K3390" s="4">
        <f>Table3[[#This Row],[Sales]]-Table3[[#This Row],[Cost]]</f>
        <v>14341.060000000001</v>
      </c>
      <c r="L3390" s="6">
        <f>Table3[[#This Row],[Profit]]/Table3[[#This Row],[Sales]]</f>
        <v>0.35805717655582947</v>
      </c>
    </row>
    <row r="3391" spans="1:12" x14ac:dyDescent="0.25">
      <c r="A3391" t="s">
        <v>2930</v>
      </c>
      <c r="B3391" s="2">
        <v>45021</v>
      </c>
      <c r="C3391" s="2" t="str">
        <f>TEXT(Table3[[#This Row],[Order Date]],"mmmm")</f>
        <v>April</v>
      </c>
      <c r="D3391" t="s">
        <v>3220</v>
      </c>
      <c r="E3391" t="s">
        <v>3223</v>
      </c>
      <c r="F3391" t="s">
        <v>3226</v>
      </c>
      <c r="G3391" s="4">
        <v>20193.29</v>
      </c>
      <c r="H3391" s="4">
        <v>14300.51</v>
      </c>
      <c r="I3391" s="3" t="s">
        <v>3734</v>
      </c>
      <c r="J3391" t="s">
        <v>3732</v>
      </c>
      <c r="K3391" s="4">
        <f>Table3[[#This Row],[Sales]]-Table3[[#This Row],[Cost]]</f>
        <v>5892.7800000000007</v>
      </c>
      <c r="L3391" s="6">
        <f>Table3[[#This Row],[Profit]]/Table3[[#This Row],[Sales]]</f>
        <v>0.29181871799989006</v>
      </c>
    </row>
    <row r="3392" spans="1:12" x14ac:dyDescent="0.25">
      <c r="A3392" t="s">
        <v>2931</v>
      </c>
      <c r="B3392" s="2">
        <v>45005</v>
      </c>
      <c r="C3392" s="2" t="str">
        <f>TEXT(Table3[[#This Row],[Order Date]],"mmmm")</f>
        <v>March</v>
      </c>
      <c r="D3392" t="s">
        <v>3730</v>
      </c>
      <c r="E3392" t="s">
        <v>3222</v>
      </c>
      <c r="F3392" t="s">
        <v>3226</v>
      </c>
      <c r="G3392" s="4">
        <v>82420.23</v>
      </c>
      <c r="H3392" s="4">
        <v>54269.5</v>
      </c>
      <c r="I3392" s="3" t="s">
        <v>3734</v>
      </c>
      <c r="J3392">
        <v>5</v>
      </c>
      <c r="K3392" s="4">
        <f>Table3[[#This Row],[Sales]]-Table3[[#This Row],[Cost]]</f>
        <v>28150.729999999996</v>
      </c>
      <c r="L3392" s="6">
        <f>Table3[[#This Row],[Profit]]/Table3[[#This Row],[Sales]]</f>
        <v>0.3415512186753179</v>
      </c>
    </row>
    <row r="3393" spans="1:12" x14ac:dyDescent="0.25">
      <c r="A3393" t="s">
        <v>2932</v>
      </c>
      <c r="B3393" s="2">
        <v>44972</v>
      </c>
      <c r="C3393" s="2" t="str">
        <f>TEXT(Table3[[#This Row],[Order Date]],"mmmm")</f>
        <v>February</v>
      </c>
      <c r="D3393" t="s">
        <v>3220</v>
      </c>
      <c r="E3393" t="s">
        <v>3225</v>
      </c>
      <c r="F3393" t="s">
        <v>3226</v>
      </c>
      <c r="G3393" s="4">
        <v>94851.55</v>
      </c>
      <c r="H3393" s="4">
        <v>61311.15</v>
      </c>
      <c r="I3393" s="3" t="s">
        <v>3734</v>
      </c>
      <c r="J3393">
        <v>4</v>
      </c>
      <c r="K3393" s="4">
        <f>Table3[[#This Row],[Sales]]-Table3[[#This Row],[Cost]]</f>
        <v>33540.400000000001</v>
      </c>
      <c r="L3393" s="6">
        <f>Table3[[#This Row],[Profit]]/Table3[[#This Row],[Sales]]</f>
        <v>0.35360940332551233</v>
      </c>
    </row>
    <row r="3394" spans="1:12" x14ac:dyDescent="0.25">
      <c r="A3394" t="s">
        <v>2933</v>
      </c>
      <c r="B3394" s="2">
        <v>44972</v>
      </c>
      <c r="C3394" s="2" t="str">
        <f>TEXT(Table3[[#This Row],[Order Date]],"mmmm")</f>
        <v>February</v>
      </c>
      <c r="D3394" t="s">
        <v>3730</v>
      </c>
      <c r="E3394" t="s">
        <v>3225</v>
      </c>
      <c r="F3394" t="s">
        <v>3226</v>
      </c>
      <c r="G3394" s="4">
        <v>111404.69</v>
      </c>
      <c r="H3394" s="4">
        <v>70830.539999999994</v>
      </c>
      <c r="I3394" s="3" t="s">
        <v>3734</v>
      </c>
      <c r="J3394">
        <v>5</v>
      </c>
      <c r="K3394" s="4">
        <f>Table3[[#This Row],[Sales]]-Table3[[#This Row],[Cost]]</f>
        <v>40574.150000000009</v>
      </c>
      <c r="L3394" s="6">
        <f>Table3[[#This Row],[Profit]]/Table3[[#This Row],[Sales]]</f>
        <v>0.36420504379124441</v>
      </c>
    </row>
    <row r="3395" spans="1:12" x14ac:dyDescent="0.25">
      <c r="A3395" t="s">
        <v>2466</v>
      </c>
      <c r="B3395" s="2" t="s">
        <v>3729</v>
      </c>
      <c r="C3395" s="2" t="str">
        <f>TEXT(Table3[[#This Row],[Order Date]],"mmmm")</f>
        <v>Not Mentioned</v>
      </c>
      <c r="D3395" t="s">
        <v>3730</v>
      </c>
      <c r="E3395" t="s">
        <v>3223</v>
      </c>
      <c r="F3395" t="s">
        <v>3226</v>
      </c>
      <c r="G3395" s="4">
        <v>42891.69</v>
      </c>
      <c r="H3395" s="4">
        <v>28665.46</v>
      </c>
      <c r="I3395" s="3" t="s">
        <v>3734</v>
      </c>
      <c r="J3395">
        <v>4</v>
      </c>
      <c r="K3395" s="4">
        <f>Table3[[#This Row],[Sales]]-Table3[[#This Row],[Cost]]</f>
        <v>14226.230000000003</v>
      </c>
      <c r="L3395" s="6">
        <f>Table3[[#This Row],[Profit]]/Table3[[#This Row],[Sales]]</f>
        <v>0.33167800103003642</v>
      </c>
    </row>
    <row r="3396" spans="1:12" x14ac:dyDescent="0.25">
      <c r="A3396" t="s">
        <v>3700</v>
      </c>
      <c r="B3396" s="2">
        <v>45021</v>
      </c>
      <c r="C3396" s="2" t="str">
        <f>TEXT(Table3[[#This Row],[Order Date]],"mmmm")</f>
        <v>April</v>
      </c>
      <c r="D3396" t="s">
        <v>3216</v>
      </c>
      <c r="E3396" t="s">
        <v>3223</v>
      </c>
      <c r="F3396" t="s">
        <v>3226</v>
      </c>
      <c r="G3396" s="4">
        <v>18811.669999999998</v>
      </c>
      <c r="H3396" s="4">
        <v>14118.46</v>
      </c>
      <c r="I3396" s="3" t="s">
        <v>3734</v>
      </c>
      <c r="J3396">
        <v>2</v>
      </c>
      <c r="K3396" s="4">
        <f>Table3[[#This Row],[Sales]]-Table3[[#This Row],[Cost]]</f>
        <v>4693.2099999999991</v>
      </c>
      <c r="L3396" s="6">
        <f>Table3[[#This Row],[Profit]]/Table3[[#This Row],[Sales]]</f>
        <v>0.24948396394365835</v>
      </c>
    </row>
    <row r="3397" spans="1:12" x14ac:dyDescent="0.25">
      <c r="A3397" t="s">
        <v>2935</v>
      </c>
      <c r="B3397" s="2">
        <v>45005</v>
      </c>
      <c r="C3397" s="2" t="str">
        <f>TEXT(Table3[[#This Row],[Order Date]],"mmmm")</f>
        <v>March</v>
      </c>
      <c r="D3397" t="s">
        <v>3220</v>
      </c>
      <c r="E3397" t="s">
        <v>3225</v>
      </c>
      <c r="F3397" t="s">
        <v>3226</v>
      </c>
      <c r="G3397" s="4">
        <v>69471.03</v>
      </c>
      <c r="H3397" s="4">
        <v>36751.57</v>
      </c>
      <c r="I3397" s="3" t="s">
        <v>3734</v>
      </c>
      <c r="J3397">
        <v>3</v>
      </c>
      <c r="K3397" s="4">
        <f>Table3[[#This Row],[Sales]]-Table3[[#This Row],[Cost]]</f>
        <v>32719.46</v>
      </c>
      <c r="L3397" s="6">
        <f>Table3[[#This Row],[Profit]]/Table3[[#This Row],[Sales]]</f>
        <v>0.4709799178161026</v>
      </c>
    </row>
    <row r="3398" spans="1:12" x14ac:dyDescent="0.25">
      <c r="A3398" t="s">
        <v>3609</v>
      </c>
      <c r="B3398" s="2" t="s">
        <v>3729</v>
      </c>
      <c r="C3398" s="2" t="str">
        <f>TEXT(Table3[[#This Row],[Order Date]],"mmmm")</f>
        <v>Not Mentioned</v>
      </c>
      <c r="D3398" t="s">
        <v>3216</v>
      </c>
      <c r="E3398" t="s">
        <v>3224</v>
      </c>
      <c r="F3398" t="s">
        <v>3226</v>
      </c>
      <c r="G3398" s="4">
        <v>67080.91</v>
      </c>
      <c r="H3398" s="4">
        <v>48252.83</v>
      </c>
      <c r="I3398" s="3" t="s">
        <v>3734</v>
      </c>
      <c r="J3398">
        <v>1</v>
      </c>
      <c r="K3398" s="4">
        <f>Table3[[#This Row],[Sales]]-Table3[[#This Row],[Cost]]</f>
        <v>18828.080000000002</v>
      </c>
      <c r="L3398" s="6">
        <f>Table3[[#This Row],[Profit]]/Table3[[#This Row],[Sales]]</f>
        <v>0.28067717030076067</v>
      </c>
    </row>
    <row r="3399" spans="1:12" x14ac:dyDescent="0.25">
      <c r="A3399" t="s">
        <v>2936</v>
      </c>
      <c r="B3399" s="2">
        <v>44941</v>
      </c>
      <c r="C3399" s="2" t="str">
        <f>TEXT(Table3[[#This Row],[Order Date]],"mmmm")</f>
        <v>January</v>
      </c>
      <c r="D3399" t="s">
        <v>3731</v>
      </c>
      <c r="E3399" t="s">
        <v>3225</v>
      </c>
      <c r="F3399" t="s">
        <v>3226</v>
      </c>
      <c r="G3399" s="4">
        <v>74704.289999999994</v>
      </c>
      <c r="H3399" s="4">
        <v>51673.75</v>
      </c>
      <c r="I3399" s="3" t="s">
        <v>3734</v>
      </c>
      <c r="J3399">
        <v>4</v>
      </c>
      <c r="K3399" s="4">
        <f>Table3[[#This Row],[Sales]]-Table3[[#This Row],[Cost]]</f>
        <v>23030.539999999994</v>
      </c>
      <c r="L3399" s="6">
        <f>Table3[[#This Row],[Profit]]/Table3[[#This Row],[Sales]]</f>
        <v>0.30828939007384976</v>
      </c>
    </row>
    <row r="3400" spans="1:12" x14ac:dyDescent="0.25">
      <c r="A3400" t="s">
        <v>2143</v>
      </c>
      <c r="B3400" s="2">
        <v>45021</v>
      </c>
      <c r="C3400" s="2" t="str">
        <f>TEXT(Table3[[#This Row],[Order Date]],"mmmm")</f>
        <v>April</v>
      </c>
      <c r="D3400" t="s">
        <v>3730</v>
      </c>
      <c r="E3400" t="s">
        <v>3223</v>
      </c>
      <c r="F3400" t="s">
        <v>3226</v>
      </c>
      <c r="G3400" s="4">
        <v>10953.99</v>
      </c>
      <c r="H3400" s="4">
        <v>6782.56</v>
      </c>
      <c r="I3400" s="3" t="s">
        <v>3734</v>
      </c>
      <c r="J3400">
        <v>1</v>
      </c>
      <c r="K3400" s="4">
        <f>Table3[[#This Row],[Sales]]-Table3[[#This Row],[Cost]]</f>
        <v>4171.4299999999994</v>
      </c>
      <c r="L3400" s="6">
        <f>Table3[[#This Row],[Profit]]/Table3[[#This Row],[Sales]]</f>
        <v>0.38081374914528854</v>
      </c>
    </row>
    <row r="3401" spans="1:12" x14ac:dyDescent="0.25">
      <c r="A3401" t="s">
        <v>647</v>
      </c>
      <c r="B3401" s="2">
        <v>44972</v>
      </c>
      <c r="C3401" s="2" t="str">
        <f>TEXT(Table3[[#This Row],[Order Date]],"mmmm")</f>
        <v>February</v>
      </c>
      <c r="D3401" t="s">
        <v>3216</v>
      </c>
      <c r="E3401" t="s">
        <v>3225</v>
      </c>
      <c r="F3401" t="s">
        <v>3226</v>
      </c>
      <c r="G3401" s="4">
        <v>52022.34</v>
      </c>
      <c r="H3401" s="4">
        <v>39544.71</v>
      </c>
      <c r="I3401" s="3" t="s">
        <v>3734</v>
      </c>
      <c r="J3401">
        <v>3</v>
      </c>
      <c r="K3401" s="4">
        <f>Table3[[#This Row],[Sales]]-Table3[[#This Row],[Cost]]</f>
        <v>12477.629999999997</v>
      </c>
      <c r="L3401" s="6">
        <f>Table3[[#This Row],[Profit]]/Table3[[#This Row],[Sales]]</f>
        <v>0.23985137923438274</v>
      </c>
    </row>
    <row r="3402" spans="1:12" x14ac:dyDescent="0.25">
      <c r="A3402" t="s">
        <v>2937</v>
      </c>
      <c r="B3402" s="2">
        <v>45102</v>
      </c>
      <c r="C3402" s="2" t="str">
        <f>TEXT(Table3[[#This Row],[Order Date]],"mmmm")</f>
        <v>June</v>
      </c>
      <c r="D3402" t="s">
        <v>3731</v>
      </c>
      <c r="E3402" t="s">
        <v>3223</v>
      </c>
      <c r="F3402" t="s">
        <v>3226</v>
      </c>
      <c r="G3402" s="4">
        <v>24868.42</v>
      </c>
      <c r="H3402" s="4">
        <v>21023.05</v>
      </c>
      <c r="I3402" s="3" t="s">
        <v>3734</v>
      </c>
      <c r="J3402">
        <v>3</v>
      </c>
      <c r="K3402" s="4">
        <f>Table3[[#This Row],[Sales]]-Table3[[#This Row],[Cost]]</f>
        <v>3845.369999999999</v>
      </c>
      <c r="L3402" s="6">
        <f>Table3[[#This Row],[Profit]]/Table3[[#This Row],[Sales]]</f>
        <v>0.15462864146576258</v>
      </c>
    </row>
    <row r="3403" spans="1:12" x14ac:dyDescent="0.25">
      <c r="A3403" t="s">
        <v>2938</v>
      </c>
      <c r="B3403" s="2">
        <v>44972</v>
      </c>
      <c r="C3403" s="2" t="str">
        <f>TEXT(Table3[[#This Row],[Order Date]],"mmmm")</f>
        <v>February</v>
      </c>
      <c r="D3403" t="s">
        <v>3220</v>
      </c>
      <c r="E3403" t="s">
        <v>3224</v>
      </c>
      <c r="F3403" t="s">
        <v>3226</v>
      </c>
      <c r="G3403" s="4">
        <v>244699.42</v>
      </c>
      <c r="H3403" s="4">
        <v>182340.89</v>
      </c>
      <c r="I3403" s="3" t="s">
        <v>3734</v>
      </c>
      <c r="J3403">
        <v>4</v>
      </c>
      <c r="K3403" s="4">
        <f>Table3[[#This Row],[Sales]]-Table3[[#This Row],[Cost]]</f>
        <v>62358.53</v>
      </c>
      <c r="L3403" s="6">
        <f>Table3[[#This Row],[Profit]]/Table3[[#This Row],[Sales]]</f>
        <v>0.25483726115901706</v>
      </c>
    </row>
    <row r="3404" spans="1:12" x14ac:dyDescent="0.25">
      <c r="A3404" t="s">
        <v>2939</v>
      </c>
      <c r="B3404" s="2">
        <v>45102</v>
      </c>
      <c r="C3404" s="2" t="str">
        <f>TEXT(Table3[[#This Row],[Order Date]],"mmmm")</f>
        <v>June</v>
      </c>
      <c r="D3404" t="s">
        <v>3220</v>
      </c>
      <c r="E3404" t="s">
        <v>3223</v>
      </c>
      <c r="F3404" t="s">
        <v>3226</v>
      </c>
      <c r="G3404" s="4">
        <v>44206</v>
      </c>
      <c r="H3404" s="4">
        <v>26179.81</v>
      </c>
      <c r="I3404" s="3" t="s">
        <v>3734</v>
      </c>
      <c r="J3404">
        <v>4</v>
      </c>
      <c r="K3404" s="4">
        <f>Table3[[#This Row],[Sales]]-Table3[[#This Row],[Cost]]</f>
        <v>18026.189999999999</v>
      </c>
      <c r="L3404" s="6">
        <f>Table3[[#This Row],[Profit]]/Table3[[#This Row],[Sales]]</f>
        <v>0.4077769985974754</v>
      </c>
    </row>
    <row r="3405" spans="1:12" x14ac:dyDescent="0.25">
      <c r="A3405" t="s">
        <v>2940</v>
      </c>
      <c r="B3405" s="2">
        <v>45102</v>
      </c>
      <c r="C3405" s="2" t="str">
        <f>TEXT(Table3[[#This Row],[Order Date]],"mmmm")</f>
        <v>June</v>
      </c>
      <c r="D3405" t="s">
        <v>3730</v>
      </c>
      <c r="E3405" t="s">
        <v>3222</v>
      </c>
      <c r="F3405" t="s">
        <v>3226</v>
      </c>
      <c r="G3405" s="4">
        <v>62237.760000000002</v>
      </c>
      <c r="H3405" s="4">
        <v>40714.129999999997</v>
      </c>
      <c r="I3405" s="3" t="s">
        <v>3734</v>
      </c>
      <c r="J3405">
        <v>4</v>
      </c>
      <c r="K3405" s="4">
        <f>Table3[[#This Row],[Sales]]-Table3[[#This Row],[Cost]]</f>
        <v>21523.630000000005</v>
      </c>
      <c r="L3405" s="6">
        <f>Table3[[#This Row],[Profit]]/Table3[[#This Row],[Sales]]</f>
        <v>0.3458291236702607</v>
      </c>
    </row>
    <row r="3406" spans="1:12" x14ac:dyDescent="0.25">
      <c r="A3406" t="s">
        <v>3701</v>
      </c>
      <c r="B3406" s="2">
        <v>44941</v>
      </c>
      <c r="C3406" s="2" t="str">
        <f>TEXT(Table3[[#This Row],[Order Date]],"mmmm")</f>
        <v>January</v>
      </c>
      <c r="D3406" t="s">
        <v>3216</v>
      </c>
      <c r="E3406" t="s">
        <v>3222</v>
      </c>
      <c r="F3406" t="s">
        <v>3226</v>
      </c>
      <c r="G3406" s="4">
        <v>67466.95</v>
      </c>
      <c r="H3406" s="4">
        <v>43536.99</v>
      </c>
      <c r="I3406" s="3" t="s">
        <v>3734</v>
      </c>
      <c r="J3406">
        <v>4</v>
      </c>
      <c r="K3406" s="4">
        <f>Table3[[#This Row],[Sales]]-Table3[[#This Row],[Cost]]</f>
        <v>23929.96</v>
      </c>
      <c r="L3406" s="6">
        <f>Table3[[#This Row],[Profit]]/Table3[[#This Row],[Sales]]</f>
        <v>0.35469159343945444</v>
      </c>
    </row>
    <row r="3407" spans="1:12" x14ac:dyDescent="0.25">
      <c r="A3407" t="s">
        <v>2942</v>
      </c>
      <c r="B3407" s="2" t="s">
        <v>3729</v>
      </c>
      <c r="C3407" s="2" t="str">
        <f>TEXT(Table3[[#This Row],[Order Date]],"mmmm")</f>
        <v>Not Mentioned</v>
      </c>
      <c r="D3407" t="s">
        <v>3731</v>
      </c>
      <c r="E3407" t="s">
        <v>3224</v>
      </c>
      <c r="F3407" t="s">
        <v>3226</v>
      </c>
      <c r="G3407" s="4">
        <v>143849.1</v>
      </c>
      <c r="H3407" s="4">
        <v>115079.28000000001</v>
      </c>
      <c r="I3407" s="3" t="s">
        <v>3735</v>
      </c>
      <c r="J3407">
        <v>2</v>
      </c>
      <c r="K3407" s="4">
        <f>Table3[[#This Row],[Sales]]-Table3[[#This Row],[Cost]]</f>
        <v>28769.819999999992</v>
      </c>
      <c r="L3407" s="6">
        <f>Table3[[#This Row],[Profit]]/Table3[[#This Row],[Sales]]</f>
        <v>0.19999999999999993</v>
      </c>
    </row>
    <row r="3408" spans="1:12" x14ac:dyDescent="0.25">
      <c r="A3408" t="s">
        <v>2943</v>
      </c>
      <c r="B3408" s="2">
        <v>44941</v>
      </c>
      <c r="C3408" s="2" t="str">
        <f>TEXT(Table3[[#This Row],[Order Date]],"mmmm")</f>
        <v>January</v>
      </c>
      <c r="D3408" t="s">
        <v>3220</v>
      </c>
      <c r="E3408" t="s">
        <v>3223</v>
      </c>
      <c r="F3408" t="s">
        <v>3226</v>
      </c>
      <c r="G3408" s="4">
        <v>32486.21</v>
      </c>
      <c r="H3408" s="4">
        <v>22941.83</v>
      </c>
      <c r="I3408" s="3" t="s">
        <v>3734</v>
      </c>
      <c r="J3408">
        <v>3</v>
      </c>
      <c r="K3408" s="4">
        <f>Table3[[#This Row],[Sales]]-Table3[[#This Row],[Cost]]</f>
        <v>9544.3799999999974</v>
      </c>
      <c r="L3408" s="6">
        <f>Table3[[#This Row],[Profit]]/Table3[[#This Row],[Sales]]</f>
        <v>0.29379789147456714</v>
      </c>
    </row>
    <row r="3409" spans="1:12" x14ac:dyDescent="0.25">
      <c r="A3409" t="s">
        <v>2944</v>
      </c>
      <c r="B3409" s="2">
        <v>45102</v>
      </c>
      <c r="C3409" s="2" t="str">
        <f>TEXT(Table3[[#This Row],[Order Date]],"mmmm")</f>
        <v>June</v>
      </c>
      <c r="D3409" t="s">
        <v>3220</v>
      </c>
      <c r="E3409" t="s">
        <v>3225</v>
      </c>
      <c r="F3409" t="s">
        <v>3226</v>
      </c>
      <c r="G3409" s="4">
        <v>41700.660000000003</v>
      </c>
      <c r="H3409" s="4">
        <v>27637.4</v>
      </c>
      <c r="I3409" s="3" t="s">
        <v>3734</v>
      </c>
      <c r="J3409">
        <v>2</v>
      </c>
      <c r="K3409" s="4">
        <f>Table3[[#This Row],[Sales]]-Table3[[#This Row],[Cost]]</f>
        <v>14063.260000000002</v>
      </c>
      <c r="L3409" s="6">
        <f>Table3[[#This Row],[Profit]]/Table3[[#This Row],[Sales]]</f>
        <v>0.33724310358637011</v>
      </c>
    </row>
    <row r="3410" spans="1:12" x14ac:dyDescent="0.25">
      <c r="A3410" t="s">
        <v>1731</v>
      </c>
      <c r="B3410" s="2">
        <v>45021</v>
      </c>
      <c r="C3410" s="2" t="str">
        <f>TEXT(Table3[[#This Row],[Order Date]],"mmmm")</f>
        <v>April</v>
      </c>
      <c r="D3410" t="s">
        <v>3730</v>
      </c>
      <c r="E3410" t="s">
        <v>3222</v>
      </c>
      <c r="F3410" t="s">
        <v>3226</v>
      </c>
      <c r="G3410" s="4">
        <v>81866.75</v>
      </c>
      <c r="H3410" s="4">
        <v>49976.2</v>
      </c>
      <c r="I3410" s="3" t="s">
        <v>3734</v>
      </c>
      <c r="J3410">
        <v>5</v>
      </c>
      <c r="K3410" s="4">
        <f>Table3[[#This Row],[Sales]]-Table3[[#This Row],[Cost]]</f>
        <v>31890.550000000003</v>
      </c>
      <c r="L3410" s="6">
        <f>Table3[[#This Row],[Profit]]/Table3[[#This Row],[Sales]]</f>
        <v>0.38954215233901435</v>
      </c>
    </row>
    <row r="3411" spans="1:12" x14ac:dyDescent="0.25">
      <c r="A3411" t="s">
        <v>2946</v>
      </c>
      <c r="B3411" s="2">
        <v>45102</v>
      </c>
      <c r="C3411" s="2" t="str">
        <f>TEXT(Table3[[#This Row],[Order Date]],"mmmm")</f>
        <v>June</v>
      </c>
      <c r="D3411" t="s">
        <v>3731</v>
      </c>
      <c r="E3411" t="s">
        <v>3222</v>
      </c>
      <c r="F3411" t="s">
        <v>3226</v>
      </c>
      <c r="G3411" s="4">
        <v>76466.97</v>
      </c>
      <c r="H3411" s="4">
        <v>51668.77</v>
      </c>
      <c r="I3411" s="3" t="s">
        <v>3734</v>
      </c>
      <c r="J3411">
        <v>5</v>
      </c>
      <c r="K3411" s="4">
        <f>Table3[[#This Row],[Sales]]-Table3[[#This Row],[Cost]]</f>
        <v>24798.200000000004</v>
      </c>
      <c r="L3411" s="6">
        <f>Table3[[#This Row],[Profit]]/Table3[[#This Row],[Sales]]</f>
        <v>0.32429949820164189</v>
      </c>
    </row>
    <row r="3412" spans="1:12" x14ac:dyDescent="0.25">
      <c r="A3412" t="s">
        <v>1147</v>
      </c>
      <c r="B3412" s="2">
        <v>44972</v>
      </c>
      <c r="C3412" s="2" t="str">
        <f>TEXT(Table3[[#This Row],[Order Date]],"mmmm")</f>
        <v>February</v>
      </c>
      <c r="D3412" t="s">
        <v>3730</v>
      </c>
      <c r="E3412" t="s">
        <v>3225</v>
      </c>
      <c r="F3412" t="s">
        <v>3226</v>
      </c>
      <c r="G3412" s="4">
        <v>90979.41</v>
      </c>
      <c r="H3412" s="4">
        <v>61213.24</v>
      </c>
      <c r="I3412" s="3" t="s">
        <v>3734</v>
      </c>
      <c r="J3412" t="s">
        <v>3732</v>
      </c>
      <c r="K3412" s="4">
        <f>Table3[[#This Row],[Sales]]-Table3[[#This Row],[Cost]]</f>
        <v>29766.170000000006</v>
      </c>
      <c r="L3412" s="6">
        <f>Table3[[#This Row],[Profit]]/Table3[[#This Row],[Sales]]</f>
        <v>0.32717479702275498</v>
      </c>
    </row>
    <row r="3413" spans="1:12" x14ac:dyDescent="0.25">
      <c r="A3413" t="s">
        <v>3349</v>
      </c>
      <c r="B3413" s="2" t="s">
        <v>3729</v>
      </c>
      <c r="C3413" s="2" t="str">
        <f>TEXT(Table3[[#This Row],[Order Date]],"mmmm")</f>
        <v>Not Mentioned</v>
      </c>
      <c r="D3413" t="s">
        <v>3730</v>
      </c>
      <c r="E3413" t="s">
        <v>3224</v>
      </c>
      <c r="F3413" t="s">
        <v>3226</v>
      </c>
      <c r="G3413" s="4">
        <v>242402.93</v>
      </c>
      <c r="H3413" s="4">
        <v>243561.94</v>
      </c>
      <c r="I3413" s="3" t="s">
        <v>3734</v>
      </c>
      <c r="J3413">
        <v>5</v>
      </c>
      <c r="K3413" s="4">
        <f>Table3[[#This Row],[Sales]]-Table3[[#This Row],[Cost]]</f>
        <v>-1159.0100000000093</v>
      </c>
      <c r="L3413" s="6">
        <f>Table3[[#This Row],[Profit]]/Table3[[#This Row],[Sales]]</f>
        <v>-4.7813365952301375E-3</v>
      </c>
    </row>
    <row r="3414" spans="1:12" x14ac:dyDescent="0.25">
      <c r="A3414" t="s">
        <v>2947</v>
      </c>
      <c r="B3414" s="2">
        <v>45021</v>
      </c>
      <c r="C3414" s="2" t="str">
        <f>TEXT(Table3[[#This Row],[Order Date]],"mmmm")</f>
        <v>April</v>
      </c>
      <c r="D3414" t="s">
        <v>3216</v>
      </c>
      <c r="E3414" t="s">
        <v>3223</v>
      </c>
      <c r="F3414" t="s">
        <v>3226</v>
      </c>
      <c r="G3414" s="4">
        <v>8249.14</v>
      </c>
      <c r="H3414" s="4">
        <v>7141.08</v>
      </c>
      <c r="I3414" s="3" t="s">
        <v>3734</v>
      </c>
      <c r="J3414">
        <v>1</v>
      </c>
      <c r="K3414" s="4">
        <f>Table3[[#This Row],[Sales]]-Table3[[#This Row],[Cost]]</f>
        <v>1108.0599999999995</v>
      </c>
      <c r="L3414" s="6">
        <f>Table3[[#This Row],[Profit]]/Table3[[#This Row],[Sales]]</f>
        <v>0.13432430532152437</v>
      </c>
    </row>
    <row r="3415" spans="1:12" x14ac:dyDescent="0.25">
      <c r="A3415" t="s">
        <v>3464</v>
      </c>
      <c r="B3415" s="2">
        <v>45005</v>
      </c>
      <c r="C3415" s="2" t="str">
        <f>TEXT(Table3[[#This Row],[Order Date]],"mmmm")</f>
        <v>March</v>
      </c>
      <c r="D3415" t="s">
        <v>3731</v>
      </c>
      <c r="E3415" t="s">
        <v>3222</v>
      </c>
      <c r="F3415" t="s">
        <v>3226</v>
      </c>
      <c r="G3415" s="4">
        <v>12506.87</v>
      </c>
      <c r="H3415" s="4">
        <v>10361.09</v>
      </c>
      <c r="I3415" s="3" t="s">
        <v>3734</v>
      </c>
      <c r="J3415">
        <v>1</v>
      </c>
      <c r="K3415" s="4">
        <f>Table3[[#This Row],[Sales]]-Table3[[#This Row],[Cost]]</f>
        <v>2145.7800000000007</v>
      </c>
      <c r="L3415" s="6">
        <f>Table3[[#This Row],[Profit]]/Table3[[#This Row],[Sales]]</f>
        <v>0.17156810616884965</v>
      </c>
    </row>
    <row r="3416" spans="1:12" x14ac:dyDescent="0.25">
      <c r="A3416" t="s">
        <v>2445</v>
      </c>
      <c r="B3416" s="2">
        <v>45005</v>
      </c>
      <c r="C3416" s="2" t="str">
        <f>TEXT(Table3[[#This Row],[Order Date]],"mmmm")</f>
        <v>March</v>
      </c>
      <c r="D3416" t="s">
        <v>3731</v>
      </c>
      <c r="E3416" t="s">
        <v>3223</v>
      </c>
      <c r="F3416" t="s">
        <v>3226</v>
      </c>
      <c r="G3416" s="4">
        <v>33783.51</v>
      </c>
      <c r="H3416" s="4">
        <v>27221.31</v>
      </c>
      <c r="I3416" s="3" t="s">
        <v>3734</v>
      </c>
      <c r="J3416">
        <v>4</v>
      </c>
      <c r="K3416" s="4">
        <f>Table3[[#This Row],[Sales]]-Table3[[#This Row],[Cost]]</f>
        <v>6562.2000000000007</v>
      </c>
      <c r="L3416" s="6">
        <f>Table3[[#This Row],[Profit]]/Table3[[#This Row],[Sales]]</f>
        <v>0.19424269414279335</v>
      </c>
    </row>
    <row r="3417" spans="1:12" x14ac:dyDescent="0.25">
      <c r="A3417" t="s">
        <v>2948</v>
      </c>
      <c r="B3417" s="2">
        <v>44972</v>
      </c>
      <c r="C3417" s="2" t="str">
        <f>TEXT(Table3[[#This Row],[Order Date]],"mmmm")</f>
        <v>February</v>
      </c>
      <c r="D3417" t="s">
        <v>3730</v>
      </c>
      <c r="E3417" t="s">
        <v>3223</v>
      </c>
      <c r="F3417" t="s">
        <v>3226</v>
      </c>
      <c r="G3417" s="4">
        <v>48481.09</v>
      </c>
      <c r="H3417" s="4">
        <v>29809.46</v>
      </c>
      <c r="I3417" s="3" t="s">
        <v>3734</v>
      </c>
      <c r="J3417">
        <v>5</v>
      </c>
      <c r="K3417" s="4">
        <f>Table3[[#This Row],[Sales]]-Table3[[#This Row],[Cost]]</f>
        <v>18671.629999999997</v>
      </c>
      <c r="L3417" s="6">
        <f>Table3[[#This Row],[Profit]]/Table3[[#This Row],[Sales]]</f>
        <v>0.38513222371856737</v>
      </c>
    </row>
    <row r="3418" spans="1:12" x14ac:dyDescent="0.25">
      <c r="A3418" t="s">
        <v>2949</v>
      </c>
      <c r="B3418" s="2">
        <v>45021</v>
      </c>
      <c r="C3418" s="2" t="str">
        <f>TEXT(Table3[[#This Row],[Order Date]],"mmmm")</f>
        <v>April</v>
      </c>
      <c r="D3418" t="s">
        <v>3216</v>
      </c>
      <c r="E3418" t="s">
        <v>3224</v>
      </c>
      <c r="F3418" t="s">
        <v>3226</v>
      </c>
      <c r="G3418" s="4">
        <v>242636.97</v>
      </c>
      <c r="H3418" s="4">
        <v>174491.34</v>
      </c>
      <c r="I3418" s="3" t="s">
        <v>3734</v>
      </c>
      <c r="J3418">
        <v>4</v>
      </c>
      <c r="K3418" s="4">
        <f>Table3[[#This Row],[Sales]]-Table3[[#This Row],[Cost]]</f>
        <v>68145.63</v>
      </c>
      <c r="L3418" s="6">
        <f>Table3[[#This Row],[Profit]]/Table3[[#This Row],[Sales]]</f>
        <v>0.28085427377369576</v>
      </c>
    </row>
    <row r="3419" spans="1:12" x14ac:dyDescent="0.25">
      <c r="A3419" t="s">
        <v>2950</v>
      </c>
      <c r="B3419" s="2">
        <v>45021</v>
      </c>
      <c r="C3419" s="2" t="str">
        <f>TEXT(Table3[[#This Row],[Order Date]],"mmmm")</f>
        <v>April</v>
      </c>
      <c r="D3419" t="s">
        <v>3220</v>
      </c>
      <c r="E3419" t="s">
        <v>3224</v>
      </c>
      <c r="F3419" t="s">
        <v>3226</v>
      </c>
      <c r="G3419" s="4">
        <v>180900.53</v>
      </c>
      <c r="H3419" s="4">
        <v>136929.72</v>
      </c>
      <c r="I3419" s="3" t="s">
        <v>3734</v>
      </c>
      <c r="J3419">
        <v>3</v>
      </c>
      <c r="K3419" s="4">
        <f>Table3[[#This Row],[Sales]]-Table3[[#This Row],[Cost]]</f>
        <v>43970.81</v>
      </c>
      <c r="L3419" s="6">
        <f>Table3[[#This Row],[Profit]]/Table3[[#This Row],[Sales]]</f>
        <v>0.24306623092812385</v>
      </c>
    </row>
    <row r="3420" spans="1:12" x14ac:dyDescent="0.25">
      <c r="A3420" t="s">
        <v>2951</v>
      </c>
      <c r="B3420" s="2">
        <v>45021</v>
      </c>
      <c r="C3420" s="2" t="str">
        <f>TEXT(Table3[[#This Row],[Order Date]],"mmmm")</f>
        <v>April</v>
      </c>
      <c r="D3420" t="s">
        <v>3730</v>
      </c>
      <c r="E3420" t="s">
        <v>3225</v>
      </c>
      <c r="F3420" t="s">
        <v>3226</v>
      </c>
      <c r="G3420" s="4">
        <v>81479.490000000005</v>
      </c>
      <c r="H3420" s="4">
        <v>59198.12</v>
      </c>
      <c r="I3420" s="3" t="s">
        <v>3734</v>
      </c>
      <c r="J3420">
        <v>4</v>
      </c>
      <c r="K3420" s="4">
        <f>Table3[[#This Row],[Sales]]-Table3[[#This Row],[Cost]]</f>
        <v>22281.370000000003</v>
      </c>
      <c r="L3420" s="6">
        <f>Table3[[#This Row],[Profit]]/Table3[[#This Row],[Sales]]</f>
        <v>0.27345986088032709</v>
      </c>
    </row>
    <row r="3421" spans="1:12" x14ac:dyDescent="0.25">
      <c r="A3421" t="s">
        <v>2293</v>
      </c>
      <c r="B3421" s="2">
        <v>45005</v>
      </c>
      <c r="C3421" s="2" t="str">
        <f>TEXT(Table3[[#This Row],[Order Date]],"mmmm")</f>
        <v>March</v>
      </c>
      <c r="D3421" t="s">
        <v>3730</v>
      </c>
      <c r="E3421" t="s">
        <v>3225</v>
      </c>
      <c r="F3421" t="s">
        <v>3226</v>
      </c>
      <c r="G3421" s="4">
        <v>69985.100000000006</v>
      </c>
      <c r="H3421" s="4">
        <v>43721.68</v>
      </c>
      <c r="I3421" s="3" t="s">
        <v>3734</v>
      </c>
      <c r="J3421">
        <v>3</v>
      </c>
      <c r="K3421" s="4">
        <f>Table3[[#This Row],[Sales]]-Table3[[#This Row],[Cost]]</f>
        <v>26263.420000000006</v>
      </c>
      <c r="L3421" s="6">
        <f>Table3[[#This Row],[Profit]]/Table3[[#This Row],[Sales]]</f>
        <v>0.37527159352490747</v>
      </c>
    </row>
    <row r="3422" spans="1:12" x14ac:dyDescent="0.25">
      <c r="A3422" t="s">
        <v>2952</v>
      </c>
      <c r="B3422" s="2">
        <v>45021</v>
      </c>
      <c r="C3422" s="2" t="str">
        <f>TEXT(Table3[[#This Row],[Order Date]],"mmmm")</f>
        <v>April</v>
      </c>
      <c r="D3422" t="s">
        <v>3220</v>
      </c>
      <c r="E3422" t="s">
        <v>3224</v>
      </c>
      <c r="F3422" t="s">
        <v>3226</v>
      </c>
      <c r="G3422" s="4">
        <v>208864.98</v>
      </c>
      <c r="H3422" s="4">
        <v>167091.98400000003</v>
      </c>
      <c r="I3422" s="3" t="s">
        <v>3735</v>
      </c>
      <c r="J3422">
        <v>3</v>
      </c>
      <c r="K3422" s="4">
        <f>Table3[[#This Row],[Sales]]-Table3[[#This Row],[Cost]]</f>
        <v>41772.995999999985</v>
      </c>
      <c r="L3422" s="6">
        <f>Table3[[#This Row],[Profit]]/Table3[[#This Row],[Sales]]</f>
        <v>0.19999999999999993</v>
      </c>
    </row>
    <row r="3423" spans="1:12" x14ac:dyDescent="0.25">
      <c r="A3423" t="s">
        <v>2953</v>
      </c>
      <c r="B3423" s="2">
        <v>45021</v>
      </c>
      <c r="C3423" s="2" t="str">
        <f>TEXT(Table3[[#This Row],[Order Date]],"mmmm")</f>
        <v>April</v>
      </c>
      <c r="D3423" t="s">
        <v>3730</v>
      </c>
      <c r="E3423" t="s">
        <v>3222</v>
      </c>
      <c r="F3423" t="s">
        <v>3226</v>
      </c>
      <c r="G3423" s="4">
        <v>64378.9</v>
      </c>
      <c r="H3423" s="4">
        <v>51503.12</v>
      </c>
      <c r="I3423" s="3" t="s">
        <v>3735</v>
      </c>
      <c r="J3423">
        <v>4</v>
      </c>
      <c r="K3423" s="4">
        <f>Table3[[#This Row],[Sales]]-Table3[[#This Row],[Cost]]</f>
        <v>12875.779999999999</v>
      </c>
      <c r="L3423" s="6">
        <f>Table3[[#This Row],[Profit]]/Table3[[#This Row],[Sales]]</f>
        <v>0.19999999999999998</v>
      </c>
    </row>
    <row r="3424" spans="1:12" x14ac:dyDescent="0.25">
      <c r="A3424" t="s">
        <v>2954</v>
      </c>
      <c r="B3424" s="2">
        <v>45005</v>
      </c>
      <c r="C3424" s="2" t="str">
        <f>TEXT(Table3[[#This Row],[Order Date]],"mmmm")</f>
        <v>March</v>
      </c>
      <c r="D3424" t="s">
        <v>3730</v>
      </c>
      <c r="E3424" t="s">
        <v>3222</v>
      </c>
      <c r="F3424" t="s">
        <v>3226</v>
      </c>
      <c r="G3424" s="4">
        <v>37898.120000000003</v>
      </c>
      <c r="H3424" s="4">
        <v>31943.06</v>
      </c>
      <c r="I3424" s="3" t="s">
        <v>3734</v>
      </c>
      <c r="J3424">
        <v>3</v>
      </c>
      <c r="K3424" s="4">
        <f>Table3[[#This Row],[Sales]]-Table3[[#This Row],[Cost]]</f>
        <v>5955.0600000000013</v>
      </c>
      <c r="L3424" s="6">
        <f>Table3[[#This Row],[Profit]]/Table3[[#This Row],[Sales]]</f>
        <v>0.15713338814695824</v>
      </c>
    </row>
    <row r="3425" spans="1:12" x14ac:dyDescent="0.25">
      <c r="A3425" t="s">
        <v>267</v>
      </c>
      <c r="B3425" s="2">
        <v>44972</v>
      </c>
      <c r="C3425" s="2" t="str">
        <f>TEXT(Table3[[#This Row],[Order Date]],"mmmm")</f>
        <v>February</v>
      </c>
      <c r="D3425" t="s">
        <v>3730</v>
      </c>
      <c r="E3425" t="s">
        <v>3223</v>
      </c>
      <c r="F3425" t="s">
        <v>3226</v>
      </c>
      <c r="G3425" s="4">
        <v>19618.43</v>
      </c>
      <c r="H3425" s="4">
        <v>13221.52</v>
      </c>
      <c r="I3425" s="3" t="s">
        <v>3734</v>
      </c>
      <c r="J3425">
        <v>2</v>
      </c>
      <c r="K3425" s="4">
        <f>Table3[[#This Row],[Sales]]-Table3[[#This Row],[Cost]]</f>
        <v>6396.91</v>
      </c>
      <c r="L3425" s="6">
        <f>Table3[[#This Row],[Profit]]/Table3[[#This Row],[Sales]]</f>
        <v>0.32606635699186937</v>
      </c>
    </row>
    <row r="3426" spans="1:12" x14ac:dyDescent="0.25">
      <c r="A3426" t="s">
        <v>2955</v>
      </c>
      <c r="B3426" s="2">
        <v>45102</v>
      </c>
      <c r="C3426" s="2" t="str">
        <f>TEXT(Table3[[#This Row],[Order Date]],"mmmm")</f>
        <v>June</v>
      </c>
      <c r="D3426" t="s">
        <v>3216</v>
      </c>
      <c r="E3426" t="s">
        <v>3222</v>
      </c>
      <c r="F3426" t="s">
        <v>3226</v>
      </c>
      <c r="G3426" s="4">
        <v>15993.16</v>
      </c>
      <c r="H3426" s="4">
        <v>9750.44</v>
      </c>
      <c r="I3426" s="3" t="s">
        <v>3734</v>
      </c>
      <c r="J3426">
        <v>1</v>
      </c>
      <c r="K3426" s="4">
        <f>Table3[[#This Row],[Sales]]-Table3[[#This Row],[Cost]]</f>
        <v>6242.7199999999993</v>
      </c>
      <c r="L3426" s="6">
        <f>Table3[[#This Row],[Profit]]/Table3[[#This Row],[Sales]]</f>
        <v>0.39033686901150239</v>
      </c>
    </row>
    <row r="3427" spans="1:12" x14ac:dyDescent="0.25">
      <c r="A3427" t="s">
        <v>869</v>
      </c>
      <c r="B3427" s="2">
        <v>45021</v>
      </c>
      <c r="C3427" s="2" t="str">
        <f>TEXT(Table3[[#This Row],[Order Date]],"mmmm")</f>
        <v>April</v>
      </c>
      <c r="D3427" t="s">
        <v>3730</v>
      </c>
      <c r="E3427" t="s">
        <v>3225</v>
      </c>
      <c r="F3427" t="s">
        <v>3226</v>
      </c>
      <c r="G3427" s="4">
        <v>18055.68</v>
      </c>
      <c r="H3427" s="4">
        <v>14756.68</v>
      </c>
      <c r="I3427" s="3" t="s">
        <v>3734</v>
      </c>
      <c r="J3427">
        <v>1</v>
      </c>
      <c r="K3427" s="4">
        <f>Table3[[#This Row],[Sales]]-Table3[[#This Row],[Cost]]</f>
        <v>3299</v>
      </c>
      <c r="L3427" s="6">
        <f>Table3[[#This Row],[Profit]]/Table3[[#This Row],[Sales]]</f>
        <v>0.18271258684247838</v>
      </c>
    </row>
    <row r="3428" spans="1:12" x14ac:dyDescent="0.25">
      <c r="A3428" t="s">
        <v>2289</v>
      </c>
      <c r="B3428" s="2">
        <v>44972</v>
      </c>
      <c r="C3428" s="2" t="str">
        <f>TEXT(Table3[[#This Row],[Order Date]],"mmmm")</f>
        <v>February</v>
      </c>
      <c r="D3428" t="s">
        <v>3730</v>
      </c>
      <c r="E3428" t="s">
        <v>3222</v>
      </c>
      <c r="F3428" t="s">
        <v>3226</v>
      </c>
      <c r="G3428" s="4">
        <v>72704.83</v>
      </c>
      <c r="H3428" s="4">
        <v>53098.02</v>
      </c>
      <c r="I3428" s="3" t="s">
        <v>3734</v>
      </c>
      <c r="J3428">
        <v>5</v>
      </c>
      <c r="K3428" s="4">
        <f>Table3[[#This Row],[Sales]]-Table3[[#This Row],[Cost]]</f>
        <v>19606.810000000005</v>
      </c>
      <c r="L3428" s="6">
        <f>Table3[[#This Row],[Profit]]/Table3[[#This Row],[Sales]]</f>
        <v>0.26967685640692651</v>
      </c>
    </row>
    <row r="3429" spans="1:12" x14ac:dyDescent="0.25">
      <c r="A3429" t="s">
        <v>3702</v>
      </c>
      <c r="B3429" s="2">
        <v>44941</v>
      </c>
      <c r="C3429" s="2" t="str">
        <f>TEXT(Table3[[#This Row],[Order Date]],"mmmm")</f>
        <v>January</v>
      </c>
      <c r="D3429" t="s">
        <v>3220</v>
      </c>
      <c r="E3429" t="s">
        <v>3222</v>
      </c>
      <c r="F3429" t="s">
        <v>3226</v>
      </c>
      <c r="G3429" s="4">
        <v>51275.64</v>
      </c>
      <c r="H3429" s="4">
        <v>42590.44</v>
      </c>
      <c r="I3429" s="3" t="s">
        <v>3734</v>
      </c>
      <c r="J3429">
        <v>4</v>
      </c>
      <c r="K3429" s="4">
        <f>Table3[[#This Row],[Sales]]-Table3[[#This Row],[Cost]]</f>
        <v>8685.1999999999971</v>
      </c>
      <c r="L3429" s="6">
        <f>Table3[[#This Row],[Profit]]/Table3[[#This Row],[Sales]]</f>
        <v>0.16938257620967767</v>
      </c>
    </row>
    <row r="3430" spans="1:12" x14ac:dyDescent="0.25">
      <c r="A3430" t="s">
        <v>2957</v>
      </c>
      <c r="B3430" s="2">
        <v>45005</v>
      </c>
      <c r="C3430" s="2" t="str">
        <f>TEXT(Table3[[#This Row],[Order Date]],"mmmm")</f>
        <v>March</v>
      </c>
      <c r="D3430" t="s">
        <v>3730</v>
      </c>
      <c r="E3430" t="s">
        <v>3225</v>
      </c>
      <c r="F3430" t="s">
        <v>3226</v>
      </c>
      <c r="G3430" s="4">
        <v>17596.73</v>
      </c>
      <c r="H3430" s="4">
        <v>14077.384</v>
      </c>
      <c r="I3430" s="3" t="s">
        <v>3735</v>
      </c>
      <c r="J3430">
        <v>1</v>
      </c>
      <c r="K3430" s="4">
        <f>Table3[[#This Row],[Sales]]-Table3[[#This Row],[Cost]]</f>
        <v>3519.3459999999995</v>
      </c>
      <c r="L3430" s="6">
        <f>Table3[[#This Row],[Profit]]/Table3[[#This Row],[Sales]]</f>
        <v>0.19999999999999998</v>
      </c>
    </row>
    <row r="3431" spans="1:12" x14ac:dyDescent="0.25">
      <c r="A3431" t="s">
        <v>2959</v>
      </c>
      <c r="B3431" s="2">
        <v>44972</v>
      </c>
      <c r="C3431" s="2" t="str">
        <f>TEXT(Table3[[#This Row],[Order Date]],"mmmm")</f>
        <v>February</v>
      </c>
      <c r="D3431" t="s">
        <v>3220</v>
      </c>
      <c r="E3431" t="s">
        <v>3225</v>
      </c>
      <c r="F3431" t="s">
        <v>3226</v>
      </c>
      <c r="G3431" s="4">
        <v>95629.8</v>
      </c>
      <c r="H3431" s="4">
        <v>60497.19</v>
      </c>
      <c r="I3431" s="3" t="s">
        <v>3734</v>
      </c>
      <c r="J3431">
        <v>5</v>
      </c>
      <c r="K3431" s="4">
        <f>Table3[[#This Row],[Sales]]-Table3[[#This Row],[Cost]]</f>
        <v>35132.61</v>
      </c>
      <c r="L3431" s="6">
        <f>Table3[[#This Row],[Profit]]/Table3[[#This Row],[Sales]]</f>
        <v>0.36738140203158431</v>
      </c>
    </row>
    <row r="3432" spans="1:12" x14ac:dyDescent="0.25">
      <c r="A3432" t="s">
        <v>3319</v>
      </c>
      <c r="B3432" s="2">
        <v>45021</v>
      </c>
      <c r="C3432" s="2" t="str">
        <f>TEXT(Table3[[#This Row],[Order Date]],"mmmm")</f>
        <v>April</v>
      </c>
      <c r="D3432" t="s">
        <v>3730</v>
      </c>
      <c r="E3432" t="s">
        <v>3224</v>
      </c>
      <c r="F3432" t="s">
        <v>3226</v>
      </c>
      <c r="G3432" s="4">
        <v>240987.75</v>
      </c>
      <c r="H3432" s="4">
        <v>184814.92</v>
      </c>
      <c r="I3432" s="3" t="s">
        <v>3734</v>
      </c>
      <c r="J3432">
        <v>4</v>
      </c>
      <c r="K3432" s="4">
        <f>Table3[[#This Row],[Sales]]-Table3[[#This Row],[Cost]]</f>
        <v>56172.829999999987</v>
      </c>
      <c r="L3432" s="6">
        <f>Table3[[#This Row],[Profit]]/Table3[[#This Row],[Sales]]</f>
        <v>0.23309413030330375</v>
      </c>
    </row>
    <row r="3433" spans="1:12" x14ac:dyDescent="0.25">
      <c r="A3433" t="s">
        <v>2960</v>
      </c>
      <c r="B3433" s="2">
        <v>45021</v>
      </c>
      <c r="C3433" s="2" t="str">
        <f>TEXT(Table3[[#This Row],[Order Date]],"mmmm")</f>
        <v>April</v>
      </c>
      <c r="D3433" t="s">
        <v>3731</v>
      </c>
      <c r="E3433" t="s">
        <v>3222</v>
      </c>
      <c r="F3433" t="s">
        <v>3226</v>
      </c>
      <c r="G3433" s="4">
        <v>78349.27</v>
      </c>
      <c r="H3433" s="4">
        <v>62679.416000000005</v>
      </c>
      <c r="I3433" s="3" t="s">
        <v>3735</v>
      </c>
      <c r="J3433">
        <v>5</v>
      </c>
      <c r="K3433" s="4">
        <f>Table3[[#This Row],[Sales]]-Table3[[#This Row],[Cost]]</f>
        <v>15669.853999999999</v>
      </c>
      <c r="L3433" s="6">
        <f>Table3[[#This Row],[Profit]]/Table3[[#This Row],[Sales]]</f>
        <v>0.19999999999999998</v>
      </c>
    </row>
    <row r="3434" spans="1:12" x14ac:dyDescent="0.25">
      <c r="A3434" t="s">
        <v>3703</v>
      </c>
      <c r="B3434" s="2">
        <v>44972</v>
      </c>
      <c r="C3434" s="2" t="str">
        <f>TEXT(Table3[[#This Row],[Order Date]],"mmmm")</f>
        <v>February</v>
      </c>
      <c r="D3434" t="s">
        <v>3731</v>
      </c>
      <c r="E3434" t="s">
        <v>3225</v>
      </c>
      <c r="F3434" t="s">
        <v>3226</v>
      </c>
      <c r="G3434" s="4">
        <v>18614.97</v>
      </c>
      <c r="H3434" s="4">
        <v>13089.81</v>
      </c>
      <c r="I3434" s="3" t="s">
        <v>3734</v>
      </c>
      <c r="J3434">
        <v>1</v>
      </c>
      <c r="K3434" s="4">
        <f>Table3[[#This Row],[Sales]]-Table3[[#This Row],[Cost]]</f>
        <v>5525.1600000000017</v>
      </c>
      <c r="L3434" s="6">
        <f>Table3[[#This Row],[Profit]]/Table3[[#This Row],[Sales]]</f>
        <v>0.29681272653138852</v>
      </c>
    </row>
    <row r="3435" spans="1:12" x14ac:dyDescent="0.25">
      <c r="A3435" t="s">
        <v>2962</v>
      </c>
      <c r="B3435" s="2">
        <v>45021</v>
      </c>
      <c r="C3435" s="2" t="str">
        <f>TEXT(Table3[[#This Row],[Order Date]],"mmmm")</f>
        <v>April</v>
      </c>
      <c r="D3435" t="s">
        <v>3731</v>
      </c>
      <c r="E3435" t="s">
        <v>3223</v>
      </c>
      <c r="F3435" t="s">
        <v>3226</v>
      </c>
      <c r="G3435" s="4">
        <v>21029.59</v>
      </c>
      <c r="H3435" s="4">
        <v>14272.86</v>
      </c>
      <c r="I3435" s="3" t="s">
        <v>3734</v>
      </c>
      <c r="J3435">
        <v>2</v>
      </c>
      <c r="K3435" s="4">
        <f>Table3[[#This Row],[Sales]]-Table3[[#This Row],[Cost]]</f>
        <v>6756.73</v>
      </c>
      <c r="L3435" s="6">
        <f>Table3[[#This Row],[Profit]]/Table3[[#This Row],[Sales]]</f>
        <v>0.32129632579617573</v>
      </c>
    </row>
    <row r="3436" spans="1:12" x14ac:dyDescent="0.25">
      <c r="A3436" t="s">
        <v>3543</v>
      </c>
      <c r="B3436" s="2">
        <v>45021</v>
      </c>
      <c r="C3436" s="2" t="str">
        <f>TEXT(Table3[[#This Row],[Order Date]],"mmmm")</f>
        <v>April</v>
      </c>
      <c r="D3436" t="s">
        <v>3730</v>
      </c>
      <c r="E3436" t="s">
        <v>3222</v>
      </c>
      <c r="F3436" t="s">
        <v>3226</v>
      </c>
      <c r="G3436" s="4">
        <v>16093.95</v>
      </c>
      <c r="H3436" s="4">
        <v>8813.06</v>
      </c>
      <c r="I3436" s="3" t="s">
        <v>3734</v>
      </c>
      <c r="J3436">
        <v>1</v>
      </c>
      <c r="K3436" s="4">
        <f>Table3[[#This Row],[Sales]]-Table3[[#This Row],[Cost]]</f>
        <v>7280.8900000000012</v>
      </c>
      <c r="L3436" s="6">
        <f>Table3[[#This Row],[Profit]]/Table3[[#This Row],[Sales]]</f>
        <v>0.45239919348575092</v>
      </c>
    </row>
    <row r="3437" spans="1:12" x14ac:dyDescent="0.25">
      <c r="A3437" t="s">
        <v>2963</v>
      </c>
      <c r="B3437" s="2" t="s">
        <v>3729</v>
      </c>
      <c r="C3437" s="2" t="str">
        <f>TEXT(Table3[[#This Row],[Order Date]],"mmmm")</f>
        <v>Not Mentioned</v>
      </c>
      <c r="D3437" t="s">
        <v>3220</v>
      </c>
      <c r="E3437" t="s">
        <v>3222</v>
      </c>
      <c r="F3437" t="s">
        <v>3226</v>
      </c>
      <c r="G3437" s="4">
        <v>68815.69</v>
      </c>
      <c r="H3437" s="4">
        <v>40351.33</v>
      </c>
      <c r="I3437" s="3" t="s">
        <v>3734</v>
      </c>
      <c r="J3437">
        <v>4</v>
      </c>
      <c r="K3437" s="4">
        <f>Table3[[#This Row],[Sales]]-Table3[[#This Row],[Cost]]</f>
        <v>28464.36</v>
      </c>
      <c r="L3437" s="6">
        <f>Table3[[#This Row],[Profit]]/Table3[[#This Row],[Sales]]</f>
        <v>0.41363183308922719</v>
      </c>
    </row>
    <row r="3438" spans="1:12" x14ac:dyDescent="0.25">
      <c r="A3438" t="s">
        <v>2965</v>
      </c>
      <c r="B3438" s="2">
        <v>45005</v>
      </c>
      <c r="C3438" s="2" t="str">
        <f>TEXT(Table3[[#This Row],[Order Date]],"mmmm")</f>
        <v>March</v>
      </c>
      <c r="D3438" t="s">
        <v>3216</v>
      </c>
      <c r="E3438" t="s">
        <v>3225</v>
      </c>
      <c r="F3438" t="s">
        <v>3226</v>
      </c>
      <c r="G3438" s="4">
        <v>65681.59</v>
      </c>
      <c r="H3438" s="4">
        <v>43507.48</v>
      </c>
      <c r="I3438" s="3" t="s">
        <v>3734</v>
      </c>
      <c r="J3438">
        <v>3</v>
      </c>
      <c r="K3438" s="4">
        <f>Table3[[#This Row],[Sales]]-Table3[[#This Row],[Cost]]</f>
        <v>22174.109999999993</v>
      </c>
      <c r="L3438" s="6">
        <f>Table3[[#This Row],[Profit]]/Table3[[#This Row],[Sales]]</f>
        <v>0.33760007941342457</v>
      </c>
    </row>
    <row r="3439" spans="1:12" x14ac:dyDescent="0.25">
      <c r="A3439" t="s">
        <v>2966</v>
      </c>
      <c r="B3439" s="2">
        <v>45005</v>
      </c>
      <c r="C3439" s="2" t="str">
        <f>TEXT(Table3[[#This Row],[Order Date]],"mmmm")</f>
        <v>March</v>
      </c>
      <c r="D3439" t="s">
        <v>3220</v>
      </c>
      <c r="E3439" t="s">
        <v>3223</v>
      </c>
      <c r="F3439" t="s">
        <v>3226</v>
      </c>
      <c r="G3439" s="4">
        <v>35214.959999999999</v>
      </c>
      <c r="H3439" s="4">
        <v>20237.78</v>
      </c>
      <c r="I3439" s="3" t="s">
        <v>3734</v>
      </c>
      <c r="J3439">
        <v>3</v>
      </c>
      <c r="K3439" s="4">
        <f>Table3[[#This Row],[Sales]]-Table3[[#This Row],[Cost]]</f>
        <v>14977.18</v>
      </c>
      <c r="L3439" s="6">
        <f>Table3[[#This Row],[Profit]]/Table3[[#This Row],[Sales]]</f>
        <v>0.42530731257397425</v>
      </c>
    </row>
    <row r="3440" spans="1:12" x14ac:dyDescent="0.25">
      <c r="A3440" t="s">
        <v>2967</v>
      </c>
      <c r="B3440" s="2">
        <v>45005</v>
      </c>
      <c r="C3440" s="2" t="str">
        <f>TEXT(Table3[[#This Row],[Order Date]],"mmmm")</f>
        <v>March</v>
      </c>
      <c r="D3440" t="s">
        <v>3731</v>
      </c>
      <c r="E3440" t="s">
        <v>3224</v>
      </c>
      <c r="F3440" t="s">
        <v>3226</v>
      </c>
      <c r="G3440" s="4">
        <v>57996.26</v>
      </c>
      <c r="H3440" s="4">
        <v>43430.23</v>
      </c>
      <c r="I3440" s="3" t="s">
        <v>3734</v>
      </c>
      <c r="J3440">
        <v>1</v>
      </c>
      <c r="K3440" s="4">
        <f>Table3[[#This Row],[Sales]]-Table3[[#This Row],[Cost]]</f>
        <v>14566.029999999999</v>
      </c>
      <c r="L3440" s="6">
        <f>Table3[[#This Row],[Profit]]/Table3[[#This Row],[Sales]]</f>
        <v>0.25115464342011018</v>
      </c>
    </row>
    <row r="3441" spans="1:12" x14ac:dyDescent="0.25">
      <c r="A3441" t="s">
        <v>3704</v>
      </c>
      <c r="B3441" s="2">
        <v>44972</v>
      </c>
      <c r="C3441" s="2" t="str">
        <f>TEXT(Table3[[#This Row],[Order Date]],"mmmm")</f>
        <v>February</v>
      </c>
      <c r="D3441" t="s">
        <v>3731</v>
      </c>
      <c r="E3441" t="s">
        <v>3225</v>
      </c>
      <c r="F3441" t="s">
        <v>3226</v>
      </c>
      <c r="G3441" s="4">
        <v>95976.36</v>
      </c>
      <c r="H3441" s="4">
        <v>64616.77</v>
      </c>
      <c r="I3441" s="3" t="s">
        <v>3734</v>
      </c>
      <c r="J3441">
        <v>5</v>
      </c>
      <c r="K3441" s="4">
        <f>Table3[[#This Row],[Sales]]-Table3[[#This Row],[Cost]]</f>
        <v>31359.590000000004</v>
      </c>
      <c r="L3441" s="6">
        <f>Table3[[#This Row],[Profit]]/Table3[[#This Row],[Sales]]</f>
        <v>0.32674285626168781</v>
      </c>
    </row>
    <row r="3442" spans="1:12" x14ac:dyDescent="0.25">
      <c r="A3442" t="s">
        <v>3302</v>
      </c>
      <c r="B3442" s="2">
        <v>45005</v>
      </c>
      <c r="C3442" s="2" t="str">
        <f>TEXT(Table3[[#This Row],[Order Date]],"mmmm")</f>
        <v>March</v>
      </c>
      <c r="D3442" t="s">
        <v>3731</v>
      </c>
      <c r="E3442" t="s">
        <v>3223</v>
      </c>
      <c r="F3442" t="s">
        <v>3226</v>
      </c>
      <c r="G3442" s="4">
        <v>27025.85</v>
      </c>
      <c r="H3442" s="4">
        <v>20130.62</v>
      </c>
      <c r="I3442" s="3" t="s">
        <v>3734</v>
      </c>
      <c r="J3442">
        <v>3</v>
      </c>
      <c r="K3442" s="4">
        <f>Table3[[#This Row],[Sales]]-Table3[[#This Row],[Cost]]</f>
        <v>6895.23</v>
      </c>
      <c r="L3442" s="6">
        <f>Table3[[#This Row],[Profit]]/Table3[[#This Row],[Sales]]</f>
        <v>0.25513462111274948</v>
      </c>
    </row>
    <row r="3443" spans="1:12" x14ac:dyDescent="0.25">
      <c r="A3443" t="s">
        <v>2969</v>
      </c>
      <c r="B3443" s="2">
        <v>45005</v>
      </c>
      <c r="C3443" s="2" t="str">
        <f>TEXT(Table3[[#This Row],[Order Date]],"mmmm")</f>
        <v>March</v>
      </c>
      <c r="D3443" t="s">
        <v>3731</v>
      </c>
      <c r="E3443" t="s">
        <v>3224</v>
      </c>
      <c r="F3443" t="s">
        <v>3226</v>
      </c>
      <c r="G3443" s="4">
        <v>268020.13</v>
      </c>
      <c r="H3443" s="4">
        <v>174045.58</v>
      </c>
      <c r="I3443" s="3" t="s">
        <v>3734</v>
      </c>
      <c r="J3443">
        <v>4</v>
      </c>
      <c r="K3443" s="4">
        <f>Table3[[#This Row],[Sales]]-Table3[[#This Row],[Cost]]</f>
        <v>93974.550000000017</v>
      </c>
      <c r="L3443" s="6">
        <f>Table3[[#This Row],[Profit]]/Table3[[#This Row],[Sales]]</f>
        <v>0.3506249698483469</v>
      </c>
    </row>
    <row r="3444" spans="1:12" x14ac:dyDescent="0.25">
      <c r="A3444" t="s">
        <v>459</v>
      </c>
      <c r="B3444" s="2" t="s">
        <v>3729</v>
      </c>
      <c r="C3444" s="2" t="str">
        <f>TEXT(Table3[[#This Row],[Order Date]],"mmmm")</f>
        <v>Not Mentioned</v>
      </c>
      <c r="D3444" t="s">
        <v>3216</v>
      </c>
      <c r="E3444" t="s">
        <v>3222</v>
      </c>
      <c r="F3444" t="s">
        <v>3226</v>
      </c>
      <c r="G3444" s="4">
        <v>14155.09</v>
      </c>
      <c r="H3444" s="4">
        <v>9677.11</v>
      </c>
      <c r="I3444" s="3" t="s">
        <v>3734</v>
      </c>
      <c r="J3444">
        <v>1</v>
      </c>
      <c r="K3444" s="4">
        <f>Table3[[#This Row],[Sales]]-Table3[[#This Row],[Cost]]</f>
        <v>4477.9799999999996</v>
      </c>
      <c r="L3444" s="6">
        <f>Table3[[#This Row],[Profit]]/Table3[[#This Row],[Sales]]</f>
        <v>0.3163512206563151</v>
      </c>
    </row>
    <row r="3445" spans="1:12" x14ac:dyDescent="0.25">
      <c r="A3445" t="s">
        <v>1198</v>
      </c>
      <c r="B3445" s="2">
        <v>45005</v>
      </c>
      <c r="C3445" s="2" t="str">
        <f>TEXT(Table3[[#This Row],[Order Date]],"mmmm")</f>
        <v>March</v>
      </c>
      <c r="D3445" t="s">
        <v>3730</v>
      </c>
      <c r="E3445" t="s">
        <v>3225</v>
      </c>
      <c r="F3445" t="s">
        <v>3226</v>
      </c>
      <c r="G3445" s="4">
        <v>59073.35</v>
      </c>
      <c r="H3445" s="4">
        <v>41284.14</v>
      </c>
      <c r="I3445" s="3" t="s">
        <v>3734</v>
      </c>
      <c r="J3445">
        <v>3</v>
      </c>
      <c r="K3445" s="4">
        <f>Table3[[#This Row],[Sales]]-Table3[[#This Row],[Cost]]</f>
        <v>17789.21</v>
      </c>
      <c r="L3445" s="6">
        <f>Table3[[#This Row],[Profit]]/Table3[[#This Row],[Sales]]</f>
        <v>0.30113765344271148</v>
      </c>
    </row>
    <row r="3446" spans="1:12" x14ac:dyDescent="0.25">
      <c r="A3446" t="s">
        <v>3705</v>
      </c>
      <c r="B3446" s="2">
        <v>44941</v>
      </c>
      <c r="C3446" s="2" t="str">
        <f>TEXT(Table3[[#This Row],[Order Date]],"mmmm")</f>
        <v>January</v>
      </c>
      <c r="D3446" t="s">
        <v>3730</v>
      </c>
      <c r="E3446" t="s">
        <v>3224</v>
      </c>
      <c r="F3446" t="s">
        <v>3226</v>
      </c>
      <c r="G3446" s="4">
        <v>172808.86</v>
      </c>
      <c r="H3446" s="4">
        <v>138247.08799999999</v>
      </c>
      <c r="I3446" s="3" t="s">
        <v>3735</v>
      </c>
      <c r="J3446">
        <v>3</v>
      </c>
      <c r="K3446" s="4">
        <f>Table3[[#This Row],[Sales]]-Table3[[#This Row],[Cost]]</f>
        <v>34561.771999999997</v>
      </c>
      <c r="L3446" s="6">
        <f>Table3[[#This Row],[Profit]]/Table3[[#This Row],[Sales]]</f>
        <v>0.2</v>
      </c>
    </row>
    <row r="3447" spans="1:12" x14ac:dyDescent="0.25">
      <c r="A3447" t="s">
        <v>3706</v>
      </c>
      <c r="B3447" s="2">
        <v>45102</v>
      </c>
      <c r="C3447" s="2" t="str">
        <f>TEXT(Table3[[#This Row],[Order Date]],"mmmm")</f>
        <v>June</v>
      </c>
      <c r="D3447" t="s">
        <v>3730</v>
      </c>
      <c r="E3447" t="s">
        <v>3222</v>
      </c>
      <c r="F3447" t="s">
        <v>3226</v>
      </c>
      <c r="G3447" s="4">
        <v>65283.87</v>
      </c>
      <c r="H3447" s="4">
        <v>42676.52</v>
      </c>
      <c r="I3447" s="3" t="s">
        <v>3734</v>
      </c>
      <c r="J3447">
        <v>4</v>
      </c>
      <c r="K3447" s="4">
        <f>Table3[[#This Row],[Sales]]-Table3[[#This Row],[Cost]]</f>
        <v>22607.350000000006</v>
      </c>
      <c r="L3447" s="6">
        <f>Table3[[#This Row],[Profit]]/Table3[[#This Row],[Sales]]</f>
        <v>0.3462930429828992</v>
      </c>
    </row>
    <row r="3448" spans="1:12" x14ac:dyDescent="0.25">
      <c r="A3448" t="s">
        <v>3291</v>
      </c>
      <c r="B3448" s="2">
        <v>44941</v>
      </c>
      <c r="C3448" s="2" t="str">
        <f>TEXT(Table3[[#This Row],[Order Date]],"mmmm")</f>
        <v>January</v>
      </c>
      <c r="D3448" t="s">
        <v>3730</v>
      </c>
      <c r="E3448" t="s">
        <v>3223</v>
      </c>
      <c r="F3448" t="s">
        <v>3226</v>
      </c>
      <c r="G3448" s="4">
        <v>59914.559999999998</v>
      </c>
      <c r="H3448" s="4">
        <v>36603.440000000002</v>
      </c>
      <c r="I3448" s="3" t="s">
        <v>3734</v>
      </c>
      <c r="J3448">
        <v>5</v>
      </c>
      <c r="K3448" s="4">
        <f>Table3[[#This Row],[Sales]]-Table3[[#This Row],[Cost]]</f>
        <v>23311.119999999995</v>
      </c>
      <c r="L3448" s="6">
        <f>Table3[[#This Row],[Profit]]/Table3[[#This Row],[Sales]]</f>
        <v>0.38907270620029583</v>
      </c>
    </row>
    <row r="3449" spans="1:12" x14ac:dyDescent="0.25">
      <c r="A3449" t="s">
        <v>696</v>
      </c>
      <c r="B3449" s="2">
        <v>45005</v>
      </c>
      <c r="C3449" s="2" t="str">
        <f>TEXT(Table3[[#This Row],[Order Date]],"mmmm")</f>
        <v>March</v>
      </c>
      <c r="D3449" t="s">
        <v>3730</v>
      </c>
      <c r="E3449" t="s">
        <v>3224</v>
      </c>
      <c r="F3449" t="s">
        <v>3226</v>
      </c>
      <c r="G3449" s="4">
        <v>97420.05</v>
      </c>
      <c r="H3449" s="4">
        <v>79547.520000000004</v>
      </c>
      <c r="I3449" s="3" t="s">
        <v>3734</v>
      </c>
      <c r="J3449">
        <v>2</v>
      </c>
      <c r="K3449" s="4">
        <f>Table3[[#This Row],[Sales]]-Table3[[#This Row],[Cost]]</f>
        <v>17872.53</v>
      </c>
      <c r="L3449" s="6">
        <f>Table3[[#This Row],[Profit]]/Table3[[#This Row],[Sales]]</f>
        <v>0.18345843591745228</v>
      </c>
    </row>
    <row r="3450" spans="1:12" x14ac:dyDescent="0.25">
      <c r="A3450" t="s">
        <v>2973</v>
      </c>
      <c r="B3450" s="2">
        <v>45021</v>
      </c>
      <c r="C3450" s="2" t="str">
        <f>TEXT(Table3[[#This Row],[Order Date]],"mmmm")</f>
        <v>April</v>
      </c>
      <c r="D3450" t="s">
        <v>3730</v>
      </c>
      <c r="E3450" t="s">
        <v>3225</v>
      </c>
      <c r="F3450" t="s">
        <v>3226</v>
      </c>
      <c r="G3450" s="4">
        <v>51276.63</v>
      </c>
      <c r="H3450" s="4">
        <v>41021.304000000004</v>
      </c>
      <c r="I3450" s="3" t="s">
        <v>3735</v>
      </c>
      <c r="J3450">
        <v>3</v>
      </c>
      <c r="K3450" s="4">
        <f>Table3[[#This Row],[Sales]]-Table3[[#This Row],[Cost]]</f>
        <v>10255.325999999994</v>
      </c>
      <c r="L3450" s="6">
        <f>Table3[[#This Row],[Profit]]/Table3[[#This Row],[Sales]]</f>
        <v>0.1999999999999999</v>
      </c>
    </row>
    <row r="3451" spans="1:12" x14ac:dyDescent="0.25">
      <c r="A3451" t="s">
        <v>2974</v>
      </c>
      <c r="B3451" s="2">
        <v>44972</v>
      </c>
      <c r="C3451" s="2" t="str">
        <f>TEXT(Table3[[#This Row],[Order Date]],"mmmm")</f>
        <v>February</v>
      </c>
      <c r="D3451" t="s">
        <v>3220</v>
      </c>
      <c r="E3451" t="s">
        <v>3224</v>
      </c>
      <c r="F3451" t="s">
        <v>3226</v>
      </c>
      <c r="G3451" s="4">
        <v>98706.14</v>
      </c>
      <c r="H3451" s="4">
        <v>94738.9</v>
      </c>
      <c r="I3451" s="3" t="s">
        <v>3734</v>
      </c>
      <c r="J3451">
        <v>2</v>
      </c>
      <c r="K3451" s="4">
        <f>Table3[[#This Row],[Sales]]-Table3[[#This Row],[Cost]]</f>
        <v>3967.2400000000052</v>
      </c>
      <c r="L3451" s="6">
        <f>Table3[[#This Row],[Profit]]/Table3[[#This Row],[Sales]]</f>
        <v>4.0192433824278867E-2</v>
      </c>
    </row>
    <row r="3452" spans="1:12" x14ac:dyDescent="0.25">
      <c r="A3452" t="s">
        <v>33</v>
      </c>
      <c r="B3452" s="2">
        <v>44941</v>
      </c>
      <c r="C3452" s="2" t="str">
        <f>TEXT(Table3[[#This Row],[Order Date]],"mmmm")</f>
        <v>January</v>
      </c>
      <c r="D3452" t="s">
        <v>3730</v>
      </c>
      <c r="E3452" t="s">
        <v>3225</v>
      </c>
      <c r="F3452" t="s">
        <v>3226</v>
      </c>
      <c r="G3452" s="4">
        <v>85681.72</v>
      </c>
      <c r="H3452" s="4">
        <v>62439.68</v>
      </c>
      <c r="I3452" s="3" t="s">
        <v>3734</v>
      </c>
      <c r="J3452">
        <v>5</v>
      </c>
      <c r="K3452" s="4">
        <f>Table3[[#This Row],[Sales]]-Table3[[#This Row],[Cost]]</f>
        <v>23242.04</v>
      </c>
      <c r="L3452" s="6">
        <f>Table3[[#This Row],[Profit]]/Table3[[#This Row],[Sales]]</f>
        <v>0.27126019412308716</v>
      </c>
    </row>
    <row r="3453" spans="1:12" x14ac:dyDescent="0.25">
      <c r="A3453" t="s">
        <v>3560</v>
      </c>
      <c r="B3453" s="2">
        <v>44941</v>
      </c>
      <c r="C3453" s="2" t="str">
        <f>TEXT(Table3[[#This Row],[Order Date]],"mmmm")</f>
        <v>January</v>
      </c>
      <c r="D3453" t="s">
        <v>3730</v>
      </c>
      <c r="E3453" t="s">
        <v>3224</v>
      </c>
      <c r="F3453" t="s">
        <v>3226</v>
      </c>
      <c r="G3453" s="4">
        <v>136844.32999999999</v>
      </c>
      <c r="H3453" s="4">
        <v>78720.13</v>
      </c>
      <c r="I3453" s="3" t="s">
        <v>3734</v>
      </c>
      <c r="J3453">
        <v>2</v>
      </c>
      <c r="K3453" s="4">
        <f>Table3[[#This Row],[Sales]]-Table3[[#This Row],[Cost]]</f>
        <v>58124.199999999983</v>
      </c>
      <c r="L3453" s="6">
        <f>Table3[[#This Row],[Profit]]/Table3[[#This Row],[Sales]]</f>
        <v>0.42474686382694837</v>
      </c>
    </row>
    <row r="3454" spans="1:12" x14ac:dyDescent="0.25">
      <c r="A3454" t="s">
        <v>2975</v>
      </c>
      <c r="B3454" s="2">
        <v>44972</v>
      </c>
      <c r="C3454" s="2" t="str">
        <f>TEXT(Table3[[#This Row],[Order Date]],"mmmm")</f>
        <v>February</v>
      </c>
      <c r="D3454" t="s">
        <v>3216</v>
      </c>
      <c r="E3454" t="s">
        <v>3222</v>
      </c>
      <c r="F3454" t="s">
        <v>3226</v>
      </c>
      <c r="G3454" s="4">
        <v>29751.9</v>
      </c>
      <c r="H3454" s="4">
        <v>17255.59</v>
      </c>
      <c r="I3454" s="3" t="s">
        <v>3734</v>
      </c>
      <c r="J3454">
        <v>2</v>
      </c>
      <c r="K3454" s="4">
        <f>Table3[[#This Row],[Sales]]-Table3[[#This Row],[Cost]]</f>
        <v>12496.310000000001</v>
      </c>
      <c r="L3454" s="6">
        <f>Table3[[#This Row],[Profit]]/Table3[[#This Row],[Sales]]</f>
        <v>0.42001720898497241</v>
      </c>
    </row>
    <row r="3455" spans="1:12" x14ac:dyDescent="0.25">
      <c r="A3455" t="s">
        <v>2976</v>
      </c>
      <c r="B3455" s="2">
        <v>45005</v>
      </c>
      <c r="C3455" s="2" t="str">
        <f>TEXT(Table3[[#This Row],[Order Date]],"mmmm")</f>
        <v>March</v>
      </c>
      <c r="D3455" t="s">
        <v>3731</v>
      </c>
      <c r="E3455" t="s">
        <v>3223</v>
      </c>
      <c r="F3455" t="s">
        <v>3226</v>
      </c>
      <c r="G3455" s="4">
        <v>10512.57</v>
      </c>
      <c r="H3455" s="4">
        <v>6114.58</v>
      </c>
      <c r="I3455" s="3" t="s">
        <v>3734</v>
      </c>
      <c r="J3455">
        <v>1</v>
      </c>
      <c r="K3455" s="4">
        <f>Table3[[#This Row],[Sales]]-Table3[[#This Row],[Cost]]</f>
        <v>4397.99</v>
      </c>
      <c r="L3455" s="6">
        <f>Table3[[#This Row],[Profit]]/Table3[[#This Row],[Sales]]</f>
        <v>0.41835535934600199</v>
      </c>
    </row>
    <row r="3456" spans="1:12" x14ac:dyDescent="0.25">
      <c r="A3456" t="s">
        <v>3279</v>
      </c>
      <c r="B3456" s="2">
        <v>45021</v>
      </c>
      <c r="C3456" s="2" t="str">
        <f>TEXT(Table3[[#This Row],[Order Date]],"mmmm")</f>
        <v>April</v>
      </c>
      <c r="D3456" t="s">
        <v>3220</v>
      </c>
      <c r="E3456" t="s">
        <v>3222</v>
      </c>
      <c r="F3456" t="s">
        <v>3226</v>
      </c>
      <c r="G3456" s="4">
        <v>34779.1</v>
      </c>
      <c r="H3456" s="4">
        <v>20731.23</v>
      </c>
      <c r="I3456" s="3" t="s">
        <v>3734</v>
      </c>
      <c r="J3456">
        <v>2</v>
      </c>
      <c r="K3456" s="4">
        <f>Table3[[#This Row],[Sales]]-Table3[[#This Row],[Cost]]</f>
        <v>14047.869999999999</v>
      </c>
      <c r="L3456" s="6">
        <f>Table3[[#This Row],[Profit]]/Table3[[#This Row],[Sales]]</f>
        <v>0.40391700762814448</v>
      </c>
    </row>
    <row r="3457" spans="1:12" x14ac:dyDescent="0.25">
      <c r="A3457" t="s">
        <v>2977</v>
      </c>
      <c r="B3457" s="2" t="s">
        <v>3729</v>
      </c>
      <c r="C3457" s="2" t="str">
        <f>TEXT(Table3[[#This Row],[Order Date]],"mmmm")</f>
        <v>Not Mentioned</v>
      </c>
      <c r="D3457" t="s">
        <v>3216</v>
      </c>
      <c r="E3457" t="s">
        <v>3225</v>
      </c>
      <c r="F3457" t="s">
        <v>3226</v>
      </c>
      <c r="G3457" s="4">
        <v>109986.48</v>
      </c>
      <c r="H3457" s="4">
        <v>68552.3</v>
      </c>
      <c r="I3457" s="3" t="s">
        <v>3734</v>
      </c>
      <c r="J3457">
        <v>5</v>
      </c>
      <c r="K3457" s="4">
        <f>Table3[[#This Row],[Sales]]-Table3[[#This Row],[Cost]]</f>
        <v>41434.179999999993</v>
      </c>
      <c r="L3457" s="6">
        <f>Table3[[#This Row],[Profit]]/Table3[[#This Row],[Sales]]</f>
        <v>0.37672066603095211</v>
      </c>
    </row>
    <row r="3458" spans="1:12" x14ac:dyDescent="0.25">
      <c r="A3458" t="s">
        <v>3707</v>
      </c>
      <c r="B3458" s="2">
        <v>45021</v>
      </c>
      <c r="C3458" s="2" t="str">
        <f>TEXT(Table3[[#This Row],[Order Date]],"mmmm")</f>
        <v>April</v>
      </c>
      <c r="D3458" t="s">
        <v>3220</v>
      </c>
      <c r="E3458" t="s">
        <v>3224</v>
      </c>
      <c r="F3458" t="s">
        <v>3226</v>
      </c>
      <c r="G3458" s="4">
        <v>224105.58</v>
      </c>
      <c r="H3458" s="4">
        <v>182058.39</v>
      </c>
      <c r="I3458" s="3" t="s">
        <v>3734</v>
      </c>
      <c r="J3458">
        <v>4</v>
      </c>
      <c r="K3458" s="4">
        <f>Table3[[#This Row],[Sales]]-Table3[[#This Row],[Cost]]</f>
        <v>42047.189999999973</v>
      </c>
      <c r="L3458" s="6">
        <f>Table3[[#This Row],[Profit]]/Table3[[#This Row],[Sales]]</f>
        <v>0.18762223591219807</v>
      </c>
    </row>
    <row r="3459" spans="1:12" x14ac:dyDescent="0.25">
      <c r="A3459" t="s">
        <v>1104</v>
      </c>
      <c r="B3459" s="2">
        <v>44941</v>
      </c>
      <c r="C3459" s="2" t="str">
        <f>TEXT(Table3[[#This Row],[Order Date]],"mmmm")</f>
        <v>January</v>
      </c>
      <c r="D3459" t="s">
        <v>3731</v>
      </c>
      <c r="E3459" t="s">
        <v>3225</v>
      </c>
      <c r="F3459" t="s">
        <v>3226</v>
      </c>
      <c r="G3459" s="4">
        <v>50158.35</v>
      </c>
      <c r="H3459" s="4">
        <v>44219.14</v>
      </c>
      <c r="I3459" s="3" t="s">
        <v>3734</v>
      </c>
      <c r="J3459">
        <v>3</v>
      </c>
      <c r="K3459" s="4">
        <f>Table3[[#This Row],[Sales]]-Table3[[#This Row],[Cost]]</f>
        <v>5939.2099999999991</v>
      </c>
      <c r="L3459" s="6">
        <f>Table3[[#This Row],[Profit]]/Table3[[#This Row],[Sales]]</f>
        <v>0.1184091980697132</v>
      </c>
    </row>
    <row r="3460" spans="1:12" x14ac:dyDescent="0.25">
      <c r="A3460" t="s">
        <v>3453</v>
      </c>
      <c r="B3460" s="2">
        <v>45005</v>
      </c>
      <c r="C3460" s="2" t="str">
        <f>TEXT(Table3[[#This Row],[Order Date]],"mmmm")</f>
        <v>March</v>
      </c>
      <c r="D3460" t="s">
        <v>3220</v>
      </c>
      <c r="E3460" t="s">
        <v>3224</v>
      </c>
      <c r="F3460" t="s">
        <v>3226</v>
      </c>
      <c r="G3460" s="4">
        <v>51141.84</v>
      </c>
      <c r="H3460" s="4">
        <v>40971.9</v>
      </c>
      <c r="I3460" s="3" t="s">
        <v>3734</v>
      </c>
      <c r="J3460">
        <v>1</v>
      </c>
      <c r="K3460" s="4">
        <f>Table3[[#This Row],[Sales]]-Table3[[#This Row],[Cost]]</f>
        <v>10169.939999999995</v>
      </c>
      <c r="L3460" s="6">
        <f>Table3[[#This Row],[Profit]]/Table3[[#This Row],[Sales]]</f>
        <v>0.19885753035088288</v>
      </c>
    </row>
    <row r="3461" spans="1:12" x14ac:dyDescent="0.25">
      <c r="A3461" t="s">
        <v>2979</v>
      </c>
      <c r="B3461" s="2" t="s">
        <v>3729</v>
      </c>
      <c r="C3461" s="2" t="str">
        <f>TEXT(Table3[[#This Row],[Order Date]],"mmmm")</f>
        <v>Not Mentioned</v>
      </c>
      <c r="D3461" t="s">
        <v>3220</v>
      </c>
      <c r="E3461" t="s">
        <v>3223</v>
      </c>
      <c r="F3461" t="s">
        <v>3226</v>
      </c>
      <c r="G3461" s="4">
        <v>8921.5</v>
      </c>
      <c r="H3461" s="4">
        <v>7137.2000000000007</v>
      </c>
      <c r="I3461" s="3" t="s">
        <v>3735</v>
      </c>
      <c r="J3461">
        <v>1</v>
      </c>
      <c r="K3461" s="4">
        <f>Table3[[#This Row],[Sales]]-Table3[[#This Row],[Cost]]</f>
        <v>1784.2999999999993</v>
      </c>
      <c r="L3461" s="6">
        <f>Table3[[#This Row],[Profit]]/Table3[[#This Row],[Sales]]</f>
        <v>0.19999999999999993</v>
      </c>
    </row>
    <row r="3462" spans="1:12" x14ac:dyDescent="0.25">
      <c r="A3462" t="s">
        <v>2980</v>
      </c>
      <c r="B3462" s="2">
        <v>45005</v>
      </c>
      <c r="C3462" s="2" t="str">
        <f>TEXT(Table3[[#This Row],[Order Date]],"mmmm")</f>
        <v>March</v>
      </c>
      <c r="D3462" t="s">
        <v>3730</v>
      </c>
      <c r="E3462" t="s">
        <v>3223</v>
      </c>
      <c r="F3462" t="s">
        <v>3226</v>
      </c>
      <c r="G3462" s="4">
        <v>45952.86</v>
      </c>
      <c r="H3462" s="4">
        <v>24380.22</v>
      </c>
      <c r="I3462" s="3" t="s">
        <v>3734</v>
      </c>
      <c r="J3462">
        <v>4</v>
      </c>
      <c r="K3462" s="4">
        <f>Table3[[#This Row],[Sales]]-Table3[[#This Row],[Cost]]</f>
        <v>21572.639999999999</v>
      </c>
      <c r="L3462" s="6">
        <f>Table3[[#This Row],[Profit]]/Table3[[#This Row],[Sales]]</f>
        <v>0.4694515205364802</v>
      </c>
    </row>
    <row r="3463" spans="1:12" x14ac:dyDescent="0.25">
      <c r="A3463" t="s">
        <v>2981</v>
      </c>
      <c r="B3463" s="2">
        <v>45005</v>
      </c>
      <c r="C3463" s="2" t="str">
        <f>TEXT(Table3[[#This Row],[Order Date]],"mmmm")</f>
        <v>March</v>
      </c>
      <c r="D3463" t="s">
        <v>3730</v>
      </c>
      <c r="E3463" t="s">
        <v>3222</v>
      </c>
      <c r="F3463" t="s">
        <v>3226</v>
      </c>
      <c r="G3463" s="4">
        <v>44755.8</v>
      </c>
      <c r="H3463" s="4">
        <v>32791.33</v>
      </c>
      <c r="I3463" s="3" t="s">
        <v>3734</v>
      </c>
      <c r="J3463">
        <v>3</v>
      </c>
      <c r="K3463" s="4">
        <f>Table3[[#This Row],[Sales]]-Table3[[#This Row],[Cost]]</f>
        <v>11964.470000000001</v>
      </c>
      <c r="L3463" s="6">
        <f>Table3[[#This Row],[Profit]]/Table3[[#This Row],[Sales]]</f>
        <v>0.26732781002685685</v>
      </c>
    </row>
    <row r="3464" spans="1:12" x14ac:dyDescent="0.25">
      <c r="A3464" t="s">
        <v>192</v>
      </c>
      <c r="B3464" s="2">
        <v>45005</v>
      </c>
      <c r="C3464" s="2" t="str">
        <f>TEXT(Table3[[#This Row],[Order Date]],"mmmm")</f>
        <v>March</v>
      </c>
      <c r="D3464" t="s">
        <v>3730</v>
      </c>
      <c r="E3464" t="s">
        <v>3223</v>
      </c>
      <c r="F3464" t="s">
        <v>3226</v>
      </c>
      <c r="G3464" s="4">
        <v>10243.34</v>
      </c>
      <c r="H3464" s="4">
        <v>6228.54</v>
      </c>
      <c r="I3464" s="3" t="s">
        <v>3734</v>
      </c>
      <c r="J3464" t="s">
        <v>3732</v>
      </c>
      <c r="K3464" s="4">
        <f>Table3[[#This Row],[Sales]]-Table3[[#This Row],[Cost]]</f>
        <v>4014.8</v>
      </c>
      <c r="L3464" s="6">
        <f>Table3[[#This Row],[Profit]]/Table3[[#This Row],[Sales]]</f>
        <v>0.39194247188905185</v>
      </c>
    </row>
    <row r="3465" spans="1:12" x14ac:dyDescent="0.25">
      <c r="A3465" t="s">
        <v>507</v>
      </c>
      <c r="B3465" s="2">
        <v>44972</v>
      </c>
      <c r="C3465" s="2" t="str">
        <f>TEXT(Table3[[#This Row],[Order Date]],"mmmm")</f>
        <v>February</v>
      </c>
      <c r="D3465" t="s">
        <v>3220</v>
      </c>
      <c r="E3465" t="s">
        <v>3225</v>
      </c>
      <c r="F3465" t="s">
        <v>3226</v>
      </c>
      <c r="G3465" s="4">
        <v>22482.11</v>
      </c>
      <c r="H3465" s="4">
        <v>12526.23</v>
      </c>
      <c r="I3465" s="3" t="s">
        <v>3734</v>
      </c>
      <c r="J3465">
        <v>1</v>
      </c>
      <c r="K3465" s="4">
        <f>Table3[[#This Row],[Sales]]-Table3[[#This Row],[Cost]]</f>
        <v>9955.880000000001</v>
      </c>
      <c r="L3465" s="6">
        <f>Table3[[#This Row],[Profit]]/Table3[[#This Row],[Sales]]</f>
        <v>0.44283565910850897</v>
      </c>
    </row>
    <row r="3466" spans="1:12" x14ac:dyDescent="0.25">
      <c r="A3466" t="s">
        <v>2983</v>
      </c>
      <c r="B3466" s="2">
        <v>45102</v>
      </c>
      <c r="C3466" s="2" t="str">
        <f>TEXT(Table3[[#This Row],[Order Date]],"mmmm")</f>
        <v>June</v>
      </c>
      <c r="D3466" t="s">
        <v>3731</v>
      </c>
      <c r="E3466" t="s">
        <v>3224</v>
      </c>
      <c r="F3466" t="s">
        <v>3226</v>
      </c>
      <c r="G3466" s="4">
        <v>205985.73</v>
      </c>
      <c r="H3466" s="4">
        <v>195895.86</v>
      </c>
      <c r="I3466" s="3" t="s">
        <v>3734</v>
      </c>
      <c r="J3466">
        <v>4</v>
      </c>
      <c r="K3466" s="4">
        <f>Table3[[#This Row],[Sales]]-Table3[[#This Row],[Cost]]</f>
        <v>10089.870000000024</v>
      </c>
      <c r="L3466" s="6">
        <f>Table3[[#This Row],[Profit]]/Table3[[#This Row],[Sales]]</f>
        <v>4.8983344622950453E-2</v>
      </c>
    </row>
    <row r="3467" spans="1:12" x14ac:dyDescent="0.25">
      <c r="A3467" t="s">
        <v>3301</v>
      </c>
      <c r="B3467" s="2">
        <v>45021</v>
      </c>
      <c r="C3467" s="2" t="str">
        <f>TEXT(Table3[[#This Row],[Order Date]],"mmmm")</f>
        <v>April</v>
      </c>
      <c r="D3467" t="s">
        <v>3216</v>
      </c>
      <c r="E3467" t="s">
        <v>3225</v>
      </c>
      <c r="F3467" t="s">
        <v>3226</v>
      </c>
      <c r="G3467" s="4">
        <v>110716.5</v>
      </c>
      <c r="H3467" s="4">
        <v>68887.33</v>
      </c>
      <c r="I3467" s="3" t="s">
        <v>3734</v>
      </c>
      <c r="J3467">
        <v>5</v>
      </c>
      <c r="K3467" s="4">
        <f>Table3[[#This Row],[Sales]]-Table3[[#This Row],[Cost]]</f>
        <v>41829.17</v>
      </c>
      <c r="L3467" s="6">
        <f>Table3[[#This Row],[Profit]]/Table3[[#This Row],[Sales]]</f>
        <v>0.37780430197847653</v>
      </c>
    </row>
    <row r="3468" spans="1:12" x14ac:dyDescent="0.25">
      <c r="A3468" t="s">
        <v>3344</v>
      </c>
      <c r="B3468" s="2">
        <v>45102</v>
      </c>
      <c r="C3468" s="2" t="str">
        <f>TEXT(Table3[[#This Row],[Order Date]],"mmmm")</f>
        <v>June</v>
      </c>
      <c r="D3468" t="s">
        <v>3731</v>
      </c>
      <c r="E3468" t="s">
        <v>3225</v>
      </c>
      <c r="F3468" t="s">
        <v>3226</v>
      </c>
      <c r="G3468" s="4">
        <v>21064.03</v>
      </c>
      <c r="H3468" s="4">
        <v>15094.77</v>
      </c>
      <c r="I3468" s="3" t="s">
        <v>3734</v>
      </c>
      <c r="J3468">
        <v>1</v>
      </c>
      <c r="K3468" s="4">
        <f>Table3[[#This Row],[Sales]]-Table3[[#This Row],[Cost]]</f>
        <v>5969.2599999999984</v>
      </c>
      <c r="L3468" s="6">
        <f>Table3[[#This Row],[Profit]]/Table3[[#This Row],[Sales]]</f>
        <v>0.2833864175089002</v>
      </c>
    </row>
    <row r="3469" spans="1:12" x14ac:dyDescent="0.25">
      <c r="A3469" t="s">
        <v>2984</v>
      </c>
      <c r="B3469" s="2">
        <v>45005</v>
      </c>
      <c r="C3469" s="2" t="str">
        <f>TEXT(Table3[[#This Row],[Order Date]],"mmmm")</f>
        <v>March</v>
      </c>
      <c r="D3469" t="s">
        <v>3730</v>
      </c>
      <c r="E3469" t="s">
        <v>3225</v>
      </c>
      <c r="F3469" t="s">
        <v>3226</v>
      </c>
      <c r="G3469" s="4">
        <v>83586.460000000006</v>
      </c>
      <c r="H3469" s="4">
        <v>48106.64</v>
      </c>
      <c r="I3469" s="3" t="s">
        <v>3734</v>
      </c>
      <c r="J3469">
        <v>4</v>
      </c>
      <c r="K3469" s="4">
        <f>Table3[[#This Row],[Sales]]-Table3[[#This Row],[Cost]]</f>
        <v>35479.820000000007</v>
      </c>
      <c r="L3469" s="6">
        <f>Table3[[#This Row],[Profit]]/Table3[[#This Row],[Sales]]</f>
        <v>0.42446850841631534</v>
      </c>
    </row>
    <row r="3470" spans="1:12" x14ac:dyDescent="0.25">
      <c r="A3470" t="s">
        <v>3609</v>
      </c>
      <c r="B3470" s="2" t="s">
        <v>3729</v>
      </c>
      <c r="C3470" s="2" t="str">
        <f>TEXT(Table3[[#This Row],[Order Date]],"mmmm")</f>
        <v>Not Mentioned</v>
      </c>
      <c r="D3470" t="s">
        <v>3731</v>
      </c>
      <c r="E3470" t="s">
        <v>3223</v>
      </c>
      <c r="F3470" t="s">
        <v>3226</v>
      </c>
      <c r="G3470" s="4">
        <v>9574.14</v>
      </c>
      <c r="H3470" s="4">
        <v>6911.17</v>
      </c>
      <c r="I3470" s="3" t="s">
        <v>3734</v>
      </c>
      <c r="J3470">
        <v>1</v>
      </c>
      <c r="K3470" s="4">
        <f>Table3[[#This Row],[Sales]]-Table3[[#This Row],[Cost]]</f>
        <v>2662.9699999999993</v>
      </c>
      <c r="L3470" s="6">
        <f>Table3[[#This Row],[Profit]]/Table3[[#This Row],[Sales]]</f>
        <v>0.27814195321981916</v>
      </c>
    </row>
    <row r="3471" spans="1:12" x14ac:dyDescent="0.25">
      <c r="A3471" t="s">
        <v>2985</v>
      </c>
      <c r="B3471" s="2">
        <v>44972</v>
      </c>
      <c r="C3471" s="2" t="str">
        <f>TEXT(Table3[[#This Row],[Order Date]],"mmmm")</f>
        <v>February</v>
      </c>
      <c r="D3471" t="s">
        <v>3731</v>
      </c>
      <c r="E3471" t="s">
        <v>3223</v>
      </c>
      <c r="F3471" t="s">
        <v>3226</v>
      </c>
      <c r="G3471" s="4">
        <v>40203.26</v>
      </c>
      <c r="H3471" s="4">
        <v>32514.7</v>
      </c>
      <c r="I3471" s="3" t="s">
        <v>3734</v>
      </c>
      <c r="J3471">
        <v>5</v>
      </c>
      <c r="K3471" s="4">
        <f>Table3[[#This Row],[Sales]]-Table3[[#This Row],[Cost]]</f>
        <v>7688.5600000000013</v>
      </c>
      <c r="L3471" s="6">
        <f>Table3[[#This Row],[Profit]]/Table3[[#This Row],[Sales]]</f>
        <v>0.19124220274674245</v>
      </c>
    </row>
    <row r="3472" spans="1:12" x14ac:dyDescent="0.25">
      <c r="A3472" t="s">
        <v>2986</v>
      </c>
      <c r="B3472" s="2">
        <v>44941</v>
      </c>
      <c r="C3472" s="2" t="str">
        <f>TEXT(Table3[[#This Row],[Order Date]],"mmmm")</f>
        <v>January</v>
      </c>
      <c r="D3472" t="s">
        <v>3220</v>
      </c>
      <c r="E3472" t="s">
        <v>3223</v>
      </c>
      <c r="F3472" t="s">
        <v>3226</v>
      </c>
      <c r="G3472" s="4">
        <v>40586.269999999997</v>
      </c>
      <c r="H3472" s="4">
        <v>31669.39</v>
      </c>
      <c r="I3472" s="3" t="s">
        <v>3734</v>
      </c>
      <c r="J3472">
        <v>5</v>
      </c>
      <c r="K3472" s="4">
        <f>Table3[[#This Row],[Sales]]-Table3[[#This Row],[Cost]]</f>
        <v>8916.8799999999974</v>
      </c>
      <c r="L3472" s="6">
        <f>Table3[[#This Row],[Profit]]/Table3[[#This Row],[Sales]]</f>
        <v>0.21970188440573618</v>
      </c>
    </row>
    <row r="3473" spans="1:12" x14ac:dyDescent="0.25">
      <c r="A3473" t="s">
        <v>2987</v>
      </c>
      <c r="B3473" s="2">
        <v>44941</v>
      </c>
      <c r="C3473" s="2" t="str">
        <f>TEXT(Table3[[#This Row],[Order Date]],"mmmm")</f>
        <v>January</v>
      </c>
      <c r="D3473" t="s">
        <v>3220</v>
      </c>
      <c r="E3473" t="s">
        <v>3223</v>
      </c>
      <c r="F3473" t="s">
        <v>3226</v>
      </c>
      <c r="G3473" s="4">
        <v>44643.21</v>
      </c>
      <c r="H3473" s="4">
        <v>24669.18</v>
      </c>
      <c r="I3473" s="3" t="s">
        <v>3734</v>
      </c>
      <c r="J3473">
        <v>4</v>
      </c>
      <c r="K3473" s="4">
        <f>Table3[[#This Row],[Sales]]-Table3[[#This Row],[Cost]]</f>
        <v>19974.03</v>
      </c>
      <c r="L3473" s="6">
        <f>Table3[[#This Row],[Profit]]/Table3[[#This Row],[Sales]]</f>
        <v>0.44741473563392953</v>
      </c>
    </row>
    <row r="3474" spans="1:12" x14ac:dyDescent="0.25">
      <c r="A3474" t="s">
        <v>2988</v>
      </c>
      <c r="B3474" s="2">
        <v>45005</v>
      </c>
      <c r="C3474" s="2" t="str">
        <f>TEXT(Table3[[#This Row],[Order Date]],"mmmm")</f>
        <v>March</v>
      </c>
      <c r="D3474" t="s">
        <v>3731</v>
      </c>
      <c r="E3474" t="s">
        <v>3222</v>
      </c>
      <c r="F3474" t="s">
        <v>3226</v>
      </c>
      <c r="G3474" s="4">
        <v>13172.61</v>
      </c>
      <c r="H3474" s="4">
        <v>10538.088000000002</v>
      </c>
      <c r="I3474" s="3" t="s">
        <v>3735</v>
      </c>
      <c r="J3474" t="s">
        <v>3732</v>
      </c>
      <c r="K3474" s="4">
        <f>Table3[[#This Row],[Sales]]-Table3[[#This Row],[Cost]]</f>
        <v>2634.521999999999</v>
      </c>
      <c r="L3474" s="6">
        <f>Table3[[#This Row],[Profit]]/Table3[[#This Row],[Sales]]</f>
        <v>0.19999999999999993</v>
      </c>
    </row>
    <row r="3475" spans="1:12" x14ac:dyDescent="0.25">
      <c r="A3475" t="s">
        <v>2989</v>
      </c>
      <c r="B3475" s="2">
        <v>45005</v>
      </c>
      <c r="C3475" s="2" t="str">
        <f>TEXT(Table3[[#This Row],[Order Date]],"mmmm")</f>
        <v>March</v>
      </c>
      <c r="D3475" t="s">
        <v>3731</v>
      </c>
      <c r="E3475" t="s">
        <v>3222</v>
      </c>
      <c r="F3475" t="s">
        <v>3226</v>
      </c>
      <c r="G3475" s="4">
        <v>32049.42</v>
      </c>
      <c r="H3475" s="4">
        <v>18573.599999999999</v>
      </c>
      <c r="I3475" s="3" t="s">
        <v>3734</v>
      </c>
      <c r="J3475">
        <v>2</v>
      </c>
      <c r="K3475" s="4">
        <f>Table3[[#This Row],[Sales]]-Table3[[#This Row],[Cost]]</f>
        <v>13475.82</v>
      </c>
      <c r="L3475" s="6">
        <f>Table3[[#This Row],[Profit]]/Table3[[#This Row],[Sales]]</f>
        <v>0.42047001162579545</v>
      </c>
    </row>
    <row r="3476" spans="1:12" x14ac:dyDescent="0.25">
      <c r="A3476" t="s">
        <v>1705</v>
      </c>
      <c r="B3476" s="2">
        <v>45021</v>
      </c>
      <c r="C3476" s="2" t="str">
        <f>TEXT(Table3[[#This Row],[Order Date]],"mmmm")</f>
        <v>April</v>
      </c>
      <c r="D3476" t="s">
        <v>3731</v>
      </c>
      <c r="E3476" t="s">
        <v>3223</v>
      </c>
      <c r="F3476" t="s">
        <v>3226</v>
      </c>
      <c r="G3476" s="4">
        <v>20285.13</v>
      </c>
      <c r="H3476" s="4">
        <v>13429.64</v>
      </c>
      <c r="I3476" s="3" t="s">
        <v>3734</v>
      </c>
      <c r="J3476">
        <v>2</v>
      </c>
      <c r="K3476" s="4">
        <f>Table3[[#This Row],[Sales]]-Table3[[#This Row],[Cost]]</f>
        <v>6855.4900000000016</v>
      </c>
      <c r="L3476" s="6">
        <f>Table3[[#This Row],[Profit]]/Table3[[#This Row],[Sales]]</f>
        <v>0.3379564242378531</v>
      </c>
    </row>
    <row r="3477" spans="1:12" x14ac:dyDescent="0.25">
      <c r="A3477" t="s">
        <v>182</v>
      </c>
      <c r="B3477" s="2">
        <v>45005</v>
      </c>
      <c r="C3477" s="2" t="str">
        <f>TEXT(Table3[[#This Row],[Order Date]],"mmmm")</f>
        <v>March</v>
      </c>
      <c r="D3477" t="s">
        <v>3220</v>
      </c>
      <c r="E3477" t="s">
        <v>3223</v>
      </c>
      <c r="F3477" t="s">
        <v>3226</v>
      </c>
      <c r="G3477" s="4">
        <v>17994.52</v>
      </c>
      <c r="H3477" s="4">
        <v>13631.11</v>
      </c>
      <c r="I3477" s="3" t="s">
        <v>3734</v>
      </c>
      <c r="J3477">
        <v>2</v>
      </c>
      <c r="K3477" s="4">
        <f>Table3[[#This Row],[Sales]]-Table3[[#This Row],[Cost]]</f>
        <v>4363.41</v>
      </c>
      <c r="L3477" s="6">
        <f>Table3[[#This Row],[Profit]]/Table3[[#This Row],[Sales]]</f>
        <v>0.24248549002696376</v>
      </c>
    </row>
    <row r="3478" spans="1:12" x14ac:dyDescent="0.25">
      <c r="A3478" t="s">
        <v>651</v>
      </c>
      <c r="B3478" s="2">
        <v>45102</v>
      </c>
      <c r="C3478" s="2" t="str">
        <f>TEXT(Table3[[#This Row],[Order Date]],"mmmm")</f>
        <v>June</v>
      </c>
      <c r="D3478" t="s">
        <v>3220</v>
      </c>
      <c r="E3478" t="s">
        <v>3223</v>
      </c>
      <c r="F3478" t="s">
        <v>3226</v>
      </c>
      <c r="G3478" s="4">
        <v>40237.279999999999</v>
      </c>
      <c r="H3478" s="4">
        <v>27167.7</v>
      </c>
      <c r="I3478" s="3" t="s">
        <v>3734</v>
      </c>
      <c r="J3478">
        <v>4</v>
      </c>
      <c r="K3478" s="4">
        <f>Table3[[#This Row],[Sales]]-Table3[[#This Row],[Cost]]</f>
        <v>13069.579999999998</v>
      </c>
      <c r="L3478" s="6">
        <f>Table3[[#This Row],[Profit]]/Table3[[#This Row],[Sales]]</f>
        <v>0.32481271099835768</v>
      </c>
    </row>
    <row r="3479" spans="1:12" x14ac:dyDescent="0.25">
      <c r="A3479" t="s">
        <v>2990</v>
      </c>
      <c r="B3479" s="2">
        <v>45102</v>
      </c>
      <c r="C3479" s="2" t="str">
        <f>TEXT(Table3[[#This Row],[Order Date]],"mmmm")</f>
        <v>June</v>
      </c>
      <c r="D3479" t="s">
        <v>3220</v>
      </c>
      <c r="E3479" t="s">
        <v>3224</v>
      </c>
      <c r="F3479" t="s">
        <v>3226</v>
      </c>
      <c r="G3479" s="4">
        <v>55739.53</v>
      </c>
      <c r="H3479" s="4">
        <v>43499.26</v>
      </c>
      <c r="I3479" s="3" t="s">
        <v>3734</v>
      </c>
      <c r="J3479">
        <v>1</v>
      </c>
      <c r="K3479" s="4">
        <f>Table3[[#This Row],[Sales]]-Table3[[#This Row],[Cost]]</f>
        <v>12240.269999999997</v>
      </c>
      <c r="L3479" s="6">
        <f>Table3[[#This Row],[Profit]]/Table3[[#This Row],[Sales]]</f>
        <v>0.21959765358624295</v>
      </c>
    </row>
    <row r="3480" spans="1:12" x14ac:dyDescent="0.25">
      <c r="A3480" t="s">
        <v>3391</v>
      </c>
      <c r="B3480" s="2">
        <v>44941</v>
      </c>
      <c r="C3480" s="2" t="str">
        <f>TEXT(Table3[[#This Row],[Order Date]],"mmmm")</f>
        <v>January</v>
      </c>
      <c r="D3480" t="s">
        <v>3731</v>
      </c>
      <c r="E3480" t="s">
        <v>3222</v>
      </c>
      <c r="F3480" t="s">
        <v>3226</v>
      </c>
      <c r="G3480" s="4">
        <v>12551.36</v>
      </c>
      <c r="H3480" s="4">
        <v>10046.219999999999</v>
      </c>
      <c r="I3480" s="3" t="s">
        <v>3734</v>
      </c>
      <c r="J3480">
        <v>1</v>
      </c>
      <c r="K3480" s="4">
        <f>Table3[[#This Row],[Sales]]-Table3[[#This Row],[Cost]]</f>
        <v>2505.1400000000012</v>
      </c>
      <c r="L3480" s="6">
        <f>Table3[[#This Row],[Profit]]/Table3[[#This Row],[Sales]]</f>
        <v>0.19959112000611895</v>
      </c>
    </row>
    <row r="3481" spans="1:12" x14ac:dyDescent="0.25">
      <c r="A3481" t="s">
        <v>2992</v>
      </c>
      <c r="B3481" s="2">
        <v>44941</v>
      </c>
      <c r="C3481" s="2" t="str">
        <f>TEXT(Table3[[#This Row],[Order Date]],"mmmm")</f>
        <v>January</v>
      </c>
      <c r="D3481" t="s">
        <v>3730</v>
      </c>
      <c r="E3481" t="s">
        <v>3223</v>
      </c>
      <c r="F3481" t="s">
        <v>3226</v>
      </c>
      <c r="G3481" s="4">
        <v>39145.040000000001</v>
      </c>
      <c r="H3481" s="4">
        <v>24587.06</v>
      </c>
      <c r="I3481" s="3" t="s">
        <v>3734</v>
      </c>
      <c r="J3481">
        <v>4</v>
      </c>
      <c r="K3481" s="4">
        <f>Table3[[#This Row],[Sales]]-Table3[[#This Row],[Cost]]</f>
        <v>14557.98</v>
      </c>
      <c r="L3481" s="6">
        <f>Table3[[#This Row],[Profit]]/Table3[[#This Row],[Sales]]</f>
        <v>0.37189845763345752</v>
      </c>
    </row>
    <row r="3482" spans="1:12" x14ac:dyDescent="0.25">
      <c r="A3482" t="s">
        <v>298</v>
      </c>
      <c r="B3482" s="2" t="s">
        <v>3729</v>
      </c>
      <c r="C3482" s="2" t="str">
        <f>TEXT(Table3[[#This Row],[Order Date]],"mmmm")</f>
        <v>Not Mentioned</v>
      </c>
      <c r="D3482" t="s">
        <v>3220</v>
      </c>
      <c r="E3482" t="s">
        <v>3222</v>
      </c>
      <c r="F3482" t="s">
        <v>3226</v>
      </c>
      <c r="G3482" s="4">
        <v>71514.11</v>
      </c>
      <c r="H3482" s="4">
        <v>54873.82</v>
      </c>
      <c r="I3482" s="3" t="s">
        <v>3734</v>
      </c>
      <c r="J3482">
        <v>5</v>
      </c>
      <c r="K3482" s="4">
        <f>Table3[[#This Row],[Sales]]-Table3[[#This Row],[Cost]]</f>
        <v>16640.29</v>
      </c>
      <c r="L3482" s="6">
        <f>Table3[[#This Row],[Profit]]/Table3[[#This Row],[Sales]]</f>
        <v>0.23268540991421136</v>
      </c>
    </row>
    <row r="3483" spans="1:12" x14ac:dyDescent="0.25">
      <c r="A3483" t="s">
        <v>2993</v>
      </c>
      <c r="B3483" s="2">
        <v>44972</v>
      </c>
      <c r="C3483" s="2" t="str">
        <f>TEXT(Table3[[#This Row],[Order Date]],"mmmm")</f>
        <v>February</v>
      </c>
      <c r="D3483" t="s">
        <v>3731</v>
      </c>
      <c r="E3483" t="s">
        <v>3224</v>
      </c>
      <c r="F3483" t="s">
        <v>3226</v>
      </c>
      <c r="G3483" s="4">
        <v>100374.35</v>
      </c>
      <c r="H3483" s="4">
        <v>89864.65</v>
      </c>
      <c r="I3483" s="3" t="s">
        <v>3734</v>
      </c>
      <c r="J3483">
        <v>2</v>
      </c>
      <c r="K3483" s="4">
        <f>Table3[[#This Row],[Sales]]-Table3[[#This Row],[Cost]]</f>
        <v>10509.700000000012</v>
      </c>
      <c r="L3483" s="6">
        <f>Table3[[#This Row],[Profit]]/Table3[[#This Row],[Sales]]</f>
        <v>0.10470503669513188</v>
      </c>
    </row>
    <row r="3484" spans="1:12" x14ac:dyDescent="0.25">
      <c r="A3484" t="s">
        <v>2994</v>
      </c>
      <c r="B3484" s="2" t="s">
        <v>3729</v>
      </c>
      <c r="C3484" s="2" t="str">
        <f>TEXT(Table3[[#This Row],[Order Date]],"mmmm")</f>
        <v>Not Mentioned</v>
      </c>
      <c r="D3484" t="s">
        <v>3220</v>
      </c>
      <c r="E3484" t="s">
        <v>3223</v>
      </c>
      <c r="F3484" t="s">
        <v>3226</v>
      </c>
      <c r="G3484" s="4">
        <v>25669.35</v>
      </c>
      <c r="H3484" s="4">
        <v>22733.27</v>
      </c>
      <c r="I3484" s="3" t="s">
        <v>3734</v>
      </c>
      <c r="J3484">
        <v>3</v>
      </c>
      <c r="K3484" s="4">
        <f>Table3[[#This Row],[Sales]]-Table3[[#This Row],[Cost]]</f>
        <v>2936.0799999999981</v>
      </c>
      <c r="L3484" s="6">
        <f>Table3[[#This Row],[Profit]]/Table3[[#This Row],[Sales]]</f>
        <v>0.11438076928321124</v>
      </c>
    </row>
    <row r="3485" spans="1:12" x14ac:dyDescent="0.25">
      <c r="A3485" t="s">
        <v>2660</v>
      </c>
      <c r="B3485" s="2">
        <v>44972</v>
      </c>
      <c r="C3485" s="2" t="str">
        <f>TEXT(Table3[[#This Row],[Order Date]],"mmmm")</f>
        <v>February</v>
      </c>
      <c r="D3485" t="s">
        <v>3220</v>
      </c>
      <c r="E3485" t="s">
        <v>3224</v>
      </c>
      <c r="F3485" t="s">
        <v>3226</v>
      </c>
      <c r="G3485" s="4">
        <v>261610</v>
      </c>
      <c r="H3485" s="4">
        <v>174911.98</v>
      </c>
      <c r="I3485" s="3" t="s">
        <v>3734</v>
      </c>
      <c r="J3485">
        <v>4</v>
      </c>
      <c r="K3485" s="4">
        <f>Table3[[#This Row],[Sales]]-Table3[[#This Row],[Cost]]</f>
        <v>86698.01999999999</v>
      </c>
      <c r="L3485" s="6">
        <f>Table3[[#This Row],[Profit]]/Table3[[#This Row],[Sales]]</f>
        <v>0.33140178127747405</v>
      </c>
    </row>
    <row r="3486" spans="1:12" x14ac:dyDescent="0.25">
      <c r="A3486" t="s">
        <v>2136</v>
      </c>
      <c r="B3486" s="2">
        <v>45005</v>
      </c>
      <c r="C3486" s="2" t="str">
        <f>TEXT(Table3[[#This Row],[Order Date]],"mmmm")</f>
        <v>March</v>
      </c>
      <c r="D3486" t="s">
        <v>3220</v>
      </c>
      <c r="E3486" t="s">
        <v>3224</v>
      </c>
      <c r="F3486" t="s">
        <v>3226</v>
      </c>
      <c r="G3486" s="4">
        <v>329944.34000000003</v>
      </c>
      <c r="H3486" s="4">
        <v>227143.38</v>
      </c>
      <c r="I3486" s="3" t="s">
        <v>3734</v>
      </c>
      <c r="J3486">
        <v>5</v>
      </c>
      <c r="K3486" s="4">
        <f>Table3[[#This Row],[Sales]]-Table3[[#This Row],[Cost]]</f>
        <v>102800.96000000002</v>
      </c>
      <c r="L3486" s="6">
        <f>Table3[[#This Row],[Profit]]/Table3[[#This Row],[Sales]]</f>
        <v>0.31157061218264881</v>
      </c>
    </row>
    <row r="3487" spans="1:12" x14ac:dyDescent="0.25">
      <c r="A3487" t="s">
        <v>1344</v>
      </c>
      <c r="B3487" s="2">
        <v>45021</v>
      </c>
      <c r="C3487" s="2" t="str">
        <f>TEXT(Table3[[#This Row],[Order Date]],"mmmm")</f>
        <v>April</v>
      </c>
      <c r="D3487" t="s">
        <v>3216</v>
      </c>
      <c r="E3487" t="s">
        <v>3223</v>
      </c>
      <c r="F3487" t="s">
        <v>3226</v>
      </c>
      <c r="G3487" s="4">
        <v>46336.03</v>
      </c>
      <c r="H3487" s="4">
        <v>36720.620000000003</v>
      </c>
      <c r="I3487" s="3" t="s">
        <v>3734</v>
      </c>
      <c r="J3487">
        <v>5</v>
      </c>
      <c r="K3487" s="4">
        <f>Table3[[#This Row],[Sales]]-Table3[[#This Row],[Cost]]</f>
        <v>9615.4099999999962</v>
      </c>
      <c r="L3487" s="6">
        <f>Table3[[#This Row],[Profit]]/Table3[[#This Row],[Sales]]</f>
        <v>0.20751475687494153</v>
      </c>
    </row>
    <row r="3488" spans="1:12" x14ac:dyDescent="0.25">
      <c r="A3488" t="s">
        <v>3511</v>
      </c>
      <c r="B3488" s="2">
        <v>45005</v>
      </c>
      <c r="C3488" s="2" t="str">
        <f>TEXT(Table3[[#This Row],[Order Date]],"mmmm")</f>
        <v>March</v>
      </c>
      <c r="D3488" t="s">
        <v>3730</v>
      </c>
      <c r="E3488" t="s">
        <v>3222</v>
      </c>
      <c r="F3488" t="s">
        <v>3226</v>
      </c>
      <c r="G3488" s="4">
        <v>64538.15</v>
      </c>
      <c r="H3488" s="4">
        <v>54804.61</v>
      </c>
      <c r="I3488" s="3" t="s">
        <v>3734</v>
      </c>
      <c r="J3488">
        <v>5</v>
      </c>
      <c r="K3488" s="4">
        <f>Table3[[#This Row],[Sales]]-Table3[[#This Row],[Cost]]</f>
        <v>9733.5400000000009</v>
      </c>
      <c r="L3488" s="6">
        <f>Table3[[#This Row],[Profit]]/Table3[[#This Row],[Sales]]</f>
        <v>0.15081839191238053</v>
      </c>
    </row>
    <row r="3489" spans="1:12" x14ac:dyDescent="0.25">
      <c r="A3489" t="s">
        <v>2995</v>
      </c>
      <c r="B3489" s="2">
        <v>44941</v>
      </c>
      <c r="C3489" s="2" t="str">
        <f>TEXT(Table3[[#This Row],[Order Date]],"mmmm")</f>
        <v>January</v>
      </c>
      <c r="D3489" t="s">
        <v>3730</v>
      </c>
      <c r="E3489" t="s">
        <v>3225</v>
      </c>
      <c r="F3489" t="s">
        <v>3226</v>
      </c>
      <c r="G3489" s="4">
        <v>42528.09</v>
      </c>
      <c r="H3489" s="4">
        <v>27351.74</v>
      </c>
      <c r="I3489" s="3" t="s">
        <v>3734</v>
      </c>
      <c r="J3489" t="s">
        <v>3732</v>
      </c>
      <c r="K3489" s="4">
        <f>Table3[[#This Row],[Sales]]-Table3[[#This Row],[Cost]]</f>
        <v>15176.349999999995</v>
      </c>
      <c r="L3489" s="6">
        <f>Table3[[#This Row],[Profit]]/Table3[[#This Row],[Sales]]</f>
        <v>0.35685472825137449</v>
      </c>
    </row>
    <row r="3490" spans="1:12" x14ac:dyDescent="0.25">
      <c r="A3490" t="s">
        <v>2996</v>
      </c>
      <c r="B3490" s="2">
        <v>44972</v>
      </c>
      <c r="C3490" s="2" t="str">
        <f>TEXT(Table3[[#This Row],[Order Date]],"mmmm")</f>
        <v>February</v>
      </c>
      <c r="D3490" t="s">
        <v>3220</v>
      </c>
      <c r="E3490" t="s">
        <v>3223</v>
      </c>
      <c r="F3490" t="s">
        <v>3226</v>
      </c>
      <c r="G3490" s="4">
        <v>36314.07</v>
      </c>
      <c r="H3490" s="4">
        <v>24787.37</v>
      </c>
      <c r="I3490" s="3" t="s">
        <v>3734</v>
      </c>
      <c r="J3490">
        <v>4</v>
      </c>
      <c r="K3490" s="4">
        <f>Table3[[#This Row],[Sales]]-Table3[[#This Row],[Cost]]</f>
        <v>11526.7</v>
      </c>
      <c r="L3490" s="6">
        <f>Table3[[#This Row],[Profit]]/Table3[[#This Row],[Sales]]</f>
        <v>0.31741691305876762</v>
      </c>
    </row>
    <row r="3491" spans="1:12" x14ac:dyDescent="0.25">
      <c r="A3491" t="s">
        <v>829</v>
      </c>
      <c r="B3491" s="2">
        <v>44941</v>
      </c>
      <c r="C3491" s="2" t="str">
        <f>TEXT(Table3[[#This Row],[Order Date]],"mmmm")</f>
        <v>January</v>
      </c>
      <c r="D3491" t="s">
        <v>3220</v>
      </c>
      <c r="E3491" t="s">
        <v>3225</v>
      </c>
      <c r="F3491" t="s">
        <v>3226</v>
      </c>
      <c r="G3491" s="4">
        <v>54652.18</v>
      </c>
      <c r="H3491" s="4">
        <v>42832.13</v>
      </c>
      <c r="I3491" s="3" t="s">
        <v>3734</v>
      </c>
      <c r="J3491">
        <v>3</v>
      </c>
      <c r="K3491" s="4">
        <f>Table3[[#This Row],[Sales]]-Table3[[#This Row],[Cost]]</f>
        <v>11820.050000000003</v>
      </c>
      <c r="L3491" s="6">
        <f>Table3[[#This Row],[Profit]]/Table3[[#This Row],[Sales]]</f>
        <v>0.21627774043048242</v>
      </c>
    </row>
    <row r="3492" spans="1:12" x14ac:dyDescent="0.25">
      <c r="A3492" t="s">
        <v>2997</v>
      </c>
      <c r="B3492" s="2" t="s">
        <v>3729</v>
      </c>
      <c r="C3492" s="2" t="str">
        <f>TEXT(Table3[[#This Row],[Order Date]],"mmmm")</f>
        <v>Not Mentioned</v>
      </c>
      <c r="D3492" t="s">
        <v>3731</v>
      </c>
      <c r="E3492" t="s">
        <v>3222</v>
      </c>
      <c r="F3492" t="s">
        <v>3226</v>
      </c>
      <c r="G3492" s="4">
        <v>51281.86</v>
      </c>
      <c r="H3492" s="4">
        <v>26307.45</v>
      </c>
      <c r="I3492" s="3" t="s">
        <v>3734</v>
      </c>
      <c r="J3492">
        <v>3</v>
      </c>
      <c r="K3492" s="4">
        <f>Table3[[#This Row],[Sales]]-Table3[[#This Row],[Cost]]</f>
        <v>24974.41</v>
      </c>
      <c r="L3492" s="6">
        <f>Table3[[#This Row],[Profit]]/Table3[[#This Row],[Sales]]</f>
        <v>0.48700281152048697</v>
      </c>
    </row>
    <row r="3493" spans="1:12" x14ac:dyDescent="0.25">
      <c r="A3493" t="s">
        <v>2998</v>
      </c>
      <c r="B3493" s="2">
        <v>45102</v>
      </c>
      <c r="C3493" s="2" t="str">
        <f>TEXT(Table3[[#This Row],[Order Date]],"mmmm")</f>
        <v>June</v>
      </c>
      <c r="D3493" t="s">
        <v>3220</v>
      </c>
      <c r="E3493" t="s">
        <v>3224</v>
      </c>
      <c r="F3493" t="s">
        <v>3226</v>
      </c>
      <c r="G3493" s="4">
        <v>56874.91</v>
      </c>
      <c r="H3493" s="4">
        <v>45499.928000000007</v>
      </c>
      <c r="I3493" s="3" t="s">
        <v>3735</v>
      </c>
      <c r="J3493">
        <v>1</v>
      </c>
      <c r="K3493" s="4">
        <f>Table3[[#This Row],[Sales]]-Table3[[#This Row],[Cost]]</f>
        <v>11374.981999999996</v>
      </c>
      <c r="L3493" s="6">
        <f>Table3[[#This Row],[Profit]]/Table3[[#This Row],[Sales]]</f>
        <v>0.19999999999999993</v>
      </c>
    </row>
    <row r="3494" spans="1:12" x14ac:dyDescent="0.25">
      <c r="A3494" t="s">
        <v>2999</v>
      </c>
      <c r="B3494" s="2">
        <v>45005</v>
      </c>
      <c r="C3494" s="2" t="str">
        <f>TEXT(Table3[[#This Row],[Order Date]],"mmmm")</f>
        <v>March</v>
      </c>
      <c r="D3494" t="s">
        <v>3216</v>
      </c>
      <c r="E3494" t="s">
        <v>3224</v>
      </c>
      <c r="F3494" t="s">
        <v>3226</v>
      </c>
      <c r="G3494" s="4">
        <v>271099.84000000003</v>
      </c>
      <c r="H3494" s="4">
        <v>201152.67</v>
      </c>
      <c r="I3494" s="3" t="s">
        <v>3734</v>
      </c>
      <c r="J3494">
        <v>5</v>
      </c>
      <c r="K3494" s="4">
        <f>Table3[[#This Row],[Sales]]-Table3[[#This Row],[Cost]]</f>
        <v>69947.170000000013</v>
      </c>
      <c r="L3494" s="6">
        <f>Table3[[#This Row],[Profit]]/Table3[[#This Row],[Sales]]</f>
        <v>0.25801258311329139</v>
      </c>
    </row>
    <row r="3495" spans="1:12" x14ac:dyDescent="0.25">
      <c r="A3495" t="s">
        <v>3000</v>
      </c>
      <c r="B3495" s="2">
        <v>44972</v>
      </c>
      <c r="C3495" s="2" t="str">
        <f>TEXT(Table3[[#This Row],[Order Date]],"mmmm")</f>
        <v>February</v>
      </c>
      <c r="D3495" t="s">
        <v>3730</v>
      </c>
      <c r="E3495" t="s">
        <v>3225</v>
      </c>
      <c r="F3495" t="s">
        <v>3226</v>
      </c>
      <c r="G3495" s="4">
        <v>46547.54</v>
      </c>
      <c r="H3495" s="4">
        <v>27798.99</v>
      </c>
      <c r="I3495" s="3" t="s">
        <v>3734</v>
      </c>
      <c r="J3495">
        <v>2</v>
      </c>
      <c r="K3495" s="4">
        <f>Table3[[#This Row],[Sales]]-Table3[[#This Row],[Cost]]</f>
        <v>18748.55</v>
      </c>
      <c r="L3495" s="6">
        <f>Table3[[#This Row],[Profit]]/Table3[[#This Row],[Sales]]</f>
        <v>0.40278283234731627</v>
      </c>
    </row>
    <row r="3496" spans="1:12" x14ac:dyDescent="0.25">
      <c r="A3496" t="s">
        <v>3001</v>
      </c>
      <c r="B3496" s="2">
        <v>45005</v>
      </c>
      <c r="C3496" s="2" t="str">
        <f>TEXT(Table3[[#This Row],[Order Date]],"mmmm")</f>
        <v>March</v>
      </c>
      <c r="D3496" t="s">
        <v>3731</v>
      </c>
      <c r="E3496" t="s">
        <v>3225</v>
      </c>
      <c r="F3496" t="s">
        <v>3226</v>
      </c>
      <c r="G3496" s="4">
        <v>32112.7</v>
      </c>
      <c r="H3496" s="4">
        <v>27939.38</v>
      </c>
      <c r="I3496" s="3" t="s">
        <v>3734</v>
      </c>
      <c r="J3496" t="s">
        <v>3732</v>
      </c>
      <c r="K3496" s="4">
        <f>Table3[[#This Row],[Sales]]-Table3[[#This Row],[Cost]]</f>
        <v>4173.32</v>
      </c>
      <c r="L3496" s="6">
        <f>Table3[[#This Row],[Profit]]/Table3[[#This Row],[Sales]]</f>
        <v>0.1299585522238865</v>
      </c>
    </row>
    <row r="3497" spans="1:12" x14ac:dyDescent="0.25">
      <c r="A3497" t="s">
        <v>3708</v>
      </c>
      <c r="B3497" s="2">
        <v>45102</v>
      </c>
      <c r="C3497" s="2" t="str">
        <f>TEXT(Table3[[#This Row],[Order Date]],"mmmm")</f>
        <v>June</v>
      </c>
      <c r="D3497" t="s">
        <v>3216</v>
      </c>
      <c r="E3497" t="s">
        <v>3224</v>
      </c>
      <c r="F3497" t="s">
        <v>3226</v>
      </c>
      <c r="G3497" s="4">
        <v>98862.34</v>
      </c>
      <c r="H3497" s="4">
        <v>83339.17</v>
      </c>
      <c r="I3497" s="3" t="s">
        <v>3734</v>
      </c>
      <c r="J3497">
        <v>2</v>
      </c>
      <c r="K3497" s="4">
        <f>Table3[[#This Row],[Sales]]-Table3[[#This Row],[Cost]]</f>
        <v>15523.169999999998</v>
      </c>
      <c r="L3497" s="6">
        <f>Table3[[#This Row],[Profit]]/Table3[[#This Row],[Sales]]</f>
        <v>0.15701803133528905</v>
      </c>
    </row>
    <row r="3498" spans="1:12" x14ac:dyDescent="0.25">
      <c r="A3498" t="s">
        <v>3236</v>
      </c>
      <c r="B3498" s="2">
        <v>45102</v>
      </c>
      <c r="C3498" s="2" t="str">
        <f>TEXT(Table3[[#This Row],[Order Date]],"mmmm")</f>
        <v>June</v>
      </c>
      <c r="D3498" t="s">
        <v>3731</v>
      </c>
      <c r="E3498" t="s">
        <v>3222</v>
      </c>
      <c r="F3498" t="s">
        <v>3226</v>
      </c>
      <c r="G3498" s="4">
        <v>44298.62</v>
      </c>
      <c r="H3498" s="4">
        <v>32659.73</v>
      </c>
      <c r="I3498" s="3" t="s">
        <v>3734</v>
      </c>
      <c r="J3498">
        <v>3</v>
      </c>
      <c r="K3498" s="4">
        <f>Table3[[#This Row],[Sales]]-Table3[[#This Row],[Cost]]</f>
        <v>11638.890000000003</v>
      </c>
      <c r="L3498" s="6">
        <f>Table3[[#This Row],[Profit]]/Table3[[#This Row],[Sales]]</f>
        <v>0.26273707849138422</v>
      </c>
    </row>
    <row r="3499" spans="1:12" x14ac:dyDescent="0.25">
      <c r="A3499" t="s">
        <v>3003</v>
      </c>
      <c r="B3499" s="2">
        <v>44972</v>
      </c>
      <c r="C3499" s="2" t="str">
        <f>TEXT(Table3[[#This Row],[Order Date]],"mmmm")</f>
        <v>February</v>
      </c>
      <c r="D3499" t="s">
        <v>3730</v>
      </c>
      <c r="E3499" t="s">
        <v>3222</v>
      </c>
      <c r="F3499" t="s">
        <v>3226</v>
      </c>
      <c r="G3499" s="4">
        <v>16868.02</v>
      </c>
      <c r="H3499" s="4">
        <v>10472.969999999999</v>
      </c>
      <c r="I3499" s="3" t="s">
        <v>3734</v>
      </c>
      <c r="J3499">
        <v>1</v>
      </c>
      <c r="K3499" s="4">
        <f>Table3[[#This Row],[Sales]]-Table3[[#This Row],[Cost]]</f>
        <v>6395.0500000000011</v>
      </c>
      <c r="L3499" s="6">
        <f>Table3[[#This Row],[Profit]]/Table3[[#This Row],[Sales]]</f>
        <v>0.3791227423254182</v>
      </c>
    </row>
    <row r="3500" spans="1:12" x14ac:dyDescent="0.25">
      <c r="A3500" t="s">
        <v>3004</v>
      </c>
      <c r="B3500" s="2">
        <v>45102</v>
      </c>
      <c r="C3500" s="2" t="str">
        <f>TEXT(Table3[[#This Row],[Order Date]],"mmmm")</f>
        <v>June</v>
      </c>
      <c r="D3500" t="s">
        <v>3730</v>
      </c>
      <c r="E3500" t="s">
        <v>3222</v>
      </c>
      <c r="F3500" t="s">
        <v>3226</v>
      </c>
      <c r="G3500" s="4">
        <v>28690.22</v>
      </c>
      <c r="H3500" s="4">
        <v>18487.13</v>
      </c>
      <c r="I3500" s="3" t="s">
        <v>3734</v>
      </c>
      <c r="J3500">
        <v>2</v>
      </c>
      <c r="K3500" s="4">
        <f>Table3[[#This Row],[Sales]]-Table3[[#This Row],[Cost]]</f>
        <v>10203.09</v>
      </c>
      <c r="L3500" s="6">
        <f>Table3[[#This Row],[Profit]]/Table3[[#This Row],[Sales]]</f>
        <v>0.35562954902402283</v>
      </c>
    </row>
    <row r="3501" spans="1:12" x14ac:dyDescent="0.25">
      <c r="A3501" t="s">
        <v>2534</v>
      </c>
      <c r="B3501" s="2">
        <v>44972</v>
      </c>
      <c r="C3501" s="2" t="str">
        <f>TEXT(Table3[[#This Row],[Order Date]],"mmmm")</f>
        <v>February</v>
      </c>
      <c r="D3501" t="s">
        <v>3730</v>
      </c>
      <c r="E3501" t="s">
        <v>3224</v>
      </c>
      <c r="F3501" t="s">
        <v>3226</v>
      </c>
      <c r="G3501" s="4">
        <v>159965.63</v>
      </c>
      <c r="H3501" s="4">
        <v>127244.82</v>
      </c>
      <c r="I3501" s="3" t="s">
        <v>3734</v>
      </c>
      <c r="J3501">
        <v>3</v>
      </c>
      <c r="K3501" s="4">
        <f>Table3[[#This Row],[Sales]]-Table3[[#This Row],[Cost]]</f>
        <v>32720.809999999998</v>
      </c>
      <c r="L3501" s="6">
        <f>Table3[[#This Row],[Profit]]/Table3[[#This Row],[Sales]]</f>
        <v>0.2045490021825313</v>
      </c>
    </row>
    <row r="3502" spans="1:12" x14ac:dyDescent="0.25">
      <c r="A3502" t="s">
        <v>3005</v>
      </c>
      <c r="B3502" s="2" t="s">
        <v>3729</v>
      </c>
      <c r="C3502" s="2" t="str">
        <f>TEXT(Table3[[#This Row],[Order Date]],"mmmm")</f>
        <v>Not Mentioned</v>
      </c>
      <c r="D3502" t="s">
        <v>3220</v>
      </c>
      <c r="E3502" t="s">
        <v>3225</v>
      </c>
      <c r="F3502" t="s">
        <v>3226</v>
      </c>
      <c r="G3502" s="4">
        <v>80245.31</v>
      </c>
      <c r="H3502" s="4">
        <v>49163.64</v>
      </c>
      <c r="I3502" s="3" t="s">
        <v>3734</v>
      </c>
      <c r="J3502">
        <v>4</v>
      </c>
      <c r="K3502" s="4">
        <f>Table3[[#This Row],[Sales]]-Table3[[#This Row],[Cost]]</f>
        <v>31081.67</v>
      </c>
      <c r="L3502" s="6">
        <f>Table3[[#This Row],[Profit]]/Table3[[#This Row],[Sales]]</f>
        <v>0.38733316626230241</v>
      </c>
    </row>
    <row r="3503" spans="1:12" x14ac:dyDescent="0.25">
      <c r="A3503" t="s">
        <v>3006</v>
      </c>
      <c r="B3503" s="2" t="s">
        <v>3729</v>
      </c>
      <c r="C3503" s="2" t="str">
        <f>TEXT(Table3[[#This Row],[Order Date]],"mmmm")</f>
        <v>Not Mentioned</v>
      </c>
      <c r="D3503" t="s">
        <v>3730</v>
      </c>
      <c r="E3503" t="s">
        <v>3225</v>
      </c>
      <c r="F3503" t="s">
        <v>3226</v>
      </c>
      <c r="G3503" s="4">
        <v>86988.67</v>
      </c>
      <c r="H3503" s="4">
        <v>55671.43</v>
      </c>
      <c r="I3503" s="3" t="s">
        <v>3734</v>
      </c>
      <c r="J3503">
        <v>4</v>
      </c>
      <c r="K3503" s="4">
        <f>Table3[[#This Row],[Sales]]-Table3[[#This Row],[Cost]]</f>
        <v>31317.239999999998</v>
      </c>
      <c r="L3503" s="6">
        <f>Table3[[#This Row],[Profit]]/Table3[[#This Row],[Sales]]</f>
        <v>0.36001516059505217</v>
      </c>
    </row>
    <row r="3504" spans="1:12" x14ac:dyDescent="0.25">
      <c r="A3504" t="s">
        <v>3007</v>
      </c>
      <c r="B3504" s="2" t="s">
        <v>3729</v>
      </c>
      <c r="C3504" s="2" t="str">
        <f>TEXT(Table3[[#This Row],[Order Date]],"mmmm")</f>
        <v>Not Mentioned</v>
      </c>
      <c r="D3504" t="s">
        <v>3220</v>
      </c>
      <c r="E3504" t="s">
        <v>3225</v>
      </c>
      <c r="F3504" t="s">
        <v>3226</v>
      </c>
      <c r="G3504" s="4">
        <v>42859.48</v>
      </c>
      <c r="H3504" s="4">
        <v>24443.53</v>
      </c>
      <c r="I3504" s="3" t="s">
        <v>3734</v>
      </c>
      <c r="J3504">
        <v>2</v>
      </c>
      <c r="K3504" s="4">
        <f>Table3[[#This Row],[Sales]]-Table3[[#This Row],[Cost]]</f>
        <v>18415.950000000004</v>
      </c>
      <c r="L3504" s="6">
        <f>Table3[[#This Row],[Profit]]/Table3[[#This Row],[Sales]]</f>
        <v>0.42968206800455822</v>
      </c>
    </row>
    <row r="3505" spans="1:12" x14ac:dyDescent="0.25">
      <c r="A3505" t="s">
        <v>3008</v>
      </c>
      <c r="B3505" s="2">
        <v>44972</v>
      </c>
      <c r="C3505" s="2" t="str">
        <f>TEXT(Table3[[#This Row],[Order Date]],"mmmm")</f>
        <v>February</v>
      </c>
      <c r="D3505" t="s">
        <v>3220</v>
      </c>
      <c r="E3505" t="s">
        <v>3222</v>
      </c>
      <c r="F3505" t="s">
        <v>3226</v>
      </c>
      <c r="G3505" s="4">
        <v>39272.080000000002</v>
      </c>
      <c r="H3505" s="4">
        <v>25520.31</v>
      </c>
      <c r="I3505" s="3" t="s">
        <v>3734</v>
      </c>
      <c r="J3505">
        <v>3</v>
      </c>
      <c r="K3505" s="4">
        <f>Table3[[#This Row],[Sales]]-Table3[[#This Row],[Cost]]</f>
        <v>13751.77</v>
      </c>
      <c r="L3505" s="6">
        <f>Table3[[#This Row],[Profit]]/Table3[[#This Row],[Sales]]</f>
        <v>0.35016658144921275</v>
      </c>
    </row>
    <row r="3506" spans="1:12" x14ac:dyDescent="0.25">
      <c r="A3506" t="s">
        <v>3009</v>
      </c>
      <c r="B3506" s="2">
        <v>45102</v>
      </c>
      <c r="C3506" s="2" t="str">
        <f>TEXT(Table3[[#This Row],[Order Date]],"mmmm")</f>
        <v>June</v>
      </c>
      <c r="D3506" t="s">
        <v>3730</v>
      </c>
      <c r="E3506" t="s">
        <v>3223</v>
      </c>
      <c r="F3506" t="s">
        <v>3226</v>
      </c>
      <c r="G3506" s="4">
        <v>30401.29</v>
      </c>
      <c r="H3506" s="4">
        <v>20404.03</v>
      </c>
      <c r="I3506" s="3" t="s">
        <v>3734</v>
      </c>
      <c r="J3506">
        <v>3</v>
      </c>
      <c r="K3506" s="4">
        <f>Table3[[#This Row],[Sales]]-Table3[[#This Row],[Cost]]</f>
        <v>9997.260000000002</v>
      </c>
      <c r="L3506" s="6">
        <f>Table3[[#This Row],[Profit]]/Table3[[#This Row],[Sales]]</f>
        <v>0.32884328263701973</v>
      </c>
    </row>
    <row r="3507" spans="1:12" x14ac:dyDescent="0.25">
      <c r="A3507" t="s">
        <v>3010</v>
      </c>
      <c r="B3507" s="2">
        <v>45021</v>
      </c>
      <c r="C3507" s="2" t="str">
        <f>TEXT(Table3[[#This Row],[Order Date]],"mmmm")</f>
        <v>April</v>
      </c>
      <c r="D3507" t="s">
        <v>3220</v>
      </c>
      <c r="E3507" t="s">
        <v>3222</v>
      </c>
      <c r="F3507" t="s">
        <v>3226</v>
      </c>
      <c r="G3507" s="4">
        <v>69798.97</v>
      </c>
      <c r="H3507" s="4">
        <v>35612.800000000003</v>
      </c>
      <c r="I3507" s="3" t="s">
        <v>3734</v>
      </c>
      <c r="J3507">
        <v>4</v>
      </c>
      <c r="K3507" s="4">
        <f>Table3[[#This Row],[Sales]]-Table3[[#This Row],[Cost]]</f>
        <v>34186.17</v>
      </c>
      <c r="L3507" s="6">
        <f>Table3[[#This Row],[Profit]]/Table3[[#This Row],[Sales]]</f>
        <v>0.48978043658810433</v>
      </c>
    </row>
    <row r="3508" spans="1:12" x14ac:dyDescent="0.25">
      <c r="A3508" t="s">
        <v>3011</v>
      </c>
      <c r="B3508" s="2">
        <v>45005</v>
      </c>
      <c r="C3508" s="2" t="str">
        <f>TEXT(Table3[[#This Row],[Order Date]],"mmmm")</f>
        <v>March</v>
      </c>
      <c r="D3508" t="s">
        <v>3731</v>
      </c>
      <c r="E3508" t="s">
        <v>3222</v>
      </c>
      <c r="F3508" t="s">
        <v>3226</v>
      </c>
      <c r="G3508" s="4">
        <v>79858.92</v>
      </c>
      <c r="H3508" s="4">
        <v>48076.33</v>
      </c>
      <c r="I3508" s="3" t="s">
        <v>3734</v>
      </c>
      <c r="J3508">
        <v>5</v>
      </c>
      <c r="K3508" s="4">
        <f>Table3[[#This Row],[Sales]]-Table3[[#This Row],[Cost]]</f>
        <v>31782.589999999997</v>
      </c>
      <c r="L3508" s="6">
        <f>Table3[[#This Row],[Profit]]/Table3[[#This Row],[Sales]]</f>
        <v>0.39798422017227375</v>
      </c>
    </row>
    <row r="3509" spans="1:12" x14ac:dyDescent="0.25">
      <c r="A3509" t="s">
        <v>2642</v>
      </c>
      <c r="B3509" s="2">
        <v>44972</v>
      </c>
      <c r="C3509" s="2" t="str">
        <f>TEXT(Table3[[#This Row],[Order Date]],"mmmm")</f>
        <v>February</v>
      </c>
      <c r="D3509" t="s">
        <v>3730</v>
      </c>
      <c r="E3509" t="s">
        <v>3223</v>
      </c>
      <c r="F3509" t="s">
        <v>3226</v>
      </c>
      <c r="G3509" s="4">
        <v>10252.799999999999</v>
      </c>
      <c r="H3509" s="4">
        <v>6387.09</v>
      </c>
      <c r="I3509" s="3" t="s">
        <v>3734</v>
      </c>
      <c r="J3509">
        <v>1</v>
      </c>
      <c r="K3509" s="4">
        <f>Table3[[#This Row],[Sales]]-Table3[[#This Row],[Cost]]</f>
        <v>3865.7099999999991</v>
      </c>
      <c r="L3509" s="6">
        <f>Table3[[#This Row],[Profit]]/Table3[[#This Row],[Sales]]</f>
        <v>0.37703944288389507</v>
      </c>
    </row>
    <row r="3510" spans="1:12" x14ac:dyDescent="0.25">
      <c r="A3510" t="s">
        <v>3435</v>
      </c>
      <c r="B3510" s="2">
        <v>45005</v>
      </c>
      <c r="C3510" s="2" t="str">
        <f>TEXT(Table3[[#This Row],[Order Date]],"mmmm")</f>
        <v>March</v>
      </c>
      <c r="D3510" t="s">
        <v>3220</v>
      </c>
      <c r="E3510" t="s">
        <v>3224</v>
      </c>
      <c r="F3510" t="s">
        <v>3226</v>
      </c>
      <c r="G3510" s="4">
        <v>169661.31</v>
      </c>
      <c r="H3510" s="4">
        <v>129381.42</v>
      </c>
      <c r="I3510" s="3" t="s">
        <v>3734</v>
      </c>
      <c r="J3510">
        <v>3</v>
      </c>
      <c r="K3510" s="4">
        <f>Table3[[#This Row],[Sales]]-Table3[[#This Row],[Cost]]</f>
        <v>40279.89</v>
      </c>
      <c r="L3510" s="6">
        <f>Table3[[#This Row],[Profit]]/Table3[[#This Row],[Sales]]</f>
        <v>0.23741352698502682</v>
      </c>
    </row>
    <row r="3511" spans="1:12" x14ac:dyDescent="0.25">
      <c r="A3511" t="s">
        <v>3012</v>
      </c>
      <c r="B3511" s="2">
        <v>45102</v>
      </c>
      <c r="C3511" s="2" t="str">
        <f>TEXT(Table3[[#This Row],[Order Date]],"mmmm")</f>
        <v>June</v>
      </c>
      <c r="D3511" t="s">
        <v>3731</v>
      </c>
      <c r="E3511" t="s">
        <v>3224</v>
      </c>
      <c r="F3511" t="s">
        <v>3226</v>
      </c>
      <c r="G3511" s="4">
        <v>277437.33</v>
      </c>
      <c r="H3511" s="4">
        <v>194383.16</v>
      </c>
      <c r="I3511" s="3" t="s">
        <v>3734</v>
      </c>
      <c r="J3511">
        <v>4</v>
      </c>
      <c r="K3511" s="4">
        <f>Table3[[#This Row],[Sales]]-Table3[[#This Row],[Cost]]</f>
        <v>83054.170000000013</v>
      </c>
      <c r="L3511" s="6">
        <f>Table3[[#This Row],[Profit]]/Table3[[#This Row],[Sales]]</f>
        <v>0.29936191355359426</v>
      </c>
    </row>
    <row r="3512" spans="1:12" x14ac:dyDescent="0.25">
      <c r="A3512" t="s">
        <v>3013</v>
      </c>
      <c r="B3512" s="2" t="s">
        <v>3729</v>
      </c>
      <c r="C3512" s="2" t="str">
        <f>TEXT(Table3[[#This Row],[Order Date]],"mmmm")</f>
        <v>Not Mentioned</v>
      </c>
      <c r="D3512" t="s">
        <v>3730</v>
      </c>
      <c r="E3512" t="s">
        <v>3222</v>
      </c>
      <c r="F3512" t="s">
        <v>3226</v>
      </c>
      <c r="G3512" s="4">
        <v>25503.83</v>
      </c>
      <c r="H3512" s="4">
        <v>21031.62</v>
      </c>
      <c r="I3512" s="3" t="s">
        <v>3734</v>
      </c>
      <c r="J3512">
        <v>2</v>
      </c>
      <c r="K3512" s="4">
        <f>Table3[[#This Row],[Sales]]-Table3[[#This Row],[Cost]]</f>
        <v>4472.2100000000028</v>
      </c>
      <c r="L3512" s="6">
        <f>Table3[[#This Row],[Profit]]/Table3[[#This Row],[Sales]]</f>
        <v>0.17535444676348622</v>
      </c>
    </row>
    <row r="3513" spans="1:12" x14ac:dyDescent="0.25">
      <c r="A3513" t="s">
        <v>3015</v>
      </c>
      <c r="B3513" s="2">
        <v>44972</v>
      </c>
      <c r="C3513" s="2" t="str">
        <f>TEXT(Table3[[#This Row],[Order Date]],"mmmm")</f>
        <v>February</v>
      </c>
      <c r="D3513" t="s">
        <v>3730</v>
      </c>
      <c r="E3513" t="s">
        <v>3222</v>
      </c>
      <c r="F3513" t="s">
        <v>3226</v>
      </c>
      <c r="G3513" s="4">
        <v>70221.56</v>
      </c>
      <c r="H3513" s="4">
        <v>45602.16</v>
      </c>
      <c r="I3513" s="3" t="s">
        <v>3734</v>
      </c>
      <c r="J3513">
        <v>5</v>
      </c>
      <c r="K3513" s="4">
        <f>Table3[[#This Row],[Sales]]-Table3[[#This Row],[Cost]]</f>
        <v>24619.399999999994</v>
      </c>
      <c r="L3513" s="6">
        <f>Table3[[#This Row],[Profit]]/Table3[[#This Row],[Sales]]</f>
        <v>0.35059602777266691</v>
      </c>
    </row>
    <row r="3514" spans="1:12" x14ac:dyDescent="0.25">
      <c r="A3514" t="s">
        <v>3017</v>
      </c>
      <c r="B3514" s="2">
        <v>45021</v>
      </c>
      <c r="C3514" s="2" t="str">
        <f>TEXT(Table3[[#This Row],[Order Date]],"mmmm")</f>
        <v>April</v>
      </c>
      <c r="D3514" t="s">
        <v>3220</v>
      </c>
      <c r="E3514" t="s">
        <v>3224</v>
      </c>
      <c r="F3514" t="s">
        <v>3226</v>
      </c>
      <c r="G3514" s="4">
        <v>58309.760000000002</v>
      </c>
      <c r="H3514" s="4">
        <v>45305.22</v>
      </c>
      <c r="I3514" s="3" t="s">
        <v>3734</v>
      </c>
      <c r="J3514">
        <v>1</v>
      </c>
      <c r="K3514" s="4">
        <f>Table3[[#This Row],[Sales]]-Table3[[#This Row],[Cost]]</f>
        <v>13004.54</v>
      </c>
      <c r="L3514" s="6">
        <f>Table3[[#This Row],[Profit]]/Table3[[#This Row],[Sales]]</f>
        <v>0.22302509905717327</v>
      </c>
    </row>
    <row r="3515" spans="1:12" x14ac:dyDescent="0.25">
      <c r="A3515" t="s">
        <v>888</v>
      </c>
      <c r="B3515" s="2">
        <v>45005</v>
      </c>
      <c r="C3515" s="2" t="str">
        <f>TEXT(Table3[[#This Row],[Order Date]],"mmmm")</f>
        <v>March</v>
      </c>
      <c r="D3515" t="s">
        <v>3730</v>
      </c>
      <c r="E3515" t="s">
        <v>3223</v>
      </c>
      <c r="F3515" t="s">
        <v>3226</v>
      </c>
      <c r="G3515" s="4">
        <v>24919.13</v>
      </c>
      <c r="H3515" s="4">
        <v>18222.419999999998</v>
      </c>
      <c r="I3515" s="3" t="s">
        <v>3734</v>
      </c>
      <c r="J3515">
        <v>3</v>
      </c>
      <c r="K3515" s="4">
        <f>Table3[[#This Row],[Sales]]-Table3[[#This Row],[Cost]]</f>
        <v>6696.7100000000028</v>
      </c>
      <c r="L3515" s="6">
        <f>Table3[[#This Row],[Profit]]/Table3[[#This Row],[Sales]]</f>
        <v>0.26873771275321418</v>
      </c>
    </row>
    <row r="3516" spans="1:12" x14ac:dyDescent="0.25">
      <c r="A3516" t="s">
        <v>3018</v>
      </c>
      <c r="B3516" s="2" t="s">
        <v>3729</v>
      </c>
      <c r="C3516" s="2" t="str">
        <f>TEXT(Table3[[#This Row],[Order Date]],"mmmm")</f>
        <v>Not Mentioned</v>
      </c>
      <c r="D3516" t="s">
        <v>3731</v>
      </c>
      <c r="E3516" t="s">
        <v>3223</v>
      </c>
      <c r="F3516" t="s">
        <v>3226</v>
      </c>
      <c r="G3516" s="4">
        <v>32590.7</v>
      </c>
      <c r="H3516" s="4">
        <v>20748.53</v>
      </c>
      <c r="I3516" s="3" t="s">
        <v>3734</v>
      </c>
      <c r="J3516">
        <v>3</v>
      </c>
      <c r="K3516" s="4">
        <f>Table3[[#This Row],[Sales]]-Table3[[#This Row],[Cost]]</f>
        <v>11842.170000000002</v>
      </c>
      <c r="L3516" s="6">
        <f>Table3[[#This Row],[Profit]]/Table3[[#This Row],[Sales]]</f>
        <v>0.36336040649633183</v>
      </c>
    </row>
    <row r="3517" spans="1:12" x14ac:dyDescent="0.25">
      <c r="A3517" t="s">
        <v>3019</v>
      </c>
      <c r="B3517" s="2">
        <v>44941</v>
      </c>
      <c r="C3517" s="2" t="str">
        <f>TEXT(Table3[[#This Row],[Order Date]],"mmmm")</f>
        <v>January</v>
      </c>
      <c r="D3517" t="s">
        <v>3220</v>
      </c>
      <c r="E3517" t="s">
        <v>3222</v>
      </c>
      <c r="F3517" t="s">
        <v>3226</v>
      </c>
      <c r="G3517" s="4">
        <v>78225.61</v>
      </c>
      <c r="H3517" s="4">
        <v>48690.86</v>
      </c>
      <c r="I3517" s="3" t="s">
        <v>3734</v>
      </c>
      <c r="J3517">
        <v>5</v>
      </c>
      <c r="K3517" s="4">
        <f>Table3[[#This Row],[Sales]]-Table3[[#This Row],[Cost]]</f>
        <v>29534.75</v>
      </c>
      <c r="L3517" s="6">
        <f>Table3[[#This Row],[Profit]]/Table3[[#This Row],[Sales]]</f>
        <v>0.37755857704401408</v>
      </c>
    </row>
    <row r="3518" spans="1:12" x14ac:dyDescent="0.25">
      <c r="A3518" t="s">
        <v>3709</v>
      </c>
      <c r="B3518" s="2">
        <v>45005</v>
      </c>
      <c r="C3518" s="2" t="str">
        <f>TEXT(Table3[[#This Row],[Order Date]],"mmmm")</f>
        <v>March</v>
      </c>
      <c r="D3518" t="s">
        <v>3730</v>
      </c>
      <c r="E3518" t="s">
        <v>3222</v>
      </c>
      <c r="F3518" t="s">
        <v>3226</v>
      </c>
      <c r="G3518" s="4">
        <v>41084.199999999997</v>
      </c>
      <c r="H3518" s="4">
        <v>30003.81</v>
      </c>
      <c r="I3518" s="3" t="s">
        <v>3734</v>
      </c>
      <c r="J3518">
        <v>3</v>
      </c>
      <c r="K3518" s="4">
        <f>Table3[[#This Row],[Sales]]-Table3[[#This Row],[Cost]]</f>
        <v>11080.389999999996</v>
      </c>
      <c r="L3518" s="6">
        <f>Table3[[#This Row],[Profit]]/Table3[[#This Row],[Sales]]</f>
        <v>0.26969954386357764</v>
      </c>
    </row>
    <row r="3519" spans="1:12" x14ac:dyDescent="0.25">
      <c r="A3519" t="s">
        <v>3021</v>
      </c>
      <c r="B3519" s="2">
        <v>45021</v>
      </c>
      <c r="C3519" s="2" t="str">
        <f>TEXT(Table3[[#This Row],[Order Date]],"mmmm")</f>
        <v>April</v>
      </c>
      <c r="D3519" t="s">
        <v>3731</v>
      </c>
      <c r="E3519" t="s">
        <v>3222</v>
      </c>
      <c r="F3519" t="s">
        <v>3226</v>
      </c>
      <c r="G3519" s="4">
        <v>35331.760000000002</v>
      </c>
      <c r="H3519" s="4">
        <v>19799.02</v>
      </c>
      <c r="I3519" s="3" t="s">
        <v>3734</v>
      </c>
      <c r="J3519">
        <v>2</v>
      </c>
      <c r="K3519" s="4">
        <f>Table3[[#This Row],[Sales]]-Table3[[#This Row],[Cost]]</f>
        <v>15532.740000000002</v>
      </c>
      <c r="L3519" s="6">
        <f>Table3[[#This Row],[Profit]]/Table3[[#This Row],[Sales]]</f>
        <v>0.43962542483023775</v>
      </c>
    </row>
    <row r="3520" spans="1:12" x14ac:dyDescent="0.25">
      <c r="A3520" t="s">
        <v>2208</v>
      </c>
      <c r="B3520" s="2">
        <v>44941</v>
      </c>
      <c r="C3520" s="2" t="str">
        <f>TEXT(Table3[[#This Row],[Order Date]],"mmmm")</f>
        <v>January</v>
      </c>
      <c r="D3520" t="s">
        <v>3731</v>
      </c>
      <c r="E3520" t="s">
        <v>3224</v>
      </c>
      <c r="F3520" t="s">
        <v>3226</v>
      </c>
      <c r="G3520" s="4">
        <v>54428.58</v>
      </c>
      <c r="H3520" s="4">
        <v>41177.910000000003</v>
      </c>
      <c r="I3520" s="3" t="s">
        <v>3734</v>
      </c>
      <c r="J3520">
        <v>1</v>
      </c>
      <c r="K3520" s="4">
        <f>Table3[[#This Row],[Sales]]-Table3[[#This Row],[Cost]]</f>
        <v>13250.669999999998</v>
      </c>
      <c r="L3520" s="6">
        <f>Table3[[#This Row],[Profit]]/Table3[[#This Row],[Sales]]</f>
        <v>0.24345059158258398</v>
      </c>
    </row>
    <row r="3521" spans="1:12" x14ac:dyDescent="0.25">
      <c r="A3521" t="s">
        <v>3710</v>
      </c>
      <c r="B3521" s="2" t="s">
        <v>3729</v>
      </c>
      <c r="C3521" s="2" t="str">
        <f>TEXT(Table3[[#This Row],[Order Date]],"mmmm")</f>
        <v>Not Mentioned</v>
      </c>
      <c r="D3521" t="s">
        <v>3220</v>
      </c>
      <c r="E3521" t="s">
        <v>3223</v>
      </c>
      <c r="F3521" t="s">
        <v>3226</v>
      </c>
      <c r="G3521" s="4">
        <v>9241.36</v>
      </c>
      <c r="H3521" s="4">
        <v>7071.09</v>
      </c>
      <c r="I3521" s="3" t="s">
        <v>3734</v>
      </c>
      <c r="J3521">
        <v>1</v>
      </c>
      <c r="K3521" s="4">
        <f>Table3[[#This Row],[Sales]]-Table3[[#This Row],[Cost]]</f>
        <v>2170.2700000000004</v>
      </c>
      <c r="L3521" s="6">
        <f>Table3[[#This Row],[Profit]]/Table3[[#This Row],[Sales]]</f>
        <v>0.23484313997074027</v>
      </c>
    </row>
    <row r="3522" spans="1:12" x14ac:dyDescent="0.25">
      <c r="A3522" t="s">
        <v>3024</v>
      </c>
      <c r="B3522" s="2">
        <v>45102</v>
      </c>
      <c r="C3522" s="2" t="str">
        <f>TEXT(Table3[[#This Row],[Order Date]],"mmmm")</f>
        <v>June</v>
      </c>
      <c r="D3522" t="s">
        <v>3730</v>
      </c>
      <c r="E3522" t="s">
        <v>3222</v>
      </c>
      <c r="F3522" t="s">
        <v>3226</v>
      </c>
      <c r="G3522" s="4">
        <v>56521.77</v>
      </c>
      <c r="H3522" s="4">
        <v>37664.75</v>
      </c>
      <c r="I3522" s="3" t="s">
        <v>3734</v>
      </c>
      <c r="J3522" t="s">
        <v>3732</v>
      </c>
      <c r="K3522" s="4">
        <f>Table3[[#This Row],[Sales]]-Table3[[#This Row],[Cost]]</f>
        <v>18857.019999999997</v>
      </c>
      <c r="L3522" s="6">
        <f>Table3[[#This Row],[Profit]]/Table3[[#This Row],[Sales]]</f>
        <v>0.33362401778995948</v>
      </c>
    </row>
    <row r="3523" spans="1:12" x14ac:dyDescent="0.25">
      <c r="A3523" t="s">
        <v>3025</v>
      </c>
      <c r="B3523" s="2">
        <v>44972</v>
      </c>
      <c r="C3523" s="2" t="str">
        <f>TEXT(Table3[[#This Row],[Order Date]],"mmmm")</f>
        <v>February</v>
      </c>
      <c r="D3523" t="s">
        <v>3730</v>
      </c>
      <c r="E3523" t="s">
        <v>3224</v>
      </c>
      <c r="F3523" t="s">
        <v>3226</v>
      </c>
      <c r="G3523" s="4">
        <v>55570.19</v>
      </c>
      <c r="H3523" s="4">
        <v>45056.75</v>
      </c>
      <c r="I3523" s="3" t="s">
        <v>3734</v>
      </c>
      <c r="J3523">
        <v>1</v>
      </c>
      <c r="K3523" s="4">
        <f>Table3[[#This Row],[Sales]]-Table3[[#This Row],[Cost]]</f>
        <v>10513.440000000002</v>
      </c>
      <c r="L3523" s="6">
        <f>Table3[[#This Row],[Profit]]/Table3[[#This Row],[Sales]]</f>
        <v>0.18919208302149051</v>
      </c>
    </row>
    <row r="3524" spans="1:12" x14ac:dyDescent="0.25">
      <c r="A3524" t="s">
        <v>1783</v>
      </c>
      <c r="B3524" s="2">
        <v>44941</v>
      </c>
      <c r="C3524" s="2" t="str">
        <f>TEXT(Table3[[#This Row],[Order Date]],"mmmm")</f>
        <v>January</v>
      </c>
      <c r="D3524" t="s">
        <v>3731</v>
      </c>
      <c r="E3524" t="s">
        <v>3225</v>
      </c>
      <c r="F3524" t="s">
        <v>3226</v>
      </c>
      <c r="G3524" s="4">
        <v>42561.07</v>
      </c>
      <c r="H3524" s="4">
        <v>34048.856</v>
      </c>
      <c r="I3524" s="3" t="s">
        <v>3735</v>
      </c>
      <c r="J3524">
        <v>2</v>
      </c>
      <c r="K3524" s="4">
        <f>Table3[[#This Row],[Sales]]-Table3[[#This Row],[Cost]]</f>
        <v>8512.2139999999999</v>
      </c>
      <c r="L3524" s="6">
        <f>Table3[[#This Row],[Profit]]/Table3[[#This Row],[Sales]]</f>
        <v>0.2</v>
      </c>
    </row>
    <row r="3525" spans="1:12" x14ac:dyDescent="0.25">
      <c r="A3525" t="s">
        <v>3026</v>
      </c>
      <c r="B3525" s="2">
        <v>44972</v>
      </c>
      <c r="C3525" s="2" t="str">
        <f>TEXT(Table3[[#This Row],[Order Date]],"mmmm")</f>
        <v>February</v>
      </c>
      <c r="D3525" t="s">
        <v>3730</v>
      </c>
      <c r="E3525" t="s">
        <v>3225</v>
      </c>
      <c r="F3525" t="s">
        <v>3226</v>
      </c>
      <c r="G3525" s="4">
        <v>20799.669999999998</v>
      </c>
      <c r="H3525" s="4">
        <v>15143.51</v>
      </c>
      <c r="I3525" s="3" t="s">
        <v>3734</v>
      </c>
      <c r="J3525">
        <v>1</v>
      </c>
      <c r="K3525" s="4">
        <f>Table3[[#This Row],[Sales]]-Table3[[#This Row],[Cost]]</f>
        <v>5656.159999999998</v>
      </c>
      <c r="L3525" s="6">
        <f>Table3[[#This Row],[Profit]]/Table3[[#This Row],[Sales]]</f>
        <v>0.27193508358546065</v>
      </c>
    </row>
    <row r="3526" spans="1:12" x14ac:dyDescent="0.25">
      <c r="A3526" t="s">
        <v>3362</v>
      </c>
      <c r="B3526" s="2">
        <v>45102</v>
      </c>
      <c r="C3526" s="2" t="str">
        <f>TEXT(Table3[[#This Row],[Order Date]],"mmmm")</f>
        <v>June</v>
      </c>
      <c r="D3526" t="s">
        <v>3216</v>
      </c>
      <c r="E3526" t="s">
        <v>3223</v>
      </c>
      <c r="F3526" t="s">
        <v>3226</v>
      </c>
      <c r="G3526" s="4">
        <v>55026.09</v>
      </c>
      <c r="H3526" s="4">
        <v>44020.872000000003</v>
      </c>
      <c r="I3526" s="3" t="s">
        <v>3735</v>
      </c>
      <c r="J3526">
        <v>5</v>
      </c>
      <c r="K3526" s="4">
        <f>Table3[[#This Row],[Sales]]-Table3[[#This Row],[Cost]]</f>
        <v>11005.217999999993</v>
      </c>
      <c r="L3526" s="6">
        <f>Table3[[#This Row],[Profit]]/Table3[[#This Row],[Sales]]</f>
        <v>0.1999999999999999</v>
      </c>
    </row>
    <row r="3527" spans="1:12" x14ac:dyDescent="0.25">
      <c r="A3527" t="s">
        <v>3027</v>
      </c>
      <c r="B3527" s="2">
        <v>45021</v>
      </c>
      <c r="C3527" s="2" t="str">
        <f>TEXT(Table3[[#This Row],[Order Date]],"mmmm")</f>
        <v>April</v>
      </c>
      <c r="D3527" t="s">
        <v>3220</v>
      </c>
      <c r="E3527" t="s">
        <v>3225</v>
      </c>
      <c r="F3527" t="s">
        <v>3226</v>
      </c>
      <c r="G3527" s="4">
        <v>17852.54</v>
      </c>
      <c r="H3527" s="4">
        <v>14522.11</v>
      </c>
      <c r="I3527" s="3" t="s">
        <v>3734</v>
      </c>
      <c r="J3527">
        <v>1</v>
      </c>
      <c r="K3527" s="4">
        <f>Table3[[#This Row],[Sales]]-Table3[[#This Row],[Cost]]</f>
        <v>3330.4300000000003</v>
      </c>
      <c r="L3527" s="6">
        <f>Table3[[#This Row],[Profit]]/Table3[[#This Row],[Sales]]</f>
        <v>0.18655216568622729</v>
      </c>
    </row>
    <row r="3528" spans="1:12" x14ac:dyDescent="0.25">
      <c r="A3528" t="s">
        <v>516</v>
      </c>
      <c r="B3528" s="2">
        <v>45021</v>
      </c>
      <c r="C3528" s="2" t="str">
        <f>TEXT(Table3[[#This Row],[Order Date]],"mmmm")</f>
        <v>April</v>
      </c>
      <c r="D3528" t="s">
        <v>3220</v>
      </c>
      <c r="E3528" t="s">
        <v>3222</v>
      </c>
      <c r="F3528" t="s">
        <v>3226</v>
      </c>
      <c r="G3528" s="4">
        <v>69998.720000000001</v>
      </c>
      <c r="H3528" s="4">
        <v>42200.02</v>
      </c>
      <c r="I3528" s="3" t="s">
        <v>3734</v>
      </c>
      <c r="J3528">
        <v>4</v>
      </c>
      <c r="K3528" s="4">
        <f>Table3[[#This Row],[Sales]]-Table3[[#This Row],[Cost]]</f>
        <v>27798.700000000004</v>
      </c>
      <c r="L3528" s="6">
        <f>Table3[[#This Row],[Profit]]/Table3[[#This Row],[Sales]]</f>
        <v>0.3971315475482981</v>
      </c>
    </row>
    <row r="3529" spans="1:12" x14ac:dyDescent="0.25">
      <c r="A3529" t="s">
        <v>572</v>
      </c>
      <c r="B3529" s="2">
        <v>45005</v>
      </c>
      <c r="C3529" s="2" t="str">
        <f>TEXT(Table3[[#This Row],[Order Date]],"mmmm")</f>
        <v>March</v>
      </c>
      <c r="D3529" t="s">
        <v>3220</v>
      </c>
      <c r="E3529" t="s">
        <v>3222</v>
      </c>
      <c r="F3529" t="s">
        <v>3226</v>
      </c>
      <c r="G3529" s="4">
        <v>38078.81</v>
      </c>
      <c r="H3529" s="4">
        <v>26646.2</v>
      </c>
      <c r="I3529" s="3" t="s">
        <v>3734</v>
      </c>
      <c r="J3529">
        <v>3</v>
      </c>
      <c r="K3529" s="4">
        <f>Table3[[#This Row],[Sales]]-Table3[[#This Row],[Cost]]</f>
        <v>11432.609999999997</v>
      </c>
      <c r="L3529" s="6">
        <f>Table3[[#This Row],[Profit]]/Table3[[#This Row],[Sales]]</f>
        <v>0.30023548530009203</v>
      </c>
    </row>
    <row r="3530" spans="1:12" x14ac:dyDescent="0.25">
      <c r="A3530" t="s">
        <v>3028</v>
      </c>
      <c r="B3530" s="2">
        <v>44941</v>
      </c>
      <c r="C3530" s="2" t="str">
        <f>TEXT(Table3[[#This Row],[Order Date]],"mmmm")</f>
        <v>January</v>
      </c>
      <c r="D3530" t="s">
        <v>3730</v>
      </c>
      <c r="E3530" t="s">
        <v>3222</v>
      </c>
      <c r="F3530" t="s">
        <v>3226</v>
      </c>
      <c r="G3530" s="4">
        <v>48587.13</v>
      </c>
      <c r="H3530" s="4">
        <v>40309.85</v>
      </c>
      <c r="I3530" s="3" t="s">
        <v>3734</v>
      </c>
      <c r="J3530">
        <v>4</v>
      </c>
      <c r="K3530" s="4">
        <f>Table3[[#This Row],[Sales]]-Table3[[#This Row],[Cost]]</f>
        <v>8277.2799999999988</v>
      </c>
      <c r="L3530" s="6">
        <f>Table3[[#This Row],[Profit]]/Table3[[#This Row],[Sales]]</f>
        <v>0.17035951701613161</v>
      </c>
    </row>
    <row r="3531" spans="1:12" x14ac:dyDescent="0.25">
      <c r="A3531" t="s">
        <v>1284</v>
      </c>
      <c r="B3531" s="2">
        <v>44941</v>
      </c>
      <c r="C3531" s="2" t="str">
        <f>TEXT(Table3[[#This Row],[Order Date]],"mmmm")</f>
        <v>January</v>
      </c>
      <c r="D3531" t="s">
        <v>3220</v>
      </c>
      <c r="E3531" t="s">
        <v>3225</v>
      </c>
      <c r="F3531" t="s">
        <v>3226</v>
      </c>
      <c r="G3531" s="4">
        <v>57210.25</v>
      </c>
      <c r="H3531" s="4">
        <v>41956.01</v>
      </c>
      <c r="I3531" s="3" t="s">
        <v>3734</v>
      </c>
      <c r="J3531">
        <v>3</v>
      </c>
      <c r="K3531" s="4">
        <f>Table3[[#This Row],[Sales]]-Table3[[#This Row],[Cost]]</f>
        <v>15254.239999999998</v>
      </c>
      <c r="L3531" s="6">
        <f>Table3[[#This Row],[Profit]]/Table3[[#This Row],[Sales]]</f>
        <v>0.2666347376562766</v>
      </c>
    </row>
    <row r="3532" spans="1:12" x14ac:dyDescent="0.25">
      <c r="A3532" t="s">
        <v>3656</v>
      </c>
      <c r="B3532" s="2">
        <v>45005</v>
      </c>
      <c r="C3532" s="2" t="str">
        <f>TEXT(Table3[[#This Row],[Order Date]],"mmmm")</f>
        <v>March</v>
      </c>
      <c r="D3532" t="s">
        <v>3220</v>
      </c>
      <c r="E3532" t="s">
        <v>3224</v>
      </c>
      <c r="F3532" t="s">
        <v>3226</v>
      </c>
      <c r="G3532" s="4">
        <v>99645.6</v>
      </c>
      <c r="H3532" s="4">
        <v>84846.47</v>
      </c>
      <c r="I3532" s="3" t="s">
        <v>3734</v>
      </c>
      <c r="J3532">
        <v>2</v>
      </c>
      <c r="K3532" s="4">
        <f>Table3[[#This Row],[Sales]]-Table3[[#This Row],[Cost]]</f>
        <v>14799.130000000005</v>
      </c>
      <c r="L3532" s="6">
        <f>Table3[[#This Row],[Profit]]/Table3[[#This Row],[Sales]]</f>
        <v>0.14851764653933544</v>
      </c>
    </row>
    <row r="3533" spans="1:12" x14ac:dyDescent="0.25">
      <c r="A3533" t="s">
        <v>3029</v>
      </c>
      <c r="B3533" s="2">
        <v>45102</v>
      </c>
      <c r="C3533" s="2" t="str">
        <f>TEXT(Table3[[#This Row],[Order Date]],"mmmm")</f>
        <v>June</v>
      </c>
      <c r="D3533" t="s">
        <v>3220</v>
      </c>
      <c r="E3533" t="s">
        <v>3222</v>
      </c>
      <c r="F3533" t="s">
        <v>3226</v>
      </c>
      <c r="G3533" s="4">
        <v>68655.17</v>
      </c>
      <c r="H3533" s="4">
        <v>34060.080000000002</v>
      </c>
      <c r="I3533" s="3" t="s">
        <v>3734</v>
      </c>
      <c r="J3533">
        <v>4</v>
      </c>
      <c r="K3533" s="4">
        <f>Table3[[#This Row],[Sales]]-Table3[[#This Row],[Cost]]</f>
        <v>34595.089999999997</v>
      </c>
      <c r="L3533" s="6">
        <f>Table3[[#This Row],[Profit]]/Table3[[#This Row],[Sales]]</f>
        <v>0.50389635623944995</v>
      </c>
    </row>
    <row r="3534" spans="1:12" x14ac:dyDescent="0.25">
      <c r="A3534" t="s">
        <v>3261</v>
      </c>
      <c r="B3534" s="2">
        <v>44941</v>
      </c>
      <c r="C3534" s="2" t="str">
        <f>TEXT(Table3[[#This Row],[Order Date]],"mmmm")</f>
        <v>January</v>
      </c>
      <c r="D3534" t="s">
        <v>3216</v>
      </c>
      <c r="E3534" t="s">
        <v>3224</v>
      </c>
      <c r="F3534" t="s">
        <v>3226</v>
      </c>
      <c r="G3534" s="4">
        <v>212251.27</v>
      </c>
      <c r="H3534" s="4">
        <v>120774.15</v>
      </c>
      <c r="I3534" s="3" t="s">
        <v>3734</v>
      </c>
      <c r="J3534">
        <v>3</v>
      </c>
      <c r="K3534" s="4">
        <f>Table3[[#This Row],[Sales]]-Table3[[#This Row],[Cost]]</f>
        <v>91477.119999999995</v>
      </c>
      <c r="L3534" s="6">
        <f>Table3[[#This Row],[Profit]]/Table3[[#This Row],[Sales]]</f>
        <v>0.43098503014846506</v>
      </c>
    </row>
    <row r="3535" spans="1:12" x14ac:dyDescent="0.25">
      <c r="A3535" t="s">
        <v>3030</v>
      </c>
      <c r="B3535" s="2">
        <v>45102</v>
      </c>
      <c r="C3535" s="2" t="str">
        <f>TEXT(Table3[[#This Row],[Order Date]],"mmmm")</f>
        <v>June</v>
      </c>
      <c r="D3535" t="s">
        <v>3216</v>
      </c>
      <c r="E3535" t="s">
        <v>3222</v>
      </c>
      <c r="F3535" t="s">
        <v>3226</v>
      </c>
      <c r="G3535" s="4">
        <v>14679.15</v>
      </c>
      <c r="H3535" s="4">
        <v>11743.32</v>
      </c>
      <c r="I3535" s="3" t="s">
        <v>3735</v>
      </c>
      <c r="J3535">
        <v>1</v>
      </c>
      <c r="K3535" s="4">
        <f>Table3[[#This Row],[Sales]]-Table3[[#This Row],[Cost]]</f>
        <v>2935.83</v>
      </c>
      <c r="L3535" s="6">
        <f>Table3[[#This Row],[Profit]]/Table3[[#This Row],[Sales]]</f>
        <v>0.2</v>
      </c>
    </row>
    <row r="3536" spans="1:12" x14ac:dyDescent="0.25">
      <c r="A3536" t="s">
        <v>3031</v>
      </c>
      <c r="B3536" s="2">
        <v>44941</v>
      </c>
      <c r="C3536" s="2" t="str">
        <f>TEXT(Table3[[#This Row],[Order Date]],"mmmm")</f>
        <v>January</v>
      </c>
      <c r="D3536" t="s">
        <v>3220</v>
      </c>
      <c r="E3536" t="s">
        <v>3223</v>
      </c>
      <c r="F3536" t="s">
        <v>3226</v>
      </c>
      <c r="G3536" s="4">
        <v>10551.67</v>
      </c>
      <c r="H3536" s="4">
        <v>7638.45</v>
      </c>
      <c r="I3536" s="3" t="s">
        <v>3734</v>
      </c>
      <c r="J3536">
        <v>1</v>
      </c>
      <c r="K3536" s="4">
        <f>Table3[[#This Row],[Sales]]-Table3[[#This Row],[Cost]]</f>
        <v>2913.2200000000003</v>
      </c>
      <c r="L3536" s="6">
        <f>Table3[[#This Row],[Profit]]/Table3[[#This Row],[Sales]]</f>
        <v>0.27609089366896428</v>
      </c>
    </row>
    <row r="3537" spans="1:12" x14ac:dyDescent="0.25">
      <c r="A3537" t="s">
        <v>1312</v>
      </c>
      <c r="B3537" s="2">
        <v>45021</v>
      </c>
      <c r="C3537" s="2" t="str">
        <f>TEXT(Table3[[#This Row],[Order Date]],"mmmm")</f>
        <v>April</v>
      </c>
      <c r="D3537" t="s">
        <v>3730</v>
      </c>
      <c r="E3537" t="s">
        <v>3222</v>
      </c>
      <c r="F3537" t="s">
        <v>3226</v>
      </c>
      <c r="G3537" s="4">
        <v>50723.71</v>
      </c>
      <c r="H3537" s="4">
        <v>39631.29</v>
      </c>
      <c r="I3537" s="3" t="s">
        <v>3734</v>
      </c>
      <c r="J3537">
        <v>4</v>
      </c>
      <c r="K3537" s="4">
        <f>Table3[[#This Row],[Sales]]-Table3[[#This Row],[Cost]]</f>
        <v>11092.419999999998</v>
      </c>
      <c r="L3537" s="6">
        <f>Table3[[#This Row],[Profit]]/Table3[[#This Row],[Sales]]</f>
        <v>0.21868313654502003</v>
      </c>
    </row>
    <row r="3538" spans="1:12" x14ac:dyDescent="0.25">
      <c r="A3538" t="s">
        <v>3032</v>
      </c>
      <c r="B3538" s="2">
        <v>45102</v>
      </c>
      <c r="C3538" s="2" t="str">
        <f>TEXT(Table3[[#This Row],[Order Date]],"mmmm")</f>
        <v>June</v>
      </c>
      <c r="D3538" t="s">
        <v>3730</v>
      </c>
      <c r="E3538" t="s">
        <v>3224</v>
      </c>
      <c r="F3538" t="s">
        <v>3226</v>
      </c>
      <c r="G3538" s="4">
        <v>311032.78000000003</v>
      </c>
      <c r="H3538" s="4">
        <v>228306.18</v>
      </c>
      <c r="I3538" s="3" t="s">
        <v>3734</v>
      </c>
      <c r="J3538">
        <v>5</v>
      </c>
      <c r="K3538" s="4">
        <f>Table3[[#This Row],[Sales]]-Table3[[#This Row],[Cost]]</f>
        <v>82726.600000000035</v>
      </c>
      <c r="L3538" s="6">
        <f>Table3[[#This Row],[Profit]]/Table3[[#This Row],[Sales]]</f>
        <v>0.26597389509877395</v>
      </c>
    </row>
    <row r="3539" spans="1:12" x14ac:dyDescent="0.25">
      <c r="A3539" t="s">
        <v>3033</v>
      </c>
      <c r="B3539" s="2">
        <v>44972</v>
      </c>
      <c r="C3539" s="2" t="str">
        <f>TEXT(Table3[[#This Row],[Order Date]],"mmmm")</f>
        <v>February</v>
      </c>
      <c r="D3539" t="s">
        <v>3216</v>
      </c>
      <c r="E3539" t="s">
        <v>3222</v>
      </c>
      <c r="F3539" t="s">
        <v>3226</v>
      </c>
      <c r="G3539" s="4">
        <v>42041.17</v>
      </c>
      <c r="H3539" s="4">
        <v>32225.82</v>
      </c>
      <c r="I3539" s="3" t="s">
        <v>3734</v>
      </c>
      <c r="J3539">
        <v>3</v>
      </c>
      <c r="K3539" s="4">
        <f>Table3[[#This Row],[Sales]]-Table3[[#This Row],[Cost]]</f>
        <v>9815.3499999999985</v>
      </c>
      <c r="L3539" s="6">
        <f>Table3[[#This Row],[Profit]]/Table3[[#This Row],[Sales]]</f>
        <v>0.23346995338141158</v>
      </c>
    </row>
    <row r="3540" spans="1:12" x14ac:dyDescent="0.25">
      <c r="A3540" t="s">
        <v>3711</v>
      </c>
      <c r="B3540" s="2">
        <v>45021</v>
      </c>
      <c r="C3540" s="2" t="str">
        <f>TEXT(Table3[[#This Row],[Order Date]],"mmmm")</f>
        <v>April</v>
      </c>
      <c r="D3540" t="s">
        <v>3730</v>
      </c>
      <c r="E3540" t="s">
        <v>3222</v>
      </c>
      <c r="F3540" t="s">
        <v>3226</v>
      </c>
      <c r="G3540" s="4">
        <v>25424.59</v>
      </c>
      <c r="H3540" s="4">
        <v>21850.54</v>
      </c>
      <c r="I3540" s="3" t="s">
        <v>3734</v>
      </c>
      <c r="J3540">
        <v>2</v>
      </c>
      <c r="K3540" s="4">
        <f>Table3[[#This Row],[Sales]]-Table3[[#This Row],[Cost]]</f>
        <v>3574.0499999999993</v>
      </c>
      <c r="L3540" s="6">
        <f>Table3[[#This Row],[Profit]]/Table3[[#This Row],[Sales]]</f>
        <v>0.14057453827180691</v>
      </c>
    </row>
    <row r="3541" spans="1:12" x14ac:dyDescent="0.25">
      <c r="A3541" t="s">
        <v>509</v>
      </c>
      <c r="B3541" s="2">
        <v>45021</v>
      </c>
      <c r="C3541" s="2" t="str">
        <f>TEXT(Table3[[#This Row],[Order Date]],"mmmm")</f>
        <v>April</v>
      </c>
      <c r="D3541" t="s">
        <v>3730</v>
      </c>
      <c r="E3541" t="s">
        <v>3222</v>
      </c>
      <c r="F3541" t="s">
        <v>3226</v>
      </c>
      <c r="G3541" s="4">
        <v>83171.75</v>
      </c>
      <c r="H3541" s="4">
        <v>45701.72</v>
      </c>
      <c r="I3541" s="3" t="s">
        <v>3734</v>
      </c>
      <c r="J3541">
        <v>5</v>
      </c>
      <c r="K3541" s="4">
        <f>Table3[[#This Row],[Sales]]-Table3[[#This Row],[Cost]]</f>
        <v>37470.03</v>
      </c>
      <c r="L3541" s="6">
        <f>Table3[[#This Row],[Profit]]/Table3[[#This Row],[Sales]]</f>
        <v>0.45051390646463491</v>
      </c>
    </row>
    <row r="3542" spans="1:12" x14ac:dyDescent="0.25">
      <c r="A3542" t="s">
        <v>3036</v>
      </c>
      <c r="B3542" s="2" t="s">
        <v>3729</v>
      </c>
      <c r="C3542" s="2" t="str">
        <f>TEXT(Table3[[#This Row],[Order Date]],"mmmm")</f>
        <v>Not Mentioned</v>
      </c>
      <c r="D3542" t="s">
        <v>3730</v>
      </c>
      <c r="E3542" t="s">
        <v>3222</v>
      </c>
      <c r="F3542" t="s">
        <v>3226</v>
      </c>
      <c r="G3542" s="4">
        <v>65908.539999999994</v>
      </c>
      <c r="H3542" s="4">
        <v>42916.95</v>
      </c>
      <c r="I3542" s="3" t="s">
        <v>3734</v>
      </c>
      <c r="J3542">
        <v>4</v>
      </c>
      <c r="K3542" s="4">
        <f>Table3[[#This Row],[Sales]]-Table3[[#This Row],[Cost]]</f>
        <v>22991.589999999997</v>
      </c>
      <c r="L3542" s="6">
        <f>Table3[[#This Row],[Profit]]/Table3[[#This Row],[Sales]]</f>
        <v>0.34884083306958397</v>
      </c>
    </row>
    <row r="3543" spans="1:12" x14ac:dyDescent="0.25">
      <c r="A3543" t="s">
        <v>3037</v>
      </c>
      <c r="B3543" s="2">
        <v>44972</v>
      </c>
      <c r="C3543" s="2" t="str">
        <f>TEXT(Table3[[#This Row],[Order Date]],"mmmm")</f>
        <v>February</v>
      </c>
      <c r="D3543" t="s">
        <v>3731</v>
      </c>
      <c r="E3543" t="s">
        <v>3225</v>
      </c>
      <c r="F3543" t="s">
        <v>3226</v>
      </c>
      <c r="G3543" s="4">
        <v>61048.02</v>
      </c>
      <c r="H3543" s="4">
        <v>45400.480000000003</v>
      </c>
      <c r="I3543" s="3" t="s">
        <v>3734</v>
      </c>
      <c r="J3543">
        <v>3</v>
      </c>
      <c r="K3543" s="4">
        <f>Table3[[#This Row],[Sales]]-Table3[[#This Row],[Cost]]</f>
        <v>15647.539999999994</v>
      </c>
      <c r="L3543" s="6">
        <f>Table3[[#This Row],[Profit]]/Table3[[#This Row],[Sales]]</f>
        <v>0.25631527443478092</v>
      </c>
    </row>
    <row r="3544" spans="1:12" x14ac:dyDescent="0.25">
      <c r="A3544" t="s">
        <v>3038</v>
      </c>
      <c r="B3544" s="2">
        <v>45021</v>
      </c>
      <c r="C3544" s="2" t="str">
        <f>TEXT(Table3[[#This Row],[Order Date]],"mmmm")</f>
        <v>April</v>
      </c>
      <c r="D3544" t="s">
        <v>3220</v>
      </c>
      <c r="E3544" t="s">
        <v>3223</v>
      </c>
      <c r="F3544" t="s">
        <v>3226</v>
      </c>
      <c r="G3544" s="4">
        <v>35183.56</v>
      </c>
      <c r="H3544" s="4">
        <v>29272.76</v>
      </c>
      <c r="I3544" s="3" t="s">
        <v>3734</v>
      </c>
      <c r="J3544" t="s">
        <v>3732</v>
      </c>
      <c r="K3544" s="4">
        <f>Table3[[#This Row],[Sales]]-Table3[[#This Row],[Cost]]</f>
        <v>5910.7999999999993</v>
      </c>
      <c r="L3544" s="6">
        <f>Table3[[#This Row],[Profit]]/Table3[[#This Row],[Sales]]</f>
        <v>0.16799891767632383</v>
      </c>
    </row>
    <row r="3545" spans="1:12" x14ac:dyDescent="0.25">
      <c r="A3545" t="s">
        <v>3039</v>
      </c>
      <c r="B3545" s="2">
        <v>44941</v>
      </c>
      <c r="C3545" s="2" t="str">
        <f>TEXT(Table3[[#This Row],[Order Date]],"mmmm")</f>
        <v>January</v>
      </c>
      <c r="D3545" t="s">
        <v>3730</v>
      </c>
      <c r="E3545" t="s">
        <v>3222</v>
      </c>
      <c r="F3545" t="s">
        <v>3226</v>
      </c>
      <c r="G3545" s="4">
        <v>40457.86</v>
      </c>
      <c r="H3545" s="4">
        <v>31371.26</v>
      </c>
      <c r="I3545" s="3" t="s">
        <v>3734</v>
      </c>
      <c r="J3545">
        <v>3</v>
      </c>
      <c r="K3545" s="4">
        <f>Table3[[#This Row],[Sales]]-Table3[[#This Row],[Cost]]</f>
        <v>9086.6000000000022</v>
      </c>
      <c r="L3545" s="6">
        <f>Table3[[#This Row],[Profit]]/Table3[[#This Row],[Sales]]</f>
        <v>0.22459418268786344</v>
      </c>
    </row>
    <row r="3546" spans="1:12" x14ac:dyDescent="0.25">
      <c r="A3546" t="s">
        <v>3663</v>
      </c>
      <c r="B3546" s="2">
        <v>44972</v>
      </c>
      <c r="C3546" s="2" t="str">
        <f>TEXT(Table3[[#This Row],[Order Date]],"mmmm")</f>
        <v>February</v>
      </c>
      <c r="D3546" t="s">
        <v>3220</v>
      </c>
      <c r="E3546" t="s">
        <v>3225</v>
      </c>
      <c r="F3546" t="s">
        <v>3226</v>
      </c>
      <c r="G3546" s="4">
        <v>52251.040000000001</v>
      </c>
      <c r="H3546" s="4">
        <v>41800.832000000002</v>
      </c>
      <c r="I3546" s="3" t="s">
        <v>3735</v>
      </c>
      <c r="J3546">
        <v>3</v>
      </c>
      <c r="K3546" s="4">
        <f>Table3[[#This Row],[Sales]]-Table3[[#This Row],[Cost]]</f>
        <v>10450.207999999999</v>
      </c>
      <c r="L3546" s="6">
        <f>Table3[[#This Row],[Profit]]/Table3[[#This Row],[Sales]]</f>
        <v>0.19999999999999998</v>
      </c>
    </row>
    <row r="3547" spans="1:12" x14ac:dyDescent="0.25">
      <c r="A3547" t="s">
        <v>3040</v>
      </c>
      <c r="B3547" s="2">
        <v>45102</v>
      </c>
      <c r="C3547" s="2" t="str">
        <f>TEXT(Table3[[#This Row],[Order Date]],"mmmm")</f>
        <v>June</v>
      </c>
      <c r="D3547" t="s">
        <v>3730</v>
      </c>
      <c r="E3547" t="s">
        <v>3225</v>
      </c>
      <c r="F3547" t="s">
        <v>3226</v>
      </c>
      <c r="G3547" s="4">
        <v>57468.57</v>
      </c>
      <c r="H3547" s="4">
        <v>43369.8</v>
      </c>
      <c r="I3547" s="3" t="s">
        <v>3734</v>
      </c>
      <c r="J3547">
        <v>3</v>
      </c>
      <c r="K3547" s="4">
        <f>Table3[[#This Row],[Sales]]-Table3[[#This Row],[Cost]]</f>
        <v>14098.769999999997</v>
      </c>
      <c r="L3547" s="6">
        <f>Table3[[#This Row],[Profit]]/Table3[[#This Row],[Sales]]</f>
        <v>0.24533009956572779</v>
      </c>
    </row>
    <row r="3548" spans="1:12" x14ac:dyDescent="0.25">
      <c r="A3548" t="s">
        <v>3041</v>
      </c>
      <c r="B3548" s="2">
        <v>45102</v>
      </c>
      <c r="C3548" s="2" t="str">
        <f>TEXT(Table3[[#This Row],[Order Date]],"mmmm")</f>
        <v>June</v>
      </c>
      <c r="D3548" t="s">
        <v>3730</v>
      </c>
      <c r="E3548" t="s">
        <v>3223</v>
      </c>
      <c r="F3548" t="s">
        <v>3226</v>
      </c>
      <c r="G3548" s="4">
        <v>26045.26</v>
      </c>
      <c r="H3548" s="4">
        <v>21808.99</v>
      </c>
      <c r="I3548" s="3" t="s">
        <v>3734</v>
      </c>
      <c r="J3548">
        <v>3</v>
      </c>
      <c r="K3548" s="4">
        <f>Table3[[#This Row],[Sales]]-Table3[[#This Row],[Cost]]</f>
        <v>4236.2699999999968</v>
      </c>
      <c r="L3548" s="6">
        <f>Table3[[#This Row],[Profit]]/Table3[[#This Row],[Sales]]</f>
        <v>0.16265032485757475</v>
      </c>
    </row>
    <row r="3549" spans="1:12" x14ac:dyDescent="0.25">
      <c r="A3549" t="s">
        <v>3042</v>
      </c>
      <c r="B3549" s="2">
        <v>45102</v>
      </c>
      <c r="C3549" s="2" t="str">
        <f>TEXT(Table3[[#This Row],[Order Date]],"mmmm")</f>
        <v>June</v>
      </c>
      <c r="D3549" t="s">
        <v>3220</v>
      </c>
      <c r="E3549" t="s">
        <v>3224</v>
      </c>
      <c r="F3549" t="s">
        <v>3226</v>
      </c>
      <c r="G3549" s="4">
        <v>63361.73</v>
      </c>
      <c r="H3549" s="4">
        <v>41263.980000000003</v>
      </c>
      <c r="I3549" s="3" t="s">
        <v>3734</v>
      </c>
      <c r="J3549">
        <v>1</v>
      </c>
      <c r="K3549" s="4">
        <f>Table3[[#This Row],[Sales]]-Table3[[#This Row],[Cost]]</f>
        <v>22097.75</v>
      </c>
      <c r="L3549" s="6">
        <f>Table3[[#This Row],[Profit]]/Table3[[#This Row],[Sales]]</f>
        <v>0.34875547116532329</v>
      </c>
    </row>
    <row r="3550" spans="1:12" x14ac:dyDescent="0.25">
      <c r="A3550" t="s">
        <v>3043</v>
      </c>
      <c r="B3550" s="2" t="s">
        <v>3729</v>
      </c>
      <c r="C3550" s="2" t="str">
        <f>TEXT(Table3[[#This Row],[Order Date]],"mmmm")</f>
        <v>Not Mentioned</v>
      </c>
      <c r="D3550" t="s">
        <v>3216</v>
      </c>
      <c r="E3550" t="s">
        <v>3225</v>
      </c>
      <c r="F3550" t="s">
        <v>3226</v>
      </c>
      <c r="G3550" s="4">
        <v>118750.26</v>
      </c>
      <c r="H3550" s="4">
        <v>64793.56</v>
      </c>
      <c r="I3550" s="3" t="s">
        <v>3734</v>
      </c>
      <c r="J3550">
        <v>5</v>
      </c>
      <c r="K3550" s="4">
        <f>Table3[[#This Row],[Sales]]-Table3[[#This Row],[Cost]]</f>
        <v>53956.7</v>
      </c>
      <c r="L3550" s="6">
        <f>Table3[[#This Row],[Profit]]/Table3[[#This Row],[Sales]]</f>
        <v>0.45437121569249617</v>
      </c>
    </row>
    <row r="3551" spans="1:12" x14ac:dyDescent="0.25">
      <c r="A3551" t="s">
        <v>3044</v>
      </c>
      <c r="B3551" s="2">
        <v>44972</v>
      </c>
      <c r="C3551" s="2" t="str">
        <f>TEXT(Table3[[#This Row],[Order Date]],"mmmm")</f>
        <v>February</v>
      </c>
      <c r="D3551" t="s">
        <v>3731</v>
      </c>
      <c r="E3551" t="s">
        <v>3223</v>
      </c>
      <c r="F3551" t="s">
        <v>3226</v>
      </c>
      <c r="G3551" s="4">
        <v>41784.5</v>
      </c>
      <c r="H3551" s="4">
        <v>33427.599999999999</v>
      </c>
      <c r="I3551" s="3" t="s">
        <v>3735</v>
      </c>
      <c r="J3551">
        <v>5</v>
      </c>
      <c r="K3551" s="4">
        <f>Table3[[#This Row],[Sales]]-Table3[[#This Row],[Cost]]</f>
        <v>8356.9000000000015</v>
      </c>
      <c r="L3551" s="6">
        <f>Table3[[#This Row],[Profit]]/Table3[[#This Row],[Sales]]</f>
        <v>0.20000000000000004</v>
      </c>
    </row>
    <row r="3552" spans="1:12" x14ac:dyDescent="0.25">
      <c r="A3552" t="s">
        <v>3045</v>
      </c>
      <c r="B3552" s="2">
        <v>45021</v>
      </c>
      <c r="C3552" s="2" t="str">
        <f>TEXT(Table3[[#This Row],[Order Date]],"mmmm")</f>
        <v>April</v>
      </c>
      <c r="D3552" t="s">
        <v>3216</v>
      </c>
      <c r="E3552" t="s">
        <v>3223</v>
      </c>
      <c r="F3552" t="s">
        <v>3226</v>
      </c>
      <c r="G3552" s="4">
        <v>53827.28</v>
      </c>
      <c r="H3552" s="4">
        <v>29944.23</v>
      </c>
      <c r="I3552" s="3" t="s">
        <v>3734</v>
      </c>
      <c r="J3552">
        <v>5</v>
      </c>
      <c r="K3552" s="4">
        <f>Table3[[#This Row],[Sales]]-Table3[[#This Row],[Cost]]</f>
        <v>23883.05</v>
      </c>
      <c r="L3552" s="6">
        <f>Table3[[#This Row],[Profit]]/Table3[[#This Row],[Sales]]</f>
        <v>0.44369787958819396</v>
      </c>
    </row>
    <row r="3553" spans="1:12" x14ac:dyDescent="0.25">
      <c r="A3553" t="s">
        <v>3046</v>
      </c>
      <c r="B3553" s="2">
        <v>45102</v>
      </c>
      <c r="C3553" s="2" t="str">
        <f>TEXT(Table3[[#This Row],[Order Date]],"mmmm")</f>
        <v>June</v>
      </c>
      <c r="D3553" t="s">
        <v>3730</v>
      </c>
      <c r="E3553" t="s">
        <v>3225</v>
      </c>
      <c r="F3553" t="s">
        <v>3226</v>
      </c>
      <c r="G3553" s="4">
        <v>95320.99</v>
      </c>
      <c r="H3553" s="4">
        <v>49669.88</v>
      </c>
      <c r="I3553" s="3" t="s">
        <v>3734</v>
      </c>
      <c r="J3553">
        <v>4</v>
      </c>
      <c r="K3553" s="4">
        <f>Table3[[#This Row],[Sales]]-Table3[[#This Row],[Cost]]</f>
        <v>45651.110000000008</v>
      </c>
      <c r="L3553" s="6">
        <f>Table3[[#This Row],[Profit]]/Table3[[#This Row],[Sales]]</f>
        <v>0.47891980559580849</v>
      </c>
    </row>
    <row r="3554" spans="1:12" x14ac:dyDescent="0.25">
      <c r="A3554" t="s">
        <v>114</v>
      </c>
      <c r="B3554" s="2">
        <v>45021</v>
      </c>
      <c r="C3554" s="2" t="str">
        <f>TEXT(Table3[[#This Row],[Order Date]],"mmmm")</f>
        <v>April</v>
      </c>
      <c r="D3554" t="s">
        <v>3731</v>
      </c>
      <c r="E3554" t="s">
        <v>3224</v>
      </c>
      <c r="F3554" t="s">
        <v>3226</v>
      </c>
      <c r="G3554" s="4">
        <v>128907.41</v>
      </c>
      <c r="H3554" s="4">
        <v>80097.679999999993</v>
      </c>
      <c r="I3554" s="3" t="s">
        <v>3734</v>
      </c>
      <c r="J3554" t="s">
        <v>3732</v>
      </c>
      <c r="K3554" s="4">
        <f>Table3[[#This Row],[Sales]]-Table3[[#This Row],[Cost]]</f>
        <v>48809.73000000001</v>
      </c>
      <c r="L3554" s="6">
        <f>Table3[[#This Row],[Profit]]/Table3[[#This Row],[Sales]]</f>
        <v>0.37864177086484019</v>
      </c>
    </row>
    <row r="3555" spans="1:12" x14ac:dyDescent="0.25">
      <c r="A3555" t="s">
        <v>3047</v>
      </c>
      <c r="B3555" s="2">
        <v>44972</v>
      </c>
      <c r="C3555" s="2" t="str">
        <f>TEXT(Table3[[#This Row],[Order Date]],"mmmm")</f>
        <v>February</v>
      </c>
      <c r="D3555" t="s">
        <v>3730</v>
      </c>
      <c r="E3555" t="s">
        <v>3225</v>
      </c>
      <c r="F3555" t="s">
        <v>3226</v>
      </c>
      <c r="G3555" s="4">
        <v>76881.7</v>
      </c>
      <c r="H3555" s="4">
        <v>48376.160000000003</v>
      </c>
      <c r="I3555" s="3" t="s">
        <v>3734</v>
      </c>
      <c r="J3555">
        <v>4</v>
      </c>
      <c r="K3555" s="4">
        <f>Table3[[#This Row],[Sales]]-Table3[[#This Row],[Cost]]</f>
        <v>28505.539999999994</v>
      </c>
      <c r="L3555" s="6">
        <f>Table3[[#This Row],[Profit]]/Table3[[#This Row],[Sales]]</f>
        <v>0.37077145796724054</v>
      </c>
    </row>
    <row r="3556" spans="1:12" x14ac:dyDescent="0.25">
      <c r="A3556" t="s">
        <v>3048</v>
      </c>
      <c r="B3556" s="2">
        <v>45005</v>
      </c>
      <c r="C3556" s="2" t="str">
        <f>TEXT(Table3[[#This Row],[Order Date]],"mmmm")</f>
        <v>March</v>
      </c>
      <c r="D3556" t="s">
        <v>3731</v>
      </c>
      <c r="E3556" t="s">
        <v>3224</v>
      </c>
      <c r="F3556" t="s">
        <v>3226</v>
      </c>
      <c r="G3556" s="4">
        <v>287407.40000000002</v>
      </c>
      <c r="H3556" s="4">
        <v>190165.31</v>
      </c>
      <c r="I3556" s="3" t="s">
        <v>3734</v>
      </c>
      <c r="J3556">
        <v>4</v>
      </c>
      <c r="K3556" s="4">
        <f>Table3[[#This Row],[Sales]]-Table3[[#This Row],[Cost]]</f>
        <v>97242.090000000026</v>
      </c>
      <c r="L3556" s="6">
        <f>Table3[[#This Row],[Profit]]/Table3[[#This Row],[Sales]]</f>
        <v>0.33834233217377152</v>
      </c>
    </row>
    <row r="3557" spans="1:12" x14ac:dyDescent="0.25">
      <c r="A3557" t="s">
        <v>1599</v>
      </c>
      <c r="B3557" s="2">
        <v>45102</v>
      </c>
      <c r="C3557" s="2" t="str">
        <f>TEXT(Table3[[#This Row],[Order Date]],"mmmm")</f>
        <v>June</v>
      </c>
      <c r="D3557" t="s">
        <v>3216</v>
      </c>
      <c r="E3557" t="s">
        <v>3224</v>
      </c>
      <c r="F3557" t="s">
        <v>3226</v>
      </c>
      <c r="G3557" s="4">
        <v>54106.59</v>
      </c>
      <c r="H3557" s="4">
        <v>46080.09</v>
      </c>
      <c r="I3557" s="3" t="s">
        <v>3734</v>
      </c>
      <c r="J3557">
        <v>1</v>
      </c>
      <c r="K3557" s="4">
        <f>Table3[[#This Row],[Sales]]-Table3[[#This Row],[Cost]]</f>
        <v>8026.5</v>
      </c>
      <c r="L3557" s="6">
        <f>Table3[[#This Row],[Profit]]/Table3[[#This Row],[Sales]]</f>
        <v>0.14834607022915325</v>
      </c>
    </row>
    <row r="3558" spans="1:12" x14ac:dyDescent="0.25">
      <c r="A3558" t="s">
        <v>1266</v>
      </c>
      <c r="B3558" s="2" t="s">
        <v>3729</v>
      </c>
      <c r="C3558" s="2" t="str">
        <f>TEXT(Table3[[#This Row],[Order Date]],"mmmm")</f>
        <v>Not Mentioned</v>
      </c>
      <c r="D3558" t="s">
        <v>3220</v>
      </c>
      <c r="E3558" t="s">
        <v>3225</v>
      </c>
      <c r="F3558" t="s">
        <v>3226</v>
      </c>
      <c r="G3558" s="4">
        <v>45035.13</v>
      </c>
      <c r="H3558" s="4">
        <v>27775.46</v>
      </c>
      <c r="I3558" s="3" t="s">
        <v>3734</v>
      </c>
      <c r="J3558">
        <v>2</v>
      </c>
      <c r="K3558" s="4">
        <f>Table3[[#This Row],[Sales]]-Table3[[#This Row],[Cost]]</f>
        <v>17259.669999999998</v>
      </c>
      <c r="L3558" s="6">
        <f>Table3[[#This Row],[Profit]]/Table3[[#This Row],[Sales]]</f>
        <v>0.38324903247753472</v>
      </c>
    </row>
    <row r="3559" spans="1:12" x14ac:dyDescent="0.25">
      <c r="A3559" t="s">
        <v>3678</v>
      </c>
      <c r="B3559" s="2">
        <v>45102</v>
      </c>
      <c r="C3559" s="2" t="str">
        <f>TEXT(Table3[[#This Row],[Order Date]],"mmmm")</f>
        <v>June</v>
      </c>
      <c r="D3559" t="s">
        <v>3731</v>
      </c>
      <c r="E3559" t="s">
        <v>3223</v>
      </c>
      <c r="F3559" t="s">
        <v>3226</v>
      </c>
      <c r="G3559" s="4">
        <v>35116.97</v>
      </c>
      <c r="H3559" s="4">
        <v>27335.86</v>
      </c>
      <c r="I3559" s="3" t="s">
        <v>3734</v>
      </c>
      <c r="J3559">
        <v>4</v>
      </c>
      <c r="K3559" s="4">
        <f>Table3[[#This Row],[Sales]]-Table3[[#This Row],[Cost]]</f>
        <v>7781.1100000000006</v>
      </c>
      <c r="L3559" s="6">
        <f>Table3[[#This Row],[Profit]]/Table3[[#This Row],[Sales]]</f>
        <v>0.22157691850976893</v>
      </c>
    </row>
    <row r="3560" spans="1:12" x14ac:dyDescent="0.25">
      <c r="A3560" t="s">
        <v>3049</v>
      </c>
      <c r="B3560" s="2">
        <v>45005</v>
      </c>
      <c r="C3560" s="2" t="str">
        <f>TEXT(Table3[[#This Row],[Order Date]],"mmmm")</f>
        <v>March</v>
      </c>
      <c r="D3560" t="s">
        <v>3730</v>
      </c>
      <c r="E3560" t="s">
        <v>3224</v>
      </c>
      <c r="F3560" t="s">
        <v>3226</v>
      </c>
      <c r="G3560" s="4">
        <v>344417.03</v>
      </c>
      <c r="H3560" s="4">
        <v>275533.62400000001</v>
      </c>
      <c r="I3560" s="3" t="s">
        <v>3735</v>
      </c>
      <c r="J3560">
        <v>5</v>
      </c>
      <c r="K3560" s="4">
        <f>Table3[[#This Row],[Sales]]-Table3[[#This Row],[Cost]]</f>
        <v>68883.406000000017</v>
      </c>
      <c r="L3560" s="6">
        <f>Table3[[#This Row],[Profit]]/Table3[[#This Row],[Sales]]</f>
        <v>0.20000000000000004</v>
      </c>
    </row>
    <row r="3561" spans="1:12" x14ac:dyDescent="0.25">
      <c r="A3561" t="s">
        <v>3050</v>
      </c>
      <c r="B3561" s="2">
        <v>45005</v>
      </c>
      <c r="C3561" s="2" t="str">
        <f>TEXT(Table3[[#This Row],[Order Date]],"mmmm")</f>
        <v>March</v>
      </c>
      <c r="D3561" t="s">
        <v>3730</v>
      </c>
      <c r="E3561" t="s">
        <v>3222</v>
      </c>
      <c r="F3561" t="s">
        <v>3226</v>
      </c>
      <c r="G3561" s="4">
        <v>71465.2</v>
      </c>
      <c r="H3561" s="4">
        <v>44204.78</v>
      </c>
      <c r="I3561" s="3" t="s">
        <v>3734</v>
      </c>
      <c r="J3561">
        <v>5</v>
      </c>
      <c r="K3561" s="4">
        <f>Table3[[#This Row],[Sales]]-Table3[[#This Row],[Cost]]</f>
        <v>27260.42</v>
      </c>
      <c r="L3561" s="6">
        <f>Table3[[#This Row],[Profit]]/Table3[[#This Row],[Sales]]</f>
        <v>0.38145027230036438</v>
      </c>
    </row>
    <row r="3562" spans="1:12" x14ac:dyDescent="0.25">
      <c r="A3562" t="s">
        <v>3051</v>
      </c>
      <c r="B3562" s="2">
        <v>45102</v>
      </c>
      <c r="C3562" s="2" t="str">
        <f>TEXT(Table3[[#This Row],[Order Date]],"mmmm")</f>
        <v>June</v>
      </c>
      <c r="D3562" t="s">
        <v>3730</v>
      </c>
      <c r="E3562" t="s">
        <v>3225</v>
      </c>
      <c r="F3562" t="s">
        <v>3226</v>
      </c>
      <c r="G3562" s="4">
        <v>44838.66</v>
      </c>
      <c r="H3562" s="4">
        <v>29125.89</v>
      </c>
      <c r="I3562" s="3" t="s">
        <v>3734</v>
      </c>
      <c r="J3562">
        <v>2</v>
      </c>
      <c r="K3562" s="4">
        <f>Table3[[#This Row],[Sales]]-Table3[[#This Row],[Cost]]</f>
        <v>15712.770000000004</v>
      </c>
      <c r="L3562" s="6">
        <f>Table3[[#This Row],[Profit]]/Table3[[#This Row],[Sales]]</f>
        <v>0.35042907169839604</v>
      </c>
    </row>
    <row r="3563" spans="1:12" x14ac:dyDescent="0.25">
      <c r="A3563" t="s">
        <v>1162</v>
      </c>
      <c r="B3563" s="2">
        <v>45021</v>
      </c>
      <c r="C3563" s="2" t="str">
        <f>TEXT(Table3[[#This Row],[Order Date]],"mmmm")</f>
        <v>April</v>
      </c>
      <c r="D3563" t="s">
        <v>3216</v>
      </c>
      <c r="E3563" t="s">
        <v>3225</v>
      </c>
      <c r="F3563" t="s">
        <v>3226</v>
      </c>
      <c r="G3563" s="4">
        <v>93686.22</v>
      </c>
      <c r="H3563" s="4">
        <v>50704.83</v>
      </c>
      <c r="I3563" s="3" t="s">
        <v>3734</v>
      </c>
      <c r="J3563">
        <v>4</v>
      </c>
      <c r="K3563" s="4">
        <f>Table3[[#This Row],[Sales]]-Table3[[#This Row],[Cost]]</f>
        <v>42981.39</v>
      </c>
      <c r="L3563" s="6">
        <f>Table3[[#This Row],[Profit]]/Table3[[#This Row],[Sales]]</f>
        <v>0.45878027739831961</v>
      </c>
    </row>
    <row r="3564" spans="1:12" x14ac:dyDescent="0.25">
      <c r="A3564" t="s">
        <v>3052</v>
      </c>
      <c r="B3564" s="2">
        <v>45005</v>
      </c>
      <c r="C3564" s="2" t="str">
        <f>TEXT(Table3[[#This Row],[Order Date]],"mmmm")</f>
        <v>March</v>
      </c>
      <c r="D3564" t="s">
        <v>3731</v>
      </c>
      <c r="E3564" t="s">
        <v>3224</v>
      </c>
      <c r="F3564" t="s">
        <v>3226</v>
      </c>
      <c r="G3564" s="4">
        <v>272992.36</v>
      </c>
      <c r="H3564" s="4">
        <v>178212.85</v>
      </c>
      <c r="I3564" s="3" t="s">
        <v>3734</v>
      </c>
      <c r="J3564">
        <v>4</v>
      </c>
      <c r="K3564" s="4">
        <f>Table3[[#This Row],[Sales]]-Table3[[#This Row],[Cost]]</f>
        <v>94779.50999999998</v>
      </c>
      <c r="L3564" s="6">
        <f>Table3[[#This Row],[Profit]]/Table3[[#This Row],[Sales]]</f>
        <v>0.34718740846813434</v>
      </c>
    </row>
    <row r="3565" spans="1:12" x14ac:dyDescent="0.25">
      <c r="A3565" t="s">
        <v>3053</v>
      </c>
      <c r="B3565" s="2" t="s">
        <v>3729</v>
      </c>
      <c r="C3565" s="2" t="str">
        <f>TEXT(Table3[[#This Row],[Order Date]],"mmmm")</f>
        <v>Not Mentioned</v>
      </c>
      <c r="D3565" t="s">
        <v>3220</v>
      </c>
      <c r="E3565" t="s">
        <v>3224</v>
      </c>
      <c r="F3565" t="s">
        <v>3226</v>
      </c>
      <c r="G3565" s="4">
        <v>161205.4</v>
      </c>
      <c r="H3565" s="4">
        <v>133499.46</v>
      </c>
      <c r="I3565" s="3" t="s">
        <v>3734</v>
      </c>
      <c r="J3565">
        <v>3</v>
      </c>
      <c r="K3565" s="4">
        <f>Table3[[#This Row],[Sales]]-Table3[[#This Row],[Cost]]</f>
        <v>27705.940000000002</v>
      </c>
      <c r="L3565" s="6">
        <f>Table3[[#This Row],[Profit]]/Table3[[#This Row],[Sales]]</f>
        <v>0.17186731958110588</v>
      </c>
    </row>
    <row r="3566" spans="1:12" x14ac:dyDescent="0.25">
      <c r="A3566" t="s">
        <v>3054</v>
      </c>
      <c r="B3566" s="2">
        <v>44972</v>
      </c>
      <c r="C3566" s="2" t="str">
        <f>TEXT(Table3[[#This Row],[Order Date]],"mmmm")</f>
        <v>February</v>
      </c>
      <c r="D3566" t="s">
        <v>3730</v>
      </c>
      <c r="E3566" t="s">
        <v>3224</v>
      </c>
      <c r="F3566" t="s">
        <v>3226</v>
      </c>
      <c r="G3566" s="4">
        <v>53979.55</v>
      </c>
      <c r="H3566" s="4">
        <v>40148.75</v>
      </c>
      <c r="I3566" s="3" t="s">
        <v>3734</v>
      </c>
      <c r="J3566">
        <v>1</v>
      </c>
      <c r="K3566" s="4">
        <f>Table3[[#This Row],[Sales]]-Table3[[#This Row],[Cost]]</f>
        <v>13830.800000000003</v>
      </c>
      <c r="L3566" s="6">
        <f>Table3[[#This Row],[Profit]]/Table3[[#This Row],[Sales]]</f>
        <v>0.25622295850928734</v>
      </c>
    </row>
    <row r="3567" spans="1:12" x14ac:dyDescent="0.25">
      <c r="A3567" t="s">
        <v>3055</v>
      </c>
      <c r="B3567" s="2">
        <v>45005</v>
      </c>
      <c r="C3567" s="2" t="str">
        <f>TEXT(Table3[[#This Row],[Order Date]],"mmmm")</f>
        <v>March</v>
      </c>
      <c r="D3567" t="s">
        <v>3216</v>
      </c>
      <c r="E3567" t="s">
        <v>3224</v>
      </c>
      <c r="F3567" t="s">
        <v>3226</v>
      </c>
      <c r="G3567" s="4">
        <v>134993.19</v>
      </c>
      <c r="H3567" s="4">
        <v>80435.5</v>
      </c>
      <c r="I3567" s="3" t="s">
        <v>3734</v>
      </c>
      <c r="J3567">
        <v>2</v>
      </c>
      <c r="K3567" s="4">
        <f>Table3[[#This Row],[Sales]]-Table3[[#This Row],[Cost]]</f>
        <v>54557.69</v>
      </c>
      <c r="L3567" s="6">
        <f>Table3[[#This Row],[Profit]]/Table3[[#This Row],[Sales]]</f>
        <v>0.40415142423110384</v>
      </c>
    </row>
    <row r="3568" spans="1:12" x14ac:dyDescent="0.25">
      <c r="A3568" t="s">
        <v>3056</v>
      </c>
      <c r="B3568" s="2" t="s">
        <v>3729</v>
      </c>
      <c r="C3568" s="2" t="str">
        <f>TEXT(Table3[[#This Row],[Order Date]],"mmmm")</f>
        <v>Not Mentioned</v>
      </c>
      <c r="D3568" t="s">
        <v>3216</v>
      </c>
      <c r="E3568" t="s">
        <v>3224</v>
      </c>
      <c r="F3568" t="s">
        <v>3226</v>
      </c>
      <c r="G3568" s="4">
        <v>60426.239999999998</v>
      </c>
      <c r="H3568" s="4">
        <v>41945.34</v>
      </c>
      <c r="I3568" s="3" t="s">
        <v>3734</v>
      </c>
      <c r="J3568">
        <v>1</v>
      </c>
      <c r="K3568" s="4">
        <f>Table3[[#This Row],[Sales]]-Table3[[#This Row],[Cost]]</f>
        <v>18480.900000000001</v>
      </c>
      <c r="L3568" s="6">
        <f>Table3[[#This Row],[Profit]]/Table3[[#This Row],[Sales]]</f>
        <v>0.3058422963268938</v>
      </c>
    </row>
    <row r="3569" spans="1:12" x14ac:dyDescent="0.25">
      <c r="A3569" t="s">
        <v>3057</v>
      </c>
      <c r="B3569" s="2">
        <v>44941</v>
      </c>
      <c r="C3569" s="2" t="str">
        <f>TEXT(Table3[[#This Row],[Order Date]],"mmmm")</f>
        <v>January</v>
      </c>
      <c r="D3569" t="s">
        <v>3220</v>
      </c>
      <c r="E3569" t="s">
        <v>3222</v>
      </c>
      <c r="F3569" t="s">
        <v>3226</v>
      </c>
      <c r="G3569" s="4">
        <v>66717.960000000006</v>
      </c>
      <c r="H3569" s="4">
        <v>45269.52</v>
      </c>
      <c r="I3569" s="3" t="s">
        <v>3734</v>
      </c>
      <c r="J3569">
        <v>5</v>
      </c>
      <c r="K3569" s="4">
        <f>Table3[[#This Row],[Sales]]-Table3[[#This Row],[Cost]]</f>
        <v>21448.44000000001</v>
      </c>
      <c r="L3569" s="6">
        <f>Table3[[#This Row],[Profit]]/Table3[[#This Row],[Sales]]</f>
        <v>0.32147925386207865</v>
      </c>
    </row>
    <row r="3570" spans="1:12" x14ac:dyDescent="0.25">
      <c r="A3570" t="s">
        <v>3058</v>
      </c>
      <c r="B3570" s="2">
        <v>45021</v>
      </c>
      <c r="C3570" s="2" t="str">
        <f>TEXT(Table3[[#This Row],[Order Date]],"mmmm")</f>
        <v>April</v>
      </c>
      <c r="D3570" t="s">
        <v>3220</v>
      </c>
      <c r="E3570" t="s">
        <v>3224</v>
      </c>
      <c r="F3570" t="s">
        <v>3226</v>
      </c>
      <c r="G3570" s="4">
        <v>127144.32000000001</v>
      </c>
      <c r="H3570" s="4">
        <v>91975.31</v>
      </c>
      <c r="I3570" s="3" t="s">
        <v>3734</v>
      </c>
      <c r="J3570" t="s">
        <v>3732</v>
      </c>
      <c r="K3570" s="4">
        <f>Table3[[#This Row],[Sales]]-Table3[[#This Row],[Cost]]</f>
        <v>35169.010000000009</v>
      </c>
      <c r="L3570" s="6">
        <f>Table3[[#This Row],[Profit]]/Table3[[#This Row],[Sales]]</f>
        <v>0.27660700847666658</v>
      </c>
    </row>
    <row r="3571" spans="1:12" x14ac:dyDescent="0.25">
      <c r="A3571" t="s">
        <v>3059</v>
      </c>
      <c r="B3571" s="2" t="s">
        <v>3729</v>
      </c>
      <c r="C3571" s="2" t="str">
        <f>TEXT(Table3[[#This Row],[Order Date]],"mmmm")</f>
        <v>Not Mentioned</v>
      </c>
      <c r="D3571" t="s">
        <v>3730</v>
      </c>
      <c r="E3571" t="s">
        <v>3223</v>
      </c>
      <c r="F3571" t="s">
        <v>3226</v>
      </c>
      <c r="G3571" s="4">
        <v>43309.94</v>
      </c>
      <c r="H3571" s="4">
        <v>34647.952000000005</v>
      </c>
      <c r="I3571" s="3" t="s">
        <v>3735</v>
      </c>
      <c r="J3571">
        <v>5</v>
      </c>
      <c r="K3571" s="4">
        <f>Table3[[#This Row],[Sales]]-Table3[[#This Row],[Cost]]</f>
        <v>8661.9879999999976</v>
      </c>
      <c r="L3571" s="6">
        <f>Table3[[#This Row],[Profit]]/Table3[[#This Row],[Sales]]</f>
        <v>0.19999999999999993</v>
      </c>
    </row>
    <row r="3572" spans="1:12" x14ac:dyDescent="0.25">
      <c r="A3572" t="s">
        <v>60</v>
      </c>
      <c r="B3572" s="2">
        <v>45005</v>
      </c>
      <c r="C3572" s="2" t="str">
        <f>TEXT(Table3[[#This Row],[Order Date]],"mmmm")</f>
        <v>March</v>
      </c>
      <c r="D3572" t="s">
        <v>3730</v>
      </c>
      <c r="E3572" t="s">
        <v>3225</v>
      </c>
      <c r="F3572" t="s">
        <v>3226</v>
      </c>
      <c r="G3572" s="4">
        <v>17204.84</v>
      </c>
      <c r="H3572" s="4">
        <v>12402.63</v>
      </c>
      <c r="I3572" s="3" t="s">
        <v>3734</v>
      </c>
      <c r="J3572">
        <v>1</v>
      </c>
      <c r="K3572" s="4">
        <f>Table3[[#This Row],[Sales]]-Table3[[#This Row],[Cost]]</f>
        <v>4802.2100000000009</v>
      </c>
      <c r="L3572" s="6">
        <f>Table3[[#This Row],[Profit]]/Table3[[#This Row],[Sales]]</f>
        <v>0.27911971282499581</v>
      </c>
    </row>
    <row r="3573" spans="1:12" x14ac:dyDescent="0.25">
      <c r="A3573" t="s">
        <v>3060</v>
      </c>
      <c r="B3573" s="2">
        <v>45005</v>
      </c>
      <c r="C3573" s="2" t="str">
        <f>TEXT(Table3[[#This Row],[Order Date]],"mmmm")</f>
        <v>March</v>
      </c>
      <c r="D3573" t="s">
        <v>3730</v>
      </c>
      <c r="E3573" t="s">
        <v>3225</v>
      </c>
      <c r="F3573" t="s">
        <v>3226</v>
      </c>
      <c r="G3573" s="4">
        <v>88552.19</v>
      </c>
      <c r="H3573" s="4">
        <v>72049.56</v>
      </c>
      <c r="I3573" s="3" t="s">
        <v>3734</v>
      </c>
      <c r="J3573">
        <v>5</v>
      </c>
      <c r="K3573" s="4">
        <f>Table3[[#This Row],[Sales]]-Table3[[#This Row],[Cost]]</f>
        <v>16502.630000000005</v>
      </c>
      <c r="L3573" s="6">
        <f>Table3[[#This Row],[Profit]]/Table3[[#This Row],[Sales]]</f>
        <v>0.18636049543212882</v>
      </c>
    </row>
    <row r="3574" spans="1:12" x14ac:dyDescent="0.25">
      <c r="A3574" t="s">
        <v>3061</v>
      </c>
      <c r="B3574" s="2" t="s">
        <v>3729</v>
      </c>
      <c r="C3574" s="2" t="str">
        <f>TEXT(Table3[[#This Row],[Order Date]],"mmmm")</f>
        <v>Not Mentioned</v>
      </c>
      <c r="D3574" t="s">
        <v>3730</v>
      </c>
      <c r="E3574" t="s">
        <v>3225</v>
      </c>
      <c r="F3574" t="s">
        <v>3226</v>
      </c>
      <c r="G3574" s="4">
        <v>65751.83</v>
      </c>
      <c r="H3574" s="4">
        <v>40763.56</v>
      </c>
      <c r="I3574" s="3" t="s">
        <v>3734</v>
      </c>
      <c r="J3574">
        <v>3</v>
      </c>
      <c r="K3574" s="4">
        <f>Table3[[#This Row],[Sales]]-Table3[[#This Row],[Cost]]</f>
        <v>24988.270000000004</v>
      </c>
      <c r="L3574" s="6">
        <f>Table3[[#This Row],[Profit]]/Table3[[#This Row],[Sales]]</f>
        <v>0.38003915632462248</v>
      </c>
    </row>
    <row r="3575" spans="1:12" x14ac:dyDescent="0.25">
      <c r="A3575" t="s">
        <v>3062</v>
      </c>
      <c r="B3575" s="2">
        <v>45021</v>
      </c>
      <c r="C3575" s="2" t="str">
        <f>TEXT(Table3[[#This Row],[Order Date]],"mmmm")</f>
        <v>April</v>
      </c>
      <c r="D3575" t="s">
        <v>3730</v>
      </c>
      <c r="E3575" t="s">
        <v>3222</v>
      </c>
      <c r="F3575" t="s">
        <v>3226</v>
      </c>
      <c r="G3575" s="4">
        <v>55796.93</v>
      </c>
      <c r="H3575" s="4">
        <v>42966.78</v>
      </c>
      <c r="I3575" s="3" t="s">
        <v>3734</v>
      </c>
      <c r="J3575">
        <v>4</v>
      </c>
      <c r="K3575" s="4">
        <f>Table3[[#This Row],[Sales]]-Table3[[#This Row],[Cost]]</f>
        <v>12830.150000000001</v>
      </c>
      <c r="L3575" s="6">
        <f>Table3[[#This Row],[Profit]]/Table3[[#This Row],[Sales]]</f>
        <v>0.22994365460608679</v>
      </c>
    </row>
    <row r="3576" spans="1:12" x14ac:dyDescent="0.25">
      <c r="A3576" t="s">
        <v>3063</v>
      </c>
      <c r="B3576" s="2">
        <v>44972</v>
      </c>
      <c r="C3576" s="2" t="str">
        <f>TEXT(Table3[[#This Row],[Order Date]],"mmmm")</f>
        <v>February</v>
      </c>
      <c r="D3576" t="s">
        <v>3216</v>
      </c>
      <c r="E3576" t="s">
        <v>3223</v>
      </c>
      <c r="F3576" t="s">
        <v>3226</v>
      </c>
      <c r="G3576" s="4">
        <v>34333.160000000003</v>
      </c>
      <c r="H3576" s="4">
        <v>20969.39</v>
      </c>
      <c r="I3576" s="3" t="s">
        <v>3734</v>
      </c>
      <c r="J3576">
        <v>3</v>
      </c>
      <c r="K3576" s="4">
        <f>Table3[[#This Row],[Sales]]-Table3[[#This Row],[Cost]]</f>
        <v>13363.770000000004</v>
      </c>
      <c r="L3576" s="6">
        <f>Table3[[#This Row],[Profit]]/Table3[[#This Row],[Sales]]</f>
        <v>0.38923798450244612</v>
      </c>
    </row>
    <row r="3577" spans="1:12" x14ac:dyDescent="0.25">
      <c r="A3577" t="s">
        <v>3065</v>
      </c>
      <c r="B3577" s="2">
        <v>44972</v>
      </c>
      <c r="C3577" s="2" t="str">
        <f>TEXT(Table3[[#This Row],[Order Date]],"mmmm")</f>
        <v>February</v>
      </c>
      <c r="D3577" t="s">
        <v>3216</v>
      </c>
      <c r="E3577" t="s">
        <v>3224</v>
      </c>
      <c r="F3577" t="s">
        <v>3226</v>
      </c>
      <c r="G3577" s="4">
        <v>161006.65</v>
      </c>
      <c r="H3577" s="4">
        <v>120424.24</v>
      </c>
      <c r="I3577" s="3" t="s">
        <v>3734</v>
      </c>
      <c r="J3577">
        <v>3</v>
      </c>
      <c r="K3577" s="4">
        <f>Table3[[#This Row],[Sales]]-Table3[[#This Row],[Cost]]</f>
        <v>40582.409999999989</v>
      </c>
      <c r="L3577" s="6">
        <f>Table3[[#This Row],[Profit]]/Table3[[#This Row],[Sales]]</f>
        <v>0.25205424744878546</v>
      </c>
    </row>
    <row r="3578" spans="1:12" x14ac:dyDescent="0.25">
      <c r="A3578" t="s">
        <v>1307</v>
      </c>
      <c r="B3578" s="2">
        <v>45005</v>
      </c>
      <c r="C3578" s="2" t="str">
        <f>TEXT(Table3[[#This Row],[Order Date]],"mmmm")</f>
        <v>March</v>
      </c>
      <c r="D3578" t="s">
        <v>3730</v>
      </c>
      <c r="E3578" t="s">
        <v>3222</v>
      </c>
      <c r="F3578" t="s">
        <v>3226</v>
      </c>
      <c r="G3578" s="4">
        <v>36926.720000000001</v>
      </c>
      <c r="H3578" s="4">
        <v>32579.61</v>
      </c>
      <c r="I3578" s="3" t="s">
        <v>3734</v>
      </c>
      <c r="J3578">
        <v>3</v>
      </c>
      <c r="K3578" s="4">
        <f>Table3[[#This Row],[Sales]]-Table3[[#This Row],[Cost]]</f>
        <v>4347.1100000000006</v>
      </c>
      <c r="L3578" s="6">
        <f>Table3[[#This Row],[Profit]]/Table3[[#This Row],[Sales]]</f>
        <v>0.11772261386876497</v>
      </c>
    </row>
    <row r="3579" spans="1:12" x14ac:dyDescent="0.25">
      <c r="A3579" t="s">
        <v>3066</v>
      </c>
      <c r="B3579" s="2">
        <v>45021</v>
      </c>
      <c r="C3579" s="2" t="str">
        <f>TEXT(Table3[[#This Row],[Order Date]],"mmmm")</f>
        <v>April</v>
      </c>
      <c r="D3579" t="s">
        <v>3216</v>
      </c>
      <c r="E3579" t="s">
        <v>3225</v>
      </c>
      <c r="F3579" t="s">
        <v>3226</v>
      </c>
      <c r="G3579" s="4">
        <v>56750.27</v>
      </c>
      <c r="H3579" s="4">
        <v>39361.06</v>
      </c>
      <c r="I3579" s="3" t="s">
        <v>3734</v>
      </c>
      <c r="J3579" t="s">
        <v>3732</v>
      </c>
      <c r="K3579" s="4">
        <f>Table3[[#This Row],[Sales]]-Table3[[#This Row],[Cost]]</f>
        <v>17389.21</v>
      </c>
      <c r="L3579" s="6">
        <f>Table3[[#This Row],[Profit]]/Table3[[#This Row],[Sales]]</f>
        <v>0.306416339516975</v>
      </c>
    </row>
    <row r="3580" spans="1:12" x14ac:dyDescent="0.25">
      <c r="A3580" t="s">
        <v>3067</v>
      </c>
      <c r="B3580" s="2">
        <v>44941</v>
      </c>
      <c r="C3580" s="2" t="str">
        <f>TEXT(Table3[[#This Row],[Order Date]],"mmmm")</f>
        <v>January</v>
      </c>
      <c r="D3580" t="s">
        <v>3731</v>
      </c>
      <c r="E3580" t="s">
        <v>3224</v>
      </c>
      <c r="F3580" t="s">
        <v>3226</v>
      </c>
      <c r="G3580" s="4">
        <v>51506.34</v>
      </c>
      <c r="H3580" s="4">
        <v>41205.072</v>
      </c>
      <c r="I3580" s="3" t="s">
        <v>3735</v>
      </c>
      <c r="J3580">
        <v>1</v>
      </c>
      <c r="K3580" s="4">
        <f>Table3[[#This Row],[Sales]]-Table3[[#This Row],[Cost]]</f>
        <v>10301.267999999996</v>
      </c>
      <c r="L3580" s="6">
        <f>Table3[[#This Row],[Profit]]/Table3[[#This Row],[Sales]]</f>
        <v>0.19999999999999996</v>
      </c>
    </row>
    <row r="3581" spans="1:12" x14ac:dyDescent="0.25">
      <c r="A3581" t="s">
        <v>3068</v>
      </c>
      <c r="B3581" s="2">
        <v>45005</v>
      </c>
      <c r="C3581" s="2" t="str">
        <f>TEXT(Table3[[#This Row],[Order Date]],"mmmm")</f>
        <v>March</v>
      </c>
      <c r="D3581" t="s">
        <v>3730</v>
      </c>
      <c r="E3581" t="s">
        <v>3224</v>
      </c>
      <c r="F3581" t="s">
        <v>3226</v>
      </c>
      <c r="G3581" s="4">
        <v>68985.62</v>
      </c>
      <c r="H3581" s="4">
        <v>44484.52</v>
      </c>
      <c r="I3581" s="3" t="s">
        <v>3734</v>
      </c>
      <c r="J3581" t="s">
        <v>3732</v>
      </c>
      <c r="K3581" s="4">
        <f>Table3[[#This Row],[Sales]]-Table3[[#This Row],[Cost]]</f>
        <v>24501.1</v>
      </c>
      <c r="L3581" s="6">
        <f>Table3[[#This Row],[Profit]]/Table3[[#This Row],[Sales]]</f>
        <v>0.35516242370511419</v>
      </c>
    </row>
    <row r="3582" spans="1:12" x14ac:dyDescent="0.25">
      <c r="A3582" t="s">
        <v>3069</v>
      </c>
      <c r="B3582" s="2" t="s">
        <v>3729</v>
      </c>
      <c r="C3582" s="2" t="str">
        <f>TEXT(Table3[[#This Row],[Order Date]],"mmmm")</f>
        <v>Not Mentioned</v>
      </c>
      <c r="D3582" t="s">
        <v>3220</v>
      </c>
      <c r="E3582" t="s">
        <v>3222</v>
      </c>
      <c r="F3582" t="s">
        <v>3226</v>
      </c>
      <c r="G3582" s="4">
        <v>17029.240000000002</v>
      </c>
      <c r="H3582" s="4">
        <v>9008.56</v>
      </c>
      <c r="I3582" s="3" t="s">
        <v>3734</v>
      </c>
      <c r="J3582">
        <v>1</v>
      </c>
      <c r="K3582" s="4">
        <f>Table3[[#This Row],[Sales]]-Table3[[#This Row],[Cost]]</f>
        <v>8020.6800000000021</v>
      </c>
      <c r="L3582" s="6">
        <f>Table3[[#This Row],[Profit]]/Table3[[#This Row],[Sales]]</f>
        <v>0.47099459517864573</v>
      </c>
    </row>
    <row r="3583" spans="1:12" x14ac:dyDescent="0.25">
      <c r="A3583" t="s">
        <v>3070</v>
      </c>
      <c r="B3583" s="2">
        <v>45005</v>
      </c>
      <c r="C3583" s="2" t="str">
        <f>TEXT(Table3[[#This Row],[Order Date]],"mmmm")</f>
        <v>March</v>
      </c>
      <c r="D3583" t="s">
        <v>3730</v>
      </c>
      <c r="E3583" t="s">
        <v>3223</v>
      </c>
      <c r="F3583" t="s">
        <v>3226</v>
      </c>
      <c r="G3583" s="4">
        <v>20612.96</v>
      </c>
      <c r="H3583" s="4">
        <v>14781.53</v>
      </c>
      <c r="I3583" s="3" t="s">
        <v>3734</v>
      </c>
      <c r="J3583">
        <v>2</v>
      </c>
      <c r="K3583" s="4">
        <f>Table3[[#This Row],[Sales]]-Table3[[#This Row],[Cost]]</f>
        <v>5831.4299999999985</v>
      </c>
      <c r="L3583" s="6">
        <f>Table3[[#This Row],[Profit]]/Table3[[#This Row],[Sales]]</f>
        <v>0.28290114568698521</v>
      </c>
    </row>
    <row r="3584" spans="1:12" x14ac:dyDescent="0.25">
      <c r="A3584" t="s">
        <v>3071</v>
      </c>
      <c r="B3584" s="2">
        <v>45005</v>
      </c>
      <c r="C3584" s="2" t="str">
        <f>TEXT(Table3[[#This Row],[Order Date]],"mmmm")</f>
        <v>March</v>
      </c>
      <c r="D3584" t="s">
        <v>3220</v>
      </c>
      <c r="E3584" t="s">
        <v>3223</v>
      </c>
      <c r="F3584" t="s">
        <v>3226</v>
      </c>
      <c r="G3584" s="4">
        <v>45269.54</v>
      </c>
      <c r="H3584" s="4">
        <v>31894.41</v>
      </c>
      <c r="I3584" s="3" t="s">
        <v>3734</v>
      </c>
      <c r="J3584">
        <v>5</v>
      </c>
      <c r="K3584" s="4">
        <f>Table3[[#This Row],[Sales]]-Table3[[#This Row],[Cost]]</f>
        <v>13375.130000000001</v>
      </c>
      <c r="L3584" s="6">
        <f>Table3[[#This Row],[Profit]]/Table3[[#This Row],[Sales]]</f>
        <v>0.29545539892828604</v>
      </c>
    </row>
    <row r="3585" spans="1:12" x14ac:dyDescent="0.25">
      <c r="A3585" t="s">
        <v>3072</v>
      </c>
      <c r="B3585" s="2">
        <v>45021</v>
      </c>
      <c r="C3585" s="2" t="str">
        <f>TEXT(Table3[[#This Row],[Order Date]],"mmmm")</f>
        <v>April</v>
      </c>
      <c r="D3585" t="s">
        <v>3731</v>
      </c>
      <c r="E3585" t="s">
        <v>3225</v>
      </c>
      <c r="F3585" t="s">
        <v>3226</v>
      </c>
      <c r="G3585" s="4">
        <v>56270.23</v>
      </c>
      <c r="H3585" s="4">
        <v>41858.83</v>
      </c>
      <c r="I3585" s="3" t="s">
        <v>3734</v>
      </c>
      <c r="J3585">
        <v>3</v>
      </c>
      <c r="K3585" s="4">
        <f>Table3[[#This Row],[Sales]]-Table3[[#This Row],[Cost]]</f>
        <v>14411.400000000001</v>
      </c>
      <c r="L3585" s="6">
        <f>Table3[[#This Row],[Profit]]/Table3[[#This Row],[Sales]]</f>
        <v>0.25611055792734455</v>
      </c>
    </row>
    <row r="3586" spans="1:12" x14ac:dyDescent="0.25">
      <c r="A3586" t="s">
        <v>3712</v>
      </c>
      <c r="B3586" s="2">
        <v>45021</v>
      </c>
      <c r="C3586" s="2" t="str">
        <f>TEXT(Table3[[#This Row],[Order Date]],"mmmm")</f>
        <v>April</v>
      </c>
      <c r="D3586" t="s">
        <v>3216</v>
      </c>
      <c r="E3586" t="s">
        <v>3225</v>
      </c>
      <c r="F3586" t="s">
        <v>3226</v>
      </c>
      <c r="G3586" s="4">
        <v>40966.589999999997</v>
      </c>
      <c r="H3586" s="4">
        <v>25398.7</v>
      </c>
      <c r="I3586" s="3" t="s">
        <v>3734</v>
      </c>
      <c r="J3586">
        <v>2</v>
      </c>
      <c r="K3586" s="4">
        <f>Table3[[#This Row],[Sales]]-Table3[[#This Row],[Cost]]</f>
        <v>15567.889999999996</v>
      </c>
      <c r="L3586" s="6">
        <f>Table3[[#This Row],[Profit]]/Table3[[#This Row],[Sales]]</f>
        <v>0.38001429945719173</v>
      </c>
    </row>
    <row r="3587" spans="1:12" x14ac:dyDescent="0.25">
      <c r="A3587" t="s">
        <v>3074</v>
      </c>
      <c r="B3587" s="2" t="s">
        <v>3729</v>
      </c>
      <c r="C3587" s="2" t="str">
        <f>TEXT(Table3[[#This Row],[Order Date]],"mmmm")</f>
        <v>Not Mentioned</v>
      </c>
      <c r="D3587" t="s">
        <v>3730</v>
      </c>
      <c r="E3587" t="s">
        <v>3223</v>
      </c>
      <c r="F3587" t="s">
        <v>3226</v>
      </c>
      <c r="G3587" s="4">
        <v>32430.09</v>
      </c>
      <c r="H3587" s="4">
        <v>21313.83</v>
      </c>
      <c r="I3587" s="3" t="s">
        <v>3734</v>
      </c>
      <c r="J3587">
        <v>3</v>
      </c>
      <c r="K3587" s="4">
        <f>Table3[[#This Row],[Sales]]-Table3[[#This Row],[Cost]]</f>
        <v>11116.259999999998</v>
      </c>
      <c r="L3587" s="6">
        <f>Table3[[#This Row],[Profit]]/Table3[[#This Row],[Sales]]</f>
        <v>0.34277610700432831</v>
      </c>
    </row>
    <row r="3588" spans="1:12" x14ac:dyDescent="0.25">
      <c r="A3588" t="s">
        <v>3713</v>
      </c>
      <c r="B3588" s="2" t="s">
        <v>3729</v>
      </c>
      <c r="C3588" s="2" t="str">
        <f>TEXT(Table3[[#This Row],[Order Date]],"mmmm")</f>
        <v>Not Mentioned</v>
      </c>
      <c r="D3588" t="s">
        <v>3220</v>
      </c>
      <c r="E3588" t="s">
        <v>3224</v>
      </c>
      <c r="F3588" t="s">
        <v>3226</v>
      </c>
      <c r="G3588" s="4">
        <v>281561.03999999998</v>
      </c>
      <c r="H3588" s="4">
        <v>176681.36</v>
      </c>
      <c r="I3588" s="3" t="s">
        <v>3734</v>
      </c>
      <c r="J3588">
        <v>4</v>
      </c>
      <c r="K3588" s="4">
        <f>Table3[[#This Row],[Sales]]-Table3[[#This Row],[Cost]]</f>
        <v>104879.67999999999</v>
      </c>
      <c r="L3588" s="6">
        <f>Table3[[#This Row],[Profit]]/Table3[[#This Row],[Sales]]</f>
        <v>0.3724935807880238</v>
      </c>
    </row>
    <row r="3589" spans="1:12" x14ac:dyDescent="0.25">
      <c r="A3589" t="s">
        <v>3076</v>
      </c>
      <c r="B3589" s="2" t="s">
        <v>3729</v>
      </c>
      <c r="C3589" s="2" t="str">
        <f>TEXT(Table3[[#This Row],[Order Date]],"mmmm")</f>
        <v>Not Mentioned</v>
      </c>
      <c r="D3589" t="s">
        <v>3216</v>
      </c>
      <c r="E3589" t="s">
        <v>3225</v>
      </c>
      <c r="F3589" t="s">
        <v>3226</v>
      </c>
      <c r="G3589" s="4">
        <v>75776.539999999994</v>
      </c>
      <c r="H3589" s="4">
        <v>47996.67</v>
      </c>
      <c r="I3589" s="3" t="s">
        <v>3734</v>
      </c>
      <c r="J3589">
        <v>4</v>
      </c>
      <c r="K3589" s="4">
        <f>Table3[[#This Row],[Sales]]-Table3[[#This Row],[Cost]]</f>
        <v>27779.869999999995</v>
      </c>
      <c r="L3589" s="6">
        <f>Table3[[#This Row],[Profit]]/Table3[[#This Row],[Sales]]</f>
        <v>0.36660251312609415</v>
      </c>
    </row>
    <row r="3590" spans="1:12" x14ac:dyDescent="0.25">
      <c r="A3590" t="s">
        <v>3637</v>
      </c>
      <c r="B3590" s="2" t="s">
        <v>3729</v>
      </c>
      <c r="C3590" s="2" t="str">
        <f>TEXT(Table3[[#This Row],[Order Date]],"mmmm")</f>
        <v>Not Mentioned</v>
      </c>
      <c r="D3590" t="s">
        <v>3216</v>
      </c>
      <c r="E3590" t="s">
        <v>3222</v>
      </c>
      <c r="F3590" t="s">
        <v>3226</v>
      </c>
      <c r="G3590" s="4">
        <v>70491.78</v>
      </c>
      <c r="H3590" s="4">
        <v>56393.423999999999</v>
      </c>
      <c r="I3590" s="3" t="s">
        <v>3735</v>
      </c>
      <c r="J3590">
        <v>4</v>
      </c>
      <c r="K3590" s="4">
        <f>Table3[[#This Row],[Sales]]-Table3[[#This Row],[Cost]]</f>
        <v>14098.356</v>
      </c>
      <c r="L3590" s="6">
        <f>Table3[[#This Row],[Profit]]/Table3[[#This Row],[Sales]]</f>
        <v>0.2</v>
      </c>
    </row>
    <row r="3591" spans="1:12" x14ac:dyDescent="0.25">
      <c r="A3591" t="s">
        <v>1528</v>
      </c>
      <c r="B3591" s="2">
        <v>45102</v>
      </c>
      <c r="C3591" s="2" t="str">
        <f>TEXT(Table3[[#This Row],[Order Date]],"mmmm")</f>
        <v>June</v>
      </c>
      <c r="D3591" t="s">
        <v>3731</v>
      </c>
      <c r="E3591" t="s">
        <v>3225</v>
      </c>
      <c r="F3591" t="s">
        <v>3226</v>
      </c>
      <c r="G3591" s="4">
        <v>92166.99</v>
      </c>
      <c r="H3591" s="4">
        <v>68562.16</v>
      </c>
      <c r="I3591" s="3" t="s">
        <v>3734</v>
      </c>
      <c r="J3591">
        <v>5</v>
      </c>
      <c r="K3591" s="4">
        <f>Table3[[#This Row],[Sales]]-Table3[[#This Row],[Cost]]</f>
        <v>23604.83</v>
      </c>
      <c r="L3591" s="6">
        <f>Table3[[#This Row],[Profit]]/Table3[[#This Row],[Sales]]</f>
        <v>0.25610937278086221</v>
      </c>
    </row>
    <row r="3592" spans="1:12" x14ac:dyDescent="0.25">
      <c r="A3592" t="s">
        <v>3077</v>
      </c>
      <c r="B3592" s="2">
        <v>45021</v>
      </c>
      <c r="C3592" s="2" t="str">
        <f>TEXT(Table3[[#This Row],[Order Date]],"mmmm")</f>
        <v>April</v>
      </c>
      <c r="D3592" t="s">
        <v>3216</v>
      </c>
      <c r="E3592" t="s">
        <v>3224</v>
      </c>
      <c r="F3592" t="s">
        <v>3226</v>
      </c>
      <c r="G3592" s="4">
        <v>106827.62</v>
      </c>
      <c r="H3592" s="4">
        <v>98315.76</v>
      </c>
      <c r="I3592" s="3" t="s">
        <v>3734</v>
      </c>
      <c r="J3592">
        <v>2</v>
      </c>
      <c r="K3592" s="4">
        <f>Table3[[#This Row],[Sales]]-Table3[[#This Row],[Cost]]</f>
        <v>8511.86</v>
      </c>
      <c r="L3592" s="6">
        <f>Table3[[#This Row],[Profit]]/Table3[[#This Row],[Sales]]</f>
        <v>7.9678457687253554E-2</v>
      </c>
    </row>
    <row r="3593" spans="1:12" x14ac:dyDescent="0.25">
      <c r="A3593" t="s">
        <v>3078</v>
      </c>
      <c r="B3593" s="2">
        <v>45005</v>
      </c>
      <c r="C3593" s="2" t="str">
        <f>TEXT(Table3[[#This Row],[Order Date]],"mmmm")</f>
        <v>March</v>
      </c>
      <c r="D3593" t="s">
        <v>3220</v>
      </c>
      <c r="E3593" t="s">
        <v>3223</v>
      </c>
      <c r="F3593" t="s">
        <v>3226</v>
      </c>
      <c r="G3593" s="4">
        <v>53681.33</v>
      </c>
      <c r="H3593" s="4">
        <v>35040.129999999997</v>
      </c>
      <c r="I3593" s="3" t="s">
        <v>3734</v>
      </c>
      <c r="J3593">
        <v>5</v>
      </c>
      <c r="K3593" s="4">
        <f>Table3[[#This Row],[Sales]]-Table3[[#This Row],[Cost]]</f>
        <v>18641.200000000004</v>
      </c>
      <c r="L3593" s="6">
        <f>Table3[[#This Row],[Profit]]/Table3[[#This Row],[Sales]]</f>
        <v>0.34725667191926884</v>
      </c>
    </row>
    <row r="3594" spans="1:12" x14ac:dyDescent="0.25">
      <c r="A3594" t="s">
        <v>943</v>
      </c>
      <c r="B3594" s="2">
        <v>45005</v>
      </c>
      <c r="C3594" s="2" t="str">
        <f>TEXT(Table3[[#This Row],[Order Date]],"mmmm")</f>
        <v>March</v>
      </c>
      <c r="D3594" t="s">
        <v>3731</v>
      </c>
      <c r="E3594" t="s">
        <v>3222</v>
      </c>
      <c r="F3594" t="s">
        <v>3226</v>
      </c>
      <c r="G3594" s="4">
        <v>57666.32</v>
      </c>
      <c r="H3594" s="4">
        <v>46133.056000000004</v>
      </c>
      <c r="I3594" s="3" t="s">
        <v>3735</v>
      </c>
      <c r="J3594">
        <v>4</v>
      </c>
      <c r="K3594" s="4">
        <f>Table3[[#This Row],[Sales]]-Table3[[#This Row],[Cost]]</f>
        <v>11533.263999999996</v>
      </c>
      <c r="L3594" s="6">
        <f>Table3[[#This Row],[Profit]]/Table3[[#This Row],[Sales]]</f>
        <v>0.19999999999999993</v>
      </c>
    </row>
    <row r="3595" spans="1:12" x14ac:dyDescent="0.25">
      <c r="A3595" t="s">
        <v>3676</v>
      </c>
      <c r="B3595" s="2">
        <v>44941</v>
      </c>
      <c r="C3595" s="2" t="str">
        <f>TEXT(Table3[[#This Row],[Order Date]],"mmmm")</f>
        <v>January</v>
      </c>
      <c r="D3595" t="s">
        <v>3730</v>
      </c>
      <c r="E3595" t="s">
        <v>3225</v>
      </c>
      <c r="F3595" t="s">
        <v>3226</v>
      </c>
      <c r="G3595" s="4">
        <v>52892.35</v>
      </c>
      <c r="H3595" s="4">
        <v>43408.93</v>
      </c>
      <c r="I3595" s="3" t="s">
        <v>3734</v>
      </c>
      <c r="J3595">
        <v>3</v>
      </c>
      <c r="K3595" s="4">
        <f>Table3[[#This Row],[Sales]]-Table3[[#This Row],[Cost]]</f>
        <v>9483.4199999999983</v>
      </c>
      <c r="L3595" s="6">
        <f>Table3[[#This Row],[Profit]]/Table3[[#This Row],[Sales]]</f>
        <v>0.17929662796226672</v>
      </c>
    </row>
    <row r="3596" spans="1:12" x14ac:dyDescent="0.25">
      <c r="A3596" t="s">
        <v>3079</v>
      </c>
      <c r="B3596" s="2">
        <v>45021</v>
      </c>
      <c r="C3596" s="2" t="str">
        <f>TEXT(Table3[[#This Row],[Order Date]],"mmmm")</f>
        <v>April</v>
      </c>
      <c r="D3596" t="s">
        <v>3216</v>
      </c>
      <c r="E3596" t="s">
        <v>3222</v>
      </c>
      <c r="F3596" t="s">
        <v>3226</v>
      </c>
      <c r="G3596" s="4">
        <v>13503.15</v>
      </c>
      <c r="H3596" s="4">
        <v>10913.29</v>
      </c>
      <c r="I3596" s="3" t="s">
        <v>3734</v>
      </c>
      <c r="J3596">
        <v>1</v>
      </c>
      <c r="K3596" s="4">
        <f>Table3[[#This Row],[Sales]]-Table3[[#This Row],[Cost]]</f>
        <v>2589.8599999999988</v>
      </c>
      <c r="L3596" s="6">
        <f>Table3[[#This Row],[Profit]]/Table3[[#This Row],[Sales]]</f>
        <v>0.19179672891140206</v>
      </c>
    </row>
    <row r="3597" spans="1:12" x14ac:dyDescent="0.25">
      <c r="A3597" t="s">
        <v>3080</v>
      </c>
      <c r="B3597" s="2">
        <v>44972</v>
      </c>
      <c r="C3597" s="2" t="str">
        <f>TEXT(Table3[[#This Row],[Order Date]],"mmmm")</f>
        <v>February</v>
      </c>
      <c r="D3597" t="s">
        <v>3216</v>
      </c>
      <c r="E3597" t="s">
        <v>3222</v>
      </c>
      <c r="F3597" t="s">
        <v>3226</v>
      </c>
      <c r="G3597" s="4">
        <v>30882.560000000001</v>
      </c>
      <c r="H3597" s="4">
        <v>20608.98</v>
      </c>
      <c r="I3597" s="3" t="s">
        <v>3734</v>
      </c>
      <c r="J3597">
        <v>2</v>
      </c>
      <c r="K3597" s="4">
        <f>Table3[[#This Row],[Sales]]-Table3[[#This Row],[Cost]]</f>
        <v>10273.580000000002</v>
      </c>
      <c r="L3597" s="6">
        <f>Table3[[#This Row],[Profit]]/Table3[[#This Row],[Sales]]</f>
        <v>0.33266607431508272</v>
      </c>
    </row>
    <row r="3598" spans="1:12" x14ac:dyDescent="0.25">
      <c r="A3598" t="s">
        <v>2994</v>
      </c>
      <c r="B3598" s="2">
        <v>45005</v>
      </c>
      <c r="C3598" s="2" t="str">
        <f>TEXT(Table3[[#This Row],[Order Date]],"mmmm")</f>
        <v>March</v>
      </c>
      <c r="D3598" t="s">
        <v>3731</v>
      </c>
      <c r="E3598" t="s">
        <v>3222</v>
      </c>
      <c r="F3598" t="s">
        <v>3226</v>
      </c>
      <c r="G3598" s="4">
        <v>51092.86</v>
      </c>
      <c r="H3598" s="4">
        <v>37226.75</v>
      </c>
      <c r="I3598" s="3" t="s">
        <v>3734</v>
      </c>
      <c r="J3598">
        <v>4</v>
      </c>
      <c r="K3598" s="4">
        <f>Table3[[#This Row],[Sales]]-Table3[[#This Row],[Cost]]</f>
        <v>13866.11</v>
      </c>
      <c r="L3598" s="6">
        <f>Table3[[#This Row],[Profit]]/Table3[[#This Row],[Sales]]</f>
        <v>0.27139036648173542</v>
      </c>
    </row>
    <row r="3599" spans="1:12" x14ac:dyDescent="0.25">
      <c r="A3599" t="s">
        <v>3081</v>
      </c>
      <c r="B3599" s="2" t="s">
        <v>3729</v>
      </c>
      <c r="C3599" s="2" t="str">
        <f>TEXT(Table3[[#This Row],[Order Date]],"mmmm")</f>
        <v>Not Mentioned</v>
      </c>
      <c r="D3599" t="s">
        <v>3730</v>
      </c>
      <c r="E3599" t="s">
        <v>3225</v>
      </c>
      <c r="F3599" t="s">
        <v>3226</v>
      </c>
      <c r="G3599" s="4">
        <v>58796.74</v>
      </c>
      <c r="H3599" s="4">
        <v>36782.269999999997</v>
      </c>
      <c r="I3599" s="3" t="s">
        <v>3734</v>
      </c>
      <c r="J3599">
        <v>3</v>
      </c>
      <c r="K3599" s="4">
        <f>Table3[[#This Row],[Sales]]-Table3[[#This Row],[Cost]]</f>
        <v>22014.47</v>
      </c>
      <c r="L3599" s="6">
        <f>Table3[[#This Row],[Profit]]/Table3[[#This Row],[Sales]]</f>
        <v>0.37441650676551119</v>
      </c>
    </row>
    <row r="3600" spans="1:12" x14ac:dyDescent="0.25">
      <c r="A3600" t="s">
        <v>3082</v>
      </c>
      <c r="B3600" s="2">
        <v>45102</v>
      </c>
      <c r="C3600" s="2" t="str">
        <f>TEXT(Table3[[#This Row],[Order Date]],"mmmm")</f>
        <v>June</v>
      </c>
      <c r="D3600" t="s">
        <v>3220</v>
      </c>
      <c r="E3600" t="s">
        <v>3224</v>
      </c>
      <c r="F3600" t="s">
        <v>3226</v>
      </c>
      <c r="G3600" s="4">
        <v>221938.88</v>
      </c>
      <c r="H3600" s="4">
        <v>192919.35</v>
      </c>
      <c r="I3600" s="3" t="s">
        <v>3734</v>
      </c>
      <c r="J3600">
        <v>4</v>
      </c>
      <c r="K3600" s="4">
        <f>Table3[[#This Row],[Sales]]-Table3[[#This Row],[Cost]]</f>
        <v>29019.53</v>
      </c>
      <c r="L3600" s="6">
        <f>Table3[[#This Row],[Profit]]/Table3[[#This Row],[Sales]]</f>
        <v>0.13075460234817801</v>
      </c>
    </row>
    <row r="3601" spans="1:12" x14ac:dyDescent="0.25">
      <c r="A3601" t="s">
        <v>3714</v>
      </c>
      <c r="B3601" s="2">
        <v>45102</v>
      </c>
      <c r="C3601" s="2" t="str">
        <f>TEXT(Table3[[#This Row],[Order Date]],"mmmm")</f>
        <v>June</v>
      </c>
      <c r="D3601" t="s">
        <v>3730</v>
      </c>
      <c r="E3601" t="s">
        <v>3224</v>
      </c>
      <c r="F3601" t="s">
        <v>3226</v>
      </c>
      <c r="G3601" s="4">
        <v>98455.25</v>
      </c>
      <c r="H3601" s="4">
        <v>76662.34</v>
      </c>
      <c r="I3601" s="3" t="s">
        <v>3734</v>
      </c>
      <c r="J3601">
        <v>2</v>
      </c>
      <c r="K3601" s="4">
        <f>Table3[[#This Row],[Sales]]-Table3[[#This Row],[Cost]]</f>
        <v>21792.910000000003</v>
      </c>
      <c r="L3601" s="6">
        <f>Table3[[#This Row],[Profit]]/Table3[[#This Row],[Sales]]</f>
        <v>0.22134837908592994</v>
      </c>
    </row>
    <row r="3602" spans="1:12" x14ac:dyDescent="0.25">
      <c r="A3602" t="s">
        <v>2774</v>
      </c>
      <c r="B3602" s="2" t="s">
        <v>3729</v>
      </c>
      <c r="C3602" s="2" t="str">
        <f>TEXT(Table3[[#This Row],[Order Date]],"mmmm")</f>
        <v>Not Mentioned</v>
      </c>
      <c r="D3602" t="s">
        <v>3730</v>
      </c>
      <c r="E3602" t="s">
        <v>3223</v>
      </c>
      <c r="F3602" t="s">
        <v>3226</v>
      </c>
      <c r="G3602" s="4">
        <v>10572.36</v>
      </c>
      <c r="H3602" s="4">
        <v>8457.8880000000008</v>
      </c>
      <c r="I3602" s="3" t="s">
        <v>3735</v>
      </c>
      <c r="J3602">
        <v>1</v>
      </c>
      <c r="K3602" s="4">
        <f>Table3[[#This Row],[Sales]]-Table3[[#This Row],[Cost]]</f>
        <v>2114.4719999999998</v>
      </c>
      <c r="L3602" s="6">
        <f>Table3[[#This Row],[Profit]]/Table3[[#This Row],[Sales]]</f>
        <v>0.19999999999999996</v>
      </c>
    </row>
    <row r="3603" spans="1:12" x14ac:dyDescent="0.25">
      <c r="A3603" t="s">
        <v>3084</v>
      </c>
      <c r="B3603" s="2">
        <v>45005</v>
      </c>
      <c r="C3603" s="2" t="str">
        <f>TEXT(Table3[[#This Row],[Order Date]],"mmmm")</f>
        <v>March</v>
      </c>
      <c r="D3603" t="s">
        <v>3220</v>
      </c>
      <c r="E3603" t="s">
        <v>3225</v>
      </c>
      <c r="F3603" t="s">
        <v>3226</v>
      </c>
      <c r="G3603" s="4">
        <v>69964</v>
      </c>
      <c r="H3603" s="4">
        <v>52658.58</v>
      </c>
      <c r="I3603" s="3" t="s">
        <v>3734</v>
      </c>
      <c r="J3603">
        <v>4</v>
      </c>
      <c r="K3603" s="4">
        <f>Table3[[#This Row],[Sales]]-Table3[[#This Row],[Cost]]</f>
        <v>17305.419999999998</v>
      </c>
      <c r="L3603" s="6">
        <f>Table3[[#This Row],[Profit]]/Table3[[#This Row],[Sales]]</f>
        <v>0.24734749299639813</v>
      </c>
    </row>
    <row r="3604" spans="1:12" x14ac:dyDescent="0.25">
      <c r="A3604" t="s">
        <v>3085</v>
      </c>
      <c r="B3604" s="2">
        <v>45021</v>
      </c>
      <c r="C3604" s="2" t="str">
        <f>TEXT(Table3[[#This Row],[Order Date]],"mmmm")</f>
        <v>April</v>
      </c>
      <c r="D3604" t="s">
        <v>3730</v>
      </c>
      <c r="E3604" t="s">
        <v>3223</v>
      </c>
      <c r="F3604" t="s">
        <v>3226</v>
      </c>
      <c r="G3604" s="4">
        <v>9873.98</v>
      </c>
      <c r="H3604" s="4">
        <v>7899.1840000000002</v>
      </c>
      <c r="I3604" s="3" t="s">
        <v>3735</v>
      </c>
      <c r="J3604">
        <v>1</v>
      </c>
      <c r="K3604" s="4">
        <f>Table3[[#This Row],[Sales]]-Table3[[#This Row],[Cost]]</f>
        <v>1974.7959999999994</v>
      </c>
      <c r="L3604" s="6">
        <f>Table3[[#This Row],[Profit]]/Table3[[#This Row],[Sales]]</f>
        <v>0.19999999999999996</v>
      </c>
    </row>
    <row r="3605" spans="1:12" x14ac:dyDescent="0.25">
      <c r="A3605" t="s">
        <v>3086</v>
      </c>
      <c r="B3605" s="2">
        <v>45102</v>
      </c>
      <c r="C3605" s="2" t="str">
        <f>TEXT(Table3[[#This Row],[Order Date]],"mmmm")</f>
        <v>June</v>
      </c>
      <c r="D3605" t="s">
        <v>3731</v>
      </c>
      <c r="E3605" t="s">
        <v>3224</v>
      </c>
      <c r="F3605" t="s">
        <v>3226</v>
      </c>
      <c r="G3605" s="4">
        <v>271561.01</v>
      </c>
      <c r="H3605" s="4">
        <v>217248.80800000002</v>
      </c>
      <c r="I3605" s="3" t="s">
        <v>3735</v>
      </c>
      <c r="J3605">
        <v>5</v>
      </c>
      <c r="K3605" s="4">
        <f>Table3[[#This Row],[Sales]]-Table3[[#This Row],[Cost]]</f>
        <v>54312.20199999999</v>
      </c>
      <c r="L3605" s="6">
        <f>Table3[[#This Row],[Profit]]/Table3[[#This Row],[Sales]]</f>
        <v>0.19999999999999996</v>
      </c>
    </row>
    <row r="3606" spans="1:12" x14ac:dyDescent="0.25">
      <c r="A3606" t="s">
        <v>2864</v>
      </c>
      <c r="B3606" s="2">
        <v>45102</v>
      </c>
      <c r="C3606" s="2" t="str">
        <f>TEXT(Table3[[#This Row],[Order Date]],"mmmm")</f>
        <v>June</v>
      </c>
      <c r="D3606" t="s">
        <v>3730</v>
      </c>
      <c r="E3606" t="s">
        <v>3222</v>
      </c>
      <c r="F3606" t="s">
        <v>3226</v>
      </c>
      <c r="G3606" s="4">
        <v>82346.47</v>
      </c>
      <c r="H3606" s="4">
        <v>50751.79</v>
      </c>
      <c r="I3606" s="3" t="s">
        <v>3734</v>
      </c>
      <c r="J3606" t="s">
        <v>3732</v>
      </c>
      <c r="K3606" s="4">
        <f>Table3[[#This Row],[Sales]]-Table3[[#This Row],[Cost]]</f>
        <v>31594.68</v>
      </c>
      <c r="L3606" s="6">
        <f>Table3[[#This Row],[Profit]]/Table3[[#This Row],[Sales]]</f>
        <v>0.38367983472758455</v>
      </c>
    </row>
    <row r="3607" spans="1:12" x14ac:dyDescent="0.25">
      <c r="A3607" t="s">
        <v>3087</v>
      </c>
      <c r="B3607" s="2">
        <v>44972</v>
      </c>
      <c r="C3607" s="2" t="str">
        <f>TEXT(Table3[[#This Row],[Order Date]],"mmmm")</f>
        <v>February</v>
      </c>
      <c r="D3607" t="s">
        <v>3730</v>
      </c>
      <c r="E3607" t="s">
        <v>3225</v>
      </c>
      <c r="F3607" t="s">
        <v>3226</v>
      </c>
      <c r="G3607" s="4">
        <v>51396.1</v>
      </c>
      <c r="H3607" s="4">
        <v>41116.880000000005</v>
      </c>
      <c r="I3607" s="3" t="s">
        <v>3735</v>
      </c>
      <c r="J3607">
        <v>3</v>
      </c>
      <c r="K3607" s="4">
        <f>Table3[[#This Row],[Sales]]-Table3[[#This Row],[Cost]]</f>
        <v>10279.219999999994</v>
      </c>
      <c r="L3607" s="6">
        <f>Table3[[#This Row],[Profit]]/Table3[[#This Row],[Sales]]</f>
        <v>0.1999999999999999</v>
      </c>
    </row>
    <row r="3608" spans="1:12" x14ac:dyDescent="0.25">
      <c r="A3608" t="s">
        <v>3088</v>
      </c>
      <c r="B3608" s="2" t="s">
        <v>3729</v>
      </c>
      <c r="C3608" s="2" t="str">
        <f>TEXT(Table3[[#This Row],[Order Date]],"mmmm")</f>
        <v>Not Mentioned</v>
      </c>
      <c r="D3608" t="s">
        <v>3216</v>
      </c>
      <c r="E3608" t="s">
        <v>3223</v>
      </c>
      <c r="F3608" t="s">
        <v>3226</v>
      </c>
      <c r="G3608" s="4">
        <v>41705.14</v>
      </c>
      <c r="H3608" s="4">
        <v>35829.870000000003</v>
      </c>
      <c r="I3608" s="3" t="s">
        <v>3734</v>
      </c>
      <c r="J3608">
        <v>5</v>
      </c>
      <c r="K3608" s="4">
        <f>Table3[[#This Row],[Sales]]-Table3[[#This Row],[Cost]]</f>
        <v>5875.2699999999968</v>
      </c>
      <c r="L3608" s="6">
        <f>Table3[[#This Row],[Profit]]/Table3[[#This Row],[Sales]]</f>
        <v>0.14087640036695709</v>
      </c>
    </row>
    <row r="3609" spans="1:12" x14ac:dyDescent="0.25">
      <c r="A3609" t="s">
        <v>1608</v>
      </c>
      <c r="B3609" s="2">
        <v>44972</v>
      </c>
      <c r="C3609" s="2" t="str">
        <f>TEXT(Table3[[#This Row],[Order Date]],"mmmm")</f>
        <v>February</v>
      </c>
      <c r="D3609" t="s">
        <v>3220</v>
      </c>
      <c r="E3609" t="s">
        <v>3222</v>
      </c>
      <c r="F3609" t="s">
        <v>3226</v>
      </c>
      <c r="G3609" s="4">
        <v>78764.2</v>
      </c>
      <c r="H3609" s="4">
        <v>45547.08</v>
      </c>
      <c r="I3609" s="3" t="s">
        <v>3734</v>
      </c>
      <c r="J3609">
        <v>5</v>
      </c>
      <c r="K3609" s="4">
        <f>Table3[[#This Row],[Sales]]-Table3[[#This Row],[Cost]]</f>
        <v>33217.119999999995</v>
      </c>
      <c r="L3609" s="6">
        <f>Table3[[#This Row],[Profit]]/Table3[[#This Row],[Sales]]</f>
        <v>0.42172865337297905</v>
      </c>
    </row>
    <row r="3610" spans="1:12" x14ac:dyDescent="0.25">
      <c r="A3610" t="s">
        <v>3089</v>
      </c>
      <c r="B3610" s="2">
        <v>44941</v>
      </c>
      <c r="C3610" s="2" t="str">
        <f>TEXT(Table3[[#This Row],[Order Date]],"mmmm")</f>
        <v>January</v>
      </c>
      <c r="D3610" t="s">
        <v>3730</v>
      </c>
      <c r="E3610" t="s">
        <v>3223</v>
      </c>
      <c r="F3610" t="s">
        <v>3226</v>
      </c>
      <c r="G3610" s="4">
        <v>9972.5499999999993</v>
      </c>
      <c r="H3610" s="4">
        <v>6862.41</v>
      </c>
      <c r="I3610" s="3" t="s">
        <v>3734</v>
      </c>
      <c r="J3610">
        <v>1</v>
      </c>
      <c r="K3610" s="4">
        <f>Table3[[#This Row],[Sales]]-Table3[[#This Row],[Cost]]</f>
        <v>3110.1399999999994</v>
      </c>
      <c r="L3610" s="6">
        <f>Table3[[#This Row],[Profit]]/Table3[[#This Row],[Sales]]</f>
        <v>0.31187008337887495</v>
      </c>
    </row>
    <row r="3611" spans="1:12" x14ac:dyDescent="0.25">
      <c r="A3611" t="s">
        <v>3090</v>
      </c>
      <c r="B3611" s="2">
        <v>45021</v>
      </c>
      <c r="C3611" s="2" t="str">
        <f>TEXT(Table3[[#This Row],[Order Date]],"mmmm")</f>
        <v>April</v>
      </c>
      <c r="D3611" t="s">
        <v>3731</v>
      </c>
      <c r="E3611" t="s">
        <v>3224</v>
      </c>
      <c r="F3611" t="s">
        <v>3226</v>
      </c>
      <c r="G3611" s="4">
        <v>333789.71000000002</v>
      </c>
      <c r="H3611" s="4">
        <v>215997.19</v>
      </c>
      <c r="I3611" s="3" t="s">
        <v>3734</v>
      </c>
      <c r="J3611">
        <v>5</v>
      </c>
      <c r="K3611" s="4">
        <f>Table3[[#This Row],[Sales]]-Table3[[#This Row],[Cost]]</f>
        <v>117792.52000000002</v>
      </c>
      <c r="L3611" s="6">
        <f>Table3[[#This Row],[Profit]]/Table3[[#This Row],[Sales]]</f>
        <v>0.35289440168781722</v>
      </c>
    </row>
    <row r="3612" spans="1:12" x14ac:dyDescent="0.25">
      <c r="A3612" t="s">
        <v>852</v>
      </c>
      <c r="B3612" s="2">
        <v>44972</v>
      </c>
      <c r="C3612" s="2" t="str">
        <f>TEXT(Table3[[#This Row],[Order Date]],"mmmm")</f>
        <v>February</v>
      </c>
      <c r="D3612" t="s">
        <v>3220</v>
      </c>
      <c r="E3612" t="s">
        <v>3223</v>
      </c>
      <c r="F3612" t="s">
        <v>3226</v>
      </c>
      <c r="G3612" s="4">
        <v>32084.15</v>
      </c>
      <c r="H3612" s="4">
        <v>29916.29</v>
      </c>
      <c r="I3612" s="3" t="s">
        <v>3734</v>
      </c>
      <c r="J3612">
        <v>4</v>
      </c>
      <c r="K3612" s="4">
        <f>Table3[[#This Row],[Sales]]-Table3[[#This Row],[Cost]]</f>
        <v>2167.8600000000006</v>
      </c>
      <c r="L3612" s="6">
        <f>Table3[[#This Row],[Profit]]/Table3[[#This Row],[Sales]]</f>
        <v>6.7567942426400587E-2</v>
      </c>
    </row>
    <row r="3613" spans="1:12" x14ac:dyDescent="0.25">
      <c r="A3613" t="s">
        <v>3092</v>
      </c>
      <c r="B3613" s="2" t="s">
        <v>3729</v>
      </c>
      <c r="C3613" s="2" t="str">
        <f>TEXT(Table3[[#This Row],[Order Date]],"mmmm")</f>
        <v>Not Mentioned</v>
      </c>
      <c r="D3613" t="s">
        <v>3730</v>
      </c>
      <c r="E3613" t="s">
        <v>3225</v>
      </c>
      <c r="F3613" t="s">
        <v>3226</v>
      </c>
      <c r="G3613" s="4">
        <v>67584.36</v>
      </c>
      <c r="H3613" s="4">
        <v>45066.55</v>
      </c>
      <c r="I3613" s="3" t="s">
        <v>3734</v>
      </c>
      <c r="J3613">
        <v>3</v>
      </c>
      <c r="K3613" s="4">
        <f>Table3[[#This Row],[Sales]]-Table3[[#This Row],[Cost]]</f>
        <v>22517.809999999998</v>
      </c>
      <c r="L3613" s="6">
        <f>Table3[[#This Row],[Profit]]/Table3[[#This Row],[Sales]]</f>
        <v>0.33318078324630135</v>
      </c>
    </row>
    <row r="3614" spans="1:12" x14ac:dyDescent="0.25">
      <c r="A3614" t="s">
        <v>3496</v>
      </c>
      <c r="B3614" s="2">
        <v>44941</v>
      </c>
      <c r="C3614" s="2" t="str">
        <f>TEXT(Table3[[#This Row],[Order Date]],"mmmm")</f>
        <v>January</v>
      </c>
      <c r="D3614" t="s">
        <v>3220</v>
      </c>
      <c r="E3614" t="s">
        <v>3224</v>
      </c>
      <c r="F3614" t="s">
        <v>3226</v>
      </c>
      <c r="G3614" s="4">
        <v>291415.99</v>
      </c>
      <c r="H3614" s="4">
        <v>236682.2</v>
      </c>
      <c r="I3614" s="3" t="s">
        <v>3734</v>
      </c>
      <c r="J3614">
        <v>5</v>
      </c>
      <c r="K3614" s="4">
        <f>Table3[[#This Row],[Sales]]-Table3[[#This Row],[Cost]]</f>
        <v>54733.789999999979</v>
      </c>
      <c r="L3614" s="6">
        <f>Table3[[#This Row],[Profit]]/Table3[[#This Row],[Sales]]</f>
        <v>0.18782013299956526</v>
      </c>
    </row>
    <row r="3615" spans="1:12" x14ac:dyDescent="0.25">
      <c r="A3615" t="s">
        <v>1076</v>
      </c>
      <c r="B3615" s="2">
        <v>44941</v>
      </c>
      <c r="C3615" s="2" t="str">
        <f>TEXT(Table3[[#This Row],[Order Date]],"mmmm")</f>
        <v>January</v>
      </c>
      <c r="D3615" t="s">
        <v>3731</v>
      </c>
      <c r="E3615" t="s">
        <v>3225</v>
      </c>
      <c r="F3615" t="s">
        <v>3226</v>
      </c>
      <c r="G3615" s="4">
        <v>87951.77</v>
      </c>
      <c r="H3615" s="4">
        <v>50038.02</v>
      </c>
      <c r="I3615" s="3" t="s">
        <v>3734</v>
      </c>
      <c r="J3615">
        <v>4</v>
      </c>
      <c r="K3615" s="4">
        <f>Table3[[#This Row],[Sales]]-Table3[[#This Row],[Cost]]</f>
        <v>37913.750000000007</v>
      </c>
      <c r="L3615" s="6">
        <f>Table3[[#This Row],[Profit]]/Table3[[#This Row],[Sales]]</f>
        <v>0.43107432630406423</v>
      </c>
    </row>
    <row r="3616" spans="1:12" x14ac:dyDescent="0.25">
      <c r="A3616" t="s">
        <v>3277</v>
      </c>
      <c r="B3616" s="2">
        <v>44941</v>
      </c>
      <c r="C3616" s="2" t="str">
        <f>TEXT(Table3[[#This Row],[Order Date]],"mmmm")</f>
        <v>January</v>
      </c>
      <c r="D3616" t="s">
        <v>3220</v>
      </c>
      <c r="E3616" t="s">
        <v>3223</v>
      </c>
      <c r="F3616" t="s">
        <v>3226</v>
      </c>
      <c r="G3616" s="4">
        <v>19170.09</v>
      </c>
      <c r="H3616" s="4">
        <v>15336.072</v>
      </c>
      <c r="I3616" s="3" t="s">
        <v>3735</v>
      </c>
      <c r="J3616">
        <v>2</v>
      </c>
      <c r="K3616" s="4">
        <f>Table3[[#This Row],[Sales]]-Table3[[#This Row],[Cost]]</f>
        <v>3834.018</v>
      </c>
      <c r="L3616" s="6">
        <f>Table3[[#This Row],[Profit]]/Table3[[#This Row],[Sales]]</f>
        <v>0.2</v>
      </c>
    </row>
    <row r="3617" spans="1:12" x14ac:dyDescent="0.25">
      <c r="A3617" t="s">
        <v>3093</v>
      </c>
      <c r="B3617" s="2">
        <v>44972</v>
      </c>
      <c r="C3617" s="2" t="str">
        <f>TEXT(Table3[[#This Row],[Order Date]],"mmmm")</f>
        <v>February</v>
      </c>
      <c r="D3617" t="s">
        <v>3220</v>
      </c>
      <c r="E3617" t="s">
        <v>3222</v>
      </c>
      <c r="F3617" t="s">
        <v>3226</v>
      </c>
      <c r="G3617" s="4">
        <v>61226.42</v>
      </c>
      <c r="H3617" s="4">
        <v>34821.82</v>
      </c>
      <c r="I3617" s="3" t="s">
        <v>3734</v>
      </c>
      <c r="J3617">
        <v>4</v>
      </c>
      <c r="K3617" s="4">
        <f>Table3[[#This Row],[Sales]]-Table3[[#This Row],[Cost]]</f>
        <v>26404.6</v>
      </c>
      <c r="L3617" s="6">
        <f>Table3[[#This Row],[Profit]]/Table3[[#This Row],[Sales]]</f>
        <v>0.43126153709460718</v>
      </c>
    </row>
    <row r="3618" spans="1:12" x14ac:dyDescent="0.25">
      <c r="A3618" t="s">
        <v>614</v>
      </c>
      <c r="B3618" s="2">
        <v>45021</v>
      </c>
      <c r="C3618" s="2" t="str">
        <f>TEXT(Table3[[#This Row],[Order Date]],"mmmm")</f>
        <v>April</v>
      </c>
      <c r="D3618" t="s">
        <v>3730</v>
      </c>
      <c r="E3618" t="s">
        <v>3224</v>
      </c>
      <c r="F3618" t="s">
        <v>3226</v>
      </c>
      <c r="G3618" s="4">
        <v>211152.11</v>
      </c>
      <c r="H3618" s="4">
        <v>179953.68</v>
      </c>
      <c r="I3618" s="3" t="s">
        <v>3734</v>
      </c>
      <c r="J3618" t="s">
        <v>3732</v>
      </c>
      <c r="K3618" s="4">
        <f>Table3[[#This Row],[Sales]]-Table3[[#This Row],[Cost]]</f>
        <v>31198.429999999993</v>
      </c>
      <c r="L3618" s="6">
        <f>Table3[[#This Row],[Profit]]/Table3[[#This Row],[Sales]]</f>
        <v>0.14775334236536872</v>
      </c>
    </row>
    <row r="3619" spans="1:12" x14ac:dyDescent="0.25">
      <c r="A3619" t="s">
        <v>3715</v>
      </c>
      <c r="B3619" s="2">
        <v>44941</v>
      </c>
      <c r="C3619" s="2" t="str">
        <f>TEXT(Table3[[#This Row],[Order Date]],"mmmm")</f>
        <v>January</v>
      </c>
      <c r="D3619" t="s">
        <v>3220</v>
      </c>
      <c r="E3619" t="s">
        <v>3222</v>
      </c>
      <c r="F3619" t="s">
        <v>3226</v>
      </c>
      <c r="G3619" s="4">
        <v>72470.649999999994</v>
      </c>
      <c r="H3619" s="4">
        <v>51617.919999999998</v>
      </c>
      <c r="I3619" s="3" t="s">
        <v>3734</v>
      </c>
      <c r="J3619">
        <v>5</v>
      </c>
      <c r="K3619" s="4">
        <f>Table3[[#This Row],[Sales]]-Table3[[#This Row],[Cost]]</f>
        <v>20852.729999999996</v>
      </c>
      <c r="L3619" s="6">
        <f>Table3[[#This Row],[Profit]]/Table3[[#This Row],[Sales]]</f>
        <v>0.28774034729921694</v>
      </c>
    </row>
    <row r="3620" spans="1:12" x14ac:dyDescent="0.25">
      <c r="A3620" t="s">
        <v>3064</v>
      </c>
      <c r="B3620" s="2">
        <v>45102</v>
      </c>
      <c r="C3620" s="2" t="str">
        <f>TEXT(Table3[[#This Row],[Order Date]],"mmmm")</f>
        <v>June</v>
      </c>
      <c r="D3620" t="s">
        <v>3220</v>
      </c>
      <c r="E3620" t="s">
        <v>3225</v>
      </c>
      <c r="F3620" t="s">
        <v>3226</v>
      </c>
      <c r="G3620" s="4">
        <v>36030.67</v>
      </c>
      <c r="H3620" s="4">
        <v>25100.86</v>
      </c>
      <c r="I3620" s="3" t="s">
        <v>3734</v>
      </c>
      <c r="J3620">
        <v>2</v>
      </c>
      <c r="K3620" s="4">
        <f>Table3[[#This Row],[Sales]]-Table3[[#This Row],[Cost]]</f>
        <v>10929.809999999998</v>
      </c>
      <c r="L3620" s="6">
        <f>Table3[[#This Row],[Profit]]/Table3[[#This Row],[Sales]]</f>
        <v>0.30334739820269779</v>
      </c>
    </row>
    <row r="3621" spans="1:12" x14ac:dyDescent="0.25">
      <c r="A3621" t="s">
        <v>3095</v>
      </c>
      <c r="B3621" s="2">
        <v>45102</v>
      </c>
      <c r="C3621" s="2" t="str">
        <f>TEXT(Table3[[#This Row],[Order Date]],"mmmm")</f>
        <v>June</v>
      </c>
      <c r="D3621" t="s">
        <v>3731</v>
      </c>
      <c r="E3621" t="s">
        <v>3225</v>
      </c>
      <c r="F3621" t="s">
        <v>3226</v>
      </c>
      <c r="G3621" s="4">
        <v>47985.32</v>
      </c>
      <c r="H3621" s="4">
        <v>26543.77</v>
      </c>
      <c r="I3621" s="3" t="s">
        <v>3734</v>
      </c>
      <c r="J3621">
        <v>2</v>
      </c>
      <c r="K3621" s="4">
        <f>Table3[[#This Row],[Sales]]-Table3[[#This Row],[Cost]]</f>
        <v>21441.55</v>
      </c>
      <c r="L3621" s="6">
        <f>Table3[[#This Row],[Profit]]/Table3[[#This Row],[Sales]]</f>
        <v>0.44683561555909179</v>
      </c>
    </row>
    <row r="3622" spans="1:12" x14ac:dyDescent="0.25">
      <c r="A3622" t="s">
        <v>3652</v>
      </c>
      <c r="B3622" s="2">
        <v>44972</v>
      </c>
      <c r="C3622" s="2" t="str">
        <f>TEXT(Table3[[#This Row],[Order Date]],"mmmm")</f>
        <v>February</v>
      </c>
      <c r="D3622" t="s">
        <v>3216</v>
      </c>
      <c r="E3622" t="s">
        <v>3222</v>
      </c>
      <c r="F3622" t="s">
        <v>3226</v>
      </c>
      <c r="G3622" s="4">
        <v>25826.639999999999</v>
      </c>
      <c r="H3622" s="4">
        <v>21013.98</v>
      </c>
      <c r="I3622" s="3" t="s">
        <v>3734</v>
      </c>
      <c r="J3622">
        <v>2</v>
      </c>
      <c r="K3622" s="4">
        <f>Table3[[#This Row],[Sales]]-Table3[[#This Row],[Cost]]</f>
        <v>4812.66</v>
      </c>
      <c r="L3622" s="6">
        <f>Table3[[#This Row],[Profit]]/Table3[[#This Row],[Sales]]</f>
        <v>0.18634479746494317</v>
      </c>
    </row>
    <row r="3623" spans="1:12" x14ac:dyDescent="0.25">
      <c r="A3623" t="s">
        <v>3381</v>
      </c>
      <c r="B3623" s="2">
        <v>45021</v>
      </c>
      <c r="C3623" s="2" t="str">
        <f>TEXT(Table3[[#This Row],[Order Date]],"mmmm")</f>
        <v>April</v>
      </c>
      <c r="D3623" t="s">
        <v>3731</v>
      </c>
      <c r="E3623" t="s">
        <v>3224</v>
      </c>
      <c r="F3623" t="s">
        <v>3226</v>
      </c>
      <c r="G3623" s="4">
        <v>186146.21</v>
      </c>
      <c r="H3623" s="4">
        <v>119103.36</v>
      </c>
      <c r="I3623" s="3" t="s">
        <v>3734</v>
      </c>
      <c r="J3623">
        <v>3</v>
      </c>
      <c r="K3623" s="4">
        <f>Table3[[#This Row],[Sales]]-Table3[[#This Row],[Cost]]</f>
        <v>67042.849999999991</v>
      </c>
      <c r="L3623" s="6">
        <f>Table3[[#This Row],[Profit]]/Table3[[#This Row],[Sales]]</f>
        <v>0.36016231541861632</v>
      </c>
    </row>
    <row r="3624" spans="1:12" x14ac:dyDescent="0.25">
      <c r="A3624" t="s">
        <v>3025</v>
      </c>
      <c r="B3624" s="2" t="s">
        <v>3729</v>
      </c>
      <c r="C3624" s="2" t="str">
        <f>TEXT(Table3[[#This Row],[Order Date]],"mmmm")</f>
        <v>Not Mentioned</v>
      </c>
      <c r="D3624" t="s">
        <v>3730</v>
      </c>
      <c r="E3624" t="s">
        <v>3224</v>
      </c>
      <c r="F3624" t="s">
        <v>3226</v>
      </c>
      <c r="G3624" s="4">
        <v>60886.400000000001</v>
      </c>
      <c r="H3624" s="4">
        <v>48296.52</v>
      </c>
      <c r="I3624" s="3" t="s">
        <v>3734</v>
      </c>
      <c r="J3624">
        <v>1</v>
      </c>
      <c r="K3624" s="4">
        <f>Table3[[#This Row],[Sales]]-Table3[[#This Row],[Cost]]</f>
        <v>12589.880000000005</v>
      </c>
      <c r="L3624" s="6">
        <f>Table3[[#This Row],[Profit]]/Table3[[#This Row],[Sales]]</f>
        <v>0.2067765543701057</v>
      </c>
    </row>
    <row r="3625" spans="1:12" x14ac:dyDescent="0.25">
      <c r="A3625" t="s">
        <v>3096</v>
      </c>
      <c r="B3625" s="2">
        <v>44941</v>
      </c>
      <c r="C3625" s="2" t="str">
        <f>TEXT(Table3[[#This Row],[Order Date]],"mmmm")</f>
        <v>January</v>
      </c>
      <c r="D3625" t="s">
        <v>3216</v>
      </c>
      <c r="E3625" t="s">
        <v>3225</v>
      </c>
      <c r="F3625" t="s">
        <v>3226</v>
      </c>
      <c r="G3625" s="4">
        <v>88478.78</v>
      </c>
      <c r="H3625" s="4">
        <v>65053.59</v>
      </c>
      <c r="I3625" s="3" t="s">
        <v>3734</v>
      </c>
      <c r="J3625">
        <v>5</v>
      </c>
      <c r="K3625" s="4">
        <f>Table3[[#This Row],[Sales]]-Table3[[#This Row],[Cost]]</f>
        <v>23425.190000000002</v>
      </c>
      <c r="L3625" s="6">
        <f>Table3[[#This Row],[Profit]]/Table3[[#This Row],[Sales]]</f>
        <v>0.26475489377226952</v>
      </c>
    </row>
    <row r="3626" spans="1:12" x14ac:dyDescent="0.25">
      <c r="A3626" t="s">
        <v>3097</v>
      </c>
      <c r="B3626" s="2">
        <v>44941</v>
      </c>
      <c r="C3626" s="2" t="str">
        <f>TEXT(Table3[[#This Row],[Order Date]],"mmmm")</f>
        <v>January</v>
      </c>
      <c r="D3626" t="s">
        <v>3730</v>
      </c>
      <c r="E3626" t="s">
        <v>3224</v>
      </c>
      <c r="F3626" t="s">
        <v>3226</v>
      </c>
      <c r="G3626" s="4">
        <v>167906.89</v>
      </c>
      <c r="H3626" s="4">
        <v>144563.07999999999</v>
      </c>
      <c r="I3626" s="3" t="s">
        <v>3734</v>
      </c>
      <c r="J3626">
        <v>3</v>
      </c>
      <c r="K3626" s="4">
        <f>Table3[[#This Row],[Sales]]-Table3[[#This Row],[Cost]]</f>
        <v>23343.810000000027</v>
      </c>
      <c r="L3626" s="6">
        <f>Table3[[#This Row],[Profit]]/Table3[[#This Row],[Sales]]</f>
        <v>0.1390283031268105</v>
      </c>
    </row>
    <row r="3627" spans="1:12" x14ac:dyDescent="0.25">
      <c r="A3627" t="s">
        <v>3098</v>
      </c>
      <c r="B3627" s="2">
        <v>45021</v>
      </c>
      <c r="C3627" s="2" t="str">
        <f>TEXT(Table3[[#This Row],[Order Date]],"mmmm")</f>
        <v>April</v>
      </c>
      <c r="D3627" t="s">
        <v>3730</v>
      </c>
      <c r="E3627" t="s">
        <v>3225</v>
      </c>
      <c r="F3627" t="s">
        <v>3226</v>
      </c>
      <c r="G3627" s="4">
        <v>109656.3</v>
      </c>
      <c r="H3627" s="4">
        <v>68936.509999999995</v>
      </c>
      <c r="I3627" s="3" t="s">
        <v>3734</v>
      </c>
      <c r="J3627">
        <v>5</v>
      </c>
      <c r="K3627" s="4">
        <f>Table3[[#This Row],[Sales]]-Table3[[#This Row],[Cost]]</f>
        <v>40719.790000000008</v>
      </c>
      <c r="L3627" s="6">
        <f>Table3[[#This Row],[Profit]]/Table3[[#This Row],[Sales]]</f>
        <v>0.3713401783572855</v>
      </c>
    </row>
    <row r="3628" spans="1:12" x14ac:dyDescent="0.25">
      <c r="A3628" t="s">
        <v>3099</v>
      </c>
      <c r="B3628" s="2">
        <v>44941</v>
      </c>
      <c r="C3628" s="2" t="str">
        <f>TEXT(Table3[[#This Row],[Order Date]],"mmmm")</f>
        <v>January</v>
      </c>
      <c r="D3628" t="s">
        <v>3731</v>
      </c>
      <c r="E3628" t="s">
        <v>3224</v>
      </c>
      <c r="F3628" t="s">
        <v>3226</v>
      </c>
      <c r="G3628" s="4">
        <v>172207.92</v>
      </c>
      <c r="H3628" s="4">
        <v>115154.89</v>
      </c>
      <c r="I3628" s="3" t="s">
        <v>3734</v>
      </c>
      <c r="J3628">
        <v>3</v>
      </c>
      <c r="K3628" s="4">
        <f>Table3[[#This Row],[Sales]]-Table3[[#This Row],[Cost]]</f>
        <v>57053.030000000013</v>
      </c>
      <c r="L3628" s="6">
        <f>Table3[[#This Row],[Profit]]/Table3[[#This Row],[Sales]]</f>
        <v>0.33130317118980362</v>
      </c>
    </row>
    <row r="3629" spans="1:12" x14ac:dyDescent="0.25">
      <c r="A3629" t="s">
        <v>3100</v>
      </c>
      <c r="B3629" s="2">
        <v>45102</v>
      </c>
      <c r="C3629" s="2" t="str">
        <f>TEXT(Table3[[#This Row],[Order Date]],"mmmm")</f>
        <v>June</v>
      </c>
      <c r="D3629" t="s">
        <v>3216</v>
      </c>
      <c r="E3629" t="s">
        <v>3224</v>
      </c>
      <c r="F3629" t="s">
        <v>3226</v>
      </c>
      <c r="G3629" s="4">
        <v>169136.78</v>
      </c>
      <c r="H3629" s="4">
        <v>120811.74</v>
      </c>
      <c r="I3629" s="3" t="s">
        <v>3734</v>
      </c>
      <c r="J3629">
        <v>3</v>
      </c>
      <c r="K3629" s="4">
        <f>Table3[[#This Row],[Sales]]-Table3[[#This Row],[Cost]]</f>
        <v>48325.039999999994</v>
      </c>
      <c r="L3629" s="6">
        <f>Table3[[#This Row],[Profit]]/Table3[[#This Row],[Sales]]</f>
        <v>0.28571573846918447</v>
      </c>
    </row>
    <row r="3630" spans="1:12" x14ac:dyDescent="0.25">
      <c r="A3630" t="s">
        <v>3101</v>
      </c>
      <c r="B3630" s="2" t="s">
        <v>3729</v>
      </c>
      <c r="C3630" s="2" t="str">
        <f>TEXT(Table3[[#This Row],[Order Date]],"mmmm")</f>
        <v>Not Mentioned</v>
      </c>
      <c r="D3630" t="s">
        <v>3220</v>
      </c>
      <c r="E3630" t="s">
        <v>3224</v>
      </c>
      <c r="F3630" t="s">
        <v>3226</v>
      </c>
      <c r="G3630" s="4">
        <v>130842.75</v>
      </c>
      <c r="H3630" s="4">
        <v>104674.20000000001</v>
      </c>
      <c r="I3630" s="3" t="s">
        <v>3735</v>
      </c>
      <c r="J3630">
        <v>2</v>
      </c>
      <c r="K3630" s="4">
        <f>Table3[[#This Row],[Sales]]-Table3[[#This Row],[Cost]]</f>
        <v>26168.549999999988</v>
      </c>
      <c r="L3630" s="6">
        <f>Table3[[#This Row],[Profit]]/Table3[[#This Row],[Sales]]</f>
        <v>0.1999999999999999</v>
      </c>
    </row>
    <row r="3631" spans="1:12" x14ac:dyDescent="0.25">
      <c r="A3631" t="s">
        <v>3102</v>
      </c>
      <c r="B3631" s="2">
        <v>45102</v>
      </c>
      <c r="C3631" s="2" t="str">
        <f>TEXT(Table3[[#This Row],[Order Date]],"mmmm")</f>
        <v>June</v>
      </c>
      <c r="D3631" t="s">
        <v>3731</v>
      </c>
      <c r="E3631" t="s">
        <v>3222</v>
      </c>
      <c r="F3631" t="s">
        <v>3226</v>
      </c>
      <c r="G3631" s="4">
        <v>61299.48</v>
      </c>
      <c r="H3631" s="4">
        <v>46500.56</v>
      </c>
      <c r="I3631" s="3" t="s">
        <v>3734</v>
      </c>
      <c r="J3631">
        <v>5</v>
      </c>
      <c r="K3631" s="4">
        <f>Table3[[#This Row],[Sales]]-Table3[[#This Row],[Cost]]</f>
        <v>14798.920000000006</v>
      </c>
      <c r="L3631" s="6">
        <f>Table3[[#This Row],[Profit]]/Table3[[#This Row],[Sales]]</f>
        <v>0.24141999246975676</v>
      </c>
    </row>
    <row r="3632" spans="1:12" x14ac:dyDescent="0.25">
      <c r="A3632" t="s">
        <v>3103</v>
      </c>
      <c r="B3632" s="2">
        <v>45005</v>
      </c>
      <c r="C3632" s="2" t="str">
        <f>TEXT(Table3[[#This Row],[Order Date]],"mmmm")</f>
        <v>March</v>
      </c>
      <c r="D3632" t="s">
        <v>3730</v>
      </c>
      <c r="E3632" t="s">
        <v>3224</v>
      </c>
      <c r="F3632" t="s">
        <v>3226</v>
      </c>
      <c r="G3632" s="4">
        <v>66661.119999999995</v>
      </c>
      <c r="H3632" s="4">
        <v>45566.26</v>
      </c>
      <c r="I3632" s="3" t="s">
        <v>3734</v>
      </c>
      <c r="J3632">
        <v>1</v>
      </c>
      <c r="K3632" s="4">
        <f>Table3[[#This Row],[Sales]]-Table3[[#This Row],[Cost]]</f>
        <v>21094.859999999993</v>
      </c>
      <c r="L3632" s="6">
        <f>Table3[[#This Row],[Profit]]/Table3[[#This Row],[Sales]]</f>
        <v>0.31644922857581742</v>
      </c>
    </row>
    <row r="3633" spans="1:12" x14ac:dyDescent="0.25">
      <c r="A3633" t="s">
        <v>3104</v>
      </c>
      <c r="B3633" s="2">
        <v>45021</v>
      </c>
      <c r="C3633" s="2" t="str">
        <f>TEXT(Table3[[#This Row],[Order Date]],"mmmm")</f>
        <v>April</v>
      </c>
      <c r="D3633" t="s">
        <v>3220</v>
      </c>
      <c r="E3633" t="s">
        <v>3225</v>
      </c>
      <c r="F3633" t="s">
        <v>3226</v>
      </c>
      <c r="G3633" s="4">
        <v>33253.82</v>
      </c>
      <c r="H3633" s="4">
        <v>25251.75</v>
      </c>
      <c r="I3633" s="3" t="s">
        <v>3734</v>
      </c>
      <c r="J3633">
        <v>2</v>
      </c>
      <c r="K3633" s="4">
        <f>Table3[[#This Row],[Sales]]-Table3[[#This Row],[Cost]]</f>
        <v>8002.07</v>
      </c>
      <c r="L3633" s="6">
        <f>Table3[[#This Row],[Profit]]/Table3[[#This Row],[Sales]]</f>
        <v>0.24063611338486826</v>
      </c>
    </row>
    <row r="3634" spans="1:12" x14ac:dyDescent="0.25">
      <c r="A3634" t="s">
        <v>3105</v>
      </c>
      <c r="B3634" s="2">
        <v>44972</v>
      </c>
      <c r="C3634" s="2" t="str">
        <f>TEXT(Table3[[#This Row],[Order Date]],"mmmm")</f>
        <v>February</v>
      </c>
      <c r="D3634" t="s">
        <v>3216</v>
      </c>
      <c r="E3634" t="s">
        <v>3224</v>
      </c>
      <c r="F3634" t="s">
        <v>3226</v>
      </c>
      <c r="G3634" s="4">
        <v>124527.28</v>
      </c>
      <c r="H3634" s="4">
        <v>98777.45</v>
      </c>
      <c r="I3634" s="3" t="s">
        <v>3734</v>
      </c>
      <c r="J3634" t="s">
        <v>3732</v>
      </c>
      <c r="K3634" s="4">
        <f>Table3[[#This Row],[Sales]]-Table3[[#This Row],[Cost]]</f>
        <v>25749.83</v>
      </c>
      <c r="L3634" s="6">
        <f>Table3[[#This Row],[Profit]]/Table3[[#This Row],[Sales]]</f>
        <v>0.20678063473320868</v>
      </c>
    </row>
    <row r="3635" spans="1:12" x14ac:dyDescent="0.25">
      <c r="A3635" t="s">
        <v>3106</v>
      </c>
      <c r="B3635" s="2">
        <v>45102</v>
      </c>
      <c r="C3635" s="2" t="str">
        <f>TEXT(Table3[[#This Row],[Order Date]],"mmmm")</f>
        <v>June</v>
      </c>
      <c r="D3635" t="s">
        <v>3220</v>
      </c>
      <c r="E3635" t="s">
        <v>3222</v>
      </c>
      <c r="F3635" t="s">
        <v>3226</v>
      </c>
      <c r="G3635" s="4">
        <v>77043.429999999993</v>
      </c>
      <c r="H3635" s="4">
        <v>48943.12</v>
      </c>
      <c r="I3635" s="3" t="s">
        <v>3734</v>
      </c>
      <c r="J3635">
        <v>5</v>
      </c>
      <c r="K3635" s="4">
        <f>Table3[[#This Row],[Sales]]-Table3[[#This Row],[Cost]]</f>
        <v>28100.30999999999</v>
      </c>
      <c r="L3635" s="6">
        <f>Table3[[#This Row],[Profit]]/Table3[[#This Row],[Sales]]</f>
        <v>0.36473337181379378</v>
      </c>
    </row>
    <row r="3636" spans="1:12" x14ac:dyDescent="0.25">
      <c r="A3636" t="s">
        <v>3107</v>
      </c>
      <c r="B3636" s="2">
        <v>44972</v>
      </c>
      <c r="C3636" s="2" t="str">
        <f>TEXT(Table3[[#This Row],[Order Date]],"mmmm")</f>
        <v>February</v>
      </c>
      <c r="D3636" t="s">
        <v>3730</v>
      </c>
      <c r="E3636" t="s">
        <v>3225</v>
      </c>
      <c r="F3636" t="s">
        <v>3226</v>
      </c>
      <c r="G3636" s="4">
        <v>51976.17</v>
      </c>
      <c r="H3636" s="4">
        <v>38477.300000000003</v>
      </c>
      <c r="I3636" s="3" t="s">
        <v>3734</v>
      </c>
      <c r="J3636">
        <v>3</v>
      </c>
      <c r="K3636" s="4">
        <f>Table3[[#This Row],[Sales]]-Table3[[#This Row],[Cost]]</f>
        <v>13498.869999999995</v>
      </c>
      <c r="L3636" s="6">
        <f>Table3[[#This Row],[Profit]]/Table3[[#This Row],[Sales]]</f>
        <v>0.25971267217265137</v>
      </c>
    </row>
    <row r="3637" spans="1:12" x14ac:dyDescent="0.25">
      <c r="A3637" t="s">
        <v>993</v>
      </c>
      <c r="B3637" s="2">
        <v>45102</v>
      </c>
      <c r="C3637" s="2" t="str">
        <f>TEXT(Table3[[#This Row],[Order Date]],"mmmm")</f>
        <v>June</v>
      </c>
      <c r="D3637" t="s">
        <v>3730</v>
      </c>
      <c r="E3637" t="s">
        <v>3225</v>
      </c>
      <c r="F3637" t="s">
        <v>3226</v>
      </c>
      <c r="G3637" s="4">
        <v>23571.52</v>
      </c>
      <c r="H3637" s="4">
        <v>13459.6</v>
      </c>
      <c r="I3637" s="3" t="s">
        <v>3734</v>
      </c>
      <c r="J3637">
        <v>1</v>
      </c>
      <c r="K3637" s="4">
        <f>Table3[[#This Row],[Sales]]-Table3[[#This Row],[Cost]]</f>
        <v>10111.92</v>
      </c>
      <c r="L3637" s="6">
        <f>Table3[[#This Row],[Profit]]/Table3[[#This Row],[Sales]]</f>
        <v>0.42898888149767178</v>
      </c>
    </row>
    <row r="3638" spans="1:12" x14ac:dyDescent="0.25">
      <c r="A3638" t="s">
        <v>3108</v>
      </c>
      <c r="B3638" s="2">
        <v>44972</v>
      </c>
      <c r="C3638" s="2" t="str">
        <f>TEXT(Table3[[#This Row],[Order Date]],"mmmm")</f>
        <v>February</v>
      </c>
      <c r="D3638" t="s">
        <v>3731</v>
      </c>
      <c r="E3638" t="s">
        <v>3225</v>
      </c>
      <c r="F3638" t="s">
        <v>3226</v>
      </c>
      <c r="G3638" s="4">
        <v>36961.519999999997</v>
      </c>
      <c r="H3638" s="4">
        <v>26877.54</v>
      </c>
      <c r="I3638" s="3" t="s">
        <v>3734</v>
      </c>
      <c r="J3638">
        <v>2</v>
      </c>
      <c r="K3638" s="4">
        <f>Table3[[#This Row],[Sales]]-Table3[[#This Row],[Cost]]</f>
        <v>10083.979999999996</v>
      </c>
      <c r="L3638" s="6">
        <f>Table3[[#This Row],[Profit]]/Table3[[#This Row],[Sales]]</f>
        <v>0.27282373668615351</v>
      </c>
    </row>
    <row r="3639" spans="1:12" x14ac:dyDescent="0.25">
      <c r="A3639" t="s">
        <v>3716</v>
      </c>
      <c r="B3639" s="2">
        <v>44972</v>
      </c>
      <c r="C3639" s="2" t="str">
        <f>TEXT(Table3[[#This Row],[Order Date]],"mmmm")</f>
        <v>February</v>
      </c>
      <c r="D3639" t="s">
        <v>3220</v>
      </c>
      <c r="E3639" t="s">
        <v>3224</v>
      </c>
      <c r="F3639" t="s">
        <v>3226</v>
      </c>
      <c r="G3639" s="4">
        <v>65516.23</v>
      </c>
      <c r="H3639" s="4">
        <v>41011.46</v>
      </c>
      <c r="I3639" s="3" t="s">
        <v>3734</v>
      </c>
      <c r="J3639">
        <v>1</v>
      </c>
      <c r="K3639" s="4">
        <f>Table3[[#This Row],[Sales]]-Table3[[#This Row],[Cost]]</f>
        <v>24504.770000000004</v>
      </c>
      <c r="L3639" s="6">
        <f>Table3[[#This Row],[Profit]]/Table3[[#This Row],[Sales]]</f>
        <v>0.37402594746370482</v>
      </c>
    </row>
    <row r="3640" spans="1:12" x14ac:dyDescent="0.25">
      <c r="A3640" t="s">
        <v>3110</v>
      </c>
      <c r="B3640" s="2">
        <v>44972</v>
      </c>
      <c r="C3640" s="2" t="str">
        <f>TEXT(Table3[[#This Row],[Order Date]],"mmmm")</f>
        <v>February</v>
      </c>
      <c r="D3640" t="s">
        <v>3220</v>
      </c>
      <c r="E3640" t="s">
        <v>3224</v>
      </c>
      <c r="F3640" t="s">
        <v>3226</v>
      </c>
      <c r="G3640" s="4">
        <v>226164.67</v>
      </c>
      <c r="H3640" s="4">
        <v>187586.83</v>
      </c>
      <c r="I3640" s="3" t="s">
        <v>3734</v>
      </c>
      <c r="J3640">
        <v>4</v>
      </c>
      <c r="K3640" s="4">
        <f>Table3[[#This Row],[Sales]]-Table3[[#This Row],[Cost]]</f>
        <v>38577.840000000026</v>
      </c>
      <c r="L3640" s="6">
        <f>Table3[[#This Row],[Profit]]/Table3[[#This Row],[Sales]]</f>
        <v>0.17057412194398011</v>
      </c>
    </row>
    <row r="3641" spans="1:12" x14ac:dyDescent="0.25">
      <c r="A3641" t="s">
        <v>3111</v>
      </c>
      <c r="B3641" s="2">
        <v>45005</v>
      </c>
      <c r="C3641" s="2" t="str">
        <f>TEXT(Table3[[#This Row],[Order Date]],"mmmm")</f>
        <v>March</v>
      </c>
      <c r="D3641" t="s">
        <v>3731</v>
      </c>
      <c r="E3641" t="s">
        <v>3222</v>
      </c>
      <c r="F3641" t="s">
        <v>3226</v>
      </c>
      <c r="G3641" s="4">
        <v>76465.039999999994</v>
      </c>
      <c r="H3641" s="4">
        <v>61172.031999999999</v>
      </c>
      <c r="I3641" s="3" t="s">
        <v>3735</v>
      </c>
      <c r="J3641">
        <v>5</v>
      </c>
      <c r="K3641" s="4">
        <f>Table3[[#This Row],[Sales]]-Table3[[#This Row],[Cost]]</f>
        <v>15293.007999999994</v>
      </c>
      <c r="L3641" s="6">
        <f>Table3[[#This Row],[Profit]]/Table3[[#This Row],[Sales]]</f>
        <v>0.19999999999999996</v>
      </c>
    </row>
    <row r="3642" spans="1:12" x14ac:dyDescent="0.25">
      <c r="A3642" t="s">
        <v>3112</v>
      </c>
      <c r="B3642" s="2">
        <v>45005</v>
      </c>
      <c r="C3642" s="2" t="str">
        <f>TEXT(Table3[[#This Row],[Order Date]],"mmmm")</f>
        <v>March</v>
      </c>
      <c r="D3642" t="s">
        <v>3216</v>
      </c>
      <c r="E3642" t="s">
        <v>3222</v>
      </c>
      <c r="F3642" t="s">
        <v>3226</v>
      </c>
      <c r="G3642" s="4">
        <v>48161.41</v>
      </c>
      <c r="H3642" s="4">
        <v>31545.599999999999</v>
      </c>
      <c r="I3642" s="3" t="s">
        <v>3734</v>
      </c>
      <c r="J3642">
        <v>3</v>
      </c>
      <c r="K3642" s="4">
        <f>Table3[[#This Row],[Sales]]-Table3[[#This Row],[Cost]]</f>
        <v>16615.810000000005</v>
      </c>
      <c r="L3642" s="6">
        <f>Table3[[#This Row],[Profit]]/Table3[[#This Row],[Sales]]</f>
        <v>0.34500256533187057</v>
      </c>
    </row>
    <row r="3643" spans="1:12" x14ac:dyDescent="0.25">
      <c r="A3643" t="s">
        <v>3113</v>
      </c>
      <c r="B3643" s="2">
        <v>45021</v>
      </c>
      <c r="C3643" s="2" t="str">
        <f>TEXT(Table3[[#This Row],[Order Date]],"mmmm")</f>
        <v>April</v>
      </c>
      <c r="D3643" t="s">
        <v>3731</v>
      </c>
      <c r="E3643" t="s">
        <v>3222</v>
      </c>
      <c r="F3643" t="s">
        <v>3226</v>
      </c>
      <c r="G3643" s="4">
        <v>17872.400000000001</v>
      </c>
      <c r="H3643" s="4">
        <v>9451.98</v>
      </c>
      <c r="I3643" s="3" t="s">
        <v>3734</v>
      </c>
      <c r="J3643">
        <v>1</v>
      </c>
      <c r="K3643" s="4">
        <f>Table3[[#This Row],[Sales]]-Table3[[#This Row],[Cost]]</f>
        <v>8420.4200000000019</v>
      </c>
      <c r="L3643" s="6">
        <f>Table3[[#This Row],[Profit]]/Table3[[#This Row],[Sales]]</f>
        <v>0.47114097714912384</v>
      </c>
    </row>
    <row r="3644" spans="1:12" x14ac:dyDescent="0.25">
      <c r="A3644" t="s">
        <v>3717</v>
      </c>
      <c r="B3644" s="2">
        <v>45005</v>
      </c>
      <c r="C3644" s="2" t="str">
        <f>TEXT(Table3[[#This Row],[Order Date]],"mmmm")</f>
        <v>March</v>
      </c>
      <c r="D3644" t="s">
        <v>3730</v>
      </c>
      <c r="E3644" t="s">
        <v>3223</v>
      </c>
      <c r="F3644" t="s">
        <v>3226</v>
      </c>
      <c r="G3644" s="4">
        <v>49730.720000000001</v>
      </c>
      <c r="H3644" s="4">
        <v>34611.480000000003</v>
      </c>
      <c r="I3644" s="3" t="s">
        <v>3734</v>
      </c>
      <c r="J3644">
        <v>5</v>
      </c>
      <c r="K3644" s="4">
        <f>Table3[[#This Row],[Sales]]-Table3[[#This Row],[Cost]]</f>
        <v>15119.239999999998</v>
      </c>
      <c r="L3644" s="6">
        <f>Table3[[#This Row],[Profit]]/Table3[[#This Row],[Sales]]</f>
        <v>0.3040221416460489</v>
      </c>
    </row>
    <row r="3645" spans="1:12" x14ac:dyDescent="0.25">
      <c r="A3645" t="s">
        <v>3530</v>
      </c>
      <c r="B3645" s="2">
        <v>45102</v>
      </c>
      <c r="C3645" s="2" t="str">
        <f>TEXT(Table3[[#This Row],[Order Date]],"mmmm")</f>
        <v>June</v>
      </c>
      <c r="D3645" t="s">
        <v>3730</v>
      </c>
      <c r="E3645" t="s">
        <v>3225</v>
      </c>
      <c r="F3645" t="s">
        <v>3226</v>
      </c>
      <c r="G3645" s="4">
        <v>66236.55</v>
      </c>
      <c r="H3645" s="4">
        <v>52989.240000000005</v>
      </c>
      <c r="I3645" s="3" t="s">
        <v>3735</v>
      </c>
      <c r="J3645">
        <v>3</v>
      </c>
      <c r="K3645" s="4">
        <f>Table3[[#This Row],[Sales]]-Table3[[#This Row],[Cost]]</f>
        <v>13247.309999999998</v>
      </c>
      <c r="L3645" s="6">
        <f>Table3[[#This Row],[Profit]]/Table3[[#This Row],[Sales]]</f>
        <v>0.19999999999999996</v>
      </c>
    </row>
    <row r="3646" spans="1:12" x14ac:dyDescent="0.25">
      <c r="A3646" t="s">
        <v>3115</v>
      </c>
      <c r="B3646" s="2">
        <v>44972</v>
      </c>
      <c r="C3646" s="2" t="str">
        <f>TEXT(Table3[[#This Row],[Order Date]],"mmmm")</f>
        <v>February</v>
      </c>
      <c r="D3646" t="s">
        <v>3216</v>
      </c>
      <c r="E3646" t="s">
        <v>3222</v>
      </c>
      <c r="F3646" t="s">
        <v>3226</v>
      </c>
      <c r="G3646" s="4">
        <v>29339.35</v>
      </c>
      <c r="H3646" s="4">
        <v>19970.34</v>
      </c>
      <c r="I3646" s="3" t="s">
        <v>3734</v>
      </c>
      <c r="J3646">
        <v>2</v>
      </c>
      <c r="K3646" s="4">
        <f>Table3[[#This Row],[Sales]]-Table3[[#This Row],[Cost]]</f>
        <v>9369.0099999999984</v>
      </c>
      <c r="L3646" s="6">
        <f>Table3[[#This Row],[Profit]]/Table3[[#This Row],[Sales]]</f>
        <v>0.31933256871743915</v>
      </c>
    </row>
    <row r="3647" spans="1:12" x14ac:dyDescent="0.25">
      <c r="A3647" t="s">
        <v>3116</v>
      </c>
      <c r="B3647" s="2">
        <v>45102</v>
      </c>
      <c r="C3647" s="2" t="str">
        <f>TEXT(Table3[[#This Row],[Order Date]],"mmmm")</f>
        <v>June</v>
      </c>
      <c r="D3647" t="s">
        <v>3216</v>
      </c>
      <c r="E3647" t="s">
        <v>3225</v>
      </c>
      <c r="F3647" t="s">
        <v>3226</v>
      </c>
      <c r="G3647" s="4">
        <v>84297.42</v>
      </c>
      <c r="H3647" s="4">
        <v>54346.95</v>
      </c>
      <c r="I3647" s="3" t="s">
        <v>3734</v>
      </c>
      <c r="J3647">
        <v>4</v>
      </c>
      <c r="K3647" s="4">
        <f>Table3[[#This Row],[Sales]]-Table3[[#This Row],[Cost]]</f>
        <v>29950.47</v>
      </c>
      <c r="L3647" s="6">
        <f>Table3[[#This Row],[Profit]]/Table3[[#This Row],[Sales]]</f>
        <v>0.35529521544075726</v>
      </c>
    </row>
    <row r="3648" spans="1:12" x14ac:dyDescent="0.25">
      <c r="A3648" t="s">
        <v>1422</v>
      </c>
      <c r="B3648" s="2">
        <v>45005</v>
      </c>
      <c r="C3648" s="2" t="str">
        <f>TEXT(Table3[[#This Row],[Order Date]],"mmmm")</f>
        <v>March</v>
      </c>
      <c r="D3648" t="s">
        <v>3220</v>
      </c>
      <c r="E3648" t="s">
        <v>3224</v>
      </c>
      <c r="F3648" t="s">
        <v>3226</v>
      </c>
      <c r="G3648" s="4">
        <v>271276.42</v>
      </c>
      <c r="H3648" s="4">
        <v>245988.5</v>
      </c>
      <c r="I3648" s="3" t="s">
        <v>3734</v>
      </c>
      <c r="J3648">
        <v>5</v>
      </c>
      <c r="K3648" s="4">
        <f>Table3[[#This Row],[Sales]]-Table3[[#This Row],[Cost]]</f>
        <v>25287.919999999984</v>
      </c>
      <c r="L3648" s="6">
        <f>Table3[[#This Row],[Profit]]/Table3[[#This Row],[Sales]]</f>
        <v>9.321827529278065E-2</v>
      </c>
    </row>
    <row r="3649" spans="1:12" x14ac:dyDescent="0.25">
      <c r="A3649" t="s">
        <v>1296</v>
      </c>
      <c r="B3649" s="2" t="s">
        <v>3729</v>
      </c>
      <c r="C3649" s="2" t="str">
        <f>TEXT(Table3[[#This Row],[Order Date]],"mmmm")</f>
        <v>Not Mentioned</v>
      </c>
      <c r="D3649" t="s">
        <v>3731</v>
      </c>
      <c r="E3649" t="s">
        <v>3222</v>
      </c>
      <c r="F3649" t="s">
        <v>3226</v>
      </c>
      <c r="G3649" s="4">
        <v>74184.460000000006</v>
      </c>
      <c r="H3649" s="4">
        <v>59347.568000000007</v>
      </c>
      <c r="I3649" s="3" t="s">
        <v>3735</v>
      </c>
      <c r="J3649">
        <v>5</v>
      </c>
      <c r="K3649" s="4">
        <f>Table3[[#This Row],[Sales]]-Table3[[#This Row],[Cost]]</f>
        <v>14836.892</v>
      </c>
      <c r="L3649" s="6">
        <f>Table3[[#This Row],[Profit]]/Table3[[#This Row],[Sales]]</f>
        <v>0.19999999999999998</v>
      </c>
    </row>
    <row r="3650" spans="1:12" x14ac:dyDescent="0.25">
      <c r="A3650" t="s">
        <v>1243</v>
      </c>
      <c r="B3650" s="2">
        <v>45102</v>
      </c>
      <c r="C3650" s="2" t="str">
        <f>TEXT(Table3[[#This Row],[Order Date]],"mmmm")</f>
        <v>June</v>
      </c>
      <c r="D3650" t="s">
        <v>3730</v>
      </c>
      <c r="E3650" t="s">
        <v>3224</v>
      </c>
      <c r="F3650" t="s">
        <v>3226</v>
      </c>
      <c r="G3650" s="4">
        <v>110402.44</v>
      </c>
      <c r="H3650" s="4">
        <v>88417.67</v>
      </c>
      <c r="I3650" s="3" t="s">
        <v>3734</v>
      </c>
      <c r="J3650">
        <v>2</v>
      </c>
      <c r="K3650" s="4">
        <f>Table3[[#This Row],[Sales]]-Table3[[#This Row],[Cost]]</f>
        <v>21984.770000000004</v>
      </c>
      <c r="L3650" s="6">
        <f>Table3[[#This Row],[Profit]]/Table3[[#This Row],[Sales]]</f>
        <v>0.19913300829220806</v>
      </c>
    </row>
    <row r="3651" spans="1:12" x14ac:dyDescent="0.25">
      <c r="A3651" t="s">
        <v>3117</v>
      </c>
      <c r="B3651" s="2">
        <v>44972</v>
      </c>
      <c r="C3651" s="2" t="str">
        <f>TEXT(Table3[[#This Row],[Order Date]],"mmmm")</f>
        <v>February</v>
      </c>
      <c r="D3651" t="s">
        <v>3730</v>
      </c>
      <c r="E3651" t="s">
        <v>3223</v>
      </c>
      <c r="F3651" t="s">
        <v>3226</v>
      </c>
      <c r="G3651" s="4">
        <v>42847.16</v>
      </c>
      <c r="H3651" s="4">
        <v>27523.46</v>
      </c>
      <c r="I3651" s="3" t="s">
        <v>3734</v>
      </c>
      <c r="J3651">
        <v>4</v>
      </c>
      <c r="K3651" s="4">
        <f>Table3[[#This Row],[Sales]]-Table3[[#This Row],[Cost]]</f>
        <v>15323.700000000004</v>
      </c>
      <c r="L3651" s="6">
        <f>Table3[[#This Row],[Profit]]/Table3[[#This Row],[Sales]]</f>
        <v>0.3576363054167418</v>
      </c>
    </row>
    <row r="3652" spans="1:12" x14ac:dyDescent="0.25">
      <c r="A3652" t="s">
        <v>3118</v>
      </c>
      <c r="B3652" s="2">
        <v>45021</v>
      </c>
      <c r="C3652" s="2" t="str">
        <f>TEXT(Table3[[#This Row],[Order Date]],"mmmm")</f>
        <v>April</v>
      </c>
      <c r="D3652" t="s">
        <v>3220</v>
      </c>
      <c r="E3652" t="s">
        <v>3224</v>
      </c>
      <c r="F3652" t="s">
        <v>3226</v>
      </c>
      <c r="G3652" s="4">
        <v>233665.82</v>
      </c>
      <c r="H3652" s="4">
        <v>166593.82999999999</v>
      </c>
      <c r="I3652" s="3" t="s">
        <v>3734</v>
      </c>
      <c r="J3652">
        <v>4</v>
      </c>
      <c r="K3652" s="4">
        <f>Table3[[#This Row],[Sales]]-Table3[[#This Row],[Cost]]</f>
        <v>67071.99000000002</v>
      </c>
      <c r="L3652" s="6">
        <f>Table3[[#This Row],[Profit]]/Table3[[#This Row],[Sales]]</f>
        <v>0.28704236674409639</v>
      </c>
    </row>
    <row r="3653" spans="1:12" x14ac:dyDescent="0.25">
      <c r="A3653" t="s">
        <v>3119</v>
      </c>
      <c r="B3653" s="2">
        <v>44972</v>
      </c>
      <c r="C3653" s="2" t="str">
        <f>TEXT(Table3[[#This Row],[Order Date]],"mmmm")</f>
        <v>February</v>
      </c>
      <c r="D3653" t="s">
        <v>3220</v>
      </c>
      <c r="E3653" t="s">
        <v>3224</v>
      </c>
      <c r="F3653" t="s">
        <v>3226</v>
      </c>
      <c r="G3653" s="4">
        <v>51372.42</v>
      </c>
      <c r="H3653" s="4">
        <v>42624.44</v>
      </c>
      <c r="I3653" s="3" t="s">
        <v>3734</v>
      </c>
      <c r="J3653">
        <v>1</v>
      </c>
      <c r="K3653" s="4">
        <f>Table3[[#This Row],[Sales]]-Table3[[#This Row],[Cost]]</f>
        <v>8747.9799999999959</v>
      </c>
      <c r="L3653" s="6">
        <f>Table3[[#This Row],[Profit]]/Table3[[#This Row],[Sales]]</f>
        <v>0.17028553453389964</v>
      </c>
    </row>
    <row r="3654" spans="1:12" x14ac:dyDescent="0.25">
      <c r="A3654" t="s">
        <v>3380</v>
      </c>
      <c r="B3654" s="2">
        <v>45102</v>
      </c>
      <c r="C3654" s="2" t="str">
        <f>TEXT(Table3[[#This Row],[Order Date]],"mmmm")</f>
        <v>June</v>
      </c>
      <c r="D3654" t="s">
        <v>3730</v>
      </c>
      <c r="E3654" t="s">
        <v>3222</v>
      </c>
      <c r="F3654" t="s">
        <v>3226</v>
      </c>
      <c r="G3654" s="4">
        <v>35535.050000000003</v>
      </c>
      <c r="H3654" s="4">
        <v>17506.73</v>
      </c>
      <c r="I3654" s="3" t="s">
        <v>3734</v>
      </c>
      <c r="J3654">
        <v>2</v>
      </c>
      <c r="K3654" s="4">
        <f>Table3[[#This Row],[Sales]]-Table3[[#This Row],[Cost]]</f>
        <v>18028.320000000003</v>
      </c>
      <c r="L3654" s="6">
        <f>Table3[[#This Row],[Profit]]/Table3[[#This Row],[Sales]]</f>
        <v>0.50733909196694538</v>
      </c>
    </row>
    <row r="3655" spans="1:12" x14ac:dyDescent="0.25">
      <c r="A3655" t="s">
        <v>24</v>
      </c>
      <c r="B3655" s="2">
        <v>45021</v>
      </c>
      <c r="C3655" s="2" t="str">
        <f>TEXT(Table3[[#This Row],[Order Date]],"mmmm")</f>
        <v>April</v>
      </c>
      <c r="D3655" t="s">
        <v>3731</v>
      </c>
      <c r="E3655" t="s">
        <v>3224</v>
      </c>
      <c r="F3655" t="s">
        <v>3226</v>
      </c>
      <c r="G3655" s="4">
        <v>180790.06</v>
      </c>
      <c r="H3655" s="4">
        <v>121857.13</v>
      </c>
      <c r="I3655" s="3" t="s">
        <v>3734</v>
      </c>
      <c r="J3655">
        <v>3</v>
      </c>
      <c r="K3655" s="4">
        <f>Table3[[#This Row],[Sales]]-Table3[[#This Row],[Cost]]</f>
        <v>58932.929999999993</v>
      </c>
      <c r="L3655" s="6">
        <f>Table3[[#This Row],[Profit]]/Table3[[#This Row],[Sales]]</f>
        <v>0.3259743926187092</v>
      </c>
    </row>
    <row r="3656" spans="1:12" x14ac:dyDescent="0.25">
      <c r="A3656" t="s">
        <v>2128</v>
      </c>
      <c r="B3656" s="2">
        <v>45005</v>
      </c>
      <c r="C3656" s="2" t="str">
        <f>TEXT(Table3[[#This Row],[Order Date]],"mmmm")</f>
        <v>March</v>
      </c>
      <c r="D3656" t="s">
        <v>3731</v>
      </c>
      <c r="E3656" t="s">
        <v>3224</v>
      </c>
      <c r="F3656" t="s">
        <v>3226</v>
      </c>
      <c r="G3656" s="4">
        <v>202831.78</v>
      </c>
      <c r="H3656" s="4">
        <v>132003.67000000001</v>
      </c>
      <c r="I3656" s="3" t="s">
        <v>3734</v>
      </c>
      <c r="J3656">
        <v>3</v>
      </c>
      <c r="K3656" s="4">
        <f>Table3[[#This Row],[Sales]]-Table3[[#This Row],[Cost]]</f>
        <v>70828.109999999986</v>
      </c>
      <c r="L3656" s="6">
        <f>Table3[[#This Row],[Profit]]/Table3[[#This Row],[Sales]]</f>
        <v>0.34919631430538145</v>
      </c>
    </row>
    <row r="3657" spans="1:12" x14ac:dyDescent="0.25">
      <c r="A3657" t="s">
        <v>3121</v>
      </c>
      <c r="B3657" s="2">
        <v>44972</v>
      </c>
      <c r="C3657" s="2" t="str">
        <f>TEXT(Table3[[#This Row],[Order Date]],"mmmm")</f>
        <v>February</v>
      </c>
      <c r="D3657" t="s">
        <v>3216</v>
      </c>
      <c r="E3657" t="s">
        <v>3224</v>
      </c>
      <c r="F3657" t="s">
        <v>3226</v>
      </c>
      <c r="G3657" s="4">
        <v>132300.60999999999</v>
      </c>
      <c r="H3657" s="4">
        <v>91845.08</v>
      </c>
      <c r="I3657" s="3" t="s">
        <v>3734</v>
      </c>
      <c r="J3657">
        <v>2</v>
      </c>
      <c r="K3657" s="4">
        <f>Table3[[#This Row],[Sales]]-Table3[[#This Row],[Cost]]</f>
        <v>40455.529999999984</v>
      </c>
      <c r="L3657" s="6">
        <f>Table3[[#This Row],[Profit]]/Table3[[#This Row],[Sales]]</f>
        <v>0.30578490907940625</v>
      </c>
    </row>
    <row r="3658" spans="1:12" x14ac:dyDescent="0.25">
      <c r="A3658" t="s">
        <v>1418</v>
      </c>
      <c r="B3658" s="2">
        <v>45021</v>
      </c>
      <c r="C3658" s="2" t="str">
        <f>TEXT(Table3[[#This Row],[Order Date]],"mmmm")</f>
        <v>April</v>
      </c>
      <c r="D3658" t="s">
        <v>3220</v>
      </c>
      <c r="E3658" t="s">
        <v>3225</v>
      </c>
      <c r="F3658" t="s">
        <v>3226</v>
      </c>
      <c r="G3658" s="4">
        <v>76317.33</v>
      </c>
      <c r="H3658" s="4">
        <v>61053.864000000001</v>
      </c>
      <c r="I3658" s="3" t="s">
        <v>3735</v>
      </c>
      <c r="J3658">
        <v>4</v>
      </c>
      <c r="K3658" s="4">
        <f>Table3[[#This Row],[Sales]]-Table3[[#This Row],[Cost]]</f>
        <v>15263.466</v>
      </c>
      <c r="L3658" s="6">
        <f>Table3[[#This Row],[Profit]]/Table3[[#This Row],[Sales]]</f>
        <v>0.2</v>
      </c>
    </row>
    <row r="3659" spans="1:12" x14ac:dyDescent="0.25">
      <c r="A3659" t="s">
        <v>1021</v>
      </c>
      <c r="B3659" s="2">
        <v>45102</v>
      </c>
      <c r="C3659" s="2" t="str">
        <f>TEXT(Table3[[#This Row],[Order Date]],"mmmm")</f>
        <v>June</v>
      </c>
      <c r="D3659" t="s">
        <v>3730</v>
      </c>
      <c r="E3659" t="s">
        <v>3224</v>
      </c>
      <c r="F3659" t="s">
        <v>3226</v>
      </c>
      <c r="G3659" s="4">
        <v>347192.29</v>
      </c>
      <c r="H3659" s="4">
        <v>213189.62</v>
      </c>
      <c r="I3659" s="3" t="s">
        <v>3734</v>
      </c>
      <c r="J3659">
        <v>5</v>
      </c>
      <c r="K3659" s="4">
        <f>Table3[[#This Row],[Sales]]-Table3[[#This Row],[Cost]]</f>
        <v>134002.66999999998</v>
      </c>
      <c r="L3659" s="6">
        <f>Table3[[#This Row],[Profit]]/Table3[[#This Row],[Sales]]</f>
        <v>0.38596096128747559</v>
      </c>
    </row>
    <row r="3660" spans="1:12" x14ac:dyDescent="0.25">
      <c r="A3660" t="s">
        <v>2660</v>
      </c>
      <c r="B3660" s="2">
        <v>45021</v>
      </c>
      <c r="C3660" s="2" t="str">
        <f>TEXT(Table3[[#This Row],[Order Date]],"mmmm")</f>
        <v>April</v>
      </c>
      <c r="D3660" t="s">
        <v>3730</v>
      </c>
      <c r="E3660" t="s">
        <v>3222</v>
      </c>
      <c r="F3660" t="s">
        <v>3226</v>
      </c>
      <c r="G3660" s="4">
        <v>33610.769999999997</v>
      </c>
      <c r="H3660" s="4">
        <v>18905.939999999999</v>
      </c>
      <c r="I3660" s="3" t="s">
        <v>3734</v>
      </c>
      <c r="J3660">
        <v>2</v>
      </c>
      <c r="K3660" s="4">
        <f>Table3[[#This Row],[Sales]]-Table3[[#This Row],[Cost]]</f>
        <v>14704.829999999998</v>
      </c>
      <c r="L3660" s="6">
        <f>Table3[[#This Row],[Profit]]/Table3[[#This Row],[Sales]]</f>
        <v>0.43750351449847769</v>
      </c>
    </row>
    <row r="3661" spans="1:12" x14ac:dyDescent="0.25">
      <c r="A3661" t="s">
        <v>3122</v>
      </c>
      <c r="B3661" s="2">
        <v>45021</v>
      </c>
      <c r="C3661" s="2" t="str">
        <f>TEXT(Table3[[#This Row],[Order Date]],"mmmm")</f>
        <v>April</v>
      </c>
      <c r="D3661" t="s">
        <v>3220</v>
      </c>
      <c r="E3661" t="s">
        <v>3222</v>
      </c>
      <c r="F3661" t="s">
        <v>3226</v>
      </c>
      <c r="G3661" s="4">
        <v>29101.7</v>
      </c>
      <c r="H3661" s="4">
        <v>17325.5</v>
      </c>
      <c r="I3661" s="3" t="s">
        <v>3734</v>
      </c>
      <c r="J3661">
        <v>2</v>
      </c>
      <c r="K3661" s="4">
        <f>Table3[[#This Row],[Sales]]-Table3[[#This Row],[Cost]]</f>
        <v>11776.2</v>
      </c>
      <c r="L3661" s="6">
        <f>Table3[[#This Row],[Profit]]/Table3[[#This Row],[Sales]]</f>
        <v>0.40465677262840316</v>
      </c>
    </row>
    <row r="3662" spans="1:12" x14ac:dyDescent="0.25">
      <c r="A3662" t="s">
        <v>383</v>
      </c>
      <c r="B3662" s="2">
        <v>45021</v>
      </c>
      <c r="C3662" s="2" t="str">
        <f>TEXT(Table3[[#This Row],[Order Date]],"mmmm")</f>
        <v>April</v>
      </c>
      <c r="D3662" t="s">
        <v>3220</v>
      </c>
      <c r="E3662" t="s">
        <v>3223</v>
      </c>
      <c r="F3662" t="s">
        <v>3226</v>
      </c>
      <c r="G3662" s="4">
        <v>34285.9</v>
      </c>
      <c r="H3662" s="4">
        <v>27428.720000000001</v>
      </c>
      <c r="I3662" s="3" t="s">
        <v>3735</v>
      </c>
      <c r="J3662">
        <v>4</v>
      </c>
      <c r="K3662" s="4">
        <f>Table3[[#This Row],[Sales]]-Table3[[#This Row],[Cost]]</f>
        <v>6857.18</v>
      </c>
      <c r="L3662" s="6">
        <f>Table3[[#This Row],[Profit]]/Table3[[#This Row],[Sales]]</f>
        <v>0.2</v>
      </c>
    </row>
    <row r="3663" spans="1:12" x14ac:dyDescent="0.25">
      <c r="A3663" t="s">
        <v>3718</v>
      </c>
      <c r="B3663" s="2">
        <v>44972</v>
      </c>
      <c r="C3663" s="2" t="str">
        <f>TEXT(Table3[[#This Row],[Order Date]],"mmmm")</f>
        <v>February</v>
      </c>
      <c r="D3663" t="s">
        <v>3730</v>
      </c>
      <c r="E3663" t="s">
        <v>3224</v>
      </c>
      <c r="F3663" t="s">
        <v>3226</v>
      </c>
      <c r="G3663" s="4">
        <v>164827.19</v>
      </c>
      <c r="H3663" s="4">
        <v>118529.51</v>
      </c>
      <c r="I3663" s="3" t="s">
        <v>3734</v>
      </c>
      <c r="J3663">
        <v>3</v>
      </c>
      <c r="K3663" s="4">
        <f>Table3[[#This Row],[Sales]]-Table3[[#This Row],[Cost]]</f>
        <v>46297.680000000008</v>
      </c>
      <c r="L3663" s="6">
        <f>Table3[[#This Row],[Profit]]/Table3[[#This Row],[Sales]]</f>
        <v>0.28088618146071659</v>
      </c>
    </row>
    <row r="3664" spans="1:12" x14ac:dyDescent="0.25">
      <c r="A3664" t="s">
        <v>3124</v>
      </c>
      <c r="B3664" s="2">
        <v>45102</v>
      </c>
      <c r="C3664" s="2" t="str">
        <f>TEXT(Table3[[#This Row],[Order Date]],"mmmm")</f>
        <v>June</v>
      </c>
      <c r="D3664" t="s">
        <v>3731</v>
      </c>
      <c r="E3664" t="s">
        <v>3224</v>
      </c>
      <c r="F3664" t="s">
        <v>3226</v>
      </c>
      <c r="G3664" s="4">
        <v>70476.37</v>
      </c>
      <c r="H3664" s="4">
        <v>38540.71</v>
      </c>
      <c r="I3664" s="3" t="s">
        <v>3734</v>
      </c>
      <c r="J3664">
        <v>1</v>
      </c>
      <c r="K3664" s="4">
        <f>Table3[[#This Row],[Sales]]-Table3[[#This Row],[Cost]]</f>
        <v>31935.659999999996</v>
      </c>
      <c r="L3664" s="6">
        <f>Table3[[#This Row],[Profit]]/Table3[[#This Row],[Sales]]</f>
        <v>0.45313996733940748</v>
      </c>
    </row>
    <row r="3665" spans="1:12" x14ac:dyDescent="0.25">
      <c r="A3665" t="s">
        <v>3719</v>
      </c>
      <c r="B3665" s="2">
        <v>45021</v>
      </c>
      <c r="C3665" s="2" t="str">
        <f>TEXT(Table3[[#This Row],[Order Date]],"mmmm")</f>
        <v>April</v>
      </c>
      <c r="D3665" t="s">
        <v>3220</v>
      </c>
      <c r="E3665" t="s">
        <v>3222</v>
      </c>
      <c r="F3665" t="s">
        <v>3226</v>
      </c>
      <c r="G3665" s="4">
        <v>86723.77</v>
      </c>
      <c r="H3665" s="4">
        <v>50838.16</v>
      </c>
      <c r="I3665" s="3" t="s">
        <v>3734</v>
      </c>
      <c r="J3665">
        <v>5</v>
      </c>
      <c r="K3665" s="4">
        <f>Table3[[#This Row],[Sales]]-Table3[[#This Row],[Cost]]</f>
        <v>35885.61</v>
      </c>
      <c r="L3665" s="6">
        <f>Table3[[#This Row],[Profit]]/Table3[[#This Row],[Sales]]</f>
        <v>0.41379208952747326</v>
      </c>
    </row>
    <row r="3666" spans="1:12" x14ac:dyDescent="0.25">
      <c r="A3666" t="s">
        <v>3126</v>
      </c>
      <c r="B3666" s="2">
        <v>45102</v>
      </c>
      <c r="C3666" s="2" t="str">
        <f>TEXT(Table3[[#This Row],[Order Date]],"mmmm")</f>
        <v>June</v>
      </c>
      <c r="D3666" t="s">
        <v>3220</v>
      </c>
      <c r="E3666" t="s">
        <v>3225</v>
      </c>
      <c r="F3666" t="s">
        <v>3226</v>
      </c>
      <c r="G3666" s="4">
        <v>84248.97</v>
      </c>
      <c r="H3666" s="4">
        <v>56897.93</v>
      </c>
      <c r="I3666" s="3" t="s">
        <v>3734</v>
      </c>
      <c r="J3666">
        <v>4</v>
      </c>
      <c r="K3666" s="4">
        <f>Table3[[#This Row],[Sales]]-Table3[[#This Row],[Cost]]</f>
        <v>27351.040000000001</v>
      </c>
      <c r="L3666" s="6">
        <f>Table3[[#This Row],[Profit]]/Table3[[#This Row],[Sales]]</f>
        <v>0.32464539329086162</v>
      </c>
    </row>
    <row r="3667" spans="1:12" x14ac:dyDescent="0.25">
      <c r="A3667" t="s">
        <v>3720</v>
      </c>
      <c r="B3667" s="2">
        <v>45005</v>
      </c>
      <c r="C3667" s="2" t="str">
        <f>TEXT(Table3[[#This Row],[Order Date]],"mmmm")</f>
        <v>March</v>
      </c>
      <c r="D3667" t="s">
        <v>3220</v>
      </c>
      <c r="E3667" t="s">
        <v>3222</v>
      </c>
      <c r="F3667" t="s">
        <v>3226</v>
      </c>
      <c r="G3667" s="4">
        <v>30703.64</v>
      </c>
      <c r="H3667" s="4">
        <v>17735.45</v>
      </c>
      <c r="I3667" s="3" t="s">
        <v>3734</v>
      </c>
      <c r="J3667">
        <v>2</v>
      </c>
      <c r="K3667" s="4">
        <f>Table3[[#This Row],[Sales]]-Table3[[#This Row],[Cost]]</f>
        <v>12968.189999999999</v>
      </c>
      <c r="L3667" s="6">
        <f>Table3[[#This Row],[Profit]]/Table3[[#This Row],[Sales]]</f>
        <v>0.42236653373997346</v>
      </c>
    </row>
    <row r="3668" spans="1:12" x14ac:dyDescent="0.25">
      <c r="A3668" t="s">
        <v>3128</v>
      </c>
      <c r="B3668" s="2">
        <v>44972</v>
      </c>
      <c r="C3668" s="2" t="str">
        <f>TEXT(Table3[[#This Row],[Order Date]],"mmmm")</f>
        <v>February</v>
      </c>
      <c r="D3668" t="s">
        <v>3730</v>
      </c>
      <c r="E3668" t="s">
        <v>3223</v>
      </c>
      <c r="F3668" t="s">
        <v>3226</v>
      </c>
      <c r="G3668" s="4">
        <v>22265.8</v>
      </c>
      <c r="H3668" s="4">
        <v>13639.49</v>
      </c>
      <c r="I3668" s="3" t="s">
        <v>3734</v>
      </c>
      <c r="J3668">
        <v>2</v>
      </c>
      <c r="K3668" s="4">
        <f>Table3[[#This Row],[Sales]]-Table3[[#This Row],[Cost]]</f>
        <v>8626.31</v>
      </c>
      <c r="L3668" s="6">
        <f>Table3[[#This Row],[Profit]]/Table3[[#This Row],[Sales]]</f>
        <v>0.38742421112198977</v>
      </c>
    </row>
    <row r="3669" spans="1:12" x14ac:dyDescent="0.25">
      <c r="A3669" t="s">
        <v>3129</v>
      </c>
      <c r="B3669" s="2" t="s">
        <v>3729</v>
      </c>
      <c r="C3669" s="2" t="str">
        <f>TEXT(Table3[[#This Row],[Order Date]],"mmmm")</f>
        <v>Not Mentioned</v>
      </c>
      <c r="D3669" t="s">
        <v>3220</v>
      </c>
      <c r="E3669" t="s">
        <v>3222</v>
      </c>
      <c r="F3669" t="s">
        <v>3226</v>
      </c>
      <c r="G3669" s="4">
        <v>17199.52</v>
      </c>
      <c r="H3669" s="4">
        <v>10306.67</v>
      </c>
      <c r="I3669" s="3" t="s">
        <v>3734</v>
      </c>
      <c r="J3669">
        <v>1</v>
      </c>
      <c r="K3669" s="4">
        <f>Table3[[#This Row],[Sales]]-Table3[[#This Row],[Cost]]</f>
        <v>6892.85</v>
      </c>
      <c r="L3669" s="6">
        <f>Table3[[#This Row],[Profit]]/Table3[[#This Row],[Sales]]</f>
        <v>0.40075827697517141</v>
      </c>
    </row>
    <row r="3670" spans="1:12" x14ac:dyDescent="0.25">
      <c r="A3670" t="s">
        <v>3721</v>
      </c>
      <c r="B3670" s="2">
        <v>45005</v>
      </c>
      <c r="C3670" s="2" t="str">
        <f>TEXT(Table3[[#This Row],[Order Date]],"mmmm")</f>
        <v>March</v>
      </c>
      <c r="D3670" t="s">
        <v>3220</v>
      </c>
      <c r="E3670" t="s">
        <v>3223</v>
      </c>
      <c r="F3670" t="s">
        <v>3226</v>
      </c>
      <c r="G3670" s="4">
        <v>10115.23</v>
      </c>
      <c r="H3670" s="4">
        <v>6591.07</v>
      </c>
      <c r="I3670" s="3" t="s">
        <v>3734</v>
      </c>
      <c r="J3670">
        <v>1</v>
      </c>
      <c r="K3670" s="4">
        <f>Table3[[#This Row],[Sales]]-Table3[[#This Row],[Cost]]</f>
        <v>3524.16</v>
      </c>
      <c r="L3670" s="6">
        <f>Table3[[#This Row],[Profit]]/Table3[[#This Row],[Sales]]</f>
        <v>0.34840137100194457</v>
      </c>
    </row>
    <row r="3671" spans="1:12" x14ac:dyDescent="0.25">
      <c r="A3671" t="s">
        <v>3131</v>
      </c>
      <c r="B3671" s="2">
        <v>45102</v>
      </c>
      <c r="C3671" s="2" t="str">
        <f>TEXT(Table3[[#This Row],[Order Date]],"mmmm")</f>
        <v>June</v>
      </c>
      <c r="D3671" t="s">
        <v>3731</v>
      </c>
      <c r="E3671" t="s">
        <v>3222</v>
      </c>
      <c r="F3671" t="s">
        <v>3226</v>
      </c>
      <c r="G3671" s="4">
        <v>62393.11</v>
      </c>
      <c r="H3671" s="4">
        <v>41990.31</v>
      </c>
      <c r="I3671" s="3" t="s">
        <v>3734</v>
      </c>
      <c r="J3671">
        <v>4</v>
      </c>
      <c r="K3671" s="4">
        <f>Table3[[#This Row],[Sales]]-Table3[[#This Row],[Cost]]</f>
        <v>20402.800000000003</v>
      </c>
      <c r="L3671" s="6">
        <f>Table3[[#This Row],[Profit]]/Table3[[#This Row],[Sales]]</f>
        <v>0.32700405541573424</v>
      </c>
    </row>
    <row r="3672" spans="1:12" x14ac:dyDescent="0.25">
      <c r="A3672" t="s">
        <v>1153</v>
      </c>
      <c r="B3672" s="2">
        <v>45102</v>
      </c>
      <c r="C3672" s="2" t="str">
        <f>TEXT(Table3[[#This Row],[Order Date]],"mmmm")</f>
        <v>June</v>
      </c>
      <c r="D3672" t="s">
        <v>3216</v>
      </c>
      <c r="E3672" t="s">
        <v>3225</v>
      </c>
      <c r="F3672" t="s">
        <v>3226</v>
      </c>
      <c r="G3672" s="4">
        <v>23172.45</v>
      </c>
      <c r="H3672" s="4">
        <v>13451.42</v>
      </c>
      <c r="I3672" s="3" t="s">
        <v>3734</v>
      </c>
      <c r="J3672">
        <v>1</v>
      </c>
      <c r="K3672" s="4">
        <f>Table3[[#This Row],[Sales]]-Table3[[#This Row],[Cost]]</f>
        <v>9721.0300000000007</v>
      </c>
      <c r="L3672" s="6">
        <f>Table3[[#This Row],[Profit]]/Table3[[#This Row],[Sales]]</f>
        <v>0.41950807963767323</v>
      </c>
    </row>
    <row r="3673" spans="1:12" x14ac:dyDescent="0.25">
      <c r="A3673" t="s">
        <v>3544</v>
      </c>
      <c r="B3673" s="2">
        <v>44941</v>
      </c>
      <c r="C3673" s="2" t="str">
        <f>TEXT(Table3[[#This Row],[Order Date]],"mmmm")</f>
        <v>January</v>
      </c>
      <c r="D3673" t="s">
        <v>3220</v>
      </c>
      <c r="E3673" t="s">
        <v>3223</v>
      </c>
      <c r="F3673" t="s">
        <v>3226</v>
      </c>
      <c r="G3673" s="4">
        <v>58552.41</v>
      </c>
      <c r="H3673" s="4">
        <v>29761.919999999998</v>
      </c>
      <c r="I3673" s="3" t="s">
        <v>3734</v>
      </c>
      <c r="J3673">
        <v>5</v>
      </c>
      <c r="K3673" s="4">
        <f>Table3[[#This Row],[Sales]]-Table3[[#This Row],[Cost]]</f>
        <v>28790.490000000005</v>
      </c>
      <c r="L3673" s="6">
        <f>Table3[[#This Row],[Profit]]/Table3[[#This Row],[Sales]]</f>
        <v>0.49170461130464149</v>
      </c>
    </row>
    <row r="3674" spans="1:12" x14ac:dyDescent="0.25">
      <c r="A3674" t="s">
        <v>3132</v>
      </c>
      <c r="B3674" s="2">
        <v>44941</v>
      </c>
      <c r="C3674" s="2" t="str">
        <f>TEXT(Table3[[#This Row],[Order Date]],"mmmm")</f>
        <v>January</v>
      </c>
      <c r="D3674" t="s">
        <v>3220</v>
      </c>
      <c r="E3674" t="s">
        <v>3224</v>
      </c>
      <c r="F3674" t="s">
        <v>3226</v>
      </c>
      <c r="G3674" s="4">
        <v>135381.57</v>
      </c>
      <c r="H3674" s="4">
        <v>83142.83</v>
      </c>
      <c r="I3674" s="3" t="s">
        <v>3734</v>
      </c>
      <c r="J3674">
        <v>2</v>
      </c>
      <c r="K3674" s="4">
        <f>Table3[[#This Row],[Sales]]-Table3[[#This Row],[Cost]]</f>
        <v>52238.740000000005</v>
      </c>
      <c r="L3674" s="6">
        <f>Table3[[#This Row],[Profit]]/Table3[[#This Row],[Sales]]</f>
        <v>0.38586300927075967</v>
      </c>
    </row>
    <row r="3675" spans="1:12" x14ac:dyDescent="0.25">
      <c r="A3675" t="s">
        <v>3722</v>
      </c>
      <c r="B3675" s="2">
        <v>45102</v>
      </c>
      <c r="C3675" s="2" t="str">
        <f>TEXT(Table3[[#This Row],[Order Date]],"mmmm")</f>
        <v>June</v>
      </c>
      <c r="D3675" t="s">
        <v>3730</v>
      </c>
      <c r="E3675" t="s">
        <v>3224</v>
      </c>
      <c r="F3675" t="s">
        <v>3226</v>
      </c>
      <c r="G3675" s="4">
        <v>192704.14</v>
      </c>
      <c r="H3675" s="4">
        <v>190734.74</v>
      </c>
      <c r="I3675" s="3" t="s">
        <v>3734</v>
      </c>
      <c r="J3675">
        <v>4</v>
      </c>
      <c r="K3675" s="4">
        <f>Table3[[#This Row],[Sales]]-Table3[[#This Row],[Cost]]</f>
        <v>1969.4000000000233</v>
      </c>
      <c r="L3675" s="6">
        <f>Table3[[#This Row],[Profit]]/Table3[[#This Row],[Sales]]</f>
        <v>1.0219811572289123E-2</v>
      </c>
    </row>
    <row r="3676" spans="1:12" x14ac:dyDescent="0.25">
      <c r="A3676" t="s">
        <v>3134</v>
      </c>
      <c r="B3676" s="2" t="s">
        <v>3729</v>
      </c>
      <c r="C3676" s="2" t="str">
        <f>TEXT(Table3[[#This Row],[Order Date]],"mmmm")</f>
        <v>Not Mentioned</v>
      </c>
      <c r="D3676" t="s">
        <v>3216</v>
      </c>
      <c r="E3676" t="s">
        <v>3222</v>
      </c>
      <c r="F3676" t="s">
        <v>3226</v>
      </c>
      <c r="G3676" s="4">
        <v>33828.550000000003</v>
      </c>
      <c r="H3676" s="4">
        <v>17131.47</v>
      </c>
      <c r="I3676" s="3" t="s">
        <v>3734</v>
      </c>
      <c r="J3676">
        <v>2</v>
      </c>
      <c r="K3676" s="4">
        <f>Table3[[#This Row],[Sales]]-Table3[[#This Row],[Cost]]</f>
        <v>16697.080000000002</v>
      </c>
      <c r="L3676" s="6">
        <f>Table3[[#This Row],[Profit]]/Table3[[#This Row],[Sales]]</f>
        <v>0.49357953562892881</v>
      </c>
    </row>
    <row r="3677" spans="1:12" x14ac:dyDescent="0.25">
      <c r="A3677" t="s">
        <v>3135</v>
      </c>
      <c r="B3677" s="2">
        <v>45021</v>
      </c>
      <c r="C3677" s="2" t="str">
        <f>TEXT(Table3[[#This Row],[Order Date]],"mmmm")</f>
        <v>April</v>
      </c>
      <c r="D3677" t="s">
        <v>3731</v>
      </c>
      <c r="E3677" t="s">
        <v>3224</v>
      </c>
      <c r="F3677" t="s">
        <v>3226</v>
      </c>
      <c r="G3677" s="4">
        <v>126140.79</v>
      </c>
      <c r="H3677" s="4">
        <v>77136.23</v>
      </c>
      <c r="I3677" s="3" t="s">
        <v>3734</v>
      </c>
      <c r="J3677">
        <v>2</v>
      </c>
      <c r="K3677" s="4">
        <f>Table3[[#This Row],[Sales]]-Table3[[#This Row],[Cost]]</f>
        <v>49004.56</v>
      </c>
      <c r="L3677" s="6">
        <f>Table3[[#This Row],[Profit]]/Table3[[#This Row],[Sales]]</f>
        <v>0.38849098693610529</v>
      </c>
    </row>
    <row r="3678" spans="1:12" x14ac:dyDescent="0.25">
      <c r="A3678" t="s">
        <v>3136</v>
      </c>
      <c r="B3678" s="2">
        <v>45021</v>
      </c>
      <c r="C3678" s="2" t="str">
        <f>TEXT(Table3[[#This Row],[Order Date]],"mmmm")</f>
        <v>April</v>
      </c>
      <c r="D3678" t="s">
        <v>3220</v>
      </c>
      <c r="E3678" t="s">
        <v>3223</v>
      </c>
      <c r="F3678" t="s">
        <v>3226</v>
      </c>
      <c r="G3678" s="4">
        <v>23918.94</v>
      </c>
      <c r="H3678" s="4">
        <v>13337.05</v>
      </c>
      <c r="I3678" s="3" t="s">
        <v>3734</v>
      </c>
      <c r="J3678">
        <v>2</v>
      </c>
      <c r="K3678" s="4">
        <f>Table3[[#This Row],[Sales]]-Table3[[#This Row],[Cost]]</f>
        <v>10581.89</v>
      </c>
      <c r="L3678" s="6">
        <f>Table3[[#This Row],[Profit]]/Table3[[#This Row],[Sales]]</f>
        <v>0.44240631064754543</v>
      </c>
    </row>
    <row r="3679" spans="1:12" x14ac:dyDescent="0.25">
      <c r="A3679" t="s">
        <v>3137</v>
      </c>
      <c r="B3679" s="2">
        <v>45021</v>
      </c>
      <c r="C3679" s="2" t="str">
        <f>TEXT(Table3[[#This Row],[Order Date]],"mmmm")</f>
        <v>April</v>
      </c>
      <c r="D3679" t="s">
        <v>3731</v>
      </c>
      <c r="E3679" t="s">
        <v>3224</v>
      </c>
      <c r="F3679" t="s">
        <v>3226</v>
      </c>
      <c r="G3679" s="4">
        <v>163830.35999999999</v>
      </c>
      <c r="H3679" s="4">
        <v>116400.67</v>
      </c>
      <c r="I3679" s="3" t="s">
        <v>3734</v>
      </c>
      <c r="J3679">
        <v>3</v>
      </c>
      <c r="K3679" s="4">
        <f>Table3[[#This Row],[Sales]]-Table3[[#This Row],[Cost]]</f>
        <v>47429.689999999988</v>
      </c>
      <c r="L3679" s="6">
        <f>Table3[[#This Row],[Profit]]/Table3[[#This Row],[Sales]]</f>
        <v>0.28950488786083356</v>
      </c>
    </row>
    <row r="3680" spans="1:12" x14ac:dyDescent="0.25">
      <c r="A3680" t="s">
        <v>3138</v>
      </c>
      <c r="B3680" s="2">
        <v>44941</v>
      </c>
      <c r="C3680" s="2" t="str">
        <f>TEXT(Table3[[#This Row],[Order Date]],"mmmm")</f>
        <v>January</v>
      </c>
      <c r="D3680" t="s">
        <v>3216</v>
      </c>
      <c r="E3680" t="s">
        <v>3223</v>
      </c>
      <c r="F3680" t="s">
        <v>3226</v>
      </c>
      <c r="G3680" s="4">
        <v>58936.08</v>
      </c>
      <c r="H3680" s="4">
        <v>30974.01</v>
      </c>
      <c r="I3680" s="3" t="s">
        <v>3734</v>
      </c>
      <c r="J3680" t="s">
        <v>3732</v>
      </c>
      <c r="K3680" s="4">
        <f>Table3[[#This Row],[Sales]]-Table3[[#This Row],[Cost]]</f>
        <v>27962.070000000003</v>
      </c>
      <c r="L3680" s="6">
        <f>Table3[[#This Row],[Profit]]/Table3[[#This Row],[Sales]]</f>
        <v>0.47444740132021002</v>
      </c>
    </row>
    <row r="3681" spans="1:12" x14ac:dyDescent="0.25">
      <c r="A3681" t="s">
        <v>3025</v>
      </c>
      <c r="B3681" s="2">
        <v>45102</v>
      </c>
      <c r="C3681" s="2" t="str">
        <f>TEXT(Table3[[#This Row],[Order Date]],"mmmm")</f>
        <v>June</v>
      </c>
      <c r="D3681" t="s">
        <v>3730</v>
      </c>
      <c r="E3681" t="s">
        <v>3223</v>
      </c>
      <c r="F3681" t="s">
        <v>3226</v>
      </c>
      <c r="G3681" s="4">
        <v>8788.34</v>
      </c>
      <c r="H3681" s="4">
        <v>6198.13</v>
      </c>
      <c r="I3681" s="3" t="s">
        <v>3734</v>
      </c>
      <c r="J3681">
        <v>1</v>
      </c>
      <c r="K3681" s="4">
        <f>Table3[[#This Row],[Sales]]-Table3[[#This Row],[Cost]]</f>
        <v>2590.21</v>
      </c>
      <c r="L3681" s="6">
        <f>Table3[[#This Row],[Profit]]/Table3[[#This Row],[Sales]]</f>
        <v>0.29473256610463411</v>
      </c>
    </row>
    <row r="3682" spans="1:12" x14ac:dyDescent="0.25">
      <c r="A3682" t="s">
        <v>30</v>
      </c>
      <c r="B3682" s="2">
        <v>45102</v>
      </c>
      <c r="C3682" s="2" t="str">
        <f>TEXT(Table3[[#This Row],[Order Date]],"mmmm")</f>
        <v>June</v>
      </c>
      <c r="D3682" t="s">
        <v>3730</v>
      </c>
      <c r="E3682" t="s">
        <v>3225</v>
      </c>
      <c r="F3682" t="s">
        <v>3226</v>
      </c>
      <c r="G3682" s="4">
        <v>113797.12</v>
      </c>
      <c r="H3682" s="4">
        <v>67653.490000000005</v>
      </c>
      <c r="I3682" s="3" t="s">
        <v>3734</v>
      </c>
      <c r="J3682">
        <v>5</v>
      </c>
      <c r="K3682" s="4">
        <f>Table3[[#This Row],[Sales]]-Table3[[#This Row],[Cost]]</f>
        <v>46143.62999999999</v>
      </c>
      <c r="L3682" s="6">
        <f>Table3[[#This Row],[Profit]]/Table3[[#This Row],[Sales]]</f>
        <v>0.40549031469337704</v>
      </c>
    </row>
    <row r="3683" spans="1:12" x14ac:dyDescent="0.25">
      <c r="A3683" t="s">
        <v>2068</v>
      </c>
      <c r="B3683" s="2">
        <v>45005</v>
      </c>
      <c r="C3683" s="2" t="str">
        <f>TEXT(Table3[[#This Row],[Order Date]],"mmmm")</f>
        <v>March</v>
      </c>
      <c r="D3683" t="s">
        <v>3730</v>
      </c>
      <c r="E3683" t="s">
        <v>3222</v>
      </c>
      <c r="F3683" t="s">
        <v>3226</v>
      </c>
      <c r="G3683" s="4">
        <v>28228.28</v>
      </c>
      <c r="H3683" s="4">
        <v>21685.919999999998</v>
      </c>
      <c r="I3683" s="3" t="s">
        <v>3734</v>
      </c>
      <c r="J3683">
        <v>2</v>
      </c>
      <c r="K3683" s="4">
        <f>Table3[[#This Row],[Sales]]-Table3[[#This Row],[Cost]]</f>
        <v>6542.3600000000006</v>
      </c>
      <c r="L3683" s="6">
        <f>Table3[[#This Row],[Profit]]/Table3[[#This Row],[Sales]]</f>
        <v>0.23176615790972743</v>
      </c>
    </row>
    <row r="3684" spans="1:12" x14ac:dyDescent="0.25">
      <c r="A3684" t="s">
        <v>3139</v>
      </c>
      <c r="B3684" s="2">
        <v>44972</v>
      </c>
      <c r="C3684" s="2" t="str">
        <f>TEXT(Table3[[#This Row],[Order Date]],"mmmm")</f>
        <v>February</v>
      </c>
      <c r="D3684" t="s">
        <v>3216</v>
      </c>
      <c r="E3684" t="s">
        <v>3222</v>
      </c>
      <c r="F3684" t="s">
        <v>3226</v>
      </c>
      <c r="G3684" s="4">
        <v>27964.11</v>
      </c>
      <c r="H3684" s="4">
        <v>17273.48</v>
      </c>
      <c r="I3684" s="3" t="s">
        <v>3734</v>
      </c>
      <c r="J3684">
        <v>2</v>
      </c>
      <c r="K3684" s="4">
        <f>Table3[[#This Row],[Sales]]-Table3[[#This Row],[Cost]]</f>
        <v>10690.630000000001</v>
      </c>
      <c r="L3684" s="6">
        <f>Table3[[#This Row],[Profit]]/Table3[[#This Row],[Sales]]</f>
        <v>0.38229823870668511</v>
      </c>
    </row>
    <row r="3685" spans="1:12" x14ac:dyDescent="0.25">
      <c r="A3685" t="s">
        <v>3140</v>
      </c>
      <c r="B3685" s="2">
        <v>45021</v>
      </c>
      <c r="C3685" s="2" t="str">
        <f>TEXT(Table3[[#This Row],[Order Date]],"mmmm")</f>
        <v>April</v>
      </c>
      <c r="D3685" t="s">
        <v>3220</v>
      </c>
      <c r="E3685" t="s">
        <v>3224</v>
      </c>
      <c r="F3685" t="s">
        <v>3226</v>
      </c>
      <c r="G3685" s="4">
        <v>125508.17</v>
      </c>
      <c r="H3685" s="4">
        <v>91297.34</v>
      </c>
      <c r="I3685" s="3" t="s">
        <v>3734</v>
      </c>
      <c r="J3685">
        <v>2</v>
      </c>
      <c r="K3685" s="4">
        <f>Table3[[#This Row],[Sales]]-Table3[[#This Row],[Cost]]</f>
        <v>34210.83</v>
      </c>
      <c r="L3685" s="6">
        <f>Table3[[#This Row],[Profit]]/Table3[[#This Row],[Sales]]</f>
        <v>0.27257851022766089</v>
      </c>
    </row>
    <row r="3686" spans="1:12" x14ac:dyDescent="0.25">
      <c r="A3686" t="s">
        <v>3141</v>
      </c>
      <c r="B3686" s="2">
        <v>44941</v>
      </c>
      <c r="C3686" s="2" t="str">
        <f>TEXT(Table3[[#This Row],[Order Date]],"mmmm")</f>
        <v>January</v>
      </c>
      <c r="D3686" t="s">
        <v>3220</v>
      </c>
      <c r="E3686" t="s">
        <v>3222</v>
      </c>
      <c r="F3686" t="s">
        <v>3226</v>
      </c>
      <c r="G3686" s="4">
        <v>48076.39</v>
      </c>
      <c r="H3686" s="4">
        <v>32749.55</v>
      </c>
      <c r="I3686" s="3" t="s">
        <v>3734</v>
      </c>
      <c r="J3686">
        <v>3</v>
      </c>
      <c r="K3686" s="4">
        <f>Table3[[#This Row],[Sales]]-Table3[[#This Row],[Cost]]</f>
        <v>15326.84</v>
      </c>
      <c r="L3686" s="6">
        <f>Table3[[#This Row],[Profit]]/Table3[[#This Row],[Sales]]</f>
        <v>0.31880180687443466</v>
      </c>
    </row>
    <row r="3687" spans="1:12" x14ac:dyDescent="0.25">
      <c r="A3687" t="s">
        <v>929</v>
      </c>
      <c r="B3687" s="2">
        <v>45102</v>
      </c>
      <c r="C3687" s="2" t="str">
        <f>TEXT(Table3[[#This Row],[Order Date]],"mmmm")</f>
        <v>June</v>
      </c>
      <c r="D3687" t="s">
        <v>3730</v>
      </c>
      <c r="E3687" t="s">
        <v>3225</v>
      </c>
      <c r="F3687" t="s">
        <v>3226</v>
      </c>
      <c r="G3687" s="4">
        <v>60070.3</v>
      </c>
      <c r="H3687" s="4">
        <v>40684.14</v>
      </c>
      <c r="I3687" s="3" t="s">
        <v>3734</v>
      </c>
      <c r="J3687">
        <v>3</v>
      </c>
      <c r="K3687" s="4">
        <f>Table3[[#This Row],[Sales]]-Table3[[#This Row],[Cost]]</f>
        <v>19386.160000000003</v>
      </c>
      <c r="L3687" s="6">
        <f>Table3[[#This Row],[Profit]]/Table3[[#This Row],[Sales]]</f>
        <v>0.32272454107936871</v>
      </c>
    </row>
    <row r="3688" spans="1:12" x14ac:dyDescent="0.25">
      <c r="A3688" t="s">
        <v>3142</v>
      </c>
      <c r="B3688" s="2">
        <v>44941</v>
      </c>
      <c r="C3688" s="2" t="str">
        <f>TEXT(Table3[[#This Row],[Order Date]],"mmmm")</f>
        <v>January</v>
      </c>
      <c r="D3688" t="s">
        <v>3220</v>
      </c>
      <c r="E3688" t="s">
        <v>3225</v>
      </c>
      <c r="F3688" t="s">
        <v>3226</v>
      </c>
      <c r="G3688" s="4">
        <v>99121.23</v>
      </c>
      <c r="H3688" s="4">
        <v>79296.983999999997</v>
      </c>
      <c r="I3688" s="3" t="s">
        <v>3735</v>
      </c>
      <c r="J3688">
        <v>5</v>
      </c>
      <c r="K3688" s="4">
        <f>Table3[[#This Row],[Sales]]-Table3[[#This Row],[Cost]]</f>
        <v>19824.245999999999</v>
      </c>
      <c r="L3688" s="6">
        <f>Table3[[#This Row],[Profit]]/Table3[[#This Row],[Sales]]</f>
        <v>0.2</v>
      </c>
    </row>
    <row r="3689" spans="1:12" x14ac:dyDescent="0.25">
      <c r="A3689" t="s">
        <v>3707</v>
      </c>
      <c r="B3689" s="2">
        <v>44972</v>
      </c>
      <c r="C3689" s="2" t="str">
        <f>TEXT(Table3[[#This Row],[Order Date]],"mmmm")</f>
        <v>February</v>
      </c>
      <c r="D3689" t="s">
        <v>3216</v>
      </c>
      <c r="E3689" t="s">
        <v>3225</v>
      </c>
      <c r="F3689" t="s">
        <v>3226</v>
      </c>
      <c r="G3689" s="4">
        <v>23718.57</v>
      </c>
      <c r="H3689" s="4">
        <v>14697.51</v>
      </c>
      <c r="I3689" s="3" t="s">
        <v>3734</v>
      </c>
      <c r="J3689">
        <v>1</v>
      </c>
      <c r="K3689" s="4">
        <f>Table3[[#This Row],[Sales]]-Table3[[#This Row],[Cost]]</f>
        <v>9021.06</v>
      </c>
      <c r="L3689" s="6">
        <f>Table3[[#This Row],[Profit]]/Table3[[#This Row],[Sales]]</f>
        <v>0.38033743180975915</v>
      </c>
    </row>
    <row r="3690" spans="1:12" x14ac:dyDescent="0.25">
      <c r="A3690" t="s">
        <v>3143</v>
      </c>
      <c r="B3690" s="2">
        <v>44941</v>
      </c>
      <c r="C3690" s="2" t="str">
        <f>TEXT(Table3[[#This Row],[Order Date]],"mmmm")</f>
        <v>January</v>
      </c>
      <c r="D3690" t="s">
        <v>3730</v>
      </c>
      <c r="E3690" t="s">
        <v>3225</v>
      </c>
      <c r="F3690" t="s">
        <v>3226</v>
      </c>
      <c r="G3690" s="4">
        <v>96957.98</v>
      </c>
      <c r="H3690" s="4">
        <v>63842.5</v>
      </c>
      <c r="I3690" s="3" t="s">
        <v>3734</v>
      </c>
      <c r="J3690">
        <v>5</v>
      </c>
      <c r="K3690" s="4">
        <f>Table3[[#This Row],[Sales]]-Table3[[#This Row],[Cost]]</f>
        <v>33115.479999999996</v>
      </c>
      <c r="L3690" s="6">
        <f>Table3[[#This Row],[Profit]]/Table3[[#This Row],[Sales]]</f>
        <v>0.34154465676780804</v>
      </c>
    </row>
    <row r="3691" spans="1:12" x14ac:dyDescent="0.25">
      <c r="A3691" t="s">
        <v>36</v>
      </c>
      <c r="B3691" s="2">
        <v>45005</v>
      </c>
      <c r="C3691" s="2" t="str">
        <f>TEXT(Table3[[#This Row],[Order Date]],"mmmm")</f>
        <v>March</v>
      </c>
      <c r="D3691" t="s">
        <v>3731</v>
      </c>
      <c r="E3691" t="s">
        <v>3222</v>
      </c>
      <c r="F3691" t="s">
        <v>3226</v>
      </c>
      <c r="G3691" s="4">
        <v>14143.98</v>
      </c>
      <c r="H3691" s="4">
        <v>10606.3</v>
      </c>
      <c r="I3691" s="3" t="s">
        <v>3734</v>
      </c>
      <c r="J3691">
        <v>1</v>
      </c>
      <c r="K3691" s="4">
        <f>Table3[[#This Row],[Sales]]-Table3[[#This Row],[Cost]]</f>
        <v>3537.6800000000003</v>
      </c>
      <c r="L3691" s="6">
        <f>Table3[[#This Row],[Profit]]/Table3[[#This Row],[Sales]]</f>
        <v>0.25011913195578617</v>
      </c>
    </row>
    <row r="3692" spans="1:12" x14ac:dyDescent="0.25">
      <c r="A3692" t="s">
        <v>3290</v>
      </c>
      <c r="B3692" s="2">
        <v>44941</v>
      </c>
      <c r="C3692" s="2" t="str">
        <f>TEXT(Table3[[#This Row],[Order Date]],"mmmm")</f>
        <v>January</v>
      </c>
      <c r="D3692" t="s">
        <v>3730</v>
      </c>
      <c r="E3692" t="s">
        <v>3224</v>
      </c>
      <c r="F3692" t="s">
        <v>3226</v>
      </c>
      <c r="G3692" s="4">
        <v>259135.05</v>
      </c>
      <c r="H3692" s="4">
        <v>184946.7</v>
      </c>
      <c r="I3692" s="3" t="s">
        <v>3734</v>
      </c>
      <c r="J3692">
        <v>4</v>
      </c>
      <c r="K3692" s="4">
        <f>Table3[[#This Row],[Sales]]-Table3[[#This Row],[Cost]]</f>
        <v>74188.349999999977</v>
      </c>
      <c r="L3692" s="6">
        <f>Table3[[#This Row],[Profit]]/Table3[[#This Row],[Sales]]</f>
        <v>0.28629222484569333</v>
      </c>
    </row>
    <row r="3693" spans="1:12" x14ac:dyDescent="0.25">
      <c r="A3693" t="s">
        <v>3144</v>
      </c>
      <c r="B3693" s="2">
        <v>44941</v>
      </c>
      <c r="C3693" s="2" t="str">
        <f>TEXT(Table3[[#This Row],[Order Date]],"mmmm")</f>
        <v>January</v>
      </c>
      <c r="D3693" t="s">
        <v>3216</v>
      </c>
      <c r="E3693" t="s">
        <v>3222</v>
      </c>
      <c r="F3693" t="s">
        <v>3226</v>
      </c>
      <c r="G3693" s="4">
        <v>37069.879999999997</v>
      </c>
      <c r="H3693" s="4">
        <v>29578.99</v>
      </c>
      <c r="I3693" s="3" t="s">
        <v>3734</v>
      </c>
      <c r="J3693">
        <v>3</v>
      </c>
      <c r="K3693" s="4">
        <f>Table3[[#This Row],[Sales]]-Table3[[#This Row],[Cost]]</f>
        <v>7490.8899999999958</v>
      </c>
      <c r="L3693" s="6">
        <f>Table3[[#This Row],[Profit]]/Table3[[#This Row],[Sales]]</f>
        <v>0.20207483811655166</v>
      </c>
    </row>
    <row r="3694" spans="1:12" x14ac:dyDescent="0.25">
      <c r="A3694" t="s">
        <v>3145</v>
      </c>
      <c r="B3694" s="2" t="s">
        <v>3729</v>
      </c>
      <c r="C3694" s="2" t="str">
        <f>TEXT(Table3[[#This Row],[Order Date]],"mmmm")</f>
        <v>Not Mentioned</v>
      </c>
      <c r="D3694" t="s">
        <v>3220</v>
      </c>
      <c r="E3694" t="s">
        <v>3223</v>
      </c>
      <c r="F3694" t="s">
        <v>3226</v>
      </c>
      <c r="G3694" s="4">
        <v>59756.98</v>
      </c>
      <c r="H3694" s="4">
        <v>33964.11</v>
      </c>
      <c r="I3694" s="3" t="s">
        <v>3734</v>
      </c>
      <c r="J3694">
        <v>5</v>
      </c>
      <c r="K3694" s="4">
        <f>Table3[[#This Row],[Sales]]-Table3[[#This Row],[Cost]]</f>
        <v>25792.870000000003</v>
      </c>
      <c r="L3694" s="6">
        <f>Table3[[#This Row],[Profit]]/Table3[[#This Row],[Sales]]</f>
        <v>0.43162940965222807</v>
      </c>
    </row>
    <row r="3695" spans="1:12" x14ac:dyDescent="0.25">
      <c r="A3695" t="s">
        <v>656</v>
      </c>
      <c r="B3695" s="2">
        <v>45021</v>
      </c>
      <c r="C3695" s="2" t="str">
        <f>TEXT(Table3[[#This Row],[Order Date]],"mmmm")</f>
        <v>April</v>
      </c>
      <c r="D3695" t="s">
        <v>3220</v>
      </c>
      <c r="E3695" t="s">
        <v>3225</v>
      </c>
      <c r="F3695" t="s">
        <v>3226</v>
      </c>
      <c r="G3695" s="4">
        <v>119460.01</v>
      </c>
      <c r="H3695" s="4">
        <v>69531.710000000006</v>
      </c>
      <c r="I3695" s="3" t="s">
        <v>3734</v>
      </c>
      <c r="J3695">
        <v>5</v>
      </c>
      <c r="K3695" s="4">
        <f>Table3[[#This Row],[Sales]]-Table3[[#This Row],[Cost]]</f>
        <v>49928.299999999988</v>
      </c>
      <c r="L3695" s="6">
        <f>Table3[[#This Row],[Profit]]/Table3[[#This Row],[Sales]]</f>
        <v>0.41794990641638141</v>
      </c>
    </row>
    <row r="3696" spans="1:12" x14ac:dyDescent="0.25">
      <c r="A3696" t="s">
        <v>3146</v>
      </c>
      <c r="B3696" s="2">
        <v>45005</v>
      </c>
      <c r="C3696" s="2" t="str">
        <f>TEXT(Table3[[#This Row],[Order Date]],"mmmm")</f>
        <v>March</v>
      </c>
      <c r="D3696" t="s">
        <v>3730</v>
      </c>
      <c r="E3696" t="s">
        <v>3225</v>
      </c>
      <c r="F3696" t="s">
        <v>3226</v>
      </c>
      <c r="G3696" s="4">
        <v>56094.8</v>
      </c>
      <c r="H3696" s="4">
        <v>41241.26</v>
      </c>
      <c r="I3696" s="3" t="s">
        <v>3734</v>
      </c>
      <c r="J3696">
        <v>3</v>
      </c>
      <c r="K3696" s="4">
        <f>Table3[[#This Row],[Sales]]-Table3[[#This Row],[Cost]]</f>
        <v>14853.54</v>
      </c>
      <c r="L3696" s="6">
        <f>Table3[[#This Row],[Profit]]/Table3[[#This Row],[Sales]]</f>
        <v>0.2647935280988612</v>
      </c>
    </row>
    <row r="3697" spans="1:12" x14ac:dyDescent="0.25">
      <c r="A3697" t="s">
        <v>3147</v>
      </c>
      <c r="B3697" s="2">
        <v>44972</v>
      </c>
      <c r="C3697" s="2" t="str">
        <f>TEXT(Table3[[#This Row],[Order Date]],"mmmm")</f>
        <v>February</v>
      </c>
      <c r="D3697" t="s">
        <v>3216</v>
      </c>
      <c r="E3697" t="s">
        <v>3225</v>
      </c>
      <c r="F3697" t="s">
        <v>3226</v>
      </c>
      <c r="G3697" s="4">
        <v>107333.29</v>
      </c>
      <c r="H3697" s="4">
        <v>60996.62</v>
      </c>
      <c r="I3697" s="3" t="s">
        <v>3734</v>
      </c>
      <c r="J3697">
        <v>5</v>
      </c>
      <c r="K3697" s="4">
        <f>Table3[[#This Row],[Sales]]-Table3[[#This Row],[Cost]]</f>
        <v>46336.669999999991</v>
      </c>
      <c r="L3697" s="6">
        <f>Table3[[#This Row],[Profit]]/Table3[[#This Row],[Sales]]</f>
        <v>0.43170827988222477</v>
      </c>
    </row>
    <row r="3698" spans="1:12" x14ac:dyDescent="0.25">
      <c r="A3698" t="s">
        <v>3148</v>
      </c>
      <c r="B3698" s="2">
        <v>45005</v>
      </c>
      <c r="C3698" s="2" t="str">
        <f>TEXT(Table3[[#This Row],[Order Date]],"mmmm")</f>
        <v>March</v>
      </c>
      <c r="D3698" t="s">
        <v>3216</v>
      </c>
      <c r="E3698" t="s">
        <v>3222</v>
      </c>
      <c r="F3698" t="s">
        <v>3226</v>
      </c>
      <c r="G3698" s="4">
        <v>17308.78</v>
      </c>
      <c r="H3698" s="4">
        <v>9796.14</v>
      </c>
      <c r="I3698" s="3" t="s">
        <v>3734</v>
      </c>
      <c r="J3698">
        <v>1</v>
      </c>
      <c r="K3698" s="4">
        <f>Table3[[#This Row],[Sales]]-Table3[[#This Row],[Cost]]</f>
        <v>7512.6399999999994</v>
      </c>
      <c r="L3698" s="6">
        <f>Table3[[#This Row],[Profit]]/Table3[[#This Row],[Sales]]</f>
        <v>0.43403636767004955</v>
      </c>
    </row>
    <row r="3699" spans="1:12" x14ac:dyDescent="0.25">
      <c r="A3699" t="s">
        <v>3149</v>
      </c>
      <c r="B3699" s="2">
        <v>45102</v>
      </c>
      <c r="C3699" s="2" t="str">
        <f>TEXT(Table3[[#This Row],[Order Date]],"mmmm")</f>
        <v>June</v>
      </c>
      <c r="D3699" t="s">
        <v>3220</v>
      </c>
      <c r="E3699" t="s">
        <v>3224</v>
      </c>
      <c r="F3699" t="s">
        <v>3226</v>
      </c>
      <c r="G3699" s="4">
        <v>184558.53</v>
      </c>
      <c r="H3699" s="4">
        <v>138663.96</v>
      </c>
      <c r="I3699" s="3" t="s">
        <v>3734</v>
      </c>
      <c r="J3699">
        <v>3</v>
      </c>
      <c r="K3699" s="4">
        <f>Table3[[#This Row],[Sales]]-Table3[[#This Row],[Cost]]</f>
        <v>45894.570000000007</v>
      </c>
      <c r="L3699" s="6">
        <f>Table3[[#This Row],[Profit]]/Table3[[#This Row],[Sales]]</f>
        <v>0.24867216920290819</v>
      </c>
    </row>
    <row r="3700" spans="1:12" x14ac:dyDescent="0.25">
      <c r="A3700" t="s">
        <v>3150</v>
      </c>
      <c r="B3700" s="2">
        <v>44972</v>
      </c>
      <c r="C3700" s="2" t="str">
        <f>TEXT(Table3[[#This Row],[Order Date]],"mmmm")</f>
        <v>February</v>
      </c>
      <c r="D3700" t="s">
        <v>3730</v>
      </c>
      <c r="E3700" t="s">
        <v>3223</v>
      </c>
      <c r="F3700" t="s">
        <v>3226</v>
      </c>
      <c r="G3700" s="4">
        <v>43609.5</v>
      </c>
      <c r="H3700" s="4">
        <v>34611.58</v>
      </c>
      <c r="I3700" s="3" t="s">
        <v>3734</v>
      </c>
      <c r="J3700">
        <v>5</v>
      </c>
      <c r="K3700" s="4">
        <f>Table3[[#This Row],[Sales]]-Table3[[#This Row],[Cost]]</f>
        <v>8997.9199999999983</v>
      </c>
      <c r="L3700" s="6">
        <f>Table3[[#This Row],[Profit]]/Table3[[#This Row],[Sales]]</f>
        <v>0.20632935484240816</v>
      </c>
    </row>
    <row r="3701" spans="1:12" x14ac:dyDescent="0.25">
      <c r="A3701" t="s">
        <v>3151</v>
      </c>
      <c r="B3701" s="2">
        <v>45021</v>
      </c>
      <c r="C3701" s="2" t="str">
        <f>TEXT(Table3[[#This Row],[Order Date]],"mmmm")</f>
        <v>April</v>
      </c>
      <c r="D3701" t="s">
        <v>3730</v>
      </c>
      <c r="E3701" t="s">
        <v>3224</v>
      </c>
      <c r="F3701" t="s">
        <v>3226</v>
      </c>
      <c r="G3701" s="4">
        <v>316006.58</v>
      </c>
      <c r="H3701" s="4">
        <v>197447.76</v>
      </c>
      <c r="I3701" s="3" t="s">
        <v>3734</v>
      </c>
      <c r="J3701">
        <v>5</v>
      </c>
      <c r="K3701" s="4">
        <f>Table3[[#This Row],[Sales]]-Table3[[#This Row],[Cost]]</f>
        <v>118558.82</v>
      </c>
      <c r="L3701" s="6">
        <f>Table3[[#This Row],[Profit]]/Table3[[#This Row],[Sales]]</f>
        <v>0.37517832698293813</v>
      </c>
    </row>
    <row r="3702" spans="1:12" x14ac:dyDescent="0.25">
      <c r="A3702" t="s">
        <v>2969</v>
      </c>
      <c r="B3702" s="2">
        <v>45102</v>
      </c>
      <c r="C3702" s="2" t="str">
        <f>TEXT(Table3[[#This Row],[Order Date]],"mmmm")</f>
        <v>June</v>
      </c>
      <c r="D3702" t="s">
        <v>3730</v>
      </c>
      <c r="E3702" t="s">
        <v>3225</v>
      </c>
      <c r="F3702" t="s">
        <v>3226</v>
      </c>
      <c r="G3702" s="4">
        <v>54228.56</v>
      </c>
      <c r="H3702" s="4">
        <v>45511.98</v>
      </c>
      <c r="I3702" s="3" t="s">
        <v>3734</v>
      </c>
      <c r="J3702">
        <v>3</v>
      </c>
      <c r="K3702" s="4">
        <f>Table3[[#This Row],[Sales]]-Table3[[#This Row],[Cost]]</f>
        <v>8716.5799999999945</v>
      </c>
      <c r="L3702" s="6">
        <f>Table3[[#This Row],[Profit]]/Table3[[#This Row],[Sales]]</f>
        <v>0.16073781048215174</v>
      </c>
    </row>
    <row r="3703" spans="1:12" x14ac:dyDescent="0.25">
      <c r="A3703" t="s">
        <v>2890</v>
      </c>
      <c r="B3703" s="2" t="s">
        <v>3729</v>
      </c>
      <c r="C3703" s="2" t="str">
        <f>TEXT(Table3[[#This Row],[Order Date]],"mmmm")</f>
        <v>Not Mentioned</v>
      </c>
      <c r="D3703" t="s">
        <v>3731</v>
      </c>
      <c r="E3703" t="s">
        <v>3223</v>
      </c>
      <c r="F3703" t="s">
        <v>3226</v>
      </c>
      <c r="G3703" s="4">
        <v>10872.43</v>
      </c>
      <c r="H3703" s="4">
        <v>6775.56</v>
      </c>
      <c r="I3703" s="3" t="s">
        <v>3734</v>
      </c>
      <c r="J3703">
        <v>1</v>
      </c>
      <c r="K3703" s="4">
        <f>Table3[[#This Row],[Sales]]-Table3[[#This Row],[Cost]]</f>
        <v>4096.87</v>
      </c>
      <c r="L3703" s="6">
        <f>Table3[[#This Row],[Profit]]/Table3[[#This Row],[Sales]]</f>
        <v>0.37681272723760922</v>
      </c>
    </row>
    <row r="3704" spans="1:12" x14ac:dyDescent="0.25">
      <c r="A3704" t="s">
        <v>1525</v>
      </c>
      <c r="B3704" s="2">
        <v>45102</v>
      </c>
      <c r="C3704" s="2" t="str">
        <f>TEXT(Table3[[#This Row],[Order Date]],"mmmm")</f>
        <v>June</v>
      </c>
      <c r="D3704" t="s">
        <v>3730</v>
      </c>
      <c r="E3704" t="s">
        <v>3224</v>
      </c>
      <c r="F3704" t="s">
        <v>3226</v>
      </c>
      <c r="G3704" s="4">
        <v>198516.63</v>
      </c>
      <c r="H3704" s="4">
        <v>119331.07</v>
      </c>
      <c r="I3704" s="3" t="s">
        <v>3734</v>
      </c>
      <c r="J3704">
        <v>3</v>
      </c>
      <c r="K3704" s="4">
        <f>Table3[[#This Row],[Sales]]-Table3[[#This Row],[Cost]]</f>
        <v>79185.56</v>
      </c>
      <c r="L3704" s="6">
        <f>Table3[[#This Row],[Profit]]/Table3[[#This Row],[Sales]]</f>
        <v>0.39888627970361978</v>
      </c>
    </row>
    <row r="3705" spans="1:12" x14ac:dyDescent="0.25">
      <c r="A3705" t="s">
        <v>3723</v>
      </c>
      <c r="B3705" s="2">
        <v>44972</v>
      </c>
      <c r="C3705" s="2" t="str">
        <f>TEXT(Table3[[#This Row],[Order Date]],"mmmm")</f>
        <v>February</v>
      </c>
      <c r="D3705" t="s">
        <v>3220</v>
      </c>
      <c r="E3705" t="s">
        <v>3223</v>
      </c>
      <c r="F3705" t="s">
        <v>3226</v>
      </c>
      <c r="G3705" s="4">
        <v>40818.53</v>
      </c>
      <c r="H3705" s="4">
        <v>32654.824000000001</v>
      </c>
      <c r="I3705" s="3" t="s">
        <v>3735</v>
      </c>
      <c r="J3705">
        <v>4</v>
      </c>
      <c r="K3705" s="4">
        <f>Table3[[#This Row],[Sales]]-Table3[[#This Row],[Cost]]</f>
        <v>8163.7059999999983</v>
      </c>
      <c r="L3705" s="6">
        <f>Table3[[#This Row],[Profit]]/Table3[[#This Row],[Sales]]</f>
        <v>0.19999999999999996</v>
      </c>
    </row>
    <row r="3706" spans="1:12" x14ac:dyDescent="0.25">
      <c r="A3706" t="s">
        <v>3724</v>
      </c>
      <c r="B3706" s="2">
        <v>45102</v>
      </c>
      <c r="C3706" s="2" t="str">
        <f>TEXT(Table3[[#This Row],[Order Date]],"mmmm")</f>
        <v>June</v>
      </c>
      <c r="D3706" t="s">
        <v>3731</v>
      </c>
      <c r="E3706" t="s">
        <v>3222</v>
      </c>
      <c r="F3706" t="s">
        <v>3226</v>
      </c>
      <c r="G3706" s="4">
        <v>49259.18</v>
      </c>
      <c r="H3706" s="4">
        <v>25641.759999999998</v>
      </c>
      <c r="I3706" s="3" t="s">
        <v>3734</v>
      </c>
      <c r="J3706">
        <v>3</v>
      </c>
      <c r="K3706" s="4">
        <f>Table3[[#This Row],[Sales]]-Table3[[#This Row],[Cost]]</f>
        <v>23617.420000000002</v>
      </c>
      <c r="L3706" s="6">
        <f>Table3[[#This Row],[Profit]]/Table3[[#This Row],[Sales]]</f>
        <v>0.4794521549079786</v>
      </c>
    </row>
    <row r="3707" spans="1:12" x14ac:dyDescent="0.25">
      <c r="A3707" t="s">
        <v>3639</v>
      </c>
      <c r="B3707" s="2" t="s">
        <v>3729</v>
      </c>
      <c r="C3707" s="2" t="str">
        <f>TEXT(Table3[[#This Row],[Order Date]],"mmmm")</f>
        <v>Not Mentioned</v>
      </c>
      <c r="D3707" t="s">
        <v>3220</v>
      </c>
      <c r="E3707" t="s">
        <v>3223</v>
      </c>
      <c r="F3707" t="s">
        <v>3226</v>
      </c>
      <c r="G3707" s="4">
        <v>22627.84</v>
      </c>
      <c r="H3707" s="4">
        <v>18102.272000000001</v>
      </c>
      <c r="I3707" s="3" t="s">
        <v>3735</v>
      </c>
      <c r="J3707">
        <v>2</v>
      </c>
      <c r="K3707" s="4">
        <f>Table3[[#This Row],[Sales]]-Table3[[#This Row],[Cost]]</f>
        <v>4525.5679999999993</v>
      </c>
      <c r="L3707" s="6">
        <f>Table3[[#This Row],[Profit]]/Table3[[#This Row],[Sales]]</f>
        <v>0.19999999999999996</v>
      </c>
    </row>
    <row r="3708" spans="1:12" x14ac:dyDescent="0.25">
      <c r="A3708" t="s">
        <v>949</v>
      </c>
      <c r="B3708" s="2" t="s">
        <v>3729</v>
      </c>
      <c r="C3708" s="2" t="str">
        <f>TEXT(Table3[[#This Row],[Order Date]],"mmmm")</f>
        <v>Not Mentioned</v>
      </c>
      <c r="D3708" t="s">
        <v>3220</v>
      </c>
      <c r="E3708" t="s">
        <v>3223</v>
      </c>
      <c r="F3708" t="s">
        <v>3226</v>
      </c>
      <c r="G3708" s="4">
        <v>10092.83</v>
      </c>
      <c r="H3708" s="4">
        <v>5964.84</v>
      </c>
      <c r="I3708" s="3" t="s">
        <v>3734</v>
      </c>
      <c r="J3708">
        <v>1</v>
      </c>
      <c r="K3708" s="4">
        <f>Table3[[#This Row],[Sales]]-Table3[[#This Row],[Cost]]</f>
        <v>4127.99</v>
      </c>
      <c r="L3708" s="6">
        <f>Table3[[#This Row],[Profit]]/Table3[[#This Row],[Sales]]</f>
        <v>0.4090022322777655</v>
      </c>
    </row>
    <row r="3709" spans="1:12" x14ac:dyDescent="0.25">
      <c r="A3709" t="s">
        <v>3154</v>
      </c>
      <c r="B3709" s="2">
        <v>44941</v>
      </c>
      <c r="C3709" s="2" t="str">
        <f>TEXT(Table3[[#This Row],[Order Date]],"mmmm")</f>
        <v>January</v>
      </c>
      <c r="D3709" t="s">
        <v>3220</v>
      </c>
      <c r="E3709" t="s">
        <v>3224</v>
      </c>
      <c r="F3709" t="s">
        <v>3226</v>
      </c>
      <c r="G3709" s="4">
        <v>294880.19</v>
      </c>
      <c r="H3709" s="4">
        <v>234312.06</v>
      </c>
      <c r="I3709" s="3" t="s">
        <v>3734</v>
      </c>
      <c r="J3709">
        <v>5</v>
      </c>
      <c r="K3709" s="4">
        <f>Table3[[#This Row],[Sales]]-Table3[[#This Row],[Cost]]</f>
        <v>60568.130000000005</v>
      </c>
      <c r="L3709" s="6">
        <f>Table3[[#This Row],[Profit]]/Table3[[#This Row],[Sales]]</f>
        <v>0.20539911480659315</v>
      </c>
    </row>
    <row r="3710" spans="1:12" x14ac:dyDescent="0.25">
      <c r="A3710" t="s">
        <v>3155</v>
      </c>
      <c r="B3710" s="2">
        <v>45021</v>
      </c>
      <c r="C3710" s="2" t="str">
        <f>TEXT(Table3[[#This Row],[Order Date]],"mmmm")</f>
        <v>April</v>
      </c>
      <c r="D3710" t="s">
        <v>3730</v>
      </c>
      <c r="E3710" t="s">
        <v>3222</v>
      </c>
      <c r="F3710" t="s">
        <v>3226</v>
      </c>
      <c r="G3710" s="4">
        <v>89665.5</v>
      </c>
      <c r="H3710" s="4">
        <v>50546.23</v>
      </c>
      <c r="I3710" s="3" t="s">
        <v>3734</v>
      </c>
      <c r="J3710">
        <v>5</v>
      </c>
      <c r="K3710" s="4">
        <f>Table3[[#This Row],[Sales]]-Table3[[#This Row],[Cost]]</f>
        <v>39119.269999999997</v>
      </c>
      <c r="L3710" s="6">
        <f>Table3[[#This Row],[Profit]]/Table3[[#This Row],[Sales]]</f>
        <v>0.43628006312349787</v>
      </c>
    </row>
    <row r="3711" spans="1:12" x14ac:dyDescent="0.25">
      <c r="A3711" t="s">
        <v>3608</v>
      </c>
      <c r="B3711" s="2">
        <v>45021</v>
      </c>
      <c r="C3711" s="2" t="str">
        <f>TEXT(Table3[[#This Row],[Order Date]],"mmmm")</f>
        <v>April</v>
      </c>
      <c r="D3711" t="s">
        <v>3730</v>
      </c>
      <c r="E3711" t="s">
        <v>3222</v>
      </c>
      <c r="F3711" t="s">
        <v>3226</v>
      </c>
      <c r="G3711" s="4">
        <v>28475.439999999999</v>
      </c>
      <c r="H3711" s="4">
        <v>17927.18</v>
      </c>
      <c r="I3711" s="3" t="s">
        <v>3734</v>
      </c>
      <c r="J3711">
        <v>2</v>
      </c>
      <c r="K3711" s="4">
        <f>Table3[[#This Row],[Sales]]-Table3[[#This Row],[Cost]]</f>
        <v>10548.259999999998</v>
      </c>
      <c r="L3711" s="6">
        <f>Table3[[#This Row],[Profit]]/Table3[[#This Row],[Sales]]</f>
        <v>0.37043360875196307</v>
      </c>
    </row>
    <row r="3712" spans="1:12" x14ac:dyDescent="0.25">
      <c r="A3712" t="s">
        <v>3156</v>
      </c>
      <c r="B3712" s="2" t="s">
        <v>3729</v>
      </c>
      <c r="C3712" s="2" t="str">
        <f>TEXT(Table3[[#This Row],[Order Date]],"mmmm")</f>
        <v>Not Mentioned</v>
      </c>
      <c r="D3712" t="s">
        <v>3220</v>
      </c>
      <c r="E3712" t="s">
        <v>3222</v>
      </c>
      <c r="F3712" t="s">
        <v>3226</v>
      </c>
      <c r="G3712" s="4">
        <v>79449.27</v>
      </c>
      <c r="H3712" s="4">
        <v>48849.7</v>
      </c>
      <c r="I3712" s="3" t="s">
        <v>3734</v>
      </c>
      <c r="J3712">
        <v>5</v>
      </c>
      <c r="K3712" s="4">
        <f>Table3[[#This Row],[Sales]]-Table3[[#This Row],[Cost]]</f>
        <v>30599.570000000007</v>
      </c>
      <c r="L3712" s="6">
        <f>Table3[[#This Row],[Profit]]/Table3[[#This Row],[Sales]]</f>
        <v>0.38514601833345991</v>
      </c>
    </row>
    <row r="3713" spans="1:12" x14ac:dyDescent="0.25">
      <c r="A3713" t="s">
        <v>2101</v>
      </c>
      <c r="B3713" s="2">
        <v>44972</v>
      </c>
      <c r="C3713" s="2" t="str">
        <f>TEXT(Table3[[#This Row],[Order Date]],"mmmm")</f>
        <v>February</v>
      </c>
      <c r="D3713" t="s">
        <v>3730</v>
      </c>
      <c r="E3713" t="s">
        <v>3225</v>
      </c>
      <c r="F3713" t="s">
        <v>3226</v>
      </c>
      <c r="G3713" s="4">
        <v>71179.55</v>
      </c>
      <c r="H3713" s="4">
        <v>43948.55</v>
      </c>
      <c r="I3713" s="3" t="s">
        <v>3734</v>
      </c>
      <c r="J3713">
        <v>3</v>
      </c>
      <c r="K3713" s="4">
        <f>Table3[[#This Row],[Sales]]-Table3[[#This Row],[Cost]]</f>
        <v>27231</v>
      </c>
      <c r="L3713" s="6">
        <f>Table3[[#This Row],[Profit]]/Table3[[#This Row],[Sales]]</f>
        <v>0.38256774593264498</v>
      </c>
    </row>
    <row r="3714" spans="1:12" x14ac:dyDescent="0.25">
      <c r="A3714" t="s">
        <v>2594</v>
      </c>
      <c r="B3714" s="2">
        <v>44941</v>
      </c>
      <c r="C3714" s="2" t="str">
        <f>TEXT(Table3[[#This Row],[Order Date]],"mmmm")</f>
        <v>January</v>
      </c>
      <c r="D3714" t="s">
        <v>3731</v>
      </c>
      <c r="E3714" t="s">
        <v>3223</v>
      </c>
      <c r="F3714" t="s">
        <v>3226</v>
      </c>
      <c r="G3714" s="4">
        <v>16360.28</v>
      </c>
      <c r="H3714" s="4">
        <v>13160.83</v>
      </c>
      <c r="I3714" s="3" t="s">
        <v>3734</v>
      </c>
      <c r="J3714">
        <v>2</v>
      </c>
      <c r="K3714" s="4">
        <f>Table3[[#This Row],[Sales]]-Table3[[#This Row],[Cost]]</f>
        <v>3199.4500000000007</v>
      </c>
      <c r="L3714" s="6">
        <f>Table3[[#This Row],[Profit]]/Table3[[#This Row],[Sales]]</f>
        <v>0.19556205639512286</v>
      </c>
    </row>
    <row r="3715" spans="1:12" x14ac:dyDescent="0.25">
      <c r="A3715" t="s">
        <v>3158</v>
      </c>
      <c r="B3715" s="2">
        <v>45102</v>
      </c>
      <c r="C3715" s="2" t="str">
        <f>TEXT(Table3[[#This Row],[Order Date]],"mmmm")</f>
        <v>June</v>
      </c>
      <c r="D3715" t="s">
        <v>3220</v>
      </c>
      <c r="E3715" t="s">
        <v>3223</v>
      </c>
      <c r="F3715" t="s">
        <v>3226</v>
      </c>
      <c r="G3715" s="4">
        <v>40747.449999999997</v>
      </c>
      <c r="H3715" s="4">
        <v>33882.35</v>
      </c>
      <c r="I3715" s="3" t="s">
        <v>3734</v>
      </c>
      <c r="J3715">
        <v>5</v>
      </c>
      <c r="K3715" s="4">
        <f>Table3[[#This Row],[Sales]]-Table3[[#This Row],[Cost]]</f>
        <v>6865.0999999999985</v>
      </c>
      <c r="L3715" s="6">
        <f>Table3[[#This Row],[Profit]]/Table3[[#This Row],[Sales]]</f>
        <v>0.16847925453003806</v>
      </c>
    </row>
    <row r="3716" spans="1:12" x14ac:dyDescent="0.25">
      <c r="A3716" t="s">
        <v>2566</v>
      </c>
      <c r="B3716" s="2">
        <v>45102</v>
      </c>
      <c r="C3716" s="2" t="str">
        <f>TEXT(Table3[[#This Row],[Order Date]],"mmmm")</f>
        <v>June</v>
      </c>
      <c r="D3716" t="s">
        <v>3730</v>
      </c>
      <c r="E3716" t="s">
        <v>3225</v>
      </c>
      <c r="F3716" t="s">
        <v>3226</v>
      </c>
      <c r="G3716" s="4">
        <v>37550.83</v>
      </c>
      <c r="H3716" s="4">
        <v>30040.664000000004</v>
      </c>
      <c r="I3716" s="3" t="s">
        <v>3735</v>
      </c>
      <c r="J3716">
        <v>2</v>
      </c>
      <c r="K3716" s="4">
        <f>Table3[[#This Row],[Sales]]-Table3[[#This Row],[Cost]]</f>
        <v>7510.1659999999974</v>
      </c>
      <c r="L3716" s="6">
        <f>Table3[[#This Row],[Profit]]/Table3[[#This Row],[Sales]]</f>
        <v>0.19999999999999993</v>
      </c>
    </row>
    <row r="3717" spans="1:12" x14ac:dyDescent="0.25">
      <c r="A3717" t="s">
        <v>3448</v>
      </c>
      <c r="B3717" s="2" t="s">
        <v>3729</v>
      </c>
      <c r="C3717" s="2" t="str">
        <f>TEXT(Table3[[#This Row],[Order Date]],"mmmm")</f>
        <v>Not Mentioned</v>
      </c>
      <c r="D3717" t="s">
        <v>3730</v>
      </c>
      <c r="E3717" t="s">
        <v>3223</v>
      </c>
      <c r="F3717" t="s">
        <v>3226</v>
      </c>
      <c r="G3717" s="4">
        <v>35494.47</v>
      </c>
      <c r="H3717" s="4">
        <v>19989.27</v>
      </c>
      <c r="I3717" s="3" t="s">
        <v>3734</v>
      </c>
      <c r="J3717">
        <v>3</v>
      </c>
      <c r="K3717" s="4">
        <f>Table3[[#This Row],[Sales]]-Table3[[#This Row],[Cost]]</f>
        <v>15505.2</v>
      </c>
      <c r="L3717" s="6">
        <f>Table3[[#This Row],[Profit]]/Table3[[#This Row],[Sales]]</f>
        <v>0.43683424488378048</v>
      </c>
    </row>
    <row r="3718" spans="1:12" x14ac:dyDescent="0.25">
      <c r="A3718" t="s">
        <v>1720</v>
      </c>
      <c r="B3718" s="2">
        <v>45102</v>
      </c>
      <c r="C3718" s="2" t="str">
        <f>TEXT(Table3[[#This Row],[Order Date]],"mmmm")</f>
        <v>June</v>
      </c>
      <c r="D3718" t="s">
        <v>3730</v>
      </c>
      <c r="E3718" t="s">
        <v>3223</v>
      </c>
      <c r="F3718" t="s">
        <v>3226</v>
      </c>
      <c r="G3718" s="4">
        <v>22213.21</v>
      </c>
      <c r="H3718" s="4">
        <v>12732.82</v>
      </c>
      <c r="I3718" s="3" t="s">
        <v>3734</v>
      </c>
      <c r="J3718">
        <v>2</v>
      </c>
      <c r="K3718" s="4">
        <f>Table3[[#This Row],[Sales]]-Table3[[#This Row],[Cost]]</f>
        <v>9480.39</v>
      </c>
      <c r="L3718" s="6">
        <f>Table3[[#This Row],[Profit]]/Table3[[#This Row],[Sales]]</f>
        <v>0.4267906349420007</v>
      </c>
    </row>
    <row r="3719" spans="1:12" x14ac:dyDescent="0.25">
      <c r="A3719" t="s">
        <v>3159</v>
      </c>
      <c r="B3719" s="2">
        <v>44972</v>
      </c>
      <c r="C3719" s="2" t="str">
        <f>TEXT(Table3[[#This Row],[Order Date]],"mmmm")</f>
        <v>February</v>
      </c>
      <c r="D3719" t="s">
        <v>3730</v>
      </c>
      <c r="E3719" t="s">
        <v>3223</v>
      </c>
      <c r="F3719" t="s">
        <v>3226</v>
      </c>
      <c r="G3719" s="4">
        <v>48263.46</v>
      </c>
      <c r="H3719" s="4">
        <v>32606.97</v>
      </c>
      <c r="I3719" s="3" t="s">
        <v>3734</v>
      </c>
      <c r="J3719">
        <v>5</v>
      </c>
      <c r="K3719" s="4">
        <f>Table3[[#This Row],[Sales]]-Table3[[#This Row],[Cost]]</f>
        <v>15656.489999999998</v>
      </c>
      <c r="L3719" s="6">
        <f>Table3[[#This Row],[Profit]]/Table3[[#This Row],[Sales]]</f>
        <v>0.32439634456377553</v>
      </c>
    </row>
    <row r="3720" spans="1:12" x14ac:dyDescent="0.25">
      <c r="A3720" t="s">
        <v>3160</v>
      </c>
      <c r="B3720" s="2">
        <v>44941</v>
      </c>
      <c r="C3720" s="2" t="str">
        <f>TEXT(Table3[[#This Row],[Order Date]],"mmmm")</f>
        <v>January</v>
      </c>
      <c r="D3720" t="s">
        <v>3220</v>
      </c>
      <c r="E3720" t="s">
        <v>3224</v>
      </c>
      <c r="F3720" t="s">
        <v>3226</v>
      </c>
      <c r="G3720" s="4">
        <v>342186.09</v>
      </c>
      <c r="H3720" s="4">
        <v>216278.57</v>
      </c>
      <c r="I3720" s="3" t="s">
        <v>3734</v>
      </c>
      <c r="J3720">
        <v>5</v>
      </c>
      <c r="K3720" s="4">
        <f>Table3[[#This Row],[Sales]]-Table3[[#This Row],[Cost]]</f>
        <v>125907.52000000002</v>
      </c>
      <c r="L3720" s="6">
        <f>Table3[[#This Row],[Profit]]/Table3[[#This Row],[Sales]]</f>
        <v>0.36795043305237807</v>
      </c>
    </row>
    <row r="3721" spans="1:12" x14ac:dyDescent="0.25">
      <c r="A3721" t="s">
        <v>3161</v>
      </c>
      <c r="B3721" s="2">
        <v>45102</v>
      </c>
      <c r="C3721" s="2" t="str">
        <f>TEXT(Table3[[#This Row],[Order Date]],"mmmm")</f>
        <v>June</v>
      </c>
      <c r="D3721" t="s">
        <v>3216</v>
      </c>
      <c r="E3721" t="s">
        <v>3222</v>
      </c>
      <c r="F3721" t="s">
        <v>3226</v>
      </c>
      <c r="G3721" s="4">
        <v>14107.52</v>
      </c>
      <c r="H3721" s="4">
        <v>9712.7000000000007</v>
      </c>
      <c r="I3721" s="3" t="s">
        <v>3734</v>
      </c>
      <c r="J3721">
        <v>1</v>
      </c>
      <c r="K3721" s="4">
        <f>Table3[[#This Row],[Sales]]-Table3[[#This Row],[Cost]]</f>
        <v>4394.82</v>
      </c>
      <c r="L3721" s="6">
        <f>Table3[[#This Row],[Profit]]/Table3[[#This Row],[Sales]]</f>
        <v>0.31152321598693461</v>
      </c>
    </row>
    <row r="3722" spans="1:12" x14ac:dyDescent="0.25">
      <c r="A3722" t="s">
        <v>626</v>
      </c>
      <c r="B3722" s="2">
        <v>44941</v>
      </c>
      <c r="C3722" s="2" t="str">
        <f>TEXT(Table3[[#This Row],[Order Date]],"mmmm")</f>
        <v>January</v>
      </c>
      <c r="D3722" t="s">
        <v>3216</v>
      </c>
      <c r="E3722" t="s">
        <v>3224</v>
      </c>
      <c r="F3722" t="s">
        <v>3226</v>
      </c>
      <c r="G3722" s="4">
        <v>253583.31</v>
      </c>
      <c r="H3722" s="4">
        <v>202866.64800000002</v>
      </c>
      <c r="I3722" s="3" t="s">
        <v>3735</v>
      </c>
      <c r="J3722">
        <v>4</v>
      </c>
      <c r="K3722" s="4">
        <f>Table3[[#This Row],[Sales]]-Table3[[#This Row],[Cost]]</f>
        <v>50716.661999999982</v>
      </c>
      <c r="L3722" s="6">
        <f>Table3[[#This Row],[Profit]]/Table3[[#This Row],[Sales]]</f>
        <v>0.19999999999999993</v>
      </c>
    </row>
    <row r="3723" spans="1:12" x14ac:dyDescent="0.25">
      <c r="A3723" t="s">
        <v>3162</v>
      </c>
      <c r="B3723" s="2">
        <v>45102</v>
      </c>
      <c r="C3723" s="2" t="str">
        <f>TEXT(Table3[[#This Row],[Order Date]],"mmmm")</f>
        <v>June</v>
      </c>
      <c r="D3723" t="s">
        <v>3731</v>
      </c>
      <c r="E3723" t="s">
        <v>3224</v>
      </c>
      <c r="F3723" t="s">
        <v>3226</v>
      </c>
      <c r="G3723" s="4">
        <v>287843.62</v>
      </c>
      <c r="H3723" s="4">
        <v>228118.68</v>
      </c>
      <c r="I3723" s="3" t="s">
        <v>3734</v>
      </c>
      <c r="J3723">
        <v>5</v>
      </c>
      <c r="K3723" s="4">
        <f>Table3[[#This Row],[Sales]]-Table3[[#This Row],[Cost]]</f>
        <v>59724.94</v>
      </c>
      <c r="L3723" s="6">
        <f>Table3[[#This Row],[Profit]]/Table3[[#This Row],[Sales]]</f>
        <v>0.20749092858129009</v>
      </c>
    </row>
    <row r="3724" spans="1:12" x14ac:dyDescent="0.25">
      <c r="A3724" t="s">
        <v>2791</v>
      </c>
      <c r="B3724" s="2" t="s">
        <v>3729</v>
      </c>
      <c r="C3724" s="2" t="str">
        <f>TEXT(Table3[[#This Row],[Order Date]],"mmmm")</f>
        <v>Not Mentioned</v>
      </c>
      <c r="D3724" t="s">
        <v>3216</v>
      </c>
      <c r="E3724" t="s">
        <v>3225</v>
      </c>
      <c r="F3724" t="s">
        <v>3226</v>
      </c>
      <c r="G3724" s="4">
        <v>67451.17</v>
      </c>
      <c r="H3724" s="4">
        <v>53960.936000000002</v>
      </c>
      <c r="I3724" s="3" t="s">
        <v>3735</v>
      </c>
      <c r="J3724">
        <v>4</v>
      </c>
      <c r="K3724" s="4">
        <f>Table3[[#This Row],[Sales]]-Table3[[#This Row],[Cost]]</f>
        <v>13490.233999999997</v>
      </c>
      <c r="L3724" s="6">
        <f>Table3[[#This Row],[Profit]]/Table3[[#This Row],[Sales]]</f>
        <v>0.19999999999999996</v>
      </c>
    </row>
    <row r="3725" spans="1:12" x14ac:dyDescent="0.25">
      <c r="A3725" t="s">
        <v>1919</v>
      </c>
      <c r="B3725" s="2">
        <v>44972</v>
      </c>
      <c r="C3725" s="2" t="str">
        <f>TEXT(Table3[[#This Row],[Order Date]],"mmmm")</f>
        <v>February</v>
      </c>
      <c r="D3725" t="s">
        <v>3220</v>
      </c>
      <c r="E3725" t="s">
        <v>3225</v>
      </c>
      <c r="F3725" t="s">
        <v>3226</v>
      </c>
      <c r="G3725" s="4">
        <v>108934.57</v>
      </c>
      <c r="H3725" s="4">
        <v>68560.36</v>
      </c>
      <c r="I3725" s="3" t="s">
        <v>3734</v>
      </c>
      <c r="J3725">
        <v>5</v>
      </c>
      <c r="K3725" s="4">
        <f>Table3[[#This Row],[Sales]]-Table3[[#This Row],[Cost]]</f>
        <v>40374.210000000006</v>
      </c>
      <c r="L3725" s="6">
        <f>Table3[[#This Row],[Profit]]/Table3[[#This Row],[Sales]]</f>
        <v>0.37062807518311225</v>
      </c>
    </row>
    <row r="3726" spans="1:12" x14ac:dyDescent="0.25">
      <c r="A3726" t="s">
        <v>3027</v>
      </c>
      <c r="B3726" s="2">
        <v>45005</v>
      </c>
      <c r="C3726" s="2" t="str">
        <f>TEXT(Table3[[#This Row],[Order Date]],"mmmm")</f>
        <v>March</v>
      </c>
      <c r="D3726" t="s">
        <v>3730</v>
      </c>
      <c r="E3726" t="s">
        <v>3222</v>
      </c>
      <c r="F3726" t="s">
        <v>3226</v>
      </c>
      <c r="G3726" s="4">
        <v>66729.460000000006</v>
      </c>
      <c r="H3726" s="4">
        <v>54113.04</v>
      </c>
      <c r="I3726" s="3" t="s">
        <v>3734</v>
      </c>
      <c r="J3726">
        <v>5</v>
      </c>
      <c r="K3726" s="4">
        <f>Table3[[#This Row],[Sales]]-Table3[[#This Row],[Cost]]</f>
        <v>12616.420000000006</v>
      </c>
      <c r="L3726" s="6">
        <f>Table3[[#This Row],[Profit]]/Table3[[#This Row],[Sales]]</f>
        <v>0.18906821664674051</v>
      </c>
    </row>
    <row r="3727" spans="1:12" x14ac:dyDescent="0.25">
      <c r="A3727" t="s">
        <v>3725</v>
      </c>
      <c r="B3727" s="2">
        <v>45102</v>
      </c>
      <c r="C3727" s="2" t="str">
        <f>TEXT(Table3[[#This Row],[Order Date]],"mmmm")</f>
        <v>June</v>
      </c>
      <c r="D3727" t="s">
        <v>3731</v>
      </c>
      <c r="E3727" t="s">
        <v>3222</v>
      </c>
      <c r="F3727" t="s">
        <v>3226</v>
      </c>
      <c r="G3727" s="4">
        <v>34266.58</v>
      </c>
      <c r="H3727" s="4">
        <v>17859.91</v>
      </c>
      <c r="I3727" s="3" t="s">
        <v>3734</v>
      </c>
      <c r="J3727">
        <v>2</v>
      </c>
      <c r="K3727" s="4">
        <f>Table3[[#This Row],[Sales]]-Table3[[#This Row],[Cost]]</f>
        <v>16406.670000000002</v>
      </c>
      <c r="L3727" s="6">
        <f>Table3[[#This Row],[Profit]]/Table3[[#This Row],[Sales]]</f>
        <v>0.47879508255565628</v>
      </c>
    </row>
    <row r="3728" spans="1:12" x14ac:dyDescent="0.25">
      <c r="A3728" t="s">
        <v>3164</v>
      </c>
      <c r="B3728" s="2">
        <v>45021</v>
      </c>
      <c r="C3728" s="2" t="str">
        <f>TEXT(Table3[[#This Row],[Order Date]],"mmmm")</f>
        <v>April</v>
      </c>
      <c r="D3728" t="s">
        <v>3730</v>
      </c>
      <c r="E3728" t="s">
        <v>3225</v>
      </c>
      <c r="F3728" t="s">
        <v>3226</v>
      </c>
      <c r="G3728" s="4">
        <v>16200.17</v>
      </c>
      <c r="H3728" s="4">
        <v>13793.6</v>
      </c>
      <c r="I3728" s="3" t="s">
        <v>3734</v>
      </c>
      <c r="J3728">
        <v>1</v>
      </c>
      <c r="K3728" s="4">
        <f>Table3[[#This Row],[Sales]]-Table3[[#This Row],[Cost]]</f>
        <v>2406.5699999999997</v>
      </c>
      <c r="L3728" s="6">
        <f>Table3[[#This Row],[Profit]]/Table3[[#This Row],[Sales]]</f>
        <v>0.14855214482317158</v>
      </c>
    </row>
    <row r="3729" spans="1:12" x14ac:dyDescent="0.25">
      <c r="A3729" t="s">
        <v>3165</v>
      </c>
      <c r="B3729" s="2">
        <v>45005</v>
      </c>
      <c r="C3729" s="2" t="str">
        <f>TEXT(Table3[[#This Row],[Order Date]],"mmmm")</f>
        <v>March</v>
      </c>
      <c r="D3729" t="s">
        <v>3220</v>
      </c>
      <c r="E3729" t="s">
        <v>3223</v>
      </c>
      <c r="F3729" t="s">
        <v>3226</v>
      </c>
      <c r="G3729" s="4">
        <v>22317.96</v>
      </c>
      <c r="H3729" s="4">
        <v>14983.14</v>
      </c>
      <c r="I3729" s="3" t="s">
        <v>3734</v>
      </c>
      <c r="J3729">
        <v>2</v>
      </c>
      <c r="K3729" s="4">
        <f>Table3[[#This Row],[Sales]]-Table3[[#This Row],[Cost]]</f>
        <v>7334.82</v>
      </c>
      <c r="L3729" s="6">
        <f>Table3[[#This Row],[Profit]]/Table3[[#This Row],[Sales]]</f>
        <v>0.3286510057370835</v>
      </c>
    </row>
    <row r="3730" spans="1:12" x14ac:dyDescent="0.25">
      <c r="A3730" t="s">
        <v>3166</v>
      </c>
      <c r="B3730" s="2">
        <v>45005</v>
      </c>
      <c r="C3730" s="2" t="str">
        <f>TEXT(Table3[[#This Row],[Order Date]],"mmmm")</f>
        <v>March</v>
      </c>
      <c r="D3730" t="s">
        <v>3730</v>
      </c>
      <c r="E3730" t="s">
        <v>3224</v>
      </c>
      <c r="F3730" t="s">
        <v>3226</v>
      </c>
      <c r="G3730" s="4">
        <v>220654.15</v>
      </c>
      <c r="H3730" s="4">
        <v>163009.63</v>
      </c>
      <c r="I3730" s="3" t="s">
        <v>3734</v>
      </c>
      <c r="J3730">
        <v>4</v>
      </c>
      <c r="K3730" s="4">
        <f>Table3[[#This Row],[Sales]]-Table3[[#This Row],[Cost]]</f>
        <v>57644.51999999999</v>
      </c>
      <c r="L3730" s="6">
        <f>Table3[[#This Row],[Profit]]/Table3[[#This Row],[Sales]]</f>
        <v>0.2612437608809986</v>
      </c>
    </row>
    <row r="3731" spans="1:12" x14ac:dyDescent="0.25">
      <c r="A3731" t="s">
        <v>3726</v>
      </c>
      <c r="B3731" s="2">
        <v>44972</v>
      </c>
      <c r="C3731" s="2" t="str">
        <f>TEXT(Table3[[#This Row],[Order Date]],"mmmm")</f>
        <v>February</v>
      </c>
      <c r="D3731" t="s">
        <v>3730</v>
      </c>
      <c r="E3731" t="s">
        <v>3222</v>
      </c>
      <c r="F3731" t="s">
        <v>3226</v>
      </c>
      <c r="G3731" s="4">
        <v>67406.11</v>
      </c>
      <c r="H3731" s="4">
        <v>53093.59</v>
      </c>
      <c r="I3731" s="3" t="s">
        <v>3734</v>
      </c>
      <c r="J3731">
        <v>5</v>
      </c>
      <c r="K3731" s="4">
        <f>Table3[[#This Row],[Sales]]-Table3[[#This Row],[Cost]]</f>
        <v>14312.520000000004</v>
      </c>
      <c r="L3731" s="6">
        <f>Table3[[#This Row],[Profit]]/Table3[[#This Row],[Sales]]</f>
        <v>0.2123326802273563</v>
      </c>
    </row>
    <row r="3732" spans="1:12" x14ac:dyDescent="0.25">
      <c r="A3732" t="s">
        <v>2216</v>
      </c>
      <c r="B3732" s="2" t="s">
        <v>3729</v>
      </c>
      <c r="C3732" s="2" t="str">
        <f>TEXT(Table3[[#This Row],[Order Date]],"mmmm")</f>
        <v>Not Mentioned</v>
      </c>
      <c r="D3732" t="s">
        <v>3220</v>
      </c>
      <c r="E3732" t="s">
        <v>3224</v>
      </c>
      <c r="F3732" t="s">
        <v>3226</v>
      </c>
      <c r="G3732" s="4">
        <v>196288.82</v>
      </c>
      <c r="H3732" s="4">
        <v>157071.70000000001</v>
      </c>
      <c r="I3732" s="3" t="s">
        <v>3734</v>
      </c>
      <c r="J3732">
        <v>4</v>
      </c>
      <c r="K3732" s="4">
        <f>Table3[[#This Row],[Sales]]-Table3[[#This Row],[Cost]]</f>
        <v>39217.119999999995</v>
      </c>
      <c r="L3732" s="6">
        <f>Table3[[#This Row],[Profit]]/Table3[[#This Row],[Sales]]</f>
        <v>0.19979293777404131</v>
      </c>
    </row>
    <row r="3733" spans="1:12" x14ac:dyDescent="0.25">
      <c r="A3733" t="s">
        <v>3168</v>
      </c>
      <c r="B3733" s="2">
        <v>45102</v>
      </c>
      <c r="C3733" s="2" t="str">
        <f>TEXT(Table3[[#This Row],[Order Date]],"mmmm")</f>
        <v>June</v>
      </c>
      <c r="D3733" t="s">
        <v>3731</v>
      </c>
      <c r="E3733" t="s">
        <v>3223</v>
      </c>
      <c r="F3733" t="s">
        <v>3226</v>
      </c>
      <c r="G3733" s="4">
        <v>41856.28</v>
      </c>
      <c r="H3733" s="4">
        <v>27246.29</v>
      </c>
      <c r="I3733" s="3" t="s">
        <v>3734</v>
      </c>
      <c r="J3733">
        <v>4</v>
      </c>
      <c r="K3733" s="4">
        <f>Table3[[#This Row],[Sales]]-Table3[[#This Row],[Cost]]</f>
        <v>14609.989999999998</v>
      </c>
      <c r="L3733" s="6">
        <f>Table3[[#This Row],[Profit]]/Table3[[#This Row],[Sales]]</f>
        <v>0.34905132515359699</v>
      </c>
    </row>
    <row r="3734" spans="1:12" x14ac:dyDescent="0.25">
      <c r="A3734" t="s">
        <v>3169</v>
      </c>
      <c r="B3734" s="2">
        <v>45005</v>
      </c>
      <c r="C3734" s="2" t="str">
        <f>TEXT(Table3[[#This Row],[Order Date]],"mmmm")</f>
        <v>March</v>
      </c>
      <c r="D3734" t="s">
        <v>3731</v>
      </c>
      <c r="E3734" t="s">
        <v>3222</v>
      </c>
      <c r="F3734" t="s">
        <v>3226</v>
      </c>
      <c r="G3734" s="4">
        <v>81965.5</v>
      </c>
      <c r="H3734" s="4">
        <v>53245.14</v>
      </c>
      <c r="I3734" s="3" t="s">
        <v>3734</v>
      </c>
      <c r="J3734">
        <v>5</v>
      </c>
      <c r="K3734" s="4">
        <f>Table3[[#This Row],[Sales]]-Table3[[#This Row],[Cost]]</f>
        <v>28720.36</v>
      </c>
      <c r="L3734" s="6">
        <f>Table3[[#This Row],[Profit]]/Table3[[#This Row],[Sales]]</f>
        <v>0.35039571527044916</v>
      </c>
    </row>
    <row r="3735" spans="1:12" x14ac:dyDescent="0.25">
      <c r="A3735" t="s">
        <v>2310</v>
      </c>
      <c r="B3735" s="2">
        <v>45102</v>
      </c>
      <c r="C3735" s="2" t="str">
        <f>TEXT(Table3[[#This Row],[Order Date]],"mmmm")</f>
        <v>June</v>
      </c>
      <c r="D3735" t="s">
        <v>3220</v>
      </c>
      <c r="E3735" t="s">
        <v>3222</v>
      </c>
      <c r="F3735" t="s">
        <v>3226</v>
      </c>
      <c r="G3735" s="4">
        <v>15847.23</v>
      </c>
      <c r="H3735" s="4">
        <v>12677.784</v>
      </c>
      <c r="I3735" s="3" t="s">
        <v>3735</v>
      </c>
      <c r="J3735">
        <v>1</v>
      </c>
      <c r="K3735" s="4">
        <f>Table3[[#This Row],[Sales]]-Table3[[#This Row],[Cost]]</f>
        <v>3169.4459999999999</v>
      </c>
      <c r="L3735" s="6">
        <f>Table3[[#This Row],[Profit]]/Table3[[#This Row],[Sales]]</f>
        <v>0.2</v>
      </c>
    </row>
    <row r="3736" spans="1:12" x14ac:dyDescent="0.25">
      <c r="A3736" t="s">
        <v>3170</v>
      </c>
      <c r="B3736" s="2">
        <v>45005</v>
      </c>
      <c r="C3736" s="2" t="str">
        <f>TEXT(Table3[[#This Row],[Order Date]],"mmmm")</f>
        <v>March</v>
      </c>
      <c r="D3736" t="s">
        <v>3731</v>
      </c>
      <c r="E3736" t="s">
        <v>3225</v>
      </c>
      <c r="F3736" t="s">
        <v>3226</v>
      </c>
      <c r="G3736" s="4">
        <v>43473.279999999999</v>
      </c>
      <c r="H3736" s="4">
        <v>28301.66</v>
      </c>
      <c r="I3736" s="3" t="s">
        <v>3734</v>
      </c>
      <c r="J3736">
        <v>2</v>
      </c>
      <c r="K3736" s="4">
        <f>Table3[[#This Row],[Sales]]-Table3[[#This Row],[Cost]]</f>
        <v>15171.619999999999</v>
      </c>
      <c r="L3736" s="6">
        <f>Table3[[#This Row],[Profit]]/Table3[[#This Row],[Sales]]</f>
        <v>0.34898723997821191</v>
      </c>
    </row>
    <row r="3737" spans="1:12" x14ac:dyDescent="0.25">
      <c r="A3737" t="s">
        <v>3171</v>
      </c>
      <c r="B3737" s="2">
        <v>44941</v>
      </c>
      <c r="C3737" s="2" t="str">
        <f>TEXT(Table3[[#This Row],[Order Date]],"mmmm")</f>
        <v>January</v>
      </c>
      <c r="D3737" t="s">
        <v>3216</v>
      </c>
      <c r="E3737" t="s">
        <v>3224</v>
      </c>
      <c r="F3737" t="s">
        <v>3226</v>
      </c>
      <c r="G3737" s="4">
        <v>255713.2</v>
      </c>
      <c r="H3737" s="4">
        <v>169711.08</v>
      </c>
      <c r="I3737" s="3" t="s">
        <v>3734</v>
      </c>
      <c r="J3737">
        <v>4</v>
      </c>
      <c r="K3737" s="4">
        <f>Table3[[#This Row],[Sales]]-Table3[[#This Row],[Cost]]</f>
        <v>86002.120000000024</v>
      </c>
      <c r="L3737" s="6">
        <f>Table3[[#This Row],[Profit]]/Table3[[#This Row],[Sales]]</f>
        <v>0.33632256762654417</v>
      </c>
    </row>
    <row r="3738" spans="1:12" x14ac:dyDescent="0.25">
      <c r="A3738" t="s">
        <v>3558</v>
      </c>
      <c r="B3738" s="2">
        <v>44972</v>
      </c>
      <c r="C3738" s="2" t="str">
        <f>TEXT(Table3[[#This Row],[Order Date]],"mmmm")</f>
        <v>February</v>
      </c>
      <c r="D3738" t="s">
        <v>3730</v>
      </c>
      <c r="E3738" t="s">
        <v>3225</v>
      </c>
      <c r="F3738" t="s">
        <v>3226</v>
      </c>
      <c r="G3738" s="4">
        <v>77864.009999999995</v>
      </c>
      <c r="H3738" s="4">
        <v>52845.63</v>
      </c>
      <c r="I3738" s="3" t="s">
        <v>3734</v>
      </c>
      <c r="J3738">
        <v>4</v>
      </c>
      <c r="K3738" s="4">
        <f>Table3[[#This Row],[Sales]]-Table3[[#This Row],[Cost]]</f>
        <v>25018.379999999997</v>
      </c>
      <c r="L3738" s="6">
        <f>Table3[[#This Row],[Profit]]/Table3[[#This Row],[Sales]]</f>
        <v>0.3213086508131292</v>
      </c>
    </row>
    <row r="3739" spans="1:12" x14ac:dyDescent="0.25">
      <c r="A3739" t="s">
        <v>3172</v>
      </c>
      <c r="B3739" s="2" t="s">
        <v>3729</v>
      </c>
      <c r="C3739" s="2" t="str">
        <f>TEXT(Table3[[#This Row],[Order Date]],"mmmm")</f>
        <v>Not Mentioned</v>
      </c>
      <c r="D3739" t="s">
        <v>3730</v>
      </c>
      <c r="E3739" t="s">
        <v>3224</v>
      </c>
      <c r="F3739" t="s">
        <v>3226</v>
      </c>
      <c r="G3739" s="4">
        <v>316469.46999999997</v>
      </c>
      <c r="H3739" s="4">
        <v>206380.88</v>
      </c>
      <c r="I3739" s="3" t="s">
        <v>3734</v>
      </c>
      <c r="J3739">
        <v>5</v>
      </c>
      <c r="K3739" s="4">
        <f>Table3[[#This Row],[Sales]]-Table3[[#This Row],[Cost]]</f>
        <v>110088.58999999997</v>
      </c>
      <c r="L3739" s="6">
        <f>Table3[[#This Row],[Profit]]/Table3[[#This Row],[Sales]]</f>
        <v>0.34786480351485399</v>
      </c>
    </row>
    <row r="3740" spans="1:12" x14ac:dyDescent="0.25">
      <c r="A3740" t="s">
        <v>1517</v>
      </c>
      <c r="B3740" s="2">
        <v>45102</v>
      </c>
      <c r="C3740" s="2" t="str">
        <f>TEXT(Table3[[#This Row],[Order Date]],"mmmm")</f>
        <v>June</v>
      </c>
      <c r="D3740" t="s">
        <v>3220</v>
      </c>
      <c r="E3740" t="s">
        <v>3223</v>
      </c>
      <c r="F3740" t="s">
        <v>3226</v>
      </c>
      <c r="G3740" s="4">
        <v>43235.08</v>
      </c>
      <c r="H3740" s="4">
        <v>29205.45</v>
      </c>
      <c r="I3740" s="3" t="s">
        <v>3734</v>
      </c>
      <c r="J3740">
        <v>4</v>
      </c>
      <c r="K3740" s="4">
        <f>Table3[[#This Row],[Sales]]-Table3[[#This Row],[Cost]]</f>
        <v>14029.630000000001</v>
      </c>
      <c r="L3740" s="6">
        <f>Table3[[#This Row],[Profit]]/Table3[[#This Row],[Sales]]</f>
        <v>0.32449645056745591</v>
      </c>
    </row>
    <row r="3741" spans="1:12" x14ac:dyDescent="0.25">
      <c r="A3741" t="s">
        <v>3173</v>
      </c>
      <c r="B3741" s="2">
        <v>44941</v>
      </c>
      <c r="C3741" s="2" t="str">
        <f>TEXT(Table3[[#This Row],[Order Date]],"mmmm")</f>
        <v>January</v>
      </c>
      <c r="D3741" t="s">
        <v>3220</v>
      </c>
      <c r="E3741" t="s">
        <v>3224</v>
      </c>
      <c r="F3741" t="s">
        <v>3226</v>
      </c>
      <c r="G3741" s="4">
        <v>152044.15</v>
      </c>
      <c r="H3741" s="4">
        <v>146689.51999999999</v>
      </c>
      <c r="I3741" s="3" t="s">
        <v>3734</v>
      </c>
      <c r="J3741">
        <v>3</v>
      </c>
      <c r="K3741" s="4">
        <f>Table3[[#This Row],[Sales]]-Table3[[#This Row],[Cost]]</f>
        <v>5354.6300000000047</v>
      </c>
      <c r="L3741" s="6">
        <f>Table3[[#This Row],[Profit]]/Table3[[#This Row],[Sales]]</f>
        <v>3.5217599624845844E-2</v>
      </c>
    </row>
    <row r="3742" spans="1:12" x14ac:dyDescent="0.25">
      <c r="A3742" t="s">
        <v>2131</v>
      </c>
      <c r="B3742" s="2">
        <v>45005</v>
      </c>
      <c r="C3742" s="2" t="str">
        <f>TEXT(Table3[[#This Row],[Order Date]],"mmmm")</f>
        <v>March</v>
      </c>
      <c r="D3742" t="s">
        <v>3730</v>
      </c>
      <c r="E3742" t="s">
        <v>3225</v>
      </c>
      <c r="F3742" t="s">
        <v>3226</v>
      </c>
      <c r="G3742" s="4">
        <v>58749.58</v>
      </c>
      <c r="H3742" s="4">
        <v>45681.05</v>
      </c>
      <c r="I3742" s="3" t="s">
        <v>3734</v>
      </c>
      <c r="J3742">
        <v>3</v>
      </c>
      <c r="K3742" s="4">
        <f>Table3[[#This Row],[Sales]]-Table3[[#This Row],[Cost]]</f>
        <v>13068.529999999999</v>
      </c>
      <c r="L3742" s="6">
        <f>Table3[[#This Row],[Profit]]/Table3[[#This Row],[Sales]]</f>
        <v>0.22244465407242059</v>
      </c>
    </row>
    <row r="3743" spans="1:12" x14ac:dyDescent="0.25">
      <c r="A3743" t="s">
        <v>3174</v>
      </c>
      <c r="B3743" s="2">
        <v>45021</v>
      </c>
      <c r="C3743" s="2" t="str">
        <f>TEXT(Table3[[#This Row],[Order Date]],"mmmm")</f>
        <v>April</v>
      </c>
      <c r="D3743" t="s">
        <v>3731</v>
      </c>
      <c r="E3743" t="s">
        <v>3223</v>
      </c>
      <c r="F3743" t="s">
        <v>3226</v>
      </c>
      <c r="G3743" s="4">
        <v>20071.39</v>
      </c>
      <c r="H3743" s="4">
        <v>12678.14</v>
      </c>
      <c r="I3743" s="3" t="s">
        <v>3734</v>
      </c>
      <c r="J3743">
        <v>2</v>
      </c>
      <c r="K3743" s="4">
        <f>Table3[[#This Row],[Sales]]-Table3[[#This Row],[Cost]]</f>
        <v>7393.25</v>
      </c>
      <c r="L3743" s="6">
        <f>Table3[[#This Row],[Profit]]/Table3[[#This Row],[Sales]]</f>
        <v>0.36834768294572523</v>
      </c>
    </row>
    <row r="3744" spans="1:12" x14ac:dyDescent="0.25">
      <c r="A3744" t="s">
        <v>3175</v>
      </c>
      <c r="B3744" s="2">
        <v>44941</v>
      </c>
      <c r="C3744" s="2" t="str">
        <f>TEXT(Table3[[#This Row],[Order Date]],"mmmm")</f>
        <v>January</v>
      </c>
      <c r="D3744" t="s">
        <v>3731</v>
      </c>
      <c r="E3744" t="s">
        <v>3223</v>
      </c>
      <c r="F3744" t="s">
        <v>3226</v>
      </c>
      <c r="G3744" s="4">
        <v>8016.43</v>
      </c>
      <c r="H3744" s="4">
        <v>6464.93</v>
      </c>
      <c r="I3744" s="3" t="s">
        <v>3734</v>
      </c>
      <c r="J3744">
        <v>1</v>
      </c>
      <c r="K3744" s="4">
        <f>Table3[[#This Row],[Sales]]-Table3[[#This Row],[Cost]]</f>
        <v>1551.5</v>
      </c>
      <c r="L3744" s="6">
        <f>Table3[[#This Row],[Profit]]/Table3[[#This Row],[Sales]]</f>
        <v>0.19354001718969666</v>
      </c>
    </row>
    <row r="3745" spans="1:12" x14ac:dyDescent="0.25">
      <c r="A3745" t="s">
        <v>3177</v>
      </c>
      <c r="B3745" s="2">
        <v>45021</v>
      </c>
      <c r="C3745" s="2" t="str">
        <f>TEXT(Table3[[#This Row],[Order Date]],"mmmm")</f>
        <v>April</v>
      </c>
      <c r="D3745" t="s">
        <v>3220</v>
      </c>
      <c r="E3745" t="s">
        <v>3225</v>
      </c>
      <c r="F3745" t="s">
        <v>3226</v>
      </c>
      <c r="G3745" s="4">
        <v>44594.98</v>
      </c>
      <c r="H3745" s="4">
        <v>29032.49</v>
      </c>
      <c r="I3745" s="3" t="s">
        <v>3734</v>
      </c>
      <c r="J3745">
        <v>2</v>
      </c>
      <c r="K3745" s="4">
        <f>Table3[[#This Row],[Sales]]-Table3[[#This Row],[Cost]]</f>
        <v>15562.490000000002</v>
      </c>
      <c r="L3745" s="6">
        <f>Table3[[#This Row],[Profit]]/Table3[[#This Row],[Sales]]</f>
        <v>0.34897403250321002</v>
      </c>
    </row>
    <row r="3746" spans="1:12" x14ac:dyDescent="0.25">
      <c r="A3746" t="s">
        <v>3178</v>
      </c>
      <c r="B3746" s="2">
        <v>44941</v>
      </c>
      <c r="C3746" s="2" t="str">
        <f>TEXT(Table3[[#This Row],[Order Date]],"mmmm")</f>
        <v>January</v>
      </c>
      <c r="D3746" t="s">
        <v>3220</v>
      </c>
      <c r="E3746" t="s">
        <v>3225</v>
      </c>
      <c r="F3746" t="s">
        <v>3226</v>
      </c>
      <c r="G3746" s="4">
        <v>50204.41</v>
      </c>
      <c r="H3746" s="4">
        <v>39225.129999999997</v>
      </c>
      <c r="I3746" s="3" t="s">
        <v>3734</v>
      </c>
      <c r="J3746">
        <v>3</v>
      </c>
      <c r="K3746" s="4">
        <f>Table3[[#This Row],[Sales]]-Table3[[#This Row],[Cost]]</f>
        <v>10979.280000000006</v>
      </c>
      <c r="L3746" s="6">
        <f>Table3[[#This Row],[Profit]]/Table3[[#This Row],[Sales]]</f>
        <v>0.21869154522481202</v>
      </c>
    </row>
    <row r="3747" spans="1:12" x14ac:dyDescent="0.25">
      <c r="A3747" t="s">
        <v>294</v>
      </c>
      <c r="B3747" s="2">
        <v>45005</v>
      </c>
      <c r="C3747" s="2" t="str">
        <f>TEXT(Table3[[#This Row],[Order Date]],"mmmm")</f>
        <v>March</v>
      </c>
      <c r="D3747" t="s">
        <v>3216</v>
      </c>
      <c r="E3747" t="s">
        <v>3223</v>
      </c>
      <c r="F3747" t="s">
        <v>3226</v>
      </c>
      <c r="G3747" s="4">
        <v>21006.67</v>
      </c>
      <c r="H3747" s="4">
        <v>13081.38</v>
      </c>
      <c r="I3747" s="3" t="s">
        <v>3734</v>
      </c>
      <c r="J3747" t="s">
        <v>3732</v>
      </c>
      <c r="K3747" s="4">
        <f>Table3[[#This Row],[Sales]]-Table3[[#This Row],[Cost]]</f>
        <v>7925.2899999999991</v>
      </c>
      <c r="L3747" s="6">
        <f>Table3[[#This Row],[Profit]]/Table3[[#This Row],[Sales]]</f>
        <v>0.37727493220010594</v>
      </c>
    </row>
    <row r="3748" spans="1:12" x14ac:dyDescent="0.25">
      <c r="A3748" t="s">
        <v>3179</v>
      </c>
      <c r="B3748" s="2">
        <v>44972</v>
      </c>
      <c r="C3748" s="2" t="str">
        <f>TEXT(Table3[[#This Row],[Order Date]],"mmmm")</f>
        <v>February</v>
      </c>
      <c r="D3748" t="s">
        <v>3220</v>
      </c>
      <c r="E3748" t="s">
        <v>3225</v>
      </c>
      <c r="F3748" t="s">
        <v>3226</v>
      </c>
      <c r="G3748" s="4">
        <v>67146.06</v>
      </c>
      <c r="H3748" s="4">
        <v>44404.68</v>
      </c>
      <c r="I3748" s="3" t="s">
        <v>3734</v>
      </c>
      <c r="J3748">
        <v>3</v>
      </c>
      <c r="K3748" s="4">
        <f>Table3[[#This Row],[Sales]]-Table3[[#This Row],[Cost]]</f>
        <v>22741.379999999997</v>
      </c>
      <c r="L3748" s="6">
        <f>Table3[[#This Row],[Profit]]/Table3[[#This Row],[Sales]]</f>
        <v>0.33868524824837076</v>
      </c>
    </row>
    <row r="3749" spans="1:12" x14ac:dyDescent="0.25">
      <c r="A3749" t="s">
        <v>3180</v>
      </c>
      <c r="B3749" s="2">
        <v>44941</v>
      </c>
      <c r="C3749" s="2" t="str">
        <f>TEXT(Table3[[#This Row],[Order Date]],"mmmm")</f>
        <v>January</v>
      </c>
      <c r="D3749" t="s">
        <v>3730</v>
      </c>
      <c r="E3749" t="s">
        <v>3225</v>
      </c>
      <c r="F3749" t="s">
        <v>3226</v>
      </c>
      <c r="G3749" s="4">
        <v>44951.62</v>
      </c>
      <c r="H3749" s="4">
        <v>25448.67</v>
      </c>
      <c r="I3749" s="3" t="s">
        <v>3734</v>
      </c>
      <c r="J3749">
        <v>2</v>
      </c>
      <c r="K3749" s="4">
        <f>Table3[[#This Row],[Sales]]-Table3[[#This Row],[Cost]]</f>
        <v>19502.950000000004</v>
      </c>
      <c r="L3749" s="6">
        <f>Table3[[#This Row],[Profit]]/Table3[[#This Row],[Sales]]</f>
        <v>0.4338653423391638</v>
      </c>
    </row>
    <row r="3750" spans="1:12" x14ac:dyDescent="0.25">
      <c r="A3750" t="s">
        <v>3099</v>
      </c>
      <c r="B3750" s="2">
        <v>45005</v>
      </c>
      <c r="C3750" s="2" t="str">
        <f>TEXT(Table3[[#This Row],[Order Date]],"mmmm")</f>
        <v>March</v>
      </c>
      <c r="D3750" t="s">
        <v>3731</v>
      </c>
      <c r="E3750" t="s">
        <v>3222</v>
      </c>
      <c r="F3750" t="s">
        <v>3226</v>
      </c>
      <c r="G3750" s="4">
        <v>33602.9</v>
      </c>
      <c r="H3750" s="4">
        <v>19672.59</v>
      </c>
      <c r="I3750" s="3" t="s">
        <v>3734</v>
      </c>
      <c r="J3750" t="s">
        <v>3732</v>
      </c>
      <c r="K3750" s="4">
        <f>Table3[[#This Row],[Sales]]-Table3[[#This Row],[Cost]]</f>
        <v>13930.310000000001</v>
      </c>
      <c r="L3750" s="6">
        <f>Table3[[#This Row],[Profit]]/Table3[[#This Row],[Sales]]</f>
        <v>0.41455677932559393</v>
      </c>
    </row>
    <row r="3751" spans="1:12" x14ac:dyDescent="0.25">
      <c r="A3751" t="s">
        <v>3181</v>
      </c>
      <c r="B3751" s="2" t="s">
        <v>3729</v>
      </c>
      <c r="C3751" s="2" t="str">
        <f>TEXT(Table3[[#This Row],[Order Date]],"mmmm")</f>
        <v>Not Mentioned</v>
      </c>
      <c r="D3751" t="s">
        <v>3730</v>
      </c>
      <c r="E3751" t="s">
        <v>3223</v>
      </c>
      <c r="F3751" t="s">
        <v>3226</v>
      </c>
      <c r="G3751" s="4">
        <v>45686.17</v>
      </c>
      <c r="H3751" s="4">
        <v>25486.47</v>
      </c>
      <c r="I3751" s="3" t="s">
        <v>3734</v>
      </c>
      <c r="J3751">
        <v>4</v>
      </c>
      <c r="K3751" s="4">
        <f>Table3[[#This Row],[Sales]]-Table3[[#This Row],[Cost]]</f>
        <v>20199.699999999997</v>
      </c>
      <c r="L3751" s="6">
        <f>Table3[[#This Row],[Profit]]/Table3[[#This Row],[Sales]]</f>
        <v>0.44214036764298686</v>
      </c>
    </row>
    <row r="3752" spans="1:12" x14ac:dyDescent="0.25">
      <c r="A3752" t="s">
        <v>3182</v>
      </c>
      <c r="B3752" s="2" t="s">
        <v>3729</v>
      </c>
      <c r="C3752" s="2" t="str">
        <f>TEXT(Table3[[#This Row],[Order Date]],"mmmm")</f>
        <v>Not Mentioned</v>
      </c>
      <c r="D3752" t="s">
        <v>3220</v>
      </c>
      <c r="E3752" t="s">
        <v>3224</v>
      </c>
      <c r="F3752" t="s">
        <v>3226</v>
      </c>
      <c r="G3752" s="4">
        <v>207765.86</v>
      </c>
      <c r="H3752" s="4">
        <v>166212.68799999999</v>
      </c>
      <c r="I3752" s="3" t="s">
        <v>3735</v>
      </c>
      <c r="J3752">
        <v>3</v>
      </c>
      <c r="K3752" s="4">
        <f>Table3[[#This Row],[Sales]]-Table3[[#This Row],[Cost]]</f>
        <v>41553.171999999991</v>
      </c>
      <c r="L3752" s="6">
        <f>Table3[[#This Row],[Profit]]/Table3[[#This Row],[Sales]]</f>
        <v>0.19999999999999998</v>
      </c>
    </row>
    <row r="3753" spans="1:12" x14ac:dyDescent="0.25">
      <c r="A3753" t="s">
        <v>3599</v>
      </c>
      <c r="B3753" s="2">
        <v>45102</v>
      </c>
      <c r="C3753" s="2" t="str">
        <f>TEXT(Table3[[#This Row],[Order Date]],"mmmm")</f>
        <v>June</v>
      </c>
      <c r="D3753" t="s">
        <v>3220</v>
      </c>
      <c r="E3753" t="s">
        <v>3224</v>
      </c>
      <c r="F3753" t="s">
        <v>3226</v>
      </c>
      <c r="G3753" s="4">
        <v>310595.65000000002</v>
      </c>
      <c r="H3753" s="4">
        <v>242094.18</v>
      </c>
      <c r="I3753" s="3" t="s">
        <v>3734</v>
      </c>
      <c r="J3753" t="s">
        <v>3732</v>
      </c>
      <c r="K3753" s="4">
        <f>Table3[[#This Row],[Sales]]-Table3[[#This Row],[Cost]]</f>
        <v>68501.47000000003</v>
      </c>
      <c r="L3753" s="6">
        <f>Table3[[#This Row],[Profit]]/Table3[[#This Row],[Sales]]</f>
        <v>0.22054871019603792</v>
      </c>
    </row>
    <row r="3754" spans="1:12" x14ac:dyDescent="0.25">
      <c r="A3754" t="s">
        <v>2395</v>
      </c>
      <c r="B3754" s="2">
        <v>45021</v>
      </c>
      <c r="C3754" s="2" t="str">
        <f>TEXT(Table3[[#This Row],[Order Date]],"mmmm")</f>
        <v>April</v>
      </c>
      <c r="D3754" t="s">
        <v>3220</v>
      </c>
      <c r="E3754" t="s">
        <v>3222</v>
      </c>
      <c r="F3754" t="s">
        <v>3226</v>
      </c>
      <c r="G3754" s="4">
        <v>71392.509999999995</v>
      </c>
      <c r="H3754" s="4">
        <v>52064.959999999999</v>
      </c>
      <c r="I3754" s="3" t="s">
        <v>3734</v>
      </c>
      <c r="J3754">
        <v>5</v>
      </c>
      <c r="K3754" s="4">
        <f>Table3[[#This Row],[Sales]]-Table3[[#This Row],[Cost]]</f>
        <v>19327.549999999996</v>
      </c>
      <c r="L3754" s="6">
        <f>Table3[[#This Row],[Profit]]/Table3[[#This Row],[Sales]]</f>
        <v>0.27072237689920131</v>
      </c>
    </row>
    <row r="3755" spans="1:12" x14ac:dyDescent="0.25">
      <c r="A3755" t="s">
        <v>3183</v>
      </c>
      <c r="B3755" s="2">
        <v>44972</v>
      </c>
      <c r="C3755" s="2" t="str">
        <f>TEXT(Table3[[#This Row],[Order Date]],"mmmm")</f>
        <v>February</v>
      </c>
      <c r="D3755" t="s">
        <v>3731</v>
      </c>
      <c r="E3755" t="s">
        <v>3223</v>
      </c>
      <c r="F3755" t="s">
        <v>3226</v>
      </c>
      <c r="G3755" s="4">
        <v>35513.339999999997</v>
      </c>
      <c r="H3755" s="4">
        <v>18623.7</v>
      </c>
      <c r="I3755" s="3" t="s">
        <v>3734</v>
      </c>
      <c r="J3755">
        <v>3</v>
      </c>
      <c r="K3755" s="4">
        <f>Table3[[#This Row],[Sales]]-Table3[[#This Row],[Cost]]</f>
        <v>16889.639999999996</v>
      </c>
      <c r="L3755" s="6">
        <f>Table3[[#This Row],[Profit]]/Table3[[#This Row],[Sales]]</f>
        <v>0.47558579395798867</v>
      </c>
    </row>
    <row r="3756" spans="1:12" x14ac:dyDescent="0.25">
      <c r="A3756" t="s">
        <v>3103</v>
      </c>
      <c r="B3756" s="2">
        <v>45102</v>
      </c>
      <c r="C3756" s="2" t="str">
        <f>TEXT(Table3[[#This Row],[Order Date]],"mmmm")</f>
        <v>June</v>
      </c>
      <c r="D3756" t="s">
        <v>3220</v>
      </c>
      <c r="E3756" t="s">
        <v>3224</v>
      </c>
      <c r="F3756" t="s">
        <v>3226</v>
      </c>
      <c r="G3756" s="4">
        <v>319912.36</v>
      </c>
      <c r="H3756" s="4">
        <v>200091.26</v>
      </c>
      <c r="I3756" s="3" t="s">
        <v>3734</v>
      </c>
      <c r="J3756">
        <v>5</v>
      </c>
      <c r="K3756" s="4">
        <f>Table3[[#This Row],[Sales]]-Table3[[#This Row],[Cost]]</f>
        <v>119821.09999999998</v>
      </c>
      <c r="L3756" s="6">
        <f>Table3[[#This Row],[Profit]]/Table3[[#This Row],[Sales]]</f>
        <v>0.37454351560533633</v>
      </c>
    </row>
    <row r="3757" spans="1:12" x14ac:dyDescent="0.25">
      <c r="A3757" t="s">
        <v>3185</v>
      </c>
      <c r="B3757" s="2" t="s">
        <v>3729</v>
      </c>
      <c r="C3757" s="2" t="str">
        <f>TEXT(Table3[[#This Row],[Order Date]],"mmmm")</f>
        <v>Not Mentioned</v>
      </c>
      <c r="D3757" t="s">
        <v>3220</v>
      </c>
      <c r="E3757" t="s">
        <v>3222</v>
      </c>
      <c r="F3757" t="s">
        <v>3226</v>
      </c>
      <c r="G3757" s="4">
        <v>66171.520000000004</v>
      </c>
      <c r="H3757" s="4">
        <v>50116.94</v>
      </c>
      <c r="I3757" s="3" t="s">
        <v>3734</v>
      </c>
      <c r="J3757">
        <v>5</v>
      </c>
      <c r="K3757" s="4">
        <f>Table3[[#This Row],[Sales]]-Table3[[#This Row],[Cost]]</f>
        <v>16054.580000000002</v>
      </c>
      <c r="L3757" s="6">
        <f>Table3[[#This Row],[Profit]]/Table3[[#This Row],[Sales]]</f>
        <v>0.24262069240664264</v>
      </c>
    </row>
    <row r="3758" spans="1:12" x14ac:dyDescent="0.25">
      <c r="A3758" t="s">
        <v>3246</v>
      </c>
      <c r="B3758" s="2">
        <v>45102</v>
      </c>
      <c r="C3758" s="2" t="str">
        <f>TEXT(Table3[[#This Row],[Order Date]],"mmmm")</f>
        <v>June</v>
      </c>
      <c r="D3758" t="s">
        <v>3730</v>
      </c>
      <c r="E3758" t="s">
        <v>3222</v>
      </c>
      <c r="F3758" t="s">
        <v>3226</v>
      </c>
      <c r="G3758" s="4">
        <v>16172.95</v>
      </c>
      <c r="H3758" s="4">
        <v>10743.48</v>
      </c>
      <c r="I3758" s="3" t="s">
        <v>3734</v>
      </c>
      <c r="J3758">
        <v>1</v>
      </c>
      <c r="K3758" s="4">
        <f>Table3[[#This Row],[Sales]]-Table3[[#This Row],[Cost]]</f>
        <v>5429.4700000000012</v>
      </c>
      <c r="L3758" s="6">
        <f>Table3[[#This Row],[Profit]]/Table3[[#This Row],[Sales]]</f>
        <v>0.33571302699878508</v>
      </c>
    </row>
    <row r="3759" spans="1:12" x14ac:dyDescent="0.25">
      <c r="A3759" t="s">
        <v>3186</v>
      </c>
      <c r="B3759" s="2">
        <v>45021</v>
      </c>
      <c r="C3759" s="2" t="str">
        <f>TEXT(Table3[[#This Row],[Order Date]],"mmmm")</f>
        <v>April</v>
      </c>
      <c r="D3759" t="s">
        <v>3731</v>
      </c>
      <c r="E3759" t="s">
        <v>3224</v>
      </c>
      <c r="F3759" t="s">
        <v>3226</v>
      </c>
      <c r="G3759" s="4">
        <v>56401.82</v>
      </c>
      <c r="H3759" s="4">
        <v>39248.92</v>
      </c>
      <c r="I3759" s="3" t="s">
        <v>3734</v>
      </c>
      <c r="J3759">
        <v>1</v>
      </c>
      <c r="K3759" s="4">
        <f>Table3[[#This Row],[Sales]]-Table3[[#This Row],[Cost]]</f>
        <v>17152.900000000001</v>
      </c>
      <c r="L3759" s="6">
        <f>Table3[[#This Row],[Profit]]/Table3[[#This Row],[Sales]]</f>
        <v>0.30411961883499505</v>
      </c>
    </row>
    <row r="3760" spans="1:12" x14ac:dyDescent="0.25">
      <c r="A3760" t="s">
        <v>1641</v>
      </c>
      <c r="B3760" s="2">
        <v>45102</v>
      </c>
      <c r="C3760" s="2" t="str">
        <f>TEXT(Table3[[#This Row],[Order Date]],"mmmm")</f>
        <v>June</v>
      </c>
      <c r="D3760" t="s">
        <v>3731</v>
      </c>
      <c r="E3760" t="s">
        <v>3224</v>
      </c>
      <c r="F3760" t="s">
        <v>3226</v>
      </c>
      <c r="G3760" s="4">
        <v>206775.67999999999</v>
      </c>
      <c r="H3760" s="4">
        <v>197630.49</v>
      </c>
      <c r="I3760" s="3" t="s">
        <v>3734</v>
      </c>
      <c r="J3760">
        <v>4</v>
      </c>
      <c r="K3760" s="4">
        <f>Table3[[#This Row],[Sales]]-Table3[[#This Row],[Cost]]</f>
        <v>9145.1900000000023</v>
      </c>
      <c r="L3760" s="6">
        <f>Table3[[#This Row],[Profit]]/Table3[[#This Row],[Sales]]</f>
        <v>4.4227590014454324E-2</v>
      </c>
    </row>
    <row r="3761" spans="1:12" x14ac:dyDescent="0.25">
      <c r="A3761" t="s">
        <v>3187</v>
      </c>
      <c r="B3761" s="2">
        <v>45021</v>
      </c>
      <c r="C3761" s="2" t="str">
        <f>TEXT(Table3[[#This Row],[Order Date]],"mmmm")</f>
        <v>April</v>
      </c>
      <c r="D3761" t="s">
        <v>3216</v>
      </c>
      <c r="E3761" t="s">
        <v>3223</v>
      </c>
      <c r="F3761" t="s">
        <v>3226</v>
      </c>
      <c r="G3761" s="4">
        <v>23473.23</v>
      </c>
      <c r="H3761" s="4">
        <v>18778.583999999999</v>
      </c>
      <c r="I3761" s="3" t="s">
        <v>3735</v>
      </c>
      <c r="J3761">
        <v>2</v>
      </c>
      <c r="K3761" s="4">
        <f>Table3[[#This Row],[Sales]]-Table3[[#This Row],[Cost]]</f>
        <v>4694.6460000000006</v>
      </c>
      <c r="L3761" s="6">
        <f>Table3[[#This Row],[Profit]]/Table3[[#This Row],[Sales]]</f>
        <v>0.20000000000000004</v>
      </c>
    </row>
    <row r="3762" spans="1:12" x14ac:dyDescent="0.25">
      <c r="A3762" t="s">
        <v>3355</v>
      </c>
      <c r="B3762" s="2">
        <v>45102</v>
      </c>
      <c r="C3762" s="2" t="str">
        <f>TEXT(Table3[[#This Row],[Order Date]],"mmmm")</f>
        <v>June</v>
      </c>
      <c r="D3762" t="s">
        <v>3220</v>
      </c>
      <c r="E3762" t="s">
        <v>3223</v>
      </c>
      <c r="F3762" t="s">
        <v>3226</v>
      </c>
      <c r="G3762" s="4">
        <v>34962.699999999997</v>
      </c>
      <c r="H3762" s="4">
        <v>20468.59</v>
      </c>
      <c r="I3762" s="3" t="s">
        <v>3734</v>
      </c>
      <c r="J3762">
        <v>3</v>
      </c>
      <c r="K3762" s="4">
        <f>Table3[[#This Row],[Sales]]-Table3[[#This Row],[Cost]]</f>
        <v>14494.109999999997</v>
      </c>
      <c r="L3762" s="6">
        <f>Table3[[#This Row],[Profit]]/Table3[[#This Row],[Sales]]</f>
        <v>0.41455923026539709</v>
      </c>
    </row>
    <row r="3763" spans="1:12" x14ac:dyDescent="0.25">
      <c r="A3763" t="s">
        <v>3188</v>
      </c>
      <c r="B3763" s="2">
        <v>45102</v>
      </c>
      <c r="C3763" s="2" t="str">
        <f>TEXT(Table3[[#This Row],[Order Date]],"mmmm")</f>
        <v>June</v>
      </c>
      <c r="D3763" t="s">
        <v>3731</v>
      </c>
      <c r="E3763" t="s">
        <v>3225</v>
      </c>
      <c r="F3763" t="s">
        <v>3226</v>
      </c>
      <c r="G3763" s="4">
        <v>21806.58</v>
      </c>
      <c r="H3763" s="4">
        <v>12036.89</v>
      </c>
      <c r="I3763" s="3" t="s">
        <v>3734</v>
      </c>
      <c r="J3763">
        <v>1</v>
      </c>
      <c r="K3763" s="4">
        <f>Table3[[#This Row],[Sales]]-Table3[[#This Row],[Cost]]</f>
        <v>9769.6900000000023</v>
      </c>
      <c r="L3763" s="6">
        <f>Table3[[#This Row],[Profit]]/Table3[[#This Row],[Sales]]</f>
        <v>0.44801569067685082</v>
      </c>
    </row>
    <row r="3764" spans="1:12" x14ac:dyDescent="0.25">
      <c r="A3764" t="s">
        <v>3528</v>
      </c>
      <c r="B3764" s="2">
        <v>45102</v>
      </c>
      <c r="C3764" s="2" t="str">
        <f>TEXT(Table3[[#This Row],[Order Date]],"mmmm")</f>
        <v>June</v>
      </c>
      <c r="D3764" t="s">
        <v>3730</v>
      </c>
      <c r="E3764" t="s">
        <v>3225</v>
      </c>
      <c r="F3764" t="s">
        <v>3226</v>
      </c>
      <c r="G3764" s="4">
        <v>60948.56</v>
      </c>
      <c r="H3764" s="4">
        <v>41386</v>
      </c>
      <c r="I3764" s="3" t="s">
        <v>3734</v>
      </c>
      <c r="J3764">
        <v>3</v>
      </c>
      <c r="K3764" s="4">
        <f>Table3[[#This Row],[Sales]]-Table3[[#This Row],[Cost]]</f>
        <v>19562.559999999998</v>
      </c>
      <c r="L3764" s="6">
        <f>Table3[[#This Row],[Profit]]/Table3[[#This Row],[Sales]]</f>
        <v>0.32096837070473855</v>
      </c>
    </row>
    <row r="3765" spans="1:12" x14ac:dyDescent="0.25">
      <c r="A3765" t="s">
        <v>3265</v>
      </c>
      <c r="B3765" s="2">
        <v>45005</v>
      </c>
      <c r="C3765" s="2" t="str">
        <f>TEXT(Table3[[#This Row],[Order Date]],"mmmm")</f>
        <v>March</v>
      </c>
      <c r="D3765" t="s">
        <v>3731</v>
      </c>
      <c r="E3765" t="s">
        <v>3225</v>
      </c>
      <c r="F3765" t="s">
        <v>3226</v>
      </c>
      <c r="G3765" s="4">
        <v>99135.33</v>
      </c>
      <c r="H3765" s="4">
        <v>73645.78</v>
      </c>
      <c r="I3765" s="3" t="s">
        <v>3734</v>
      </c>
      <c r="J3765">
        <v>5</v>
      </c>
      <c r="K3765" s="4">
        <f>Table3[[#This Row],[Sales]]-Table3[[#This Row],[Cost]]</f>
        <v>25489.550000000003</v>
      </c>
      <c r="L3765" s="6">
        <f>Table3[[#This Row],[Profit]]/Table3[[#This Row],[Sales]]</f>
        <v>0.25711872850980577</v>
      </c>
    </row>
    <row r="3766" spans="1:12" x14ac:dyDescent="0.25">
      <c r="A3766" t="s">
        <v>3191</v>
      </c>
      <c r="B3766" s="2">
        <v>44972</v>
      </c>
      <c r="C3766" s="2" t="str">
        <f>TEXT(Table3[[#This Row],[Order Date]],"mmmm")</f>
        <v>February</v>
      </c>
      <c r="D3766" t="s">
        <v>3220</v>
      </c>
      <c r="E3766" t="s">
        <v>3223</v>
      </c>
      <c r="F3766" t="s">
        <v>3226</v>
      </c>
      <c r="G3766" s="4">
        <v>8864.59</v>
      </c>
      <c r="H3766" s="4">
        <v>7432.45</v>
      </c>
      <c r="I3766" s="3" t="s">
        <v>3734</v>
      </c>
      <c r="J3766">
        <v>1</v>
      </c>
      <c r="K3766" s="4">
        <f>Table3[[#This Row],[Sales]]-Table3[[#This Row],[Cost]]</f>
        <v>1432.1400000000003</v>
      </c>
      <c r="L3766" s="6">
        <f>Table3[[#This Row],[Profit]]/Table3[[#This Row],[Sales]]</f>
        <v>0.16155738731289324</v>
      </c>
    </row>
    <row r="3767" spans="1:12" x14ac:dyDescent="0.25">
      <c r="A3767" t="s">
        <v>3192</v>
      </c>
      <c r="B3767" s="2">
        <v>44972</v>
      </c>
      <c r="C3767" s="2" t="str">
        <f>TEXT(Table3[[#This Row],[Order Date]],"mmmm")</f>
        <v>February</v>
      </c>
      <c r="D3767" t="s">
        <v>3730</v>
      </c>
      <c r="E3767" t="s">
        <v>3225</v>
      </c>
      <c r="F3767" t="s">
        <v>3226</v>
      </c>
      <c r="G3767" s="4">
        <v>91752.78</v>
      </c>
      <c r="H3767" s="4">
        <v>76176.75</v>
      </c>
      <c r="I3767" s="3" t="s">
        <v>3734</v>
      </c>
      <c r="J3767">
        <v>5</v>
      </c>
      <c r="K3767" s="4">
        <f>Table3[[#This Row],[Sales]]-Table3[[#This Row],[Cost]]</f>
        <v>15576.029999999999</v>
      </c>
      <c r="L3767" s="6">
        <f>Table3[[#This Row],[Profit]]/Table3[[#This Row],[Sales]]</f>
        <v>0.16976085084288453</v>
      </c>
    </row>
    <row r="3768" spans="1:12" x14ac:dyDescent="0.25">
      <c r="A3768" t="s">
        <v>2582</v>
      </c>
      <c r="B3768" s="2" t="s">
        <v>3729</v>
      </c>
      <c r="C3768" s="2" t="str">
        <f>TEXT(Table3[[#This Row],[Order Date]],"mmmm")</f>
        <v>Not Mentioned</v>
      </c>
      <c r="D3768" t="s">
        <v>3220</v>
      </c>
      <c r="E3768" t="s">
        <v>3224</v>
      </c>
      <c r="F3768" t="s">
        <v>3226</v>
      </c>
      <c r="G3768" s="4">
        <v>214607.26</v>
      </c>
      <c r="H3768" s="4">
        <v>135526.98000000001</v>
      </c>
      <c r="I3768" s="3" t="s">
        <v>3734</v>
      </c>
      <c r="J3768">
        <v>3</v>
      </c>
      <c r="K3768" s="4">
        <f>Table3[[#This Row],[Sales]]-Table3[[#This Row],[Cost]]</f>
        <v>79080.28</v>
      </c>
      <c r="L3768" s="6">
        <f>Table3[[#This Row],[Profit]]/Table3[[#This Row],[Sales]]</f>
        <v>0.36848837266735524</v>
      </c>
    </row>
    <row r="3769" spans="1:12" x14ac:dyDescent="0.25">
      <c r="A3769" t="s">
        <v>3317</v>
      </c>
      <c r="B3769" s="2">
        <v>45021</v>
      </c>
      <c r="C3769" s="2" t="str">
        <f>TEXT(Table3[[#This Row],[Order Date]],"mmmm")</f>
        <v>April</v>
      </c>
      <c r="D3769" t="s">
        <v>3730</v>
      </c>
      <c r="E3769" t="s">
        <v>3224</v>
      </c>
      <c r="F3769" t="s">
        <v>3226</v>
      </c>
      <c r="G3769" s="4">
        <v>99488.45</v>
      </c>
      <c r="H3769" s="4">
        <v>97739.8</v>
      </c>
      <c r="I3769" s="3" t="s">
        <v>3734</v>
      </c>
      <c r="J3769">
        <v>2</v>
      </c>
      <c r="K3769" s="4">
        <f>Table3[[#This Row],[Sales]]-Table3[[#This Row],[Cost]]</f>
        <v>1748.6499999999942</v>
      </c>
      <c r="L3769" s="6">
        <f>Table3[[#This Row],[Profit]]/Table3[[#This Row],[Sales]]</f>
        <v>1.7576412136283099E-2</v>
      </c>
    </row>
    <row r="3770" spans="1:12" x14ac:dyDescent="0.25">
      <c r="A3770" t="s">
        <v>769</v>
      </c>
      <c r="B3770" s="2">
        <v>45021</v>
      </c>
      <c r="C3770" s="2" t="str">
        <f>TEXT(Table3[[#This Row],[Order Date]],"mmmm")</f>
        <v>April</v>
      </c>
      <c r="D3770" t="s">
        <v>3730</v>
      </c>
      <c r="E3770" t="s">
        <v>3224</v>
      </c>
      <c r="F3770" t="s">
        <v>3226</v>
      </c>
      <c r="G3770" s="4">
        <v>266085.34999999998</v>
      </c>
      <c r="H3770" s="4">
        <v>154971.04</v>
      </c>
      <c r="I3770" s="3" t="s">
        <v>3734</v>
      </c>
      <c r="J3770">
        <v>4</v>
      </c>
      <c r="K3770" s="4">
        <f>Table3[[#This Row],[Sales]]-Table3[[#This Row],[Cost]]</f>
        <v>111114.30999999997</v>
      </c>
      <c r="L3770" s="6">
        <f>Table3[[#This Row],[Profit]]/Table3[[#This Row],[Sales]]</f>
        <v>0.41758898037791248</v>
      </c>
    </row>
    <row r="3771" spans="1:12" x14ac:dyDescent="0.25">
      <c r="A3771" t="s">
        <v>3193</v>
      </c>
      <c r="B3771" s="2" t="s">
        <v>3729</v>
      </c>
      <c r="C3771" s="2" t="str">
        <f>TEXT(Table3[[#This Row],[Order Date]],"mmmm")</f>
        <v>Not Mentioned</v>
      </c>
      <c r="D3771" t="s">
        <v>3220</v>
      </c>
      <c r="E3771" t="s">
        <v>3222</v>
      </c>
      <c r="F3771" t="s">
        <v>3226</v>
      </c>
      <c r="G3771" s="4">
        <v>67789.34</v>
      </c>
      <c r="H3771" s="4">
        <v>41420.01</v>
      </c>
      <c r="I3771" s="3" t="s">
        <v>3734</v>
      </c>
      <c r="J3771">
        <v>4</v>
      </c>
      <c r="K3771" s="4">
        <f>Table3[[#This Row],[Sales]]-Table3[[#This Row],[Cost]]</f>
        <v>26369.329999999994</v>
      </c>
      <c r="L3771" s="6">
        <f>Table3[[#This Row],[Profit]]/Table3[[#This Row],[Sales]]</f>
        <v>0.38898933077088516</v>
      </c>
    </row>
    <row r="3772" spans="1:12" x14ac:dyDescent="0.25">
      <c r="A3772" t="s">
        <v>3194</v>
      </c>
      <c r="B3772" s="2">
        <v>45021</v>
      </c>
      <c r="C3772" s="2" t="str">
        <f>TEXT(Table3[[#This Row],[Order Date]],"mmmm")</f>
        <v>April</v>
      </c>
      <c r="D3772" t="s">
        <v>3730</v>
      </c>
      <c r="E3772" t="s">
        <v>3222</v>
      </c>
      <c r="F3772" t="s">
        <v>3226</v>
      </c>
      <c r="G3772" s="4">
        <v>13412.27</v>
      </c>
      <c r="H3772" s="4">
        <v>8682.99</v>
      </c>
      <c r="I3772" s="3" t="s">
        <v>3734</v>
      </c>
      <c r="J3772">
        <v>1</v>
      </c>
      <c r="K3772" s="4">
        <f>Table3[[#This Row],[Sales]]-Table3[[#This Row],[Cost]]</f>
        <v>4729.2800000000007</v>
      </c>
      <c r="L3772" s="6">
        <f>Table3[[#This Row],[Profit]]/Table3[[#This Row],[Sales]]</f>
        <v>0.35260846970721588</v>
      </c>
    </row>
    <row r="3773" spans="1:12" x14ac:dyDescent="0.25">
      <c r="A3773" t="s">
        <v>2954</v>
      </c>
      <c r="B3773" s="2">
        <v>44941</v>
      </c>
      <c r="C3773" s="2" t="str">
        <f>TEXT(Table3[[#This Row],[Order Date]],"mmmm")</f>
        <v>January</v>
      </c>
      <c r="D3773" t="s">
        <v>3220</v>
      </c>
      <c r="E3773" t="s">
        <v>3225</v>
      </c>
      <c r="F3773" t="s">
        <v>3226</v>
      </c>
      <c r="G3773" s="4">
        <v>32628.03</v>
      </c>
      <c r="H3773" s="4">
        <v>28485.67</v>
      </c>
      <c r="I3773" s="3" t="s">
        <v>3734</v>
      </c>
      <c r="J3773">
        <v>2</v>
      </c>
      <c r="K3773" s="4">
        <f>Table3[[#This Row],[Sales]]-Table3[[#This Row],[Cost]]</f>
        <v>4142.3600000000006</v>
      </c>
      <c r="L3773" s="6">
        <f>Table3[[#This Row],[Profit]]/Table3[[#This Row],[Sales]]</f>
        <v>0.12695709793082821</v>
      </c>
    </row>
    <row r="3774" spans="1:12" x14ac:dyDescent="0.25">
      <c r="A3774" t="s">
        <v>3657</v>
      </c>
      <c r="B3774" s="2">
        <v>45102</v>
      </c>
      <c r="C3774" s="2" t="str">
        <f>TEXT(Table3[[#This Row],[Order Date]],"mmmm")</f>
        <v>June</v>
      </c>
      <c r="D3774" t="s">
        <v>3220</v>
      </c>
      <c r="E3774" t="s">
        <v>3224</v>
      </c>
      <c r="F3774" t="s">
        <v>3226</v>
      </c>
      <c r="G3774" s="4">
        <v>287038.12</v>
      </c>
      <c r="H3774" s="4">
        <v>208951.86</v>
      </c>
      <c r="I3774" s="3" t="s">
        <v>3734</v>
      </c>
      <c r="J3774">
        <v>5</v>
      </c>
      <c r="K3774" s="4">
        <f>Table3[[#This Row],[Sales]]-Table3[[#This Row],[Cost]]</f>
        <v>78086.260000000009</v>
      </c>
      <c r="L3774" s="6">
        <f>Table3[[#This Row],[Profit]]/Table3[[#This Row],[Sales]]</f>
        <v>0.2720414278075679</v>
      </c>
    </row>
    <row r="3775" spans="1:12" x14ac:dyDescent="0.25">
      <c r="A3775" t="s">
        <v>3195</v>
      </c>
      <c r="B3775" s="2">
        <v>45021</v>
      </c>
      <c r="C3775" s="2" t="str">
        <f>TEXT(Table3[[#This Row],[Order Date]],"mmmm")</f>
        <v>April</v>
      </c>
      <c r="D3775" t="s">
        <v>3220</v>
      </c>
      <c r="E3775" t="s">
        <v>3225</v>
      </c>
      <c r="F3775" t="s">
        <v>3226</v>
      </c>
      <c r="G3775" s="4">
        <v>103270.13</v>
      </c>
      <c r="H3775" s="4">
        <v>75248.87</v>
      </c>
      <c r="I3775" s="3" t="s">
        <v>3734</v>
      </c>
      <c r="J3775">
        <v>5</v>
      </c>
      <c r="K3775" s="4">
        <f>Table3[[#This Row],[Sales]]-Table3[[#This Row],[Cost]]</f>
        <v>28021.260000000009</v>
      </c>
      <c r="L3775" s="6">
        <f>Table3[[#This Row],[Profit]]/Table3[[#This Row],[Sales]]</f>
        <v>0.27133944733099502</v>
      </c>
    </row>
    <row r="3776" spans="1:12" x14ac:dyDescent="0.25">
      <c r="A3776" t="s">
        <v>3661</v>
      </c>
      <c r="B3776" s="2">
        <v>45021</v>
      </c>
      <c r="C3776" s="2" t="str">
        <f>TEXT(Table3[[#This Row],[Order Date]],"mmmm")</f>
        <v>April</v>
      </c>
      <c r="D3776" t="s">
        <v>3216</v>
      </c>
      <c r="E3776" t="s">
        <v>3224</v>
      </c>
      <c r="F3776" t="s">
        <v>3226</v>
      </c>
      <c r="G3776" s="4">
        <v>285828.5</v>
      </c>
      <c r="H3776" s="4">
        <v>159878.04999999999</v>
      </c>
      <c r="I3776" s="3" t="s">
        <v>3734</v>
      </c>
      <c r="J3776">
        <v>4</v>
      </c>
      <c r="K3776" s="4">
        <f>Table3[[#This Row],[Sales]]-Table3[[#This Row],[Cost]]</f>
        <v>125950.45000000001</v>
      </c>
      <c r="L3776" s="6">
        <f>Table3[[#This Row],[Profit]]/Table3[[#This Row],[Sales]]</f>
        <v>0.44065042499260926</v>
      </c>
    </row>
    <row r="3777" spans="1:12" x14ac:dyDescent="0.25">
      <c r="A3777" t="s">
        <v>3196</v>
      </c>
      <c r="B3777" s="2">
        <v>44972</v>
      </c>
      <c r="C3777" s="2" t="str">
        <f>TEXT(Table3[[#This Row],[Order Date]],"mmmm")</f>
        <v>February</v>
      </c>
      <c r="D3777" t="s">
        <v>3730</v>
      </c>
      <c r="E3777" t="s">
        <v>3222</v>
      </c>
      <c r="F3777" t="s">
        <v>3226</v>
      </c>
      <c r="G3777" s="4">
        <v>26771.18</v>
      </c>
      <c r="H3777" s="4">
        <v>18844.54</v>
      </c>
      <c r="I3777" s="3" t="s">
        <v>3734</v>
      </c>
      <c r="J3777">
        <v>2</v>
      </c>
      <c r="K3777" s="4">
        <f>Table3[[#This Row],[Sales]]-Table3[[#This Row],[Cost]]</f>
        <v>7926.6399999999994</v>
      </c>
      <c r="L3777" s="6">
        <f>Table3[[#This Row],[Profit]]/Table3[[#This Row],[Sales]]</f>
        <v>0.29608855493108632</v>
      </c>
    </row>
    <row r="3778" spans="1:12" x14ac:dyDescent="0.25">
      <c r="A3778" t="s">
        <v>2724</v>
      </c>
      <c r="B3778" s="2" t="s">
        <v>3729</v>
      </c>
      <c r="C3778" s="2" t="str">
        <f>TEXT(Table3[[#This Row],[Order Date]],"mmmm")</f>
        <v>Not Mentioned</v>
      </c>
      <c r="D3778" t="s">
        <v>3220</v>
      </c>
      <c r="E3778" t="s">
        <v>3224</v>
      </c>
      <c r="F3778" t="s">
        <v>3226</v>
      </c>
      <c r="G3778" s="4">
        <v>52617.41</v>
      </c>
      <c r="H3778" s="4">
        <v>49410.09</v>
      </c>
      <c r="I3778" s="3" t="s">
        <v>3734</v>
      </c>
      <c r="J3778">
        <v>1</v>
      </c>
      <c r="K3778" s="4">
        <f>Table3[[#This Row],[Sales]]-Table3[[#This Row],[Cost]]</f>
        <v>3207.320000000007</v>
      </c>
      <c r="L3778" s="6">
        <f>Table3[[#This Row],[Profit]]/Table3[[#This Row],[Sales]]</f>
        <v>6.0955489827416567E-2</v>
      </c>
    </row>
    <row r="3779" spans="1:12" x14ac:dyDescent="0.25">
      <c r="A3779" t="s">
        <v>158</v>
      </c>
      <c r="B3779" s="2">
        <v>45102</v>
      </c>
      <c r="C3779" s="2" t="str">
        <f>TEXT(Table3[[#This Row],[Order Date]],"mmmm")</f>
        <v>June</v>
      </c>
      <c r="D3779" t="s">
        <v>3216</v>
      </c>
      <c r="E3779" t="s">
        <v>3225</v>
      </c>
      <c r="F3779" t="s">
        <v>3226</v>
      </c>
      <c r="G3779" s="4">
        <v>77505.490000000005</v>
      </c>
      <c r="H3779" s="4">
        <v>58962.36</v>
      </c>
      <c r="I3779" s="3" t="s">
        <v>3734</v>
      </c>
      <c r="J3779">
        <v>4</v>
      </c>
      <c r="K3779" s="4">
        <f>Table3[[#This Row],[Sales]]-Table3[[#This Row],[Cost]]</f>
        <v>18543.130000000005</v>
      </c>
      <c r="L3779" s="6">
        <f>Table3[[#This Row],[Profit]]/Table3[[#This Row],[Sales]]</f>
        <v>0.23924924544054885</v>
      </c>
    </row>
    <row r="3780" spans="1:12" x14ac:dyDescent="0.25">
      <c r="A3780" t="s">
        <v>1406</v>
      </c>
      <c r="B3780" s="2" t="s">
        <v>3729</v>
      </c>
      <c r="C3780" s="2" t="str">
        <f>TEXT(Table3[[#This Row],[Order Date]],"mmmm")</f>
        <v>Not Mentioned</v>
      </c>
      <c r="D3780" t="s">
        <v>3731</v>
      </c>
      <c r="E3780" t="s">
        <v>3222</v>
      </c>
      <c r="F3780" t="s">
        <v>3226</v>
      </c>
      <c r="G3780" s="4">
        <v>32299.4</v>
      </c>
      <c r="H3780" s="4">
        <v>21716.2</v>
      </c>
      <c r="I3780" s="3" t="s">
        <v>3734</v>
      </c>
      <c r="J3780">
        <v>2</v>
      </c>
      <c r="K3780" s="4">
        <f>Table3[[#This Row],[Sales]]-Table3[[#This Row],[Cost]]</f>
        <v>10583.2</v>
      </c>
      <c r="L3780" s="6">
        <f>Table3[[#This Row],[Profit]]/Table3[[#This Row],[Sales]]</f>
        <v>0.32765933732515157</v>
      </c>
    </row>
    <row r="3781" spans="1:12" x14ac:dyDescent="0.25">
      <c r="A3781" t="s">
        <v>3727</v>
      </c>
      <c r="B3781" s="2">
        <v>45102</v>
      </c>
      <c r="C3781" s="2" t="str">
        <f>TEXT(Table3[[#This Row],[Order Date]],"mmmm")</f>
        <v>June</v>
      </c>
      <c r="D3781" t="s">
        <v>3220</v>
      </c>
      <c r="E3781" t="s">
        <v>3225</v>
      </c>
      <c r="F3781" t="s">
        <v>3226</v>
      </c>
      <c r="G3781" s="4">
        <v>90576.57</v>
      </c>
      <c r="H3781" s="4">
        <v>54802.68</v>
      </c>
      <c r="I3781" s="3" t="s">
        <v>3734</v>
      </c>
      <c r="J3781">
        <v>4</v>
      </c>
      <c r="K3781" s="4">
        <f>Table3[[#This Row],[Sales]]-Table3[[#This Row],[Cost]]</f>
        <v>35773.890000000007</v>
      </c>
      <c r="L3781" s="6">
        <f>Table3[[#This Row],[Profit]]/Table3[[#This Row],[Sales]]</f>
        <v>0.39495743766848318</v>
      </c>
    </row>
    <row r="3782" spans="1:12" x14ac:dyDescent="0.25">
      <c r="A3782" t="s">
        <v>3198</v>
      </c>
      <c r="B3782" s="2">
        <v>45102</v>
      </c>
      <c r="C3782" s="2" t="str">
        <f>TEXT(Table3[[#This Row],[Order Date]],"mmmm")</f>
        <v>June</v>
      </c>
      <c r="D3782" t="s">
        <v>3731</v>
      </c>
      <c r="E3782" t="s">
        <v>3224</v>
      </c>
      <c r="F3782" t="s">
        <v>3226</v>
      </c>
      <c r="G3782" s="4">
        <v>308592.40000000002</v>
      </c>
      <c r="H3782" s="4">
        <v>202152.04</v>
      </c>
      <c r="I3782" s="3" t="s">
        <v>3734</v>
      </c>
      <c r="J3782">
        <v>5</v>
      </c>
      <c r="K3782" s="4">
        <f>Table3[[#This Row],[Sales]]-Table3[[#This Row],[Cost]]</f>
        <v>106440.36000000002</v>
      </c>
      <c r="L3782" s="6">
        <f>Table3[[#This Row],[Profit]]/Table3[[#This Row],[Sales]]</f>
        <v>0.34492216917850216</v>
      </c>
    </row>
    <row r="3783" spans="1:12" x14ac:dyDescent="0.25">
      <c r="A3783" t="s">
        <v>3199</v>
      </c>
      <c r="B3783" s="2">
        <v>45005</v>
      </c>
      <c r="C3783" s="2" t="str">
        <f>TEXT(Table3[[#This Row],[Order Date]],"mmmm")</f>
        <v>March</v>
      </c>
      <c r="D3783" t="s">
        <v>3731</v>
      </c>
      <c r="E3783" t="s">
        <v>3225</v>
      </c>
      <c r="F3783" t="s">
        <v>3226</v>
      </c>
      <c r="G3783" s="4">
        <v>63984.28</v>
      </c>
      <c r="H3783" s="4">
        <v>45756.59</v>
      </c>
      <c r="I3783" s="3" t="s">
        <v>3734</v>
      </c>
      <c r="J3783">
        <v>3</v>
      </c>
      <c r="K3783" s="4">
        <f>Table3[[#This Row],[Sales]]-Table3[[#This Row],[Cost]]</f>
        <v>18227.690000000002</v>
      </c>
      <c r="L3783" s="6">
        <f>Table3[[#This Row],[Profit]]/Table3[[#This Row],[Sales]]</f>
        <v>0.28487762931770122</v>
      </c>
    </row>
    <row r="3784" spans="1:12" x14ac:dyDescent="0.25">
      <c r="A3784" t="s">
        <v>3200</v>
      </c>
      <c r="B3784" s="2">
        <v>45102</v>
      </c>
      <c r="C3784" s="2" t="str">
        <f>TEXT(Table3[[#This Row],[Order Date]],"mmmm")</f>
        <v>June</v>
      </c>
      <c r="D3784" t="s">
        <v>3220</v>
      </c>
      <c r="E3784" t="s">
        <v>3223</v>
      </c>
      <c r="F3784" t="s">
        <v>3226</v>
      </c>
      <c r="G3784" s="4">
        <v>43484.28</v>
      </c>
      <c r="H3784" s="4">
        <v>29407.67</v>
      </c>
      <c r="I3784" s="3" t="s">
        <v>3734</v>
      </c>
      <c r="J3784" t="s">
        <v>3732</v>
      </c>
      <c r="K3784" s="4">
        <f>Table3[[#This Row],[Sales]]-Table3[[#This Row],[Cost]]</f>
        <v>14076.61</v>
      </c>
      <c r="L3784" s="6">
        <f>Table3[[#This Row],[Profit]]/Table3[[#This Row],[Sales]]</f>
        <v>0.32371721458881236</v>
      </c>
    </row>
    <row r="3785" spans="1:12" x14ac:dyDescent="0.25">
      <c r="A3785" t="s">
        <v>2240</v>
      </c>
      <c r="B3785" s="2">
        <v>45021</v>
      </c>
      <c r="C3785" s="2" t="str">
        <f>TEXT(Table3[[#This Row],[Order Date]],"mmmm")</f>
        <v>April</v>
      </c>
      <c r="D3785" t="s">
        <v>3216</v>
      </c>
      <c r="E3785" t="s">
        <v>3223</v>
      </c>
      <c r="F3785" t="s">
        <v>3226</v>
      </c>
      <c r="G3785" s="4">
        <v>10445.82</v>
      </c>
      <c r="H3785" s="4">
        <v>6719.26</v>
      </c>
      <c r="I3785" s="3" t="s">
        <v>3734</v>
      </c>
      <c r="J3785">
        <v>1</v>
      </c>
      <c r="K3785" s="4">
        <f>Table3[[#This Row],[Sales]]-Table3[[#This Row],[Cost]]</f>
        <v>3726.5599999999995</v>
      </c>
      <c r="L3785" s="6">
        <f>Table3[[#This Row],[Profit]]/Table3[[#This Row],[Sales]]</f>
        <v>0.35675131296537749</v>
      </c>
    </row>
    <row r="3786" spans="1:12" x14ac:dyDescent="0.25">
      <c r="A3786" t="s">
        <v>3201</v>
      </c>
      <c r="B3786" s="2">
        <v>44941</v>
      </c>
      <c r="C3786" s="2" t="str">
        <f>TEXT(Table3[[#This Row],[Order Date]],"mmmm")</f>
        <v>January</v>
      </c>
      <c r="D3786" t="s">
        <v>3730</v>
      </c>
      <c r="E3786" t="s">
        <v>3223</v>
      </c>
      <c r="F3786" t="s">
        <v>3226</v>
      </c>
      <c r="G3786" s="4">
        <v>41269.660000000003</v>
      </c>
      <c r="H3786" s="4">
        <v>24520.06</v>
      </c>
      <c r="I3786" s="3" t="s">
        <v>3734</v>
      </c>
      <c r="J3786">
        <v>4</v>
      </c>
      <c r="K3786" s="4">
        <f>Table3[[#This Row],[Sales]]-Table3[[#This Row],[Cost]]</f>
        <v>16749.600000000002</v>
      </c>
      <c r="L3786" s="6">
        <f>Table3[[#This Row],[Profit]]/Table3[[#This Row],[Sales]]</f>
        <v>0.40585747495860158</v>
      </c>
    </row>
    <row r="3787" spans="1:12" x14ac:dyDescent="0.25">
      <c r="A3787" t="s">
        <v>3202</v>
      </c>
      <c r="B3787" s="2" t="s">
        <v>3729</v>
      </c>
      <c r="C3787" s="2" t="str">
        <f>TEXT(Table3[[#This Row],[Order Date]],"mmmm")</f>
        <v>Not Mentioned</v>
      </c>
      <c r="D3787" t="s">
        <v>3220</v>
      </c>
      <c r="E3787" t="s">
        <v>3222</v>
      </c>
      <c r="F3787" t="s">
        <v>3226</v>
      </c>
      <c r="G3787" s="4">
        <v>17892.89</v>
      </c>
      <c r="H3787" s="4">
        <v>14314.312</v>
      </c>
      <c r="I3787" s="3" t="s">
        <v>3735</v>
      </c>
      <c r="J3787">
        <v>1</v>
      </c>
      <c r="K3787" s="4">
        <f>Table3[[#This Row],[Sales]]-Table3[[#This Row],[Cost]]</f>
        <v>3578.5779999999995</v>
      </c>
      <c r="L3787" s="6">
        <f>Table3[[#This Row],[Profit]]/Table3[[#This Row],[Sales]]</f>
        <v>0.19999999999999998</v>
      </c>
    </row>
    <row r="3788" spans="1:12" x14ac:dyDescent="0.25">
      <c r="A3788" t="s">
        <v>3203</v>
      </c>
      <c r="B3788" s="2" t="s">
        <v>3729</v>
      </c>
      <c r="C3788" s="2" t="str">
        <f>TEXT(Table3[[#This Row],[Order Date]],"mmmm")</f>
        <v>Not Mentioned</v>
      </c>
      <c r="D3788" t="s">
        <v>3730</v>
      </c>
      <c r="E3788" t="s">
        <v>3223</v>
      </c>
      <c r="F3788" t="s">
        <v>3226</v>
      </c>
      <c r="G3788" s="4">
        <v>8311.83</v>
      </c>
      <c r="H3788" s="4">
        <v>6266.65</v>
      </c>
      <c r="I3788" s="3" t="s">
        <v>3734</v>
      </c>
      <c r="J3788">
        <v>1</v>
      </c>
      <c r="K3788" s="4">
        <f>Table3[[#This Row],[Sales]]-Table3[[#This Row],[Cost]]</f>
        <v>2045.1800000000003</v>
      </c>
      <c r="L3788" s="6">
        <f>Table3[[#This Row],[Profit]]/Table3[[#This Row],[Sales]]</f>
        <v>0.24605652425518812</v>
      </c>
    </row>
    <row r="3789" spans="1:12" x14ac:dyDescent="0.25">
      <c r="A3789" t="s">
        <v>2692</v>
      </c>
      <c r="B3789" s="2">
        <v>44972</v>
      </c>
      <c r="C3789" s="2" t="str">
        <f>TEXT(Table3[[#This Row],[Order Date]],"mmmm")</f>
        <v>February</v>
      </c>
      <c r="D3789" t="s">
        <v>3731</v>
      </c>
      <c r="E3789" t="s">
        <v>3223</v>
      </c>
      <c r="F3789" t="s">
        <v>3226</v>
      </c>
      <c r="G3789" s="4">
        <v>46810.69</v>
      </c>
      <c r="H3789" s="4">
        <v>26884.880000000001</v>
      </c>
      <c r="I3789" s="3" t="s">
        <v>3734</v>
      </c>
      <c r="J3789">
        <v>4</v>
      </c>
      <c r="K3789" s="4">
        <f>Table3[[#This Row],[Sales]]-Table3[[#This Row],[Cost]]</f>
        <v>19925.810000000001</v>
      </c>
      <c r="L3789" s="6">
        <f>Table3[[#This Row],[Profit]]/Table3[[#This Row],[Sales]]</f>
        <v>0.42566794037857592</v>
      </c>
    </row>
    <row r="3790" spans="1:12" x14ac:dyDescent="0.25">
      <c r="A3790" t="s">
        <v>3596</v>
      </c>
      <c r="B3790" s="2">
        <v>45102</v>
      </c>
      <c r="C3790" s="2" t="str">
        <f>TEXT(Table3[[#This Row],[Order Date]],"mmmm")</f>
        <v>June</v>
      </c>
      <c r="D3790" t="s">
        <v>3730</v>
      </c>
      <c r="E3790" t="s">
        <v>3224</v>
      </c>
      <c r="F3790" t="s">
        <v>3226</v>
      </c>
      <c r="G3790" s="4">
        <v>330849.56</v>
      </c>
      <c r="H3790" s="4">
        <v>243706.08</v>
      </c>
      <c r="I3790" s="3" t="s">
        <v>3734</v>
      </c>
      <c r="J3790">
        <v>5</v>
      </c>
      <c r="K3790" s="4">
        <f>Table3[[#This Row],[Sales]]-Table3[[#This Row],[Cost]]</f>
        <v>87143.48000000001</v>
      </c>
      <c r="L3790" s="6">
        <f>Table3[[#This Row],[Profit]]/Table3[[#This Row],[Sales]]</f>
        <v>0.26339306602070139</v>
      </c>
    </row>
    <row r="3791" spans="1:12" x14ac:dyDescent="0.25">
      <c r="A3791" t="s">
        <v>2924</v>
      </c>
      <c r="B3791" s="2">
        <v>45005</v>
      </c>
      <c r="C3791" s="2" t="str">
        <f>TEXT(Table3[[#This Row],[Order Date]],"mmmm")</f>
        <v>March</v>
      </c>
      <c r="D3791" t="s">
        <v>3730</v>
      </c>
      <c r="E3791" t="s">
        <v>3223</v>
      </c>
      <c r="F3791" t="s">
        <v>3226</v>
      </c>
      <c r="G3791" s="4">
        <v>37461.440000000002</v>
      </c>
      <c r="H3791" s="4">
        <v>30735.26</v>
      </c>
      <c r="I3791" s="3" t="s">
        <v>3734</v>
      </c>
      <c r="J3791">
        <v>4</v>
      </c>
      <c r="K3791" s="4">
        <f>Table3[[#This Row],[Sales]]-Table3[[#This Row],[Cost]]</f>
        <v>6726.1800000000039</v>
      </c>
      <c r="L3791" s="6">
        <f>Table3[[#This Row],[Profit]]/Table3[[#This Row],[Sales]]</f>
        <v>0.17954942468842638</v>
      </c>
    </row>
    <row r="3792" spans="1:12" x14ac:dyDescent="0.25">
      <c r="A3792" t="s">
        <v>3728</v>
      </c>
      <c r="B3792" s="2">
        <v>45021</v>
      </c>
      <c r="C3792" s="2" t="str">
        <f>TEXT(Table3[[#This Row],[Order Date]],"mmmm")</f>
        <v>April</v>
      </c>
      <c r="D3792" t="s">
        <v>3730</v>
      </c>
      <c r="E3792" t="s">
        <v>3222</v>
      </c>
      <c r="F3792" t="s">
        <v>3226</v>
      </c>
      <c r="G3792" s="4">
        <v>12968.24</v>
      </c>
      <c r="H3792" s="4">
        <v>8777.67</v>
      </c>
      <c r="I3792" s="3" t="s">
        <v>3734</v>
      </c>
      <c r="J3792" t="s">
        <v>3732</v>
      </c>
      <c r="K3792" s="4">
        <f>Table3[[#This Row],[Sales]]-Table3[[#This Row],[Cost]]</f>
        <v>4190.57</v>
      </c>
      <c r="L3792" s="6">
        <f>Table3[[#This Row],[Profit]]/Table3[[#This Row],[Sales]]</f>
        <v>0.32314099677365626</v>
      </c>
    </row>
    <row r="3793" spans="1:12" x14ac:dyDescent="0.25">
      <c r="A3793" t="s">
        <v>3205</v>
      </c>
      <c r="B3793" s="2">
        <v>44941</v>
      </c>
      <c r="C3793" s="2" t="str">
        <f>TEXT(Table3[[#This Row],[Order Date]],"mmmm")</f>
        <v>January</v>
      </c>
      <c r="D3793" t="s">
        <v>3220</v>
      </c>
      <c r="E3793" t="s">
        <v>3225</v>
      </c>
      <c r="F3793" t="s">
        <v>3226</v>
      </c>
      <c r="G3793" s="4">
        <v>58462.76</v>
      </c>
      <c r="H3793" s="4">
        <v>40605.279999999999</v>
      </c>
      <c r="I3793" s="3" t="s">
        <v>3734</v>
      </c>
      <c r="J3793">
        <v>3</v>
      </c>
      <c r="K3793" s="4">
        <f>Table3[[#This Row],[Sales]]-Table3[[#This Row],[Cost]]</f>
        <v>17857.480000000003</v>
      </c>
      <c r="L3793" s="6">
        <f>Table3[[#This Row],[Profit]]/Table3[[#This Row],[Sales]]</f>
        <v>0.30545051242876664</v>
      </c>
    </row>
    <row r="3794" spans="1:12" x14ac:dyDescent="0.25">
      <c r="A3794" t="s">
        <v>380</v>
      </c>
      <c r="B3794" s="2">
        <v>45005</v>
      </c>
      <c r="C3794" s="2" t="str">
        <f>TEXT(Table3[[#This Row],[Order Date]],"mmmm")</f>
        <v>March</v>
      </c>
      <c r="D3794" t="s">
        <v>3731</v>
      </c>
      <c r="E3794" t="s">
        <v>3224</v>
      </c>
      <c r="F3794" t="s">
        <v>3226</v>
      </c>
      <c r="G3794" s="4">
        <v>186516.67</v>
      </c>
      <c r="H3794" s="4">
        <v>134031.88</v>
      </c>
      <c r="I3794" s="3" t="s">
        <v>3734</v>
      </c>
      <c r="J3794">
        <v>3</v>
      </c>
      <c r="K3794" s="4">
        <f>Table3[[#This Row],[Sales]]-Table3[[#This Row],[Cost]]</f>
        <v>52484.790000000008</v>
      </c>
      <c r="L3794" s="6">
        <f>Table3[[#This Row],[Profit]]/Table3[[#This Row],[Sales]]</f>
        <v>0.28139463351988864</v>
      </c>
    </row>
    <row r="3795" spans="1:12" x14ac:dyDescent="0.25">
      <c r="A3795" t="s">
        <v>3207</v>
      </c>
      <c r="B3795" s="2">
        <v>44972</v>
      </c>
      <c r="C3795" s="2" t="str">
        <f>TEXT(Table3[[#This Row],[Order Date]],"mmmm")</f>
        <v>February</v>
      </c>
      <c r="D3795" t="s">
        <v>3216</v>
      </c>
      <c r="E3795" t="s">
        <v>3224</v>
      </c>
      <c r="F3795" t="s">
        <v>3226</v>
      </c>
      <c r="G3795" s="4">
        <v>111170.43</v>
      </c>
      <c r="H3795" s="4">
        <v>94403.18</v>
      </c>
      <c r="I3795" s="3" t="s">
        <v>3734</v>
      </c>
      <c r="J3795">
        <v>2</v>
      </c>
      <c r="K3795" s="4">
        <f>Table3[[#This Row],[Sales]]-Table3[[#This Row],[Cost]]</f>
        <v>16767.25</v>
      </c>
      <c r="L3795" s="6">
        <f>Table3[[#This Row],[Profit]]/Table3[[#This Row],[Sales]]</f>
        <v>0.15082472920182102</v>
      </c>
    </row>
    <row r="3796" spans="1:12" x14ac:dyDescent="0.25">
      <c r="A3796" t="s">
        <v>3208</v>
      </c>
      <c r="B3796" s="2" t="s">
        <v>3729</v>
      </c>
      <c r="C3796" s="2" t="str">
        <f>TEXT(Table3[[#This Row],[Order Date]],"mmmm")</f>
        <v>Not Mentioned</v>
      </c>
      <c r="D3796" t="s">
        <v>3730</v>
      </c>
      <c r="E3796" t="s">
        <v>3222</v>
      </c>
      <c r="F3796" t="s">
        <v>3226</v>
      </c>
      <c r="G3796" s="4">
        <v>14928.83</v>
      </c>
      <c r="H3796" s="4">
        <v>11943.064</v>
      </c>
      <c r="I3796" s="3" t="s">
        <v>3735</v>
      </c>
      <c r="J3796">
        <v>1</v>
      </c>
      <c r="K3796" s="4">
        <f>Table3[[#This Row],[Sales]]-Table3[[#This Row],[Cost]]</f>
        <v>2985.7659999999996</v>
      </c>
      <c r="L3796" s="6">
        <f>Table3[[#This Row],[Profit]]/Table3[[#This Row],[Sales]]</f>
        <v>0.19999999999999998</v>
      </c>
    </row>
    <row r="3797" spans="1:12" x14ac:dyDescent="0.25">
      <c r="A3797" t="s">
        <v>3209</v>
      </c>
      <c r="B3797" s="2">
        <v>44941</v>
      </c>
      <c r="C3797" s="2" t="str">
        <f>TEXT(Table3[[#This Row],[Order Date]],"mmmm")</f>
        <v>January</v>
      </c>
      <c r="D3797" t="s">
        <v>3216</v>
      </c>
      <c r="E3797" t="s">
        <v>3225</v>
      </c>
      <c r="F3797" t="s">
        <v>3226</v>
      </c>
      <c r="G3797" s="4">
        <v>22051.17</v>
      </c>
      <c r="H3797" s="4">
        <v>13255.07</v>
      </c>
      <c r="I3797" s="3" t="s">
        <v>3734</v>
      </c>
      <c r="J3797">
        <v>1</v>
      </c>
      <c r="K3797" s="4">
        <f>Table3[[#This Row],[Sales]]-Table3[[#This Row],[Cost]]</f>
        <v>8796.0999999999985</v>
      </c>
      <c r="L3797" s="6">
        <f>Table3[[#This Row],[Profit]]/Table3[[#This Row],[Sales]]</f>
        <v>0.39889493391960607</v>
      </c>
    </row>
    <row r="3798" spans="1:12" x14ac:dyDescent="0.25">
      <c r="A3798" t="s">
        <v>3210</v>
      </c>
      <c r="B3798" s="2" t="s">
        <v>3729</v>
      </c>
      <c r="C3798" s="2" t="str">
        <f>TEXT(Table3[[#This Row],[Order Date]],"mmmm")</f>
        <v>Not Mentioned</v>
      </c>
      <c r="D3798" t="s">
        <v>3730</v>
      </c>
      <c r="E3798" t="s">
        <v>3224</v>
      </c>
      <c r="F3798" t="s">
        <v>3226</v>
      </c>
      <c r="G3798" s="4">
        <v>247021.27</v>
      </c>
      <c r="H3798" s="4">
        <v>182536.92</v>
      </c>
      <c r="I3798" s="3" t="s">
        <v>3734</v>
      </c>
      <c r="J3798">
        <v>4</v>
      </c>
      <c r="K3798" s="4">
        <f>Table3[[#This Row],[Sales]]-Table3[[#This Row],[Cost]]</f>
        <v>64484.349999999977</v>
      </c>
      <c r="L3798" s="6">
        <f>Table3[[#This Row],[Profit]]/Table3[[#This Row],[Sales]]</f>
        <v>0.26104776321488421</v>
      </c>
    </row>
    <row r="3799" spans="1:12" x14ac:dyDescent="0.25">
      <c r="A3799" t="s">
        <v>230</v>
      </c>
      <c r="B3799" s="2" t="s">
        <v>3729</v>
      </c>
      <c r="C3799" s="2" t="str">
        <f>TEXT(Table3[[#This Row],[Order Date]],"mmmm")</f>
        <v>Not Mentioned</v>
      </c>
      <c r="D3799" t="s">
        <v>3216</v>
      </c>
      <c r="E3799" t="s">
        <v>3222</v>
      </c>
      <c r="F3799" t="s">
        <v>3226</v>
      </c>
      <c r="G3799" s="4">
        <v>53349.760000000002</v>
      </c>
      <c r="H3799" s="4">
        <v>39697.67</v>
      </c>
      <c r="I3799" s="3" t="s">
        <v>3734</v>
      </c>
      <c r="J3799">
        <v>4</v>
      </c>
      <c r="K3799" s="4">
        <f>Table3[[#This Row],[Sales]]-Table3[[#This Row],[Cost]]</f>
        <v>13652.090000000004</v>
      </c>
      <c r="L3799" s="6">
        <f>Table3[[#This Row],[Profit]]/Table3[[#This Row],[Sales]]</f>
        <v>0.25589787095574568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C8880-F3CE-46E7-8F31-ACBEFCD73324}">
  <dimension ref="A1:S16"/>
  <sheetViews>
    <sheetView topLeftCell="C1" zoomScale="80" zoomScaleNormal="80" workbookViewId="0">
      <selection activeCell="L10" sqref="L10"/>
    </sheetView>
  </sheetViews>
  <sheetFormatPr defaultRowHeight="15" x14ac:dyDescent="0.25"/>
  <cols>
    <col min="1" max="1" width="14.140625" bestFit="1" customWidth="1"/>
    <col min="2" max="2" width="23.5703125" bestFit="1" customWidth="1"/>
    <col min="3" max="3" width="15.28515625" bestFit="1" customWidth="1"/>
    <col min="4" max="4" width="14.140625" bestFit="1" customWidth="1"/>
    <col min="5" max="5" width="16.7109375" bestFit="1" customWidth="1"/>
    <col min="6" max="8" width="14.28515625" bestFit="1" customWidth="1"/>
    <col min="9" max="9" width="15.28515625" bestFit="1" customWidth="1"/>
    <col min="10" max="10" width="14.140625" bestFit="1" customWidth="1"/>
    <col min="11" max="11" width="14.28515625" bestFit="1" customWidth="1"/>
    <col min="12" max="12" width="20" bestFit="1" customWidth="1"/>
    <col min="13" max="13" width="19.5703125" customWidth="1"/>
    <col min="14" max="14" width="14.140625" bestFit="1" customWidth="1"/>
    <col min="15" max="15" width="16.7109375" bestFit="1" customWidth="1"/>
  </cols>
  <sheetData>
    <row r="1" spans="1:19" x14ac:dyDescent="0.25">
      <c r="A1" s="7" t="s">
        <v>3739</v>
      </c>
      <c r="B1" t="s">
        <v>3742</v>
      </c>
      <c r="D1" s="7" t="s">
        <v>3739</v>
      </c>
      <c r="E1" t="s">
        <v>3742</v>
      </c>
      <c r="G1" s="7" t="s">
        <v>3739</v>
      </c>
      <c r="H1" t="s">
        <v>3741</v>
      </c>
      <c r="J1" s="7" t="s">
        <v>3739</v>
      </c>
      <c r="K1" t="s">
        <v>3742</v>
      </c>
    </row>
    <row r="2" spans="1:19" x14ac:dyDescent="0.25">
      <c r="A2" s="8" t="s">
        <v>3731</v>
      </c>
      <c r="B2" s="4">
        <v>14598010.813999981</v>
      </c>
      <c r="D2" s="8" t="s">
        <v>3729</v>
      </c>
      <c r="E2" s="4">
        <v>13026887.881999992</v>
      </c>
      <c r="G2" s="8" t="s">
        <v>3224</v>
      </c>
      <c r="H2" s="4">
        <v>180796940.8500002</v>
      </c>
      <c r="J2" s="8" t="s">
        <v>3224</v>
      </c>
      <c r="K2" s="4">
        <v>46452900.572000004</v>
      </c>
    </row>
    <row r="3" spans="1:19" x14ac:dyDescent="0.25">
      <c r="A3" s="8" t="s">
        <v>3220</v>
      </c>
      <c r="B3" s="4">
        <v>27829860.027999997</v>
      </c>
      <c r="D3" s="8" t="s">
        <v>3754</v>
      </c>
      <c r="E3" s="4">
        <v>14437741.065999988</v>
      </c>
      <c r="G3" s="8" t="s">
        <v>3223</v>
      </c>
      <c r="H3" s="4">
        <v>27214448.940000039</v>
      </c>
      <c r="J3" s="8" t="s">
        <v>3223</v>
      </c>
      <c r="K3" s="4">
        <v>8421564.3119999971</v>
      </c>
      <c r="M3" t="s">
        <v>3746</v>
      </c>
      <c r="O3" t="s">
        <v>3748</v>
      </c>
      <c r="Q3" t="s">
        <v>3751</v>
      </c>
      <c r="S3" t="s">
        <v>3759</v>
      </c>
    </row>
    <row r="4" spans="1:19" x14ac:dyDescent="0.25">
      <c r="A4" s="8" t="s">
        <v>3730</v>
      </c>
      <c r="B4" s="4">
        <v>30212450.889999963</v>
      </c>
      <c r="D4" s="8" t="s">
        <v>3755</v>
      </c>
      <c r="E4" s="4">
        <v>15143990.672000002</v>
      </c>
      <c r="G4" s="8" t="s">
        <v>3225</v>
      </c>
      <c r="H4" s="4">
        <v>56713602.34999992</v>
      </c>
      <c r="J4" s="8" t="s">
        <v>3225</v>
      </c>
      <c r="K4" s="4">
        <v>17441751.64399999</v>
      </c>
      <c r="M4" s="4">
        <f>SUM(H2:H5)</f>
        <v>307351959.28000015</v>
      </c>
      <c r="O4" s="6">
        <f>M7/M4</f>
        <v>0.28202740463753545</v>
      </c>
      <c r="Q4" t="str">
        <f>_xlfn.XLOOKUP(MAX(B2:B5),B2:B5,A2:A5,,0)</f>
        <v>South</v>
      </c>
      <c r="S4" t="str">
        <f>_xlfn.XLOOKUP(MIN(B2:B5),B2:B5,A2:A5,,0)</f>
        <v>West</v>
      </c>
    </row>
    <row r="5" spans="1:19" x14ac:dyDescent="0.25">
      <c r="A5" s="8" t="s">
        <v>3216</v>
      </c>
      <c r="B5" s="4">
        <v>14041353.653999986</v>
      </c>
      <c r="D5" s="8" t="s">
        <v>3756</v>
      </c>
      <c r="E5" s="4">
        <v>14746724.991999988</v>
      </c>
      <c r="G5" s="8" t="s">
        <v>3222</v>
      </c>
      <c r="H5" s="4">
        <v>42626967.140000008</v>
      </c>
      <c r="J5" s="8" t="s">
        <v>3222</v>
      </c>
      <c r="K5" s="4">
        <v>14365458.858000012</v>
      </c>
    </row>
    <row r="6" spans="1:19" x14ac:dyDescent="0.25">
      <c r="A6" s="8" t="s">
        <v>3740</v>
      </c>
      <c r="B6" s="4">
        <v>86681675.385999918</v>
      </c>
      <c r="D6" s="8" t="s">
        <v>3757</v>
      </c>
      <c r="E6" s="4">
        <v>14138261.831999999</v>
      </c>
      <c r="G6" s="8" t="s">
        <v>3740</v>
      </c>
      <c r="H6" s="4">
        <v>307351959.28000015</v>
      </c>
      <c r="J6" s="8" t="s">
        <v>3740</v>
      </c>
      <c r="K6" s="4">
        <v>86681675.386000007</v>
      </c>
      <c r="M6" t="s">
        <v>3747</v>
      </c>
      <c r="O6" t="s">
        <v>3749</v>
      </c>
      <c r="Q6" t="s">
        <v>3752</v>
      </c>
    </row>
    <row r="7" spans="1:19" x14ac:dyDescent="0.25">
      <c r="D7" s="8" t="s">
        <v>3758</v>
      </c>
      <c r="E7" s="4">
        <v>15188068.94199997</v>
      </c>
      <c r="M7" s="4">
        <f>SUM(B2:B5)</f>
        <v>86681675.385999918</v>
      </c>
      <c r="O7" s="9">
        <f>SUM(O10:O13)</f>
        <v>3798</v>
      </c>
      <c r="Q7" t="str">
        <f>_xlfn.XLOOKUP(MAX(H2:H5),H2:H5,G2:G5,,0)</f>
        <v>Laptop</v>
      </c>
      <c r="S7" t="str">
        <f>_xlfn.XLOOKUP(MIN(K2:K5),K2:K5,J2:J5,,0)</f>
        <v>Monitor</v>
      </c>
    </row>
    <row r="8" spans="1:19" x14ac:dyDescent="0.25">
      <c r="D8" s="8" t="s">
        <v>3740</v>
      </c>
      <c r="E8" s="4">
        <v>86681675.385999948</v>
      </c>
    </row>
    <row r="9" spans="1:19" x14ac:dyDescent="0.25">
      <c r="K9" s="7" t="s">
        <v>3739</v>
      </c>
      <c r="L9" t="s">
        <v>3743</v>
      </c>
      <c r="N9" s="7" t="s">
        <v>3739</v>
      </c>
      <c r="O9" t="s">
        <v>3750</v>
      </c>
      <c r="Q9" t="s">
        <v>3753</v>
      </c>
    </row>
    <row r="10" spans="1:19" x14ac:dyDescent="0.25">
      <c r="A10" s="7" t="s">
        <v>3739</v>
      </c>
      <c r="B10" t="s">
        <v>3744</v>
      </c>
      <c r="D10" s="7" t="s">
        <v>3741</v>
      </c>
      <c r="E10" s="7" t="s">
        <v>3745</v>
      </c>
      <c r="K10" s="8" t="s">
        <v>3729</v>
      </c>
      <c r="L10" s="6">
        <v>180.32525154990049</v>
      </c>
      <c r="N10" s="8" t="s">
        <v>3224</v>
      </c>
      <c r="O10">
        <v>986</v>
      </c>
      <c r="Q10" t="str">
        <f>_xlfn.XLOOKUP(MAX(E2:E7),E2:E7,D2:D7,,0)</f>
        <v>March</v>
      </c>
    </row>
    <row r="11" spans="1:19" x14ac:dyDescent="0.25">
      <c r="A11" s="8" t="s">
        <v>3224</v>
      </c>
      <c r="B11" s="6">
        <v>0.25171966865369688</v>
      </c>
      <c r="D11" s="7" t="s">
        <v>3739</v>
      </c>
      <c r="E11" t="s">
        <v>3224</v>
      </c>
      <c r="F11" t="s">
        <v>3223</v>
      </c>
      <c r="G11" t="s">
        <v>3225</v>
      </c>
      <c r="H11" t="s">
        <v>3222</v>
      </c>
      <c r="I11" t="s">
        <v>3740</v>
      </c>
      <c r="K11" s="8" t="s">
        <v>3754</v>
      </c>
      <c r="L11" s="6">
        <v>187.53171221802944</v>
      </c>
      <c r="N11" s="8" t="s">
        <v>3223</v>
      </c>
      <c r="O11">
        <v>904</v>
      </c>
    </row>
    <row r="12" spans="1:19" x14ac:dyDescent="0.25">
      <c r="A12" s="8" t="s">
        <v>3223</v>
      </c>
      <c r="B12" s="6">
        <v>0.29871219571391094</v>
      </c>
      <c r="D12" s="8" t="s">
        <v>3731</v>
      </c>
      <c r="E12" s="4">
        <v>30352983.619999994</v>
      </c>
      <c r="F12" s="4">
        <v>4445274.419999999</v>
      </c>
      <c r="G12" s="4">
        <v>9324357.8099999968</v>
      </c>
      <c r="H12" s="4">
        <v>7440047.6300000018</v>
      </c>
      <c r="I12" s="4">
        <v>51562663.479999989</v>
      </c>
      <c r="K12" s="8" t="s">
        <v>3755</v>
      </c>
      <c r="L12" s="6">
        <v>188.02165112887104</v>
      </c>
      <c r="N12" s="8" t="s">
        <v>3225</v>
      </c>
      <c r="O12">
        <v>948</v>
      </c>
      <c r="Q12" t="str">
        <f>Q4&amp;" Region leads in overall profitability, while "&amp;S4&amp;" underperforms."</f>
        <v>South Region leads in overall profitability, while West underperforms.</v>
      </c>
    </row>
    <row r="13" spans="1:19" x14ac:dyDescent="0.25">
      <c r="A13" s="8" t="s">
        <v>3225</v>
      </c>
      <c r="B13" s="6">
        <v>0.2993005003128606</v>
      </c>
      <c r="D13" s="8" t="s">
        <v>3220</v>
      </c>
      <c r="E13" s="4">
        <v>59120697.409999982</v>
      </c>
      <c r="F13" s="4">
        <v>8871970.5300000031</v>
      </c>
      <c r="G13" s="4">
        <v>18659899.20999999</v>
      </c>
      <c r="H13" s="4">
        <v>13383167.369999992</v>
      </c>
      <c r="I13" s="4">
        <v>100035734.51999997</v>
      </c>
      <c r="K13" s="8" t="s">
        <v>3756</v>
      </c>
      <c r="L13" s="6">
        <v>186.84601501851429</v>
      </c>
      <c r="N13" s="8" t="s">
        <v>3222</v>
      </c>
      <c r="O13">
        <v>960</v>
      </c>
      <c r="Q13" t="str">
        <f>Q7&amp;" contributes highest profit, whereas "&amp;S7&amp;" shows weaker performance."</f>
        <v>Laptop contributes highest profit, whereas Monitor shows weaker performance.</v>
      </c>
    </row>
    <row r="14" spans="1:19" x14ac:dyDescent="0.25">
      <c r="A14" s="8" t="s">
        <v>3222</v>
      </c>
      <c r="B14" s="6">
        <v>0.32870167854541454</v>
      </c>
      <c r="D14" s="8" t="s">
        <v>3730</v>
      </c>
      <c r="E14" s="4">
        <v>62128898.310000002</v>
      </c>
      <c r="F14" s="4">
        <v>9143597.2300000042</v>
      </c>
      <c r="G14" s="4">
        <v>19712282.010000017</v>
      </c>
      <c r="H14" s="4">
        <v>15331425.139999997</v>
      </c>
      <c r="I14" s="4">
        <v>106316202.69000003</v>
      </c>
      <c r="K14" s="8" t="s">
        <v>3757</v>
      </c>
      <c r="L14" s="6">
        <v>183.36948491649815</v>
      </c>
      <c r="N14" s="8" t="s">
        <v>3740</v>
      </c>
      <c r="O14">
        <v>3798</v>
      </c>
      <c r="Q14" t="str">
        <f>"Profit peaked in "&amp;Q10&amp;" compared to the other months."</f>
        <v>Profit peaked in March compared to the other months.</v>
      </c>
    </row>
    <row r="15" spans="1:19" x14ac:dyDescent="0.25">
      <c r="A15" s="8" t="s">
        <v>3740</v>
      </c>
      <c r="B15" s="6">
        <v>0.2942395744913428</v>
      </c>
      <c r="D15" s="8" t="s">
        <v>3216</v>
      </c>
      <c r="E15" s="4">
        <v>29194361.50999999</v>
      </c>
      <c r="F15" s="4">
        <v>4753606.76</v>
      </c>
      <c r="G15" s="4">
        <v>9017063.3199999928</v>
      </c>
      <c r="H15" s="4">
        <v>6472327.0000000028</v>
      </c>
      <c r="I15" s="4">
        <v>49437358.589999981</v>
      </c>
      <c r="K15" s="8" t="s">
        <v>3758</v>
      </c>
      <c r="L15" s="6">
        <v>191.42778908629813</v>
      </c>
      <c r="Q15" t="str">
        <f>"Despite strong revenue, certain segments show lower profits margings, indicating iefficiencies in cost structure."</f>
        <v>Despite strong revenue, certain segments show lower profits margings, indicating iefficiencies in cost structure.</v>
      </c>
    </row>
    <row r="16" spans="1:19" x14ac:dyDescent="0.25">
      <c r="D16" s="8" t="s">
        <v>3740</v>
      </c>
      <c r="E16" s="4">
        <v>180796940.84999996</v>
      </c>
      <c r="F16" s="4">
        <v>27214448.940000005</v>
      </c>
      <c r="G16" s="4">
        <v>56713602.349999994</v>
      </c>
      <c r="H16" s="4">
        <v>42626967.139999986</v>
      </c>
      <c r="I16" s="4">
        <v>307351959.27999997</v>
      </c>
      <c r="K16" s="8" t="s">
        <v>3740</v>
      </c>
      <c r="L16" s="6">
        <v>1117.5219039181115</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D64BD-8699-4B74-ACB2-355F3B9DBCCC}">
  <dimension ref="A1"/>
  <sheetViews>
    <sheetView tabSelected="1" zoomScale="80" zoomScaleNormal="80" workbookViewId="0">
      <selection activeCell="K33" sqref="K3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Abdul Shakir</cp:lastModifiedBy>
  <dcterms:created xsi:type="dcterms:W3CDTF">2026-04-01T16:06:59Z</dcterms:created>
  <dcterms:modified xsi:type="dcterms:W3CDTF">2026-04-08T12:27:03Z</dcterms:modified>
</cp:coreProperties>
</file>